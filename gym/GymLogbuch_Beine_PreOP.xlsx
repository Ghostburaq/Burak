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Log!$A$1:$L$399</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'OP-Countdown'!$A$1:$G$37</definedName>
    <definedName function="false" hidden="false" localSheetId="3" name="_xlnm.Print_Titles" vbProcedure="false">'OP-Countdown'!$1:$2</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2" name="_xlnm.Print_Area" vbProcedure="false">Trainingsblatt!$A$1:$I$731</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<sst xmlns="http://schemas.openxmlformats.org/spreadsheetml/2006/main" count="2360" uniqueCount="577">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</sst>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8705</c:v>
                </c:pt>
              </c:numCache>
            </c:numRef>
          </c:val>
        </c:ser>
        <c:gapWidth val="60"/>
        <c:overlap val="0"/>
        <c:axId val="87795293"/>
        <c:axId val="97398543"/>
      </c:barChart>
      <c:catAx>
        <c:axId val="8779529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398543"/>
        <c:crosses val="autoZero"/>
        <c:auto val="1"/>
        <c:lblAlgn val="ctr"/>
        <c:lblOffset val="100"/>
        <c:noMultiLvlLbl val="0"/>
      </c:catAx>
      <c:valAx>
        <c:axId val="9739854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952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33431082"/>
        <c:axId val="75376245"/>
      </c:barChart>
      <c:catAx>
        <c:axId val="334310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376245"/>
        <c:crosses val="autoZero"/>
        <c:auto val="1"/>
        <c:lblAlgn val="ctr"/>
        <c:lblOffset val="100"/>
        <c:noMultiLvlLbl val="0"/>
      </c:catAx>
      <c:valAx>
        <c:axId val="7537624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3108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36982245"/>
        <c:axId val="9176066"/>
      </c:barChart>
      <c:catAx>
        <c:axId val="369822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76066"/>
        <c:crosses val="autoZero"/>
        <c:auto val="1"/>
        <c:lblAlgn val="ctr"/>
        <c:lblOffset val="100"/>
        <c:noMultiLvlLbl val="0"/>
      </c:catAx>
      <c:valAx>
        <c:axId val="917606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822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99473689"/>
        <c:axId val="40564675"/>
      </c:barChart>
      <c:catAx>
        <c:axId val="994736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64675"/>
        <c:crosses val="autoZero"/>
        <c:auto val="1"/>
        <c:lblAlgn val="ctr"/>
        <c:lblOffset val="100"/>
        <c:noMultiLvlLbl val="0"/>
      </c:catAx>
      <c:valAx>
        <c:axId val="4056467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4736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356</v>
      </c>
      <c r="D6" s="5"/>
      <c r="E6" s="5"/>
    </row>
    <row r="7" customFormat="false" ht="15" hidden="false" customHeight="false" outlineLevel="0" collapsed="false">
      <c r="B7" s="4" t="s">
        <v>5</v>
      </c>
      <c r="C7" s="6" t="n">
        <f aca="false">IFERROR(SUM(Log!$I$4:$I$1203)/1000,0)</f>
        <v>269.295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54.75" hidden="false" customHeight="true" outlineLevel="0" collapsed="false">
      <c r="B30" s="9" t="s">
        <v>149</v>
      </c>
      <c r="C30" s="9"/>
      <c r="D30" s="9"/>
      <c r="E30" s="9"/>
    </row>
    <row r="32" customFormat="false" ht="33.75" hidden="false" customHeight="true" outlineLevel="0" collapsed="false">
      <c r="B32" s="21" t="s">
        <v>150</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4" customFormat="false" ht="15.75" hidden="false" customHeight="true" outlineLevel="0" collapsed="false">
      <c r="B4" s="22" t="s">
        <v>153</v>
      </c>
      <c r="C4" s="22"/>
      <c r="E4" s="22" t="s">
        <v>4</v>
      </c>
      <c r="F4" s="22"/>
      <c r="H4" s="22" t="s">
        <v>154</v>
      </c>
      <c r="I4" s="22"/>
    </row>
    <row r="5" customFormat="false" ht="30" hidden="false" customHeight="true" outlineLevel="0" collapsed="false">
      <c r="B5" s="23" t="n">
        <f aca="false">COUNT(Einheiten!$I$4:$I$63)</f>
        <v>17</v>
      </c>
      <c r="C5" s="23"/>
      <c r="E5" s="23" t="n">
        <f aca="false">COUNTA(Log!$E$4:$E$1203)</f>
        <v>356</v>
      </c>
      <c r="F5" s="23"/>
      <c r="H5" s="23" t="n">
        <f aca="false">COUNTIF(Log!$E$4:$E$1203,"A")</f>
        <v>212</v>
      </c>
      <c r="I5" s="23"/>
    </row>
    <row r="7" customFormat="false" ht="15.75" hidden="false" customHeight="true" outlineLevel="0" collapsed="false">
      <c r="B7" s="22" t="s">
        <v>5</v>
      </c>
      <c r="C7" s="22"/>
      <c r="E7" s="22" t="s">
        <v>155</v>
      </c>
      <c r="F7" s="22"/>
      <c r="H7" s="22" t="s">
        <v>156</v>
      </c>
      <c r="I7" s="22"/>
    </row>
    <row r="8" customFormat="false" ht="30" hidden="false" customHeight="true" outlineLevel="0" collapsed="false">
      <c r="B8" s="24" t="n">
        <f aca="false">SUM(Log!$I$4:$I$1203)/1000</f>
        <v>269.295</v>
      </c>
      <c r="C8" s="24"/>
      <c r="E8" s="24" t="n">
        <f aca="false">SUMIF(Log!$E$4:$E$1203,"A",Log!$I$4:$I$1203)/1000</f>
        <v>249.4075</v>
      </c>
      <c r="F8" s="24"/>
      <c r="H8" s="23" t="n">
        <f aca="false">IFERROR(SUMIF(Log!$E$4:$E$1203,"A",Log!$I$4:$I$1203)/COUNT(Einheiten!$I$4:$I$63),"")</f>
        <v>14671.0294117647</v>
      </c>
      <c r="I8" s="23"/>
    </row>
    <row r="10" customFormat="false" ht="15.75" hidden="false" customHeight="true" outlineLevel="0" collapsed="false">
      <c r="B10" s="22" t="s">
        <v>157</v>
      </c>
      <c r="C10" s="22"/>
      <c r="E10" s="22" t="s">
        <v>158</v>
      </c>
      <c r="F10" s="22"/>
      <c r="H10" s="22" t="s">
        <v>159</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160</v>
      </c>
      <c r="C13" s="25"/>
      <c r="D13" s="25"/>
      <c r="E13" s="26"/>
      <c r="F13" s="26"/>
      <c r="G13" s="26"/>
      <c r="H13" s="26"/>
      <c r="I13" s="26"/>
      <c r="J13" s="27"/>
    </row>
    <row r="14" customFormat="false" ht="30" hidden="false" customHeight="true" outlineLevel="0" collapsed="false">
      <c r="B14" s="23" t="n">
        <f aca="false">'OP-Countdown'!$C$4</f>
        <v>3</v>
      </c>
      <c r="C14" s="23"/>
      <c r="E14" s="23" t="n">
        <f aca="false">'OP-Countdown'!$D$4</f>
        <v>1</v>
      </c>
      <c r="F14" s="23"/>
      <c r="H14" s="23" t="n">
        <f aca="false">SUMPRODUCT(('OP-Countdown'!$C$8:$C$27&lt;&gt;"")*(N('OP-Countdown'!$C$8:$C$27&gt;0))*('OP-Countdown'!$F$8:$F$27&lt;&gt;"ja"))</f>
        <v>16</v>
      </c>
      <c r="I14" s="23"/>
    </row>
    <row r="53" customFormat="false" ht="15" hidden="false" customHeight="false" outlineLevel="0" collapsed="false">
      <c r="B53" s="28" t="s">
        <v>161</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162</v>
      </c>
      <c r="B1" s="1"/>
      <c r="C1" s="1"/>
      <c r="D1" s="1"/>
      <c r="E1" s="1"/>
      <c r="F1" s="1"/>
      <c r="G1" s="1"/>
    </row>
    <row r="2" customFormat="false" ht="15" hidden="false" customHeight="true" outlineLevel="0" collapsed="false">
      <c r="A2" s="2" t="s">
        <v>163</v>
      </c>
      <c r="B2" s="2"/>
      <c r="C2" s="2"/>
      <c r="D2" s="2"/>
      <c r="E2" s="2"/>
      <c r="F2" s="2"/>
      <c r="G2" s="2"/>
    </row>
    <row r="3" customFormat="false" ht="15" hidden="false" customHeight="false" outlineLevel="0" collapsed="false">
      <c r="C3" s="29" t="s">
        <v>164</v>
      </c>
      <c r="D3" s="29" t="s">
        <v>165</v>
      </c>
    </row>
    <row r="4" customFormat="false" ht="30" hidden="false" customHeight="true" outlineLevel="0" collapsed="false">
      <c r="A4" s="30" t="s">
        <v>166</v>
      </c>
      <c r="B4" s="31" t="n">
        <v>46295</v>
      </c>
      <c r="C4" s="32" t="n">
        <f aca="true">IF($B$4="","",$B$4-TODAY())</f>
        <v>3</v>
      </c>
      <c r="D4" s="32" t="n">
        <f aca="true">IF($B$4="","",ROUNDUP(($B$4-TODAY())/7,0))</f>
        <v>1</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Letzte Woche: Organisation abschliessen, Baseline messen, letzte schwere Einheit 2 bis 3 Tage vor der OP.</v>
      </c>
      <c r="F4" s="33"/>
      <c r="G4" s="33"/>
    </row>
    <row r="6" customFormat="false" ht="19.5" hidden="false" customHeight="true" outlineLevel="0" collapsed="false">
      <c r="A6" s="3" t="s">
        <v>167</v>
      </c>
      <c r="B6" s="3"/>
      <c r="C6" s="3"/>
      <c r="D6" s="3"/>
      <c r="E6" s="3"/>
      <c r="F6" s="3"/>
      <c r="G6" s="3"/>
    </row>
    <row r="7" customFormat="false" ht="30" hidden="false" customHeight="true" outlineLevel="0" collapsed="false">
      <c r="A7" s="13" t="s">
        <v>168</v>
      </c>
      <c r="B7" s="13" t="s">
        <v>169</v>
      </c>
      <c r="C7" s="13" t="s">
        <v>170</v>
      </c>
      <c r="D7" s="13" t="s">
        <v>171</v>
      </c>
      <c r="E7" s="13" t="s">
        <v>172</v>
      </c>
      <c r="F7" s="13" t="s">
        <v>173</v>
      </c>
      <c r="G7" s="13" t="s">
        <v>174</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Rumänisches Kreuzheben KH</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Beinpresse breit</v>
      </c>
      <c r="B15" s="41" t="n">
        <f aca="false">IF(OR(Übungen!$A11="",Übungen!$L11="nein"),"",Übungen!$M11)</f>
        <v>6</v>
      </c>
      <c r="C15" s="41" t="n">
        <f aca="false">IF($B15="","",MAX(0,$B15-1))</f>
        <v>5</v>
      </c>
      <c r="D15" s="42" t="n">
        <f aca="false">IF(OR($B15="",$B$4=""),"",$B$4+($B15-1)*7)</f>
        <v>46330</v>
      </c>
      <c r="E15" s="9" t="str">
        <f aca="false">IF($A15="","",IF($C15&lt;=0,"kein Ausfall, läuft durch",Übungen!$O11))</f>
        <v>Beinstrecker und Beinbeuger sitzend, beide ab Woche 2 frei</v>
      </c>
      <c r="F15" s="38"/>
      <c r="G15" s="39"/>
    </row>
    <row r="16" customFormat="false" ht="27.75" hidden="false" customHeight="true" outlineLevel="0" collapsed="false">
      <c r="A16" s="34" t="str">
        <f aca="false">IF(OR(Übungen!$A12="",Übungen!$L12="nein"),"",Übungen!$A12)</f>
        <v>Hip Thrust</v>
      </c>
      <c r="B16" s="35" t="n">
        <f aca="false">IF(OR(Übungen!$A12="",Übungen!$L12="nein"),"",Übungen!$M12)</f>
        <v>12</v>
      </c>
      <c r="C16" s="35" t="n">
        <f aca="false">IF($B16="","",MAX(0,$B16-1))</f>
        <v>11</v>
      </c>
      <c r="D16" s="36" t="n">
        <f aca="false">IF(OR($B16="",$B$4=""),"",$B$4+($B16-1)*7)</f>
        <v>46372</v>
      </c>
      <c r="E16" s="37" t="str">
        <f aca="false">IF($A16="","",IF($C16&lt;=0,"kein Ausfall, läuft durch",Übungen!$O12))</f>
        <v>Hip &amp; Glute Maschine ab Woche 6</v>
      </c>
      <c r="F16" s="38"/>
      <c r="G16" s="39"/>
    </row>
    <row r="17" customFormat="false" ht="27.75" hidden="false" customHeight="true" outlineLevel="0" collapsed="false">
      <c r="A17" s="40" t="str">
        <f aca="false">IF(OR(Übungen!$A13="",Übungen!$L13="nein"),"",Übungen!$A13)</f>
        <v>Hip &amp; Glute</v>
      </c>
      <c r="B17" s="41" t="n">
        <f aca="false">IF(OR(Übungen!$A13="",Übungen!$L13="nein"),"",Übungen!$M13)</f>
        <v>6</v>
      </c>
      <c r="C17" s="41" t="n">
        <f aca="false">IF($B17="","",MAX(0,$B17-1))</f>
        <v>5</v>
      </c>
      <c r="D17" s="42" t="n">
        <f aca="false">IF(OR($B17="",$B$4=""),"",$B$4+($B17-1)*7)</f>
        <v>46330</v>
      </c>
      <c r="E17" s="9" t="str">
        <f aca="false">IF($A17="","",IF($C17&lt;=0,"kein Ausfall, läuft durch",Übungen!$O13))</f>
        <v>Beinbeuger sitzend, ab Woche 2 frei</v>
      </c>
      <c r="F17" s="38"/>
      <c r="G17" s="39"/>
    </row>
    <row r="18" customFormat="false" ht="27.75" hidden="false" customHeight="true" outlineLevel="0" collapsed="false">
      <c r="A18" s="34" t="str">
        <f aca="false">IF(OR(Übungen!$A14="",Übungen!$L14="nein"),"",Übungen!$A14)</f>
        <v>Beinbeuger</v>
      </c>
      <c r="B18" s="35" t="n">
        <f aca="false">IF(OR(Übungen!$A14="",Übungen!$L14="nein"),"",Übungen!$M14)</f>
        <v>2</v>
      </c>
      <c r="C18" s="35" t="n">
        <f aca="false">IF($B18="","",MAX(0,$B18-1))</f>
        <v>1</v>
      </c>
      <c r="D18" s="36" t="n">
        <f aca="false">IF(OR($B18="",$B$4=""),"",$B$4+($B18-1)*7)</f>
        <v>46302</v>
      </c>
      <c r="E18" s="37" t="str">
        <f aca="false">IF($A18="","",IF($C18&lt;=0,"kein Ausfall, läuft durch",Übungen!$O14))</f>
        <v>keiner, ab Freigabe der Wunde nutzbar</v>
      </c>
      <c r="F18" s="38"/>
      <c r="G18" s="39"/>
    </row>
    <row r="19" customFormat="false" ht="27.75" hidden="false" customHeight="true" outlineLevel="0" collapsed="false">
      <c r="A19" s="40" t="str">
        <f aca="false">IF(OR(Übungen!$A15="",Übungen!$L15="nein"),"",Übungen!$A15)</f>
        <v>Seitliche Kickbacks</v>
      </c>
      <c r="B19" s="41" t="n">
        <f aca="false">IF(OR(Übungen!$A15="",Übungen!$L15="nein"),"",Übungen!$M15)</f>
        <v>6</v>
      </c>
      <c r="C19" s="41" t="n">
        <f aca="false">IF($B19="","",MAX(0,$B19-1))</f>
        <v>5</v>
      </c>
      <c r="D19" s="42" t="n">
        <f aca="false">IF(OR($B19="",$B$4=""),"",$B$4+($B19-1)*7)</f>
        <v>46330</v>
      </c>
      <c r="E19" s="9" t="str">
        <f aca="false">IF($A19="","",IF($C19&lt;=0,"kein Ausfall, läuft durch",Übungen!$O15))</f>
        <v>Abduktion an der Maschine im Sitzen</v>
      </c>
      <c r="F19" s="38"/>
      <c r="G19" s="39"/>
    </row>
    <row r="20" customFormat="false" ht="27.75" hidden="false" customHeight="true" outlineLevel="0" collapsed="false">
      <c r="A20" s="34" t="str">
        <f aca="false">IF(OR(Übungen!$A16="",Übungen!$L16="nein"),"",Übungen!$A16)</f>
        <v>Waden</v>
      </c>
      <c r="B20" s="35" t="n">
        <f aca="false">IF(OR(Übungen!$A16="",Übungen!$L16="nein"),"",Übungen!$M16)</f>
        <v>2</v>
      </c>
      <c r="C20" s="35" t="n">
        <f aca="false">IF($B20="","",MAX(0,$B20-1))</f>
        <v>1</v>
      </c>
      <c r="D20" s="36" t="n">
        <f aca="false">IF(OR($B20="",$B$4=""),"",$B$4+($B20-1)*7)</f>
        <v>46302</v>
      </c>
      <c r="E20" s="37" t="str">
        <f aca="false">IF($A20="","",IF($C20&lt;=0,"kein Ausfall, läuft durch",Übungen!$O16))</f>
        <v>Wadenmaschine sitzend</v>
      </c>
      <c r="F20" s="38"/>
      <c r="G20" s="39"/>
    </row>
    <row r="21" customFormat="false" ht="27.75" hidden="false" customHeight="true" outlineLevel="0" collapsed="false">
      <c r="A21" s="40" t="str">
        <f aca="false">IF(OR(Übungen!$A17="",Übungen!$L17="nein"),"",Übungen!$A17)</f>
        <v>Squat Maschine Bülach</v>
      </c>
      <c r="B21" s="41" t="n">
        <f aca="false">IF(OR(Übungen!$A17="",Übungen!$L17="nein"),"",Übungen!$M17)</f>
        <v>12</v>
      </c>
      <c r="C21" s="41" t="n">
        <f aca="false">IF($B21="","",MAX(0,$B21-1))</f>
        <v>11</v>
      </c>
      <c r="D21" s="42" t="n">
        <f aca="false">IF(OR($B21="",$B$4=""),"",$B$4+($B21-1)*7)</f>
        <v>46372</v>
      </c>
      <c r="E21" s="9" t="str">
        <f aca="false">IF($A21="","",IF($C21&lt;=0,"kein Ausfall, läuft durch",Übungen!$O17))</f>
        <v>Beinpresse enger Stand ab Woche 6</v>
      </c>
      <c r="F21" s="38"/>
      <c r="G21" s="39"/>
    </row>
    <row r="22" customFormat="false" ht="27.75" hidden="false" customHeight="true" outlineLevel="0" collapsed="false">
      <c r="A22" s="34" t="str">
        <f aca="false">IF(OR(Übungen!$A18="",Übungen!$L18="nein"),"",Übungen!$A18)</f>
        <v>Hip Thrust Bülach</v>
      </c>
      <c r="B22" s="35" t="n">
        <f aca="false">IF(OR(Übungen!$A18="",Übungen!$L18="nein"),"",Übungen!$M18)</f>
        <v>12</v>
      </c>
      <c r="C22" s="35" t="n">
        <f aca="false">IF($B22="","",MAX(0,$B22-1))</f>
        <v>11</v>
      </c>
      <c r="D22" s="36" t="n">
        <f aca="false">IF(OR($B22="",$B$4=""),"",$B$4+($B22-1)*7)</f>
        <v>46372</v>
      </c>
      <c r="E22" s="37" t="str">
        <f aca="false">IF($A22="","",IF($C22&lt;=0,"kein Ausfall, läuft durch",Übungen!$O18))</f>
        <v>Hip &amp; Glute Maschine ab Woche 6</v>
      </c>
      <c r="F22" s="38"/>
      <c r="G22" s="39"/>
    </row>
    <row r="23" customFormat="false" ht="27.75" hidden="false" customHeight="true" outlineLevel="0" collapsed="false">
      <c r="A23" s="40" t="str">
        <f aca="false">IF(OR(Übungen!$A19="",Übungen!$L19="nein"),"",Übungen!$A19)</f>
        <v>Beinbeuger Bülach</v>
      </c>
      <c r="B23" s="41" t="n">
        <f aca="false">IF(OR(Übungen!$A19="",Übungen!$L19="nein"),"",Übungen!$M19)</f>
        <v>2</v>
      </c>
      <c r="C23" s="41" t="n">
        <f aca="false">IF($B23="","",MAX(0,$B23-1))</f>
        <v>1</v>
      </c>
      <c r="D23" s="42" t="n">
        <f aca="false">IF(OR($B23="",$B$4=""),"",$B$4+($B23-1)*7)</f>
        <v>46302</v>
      </c>
      <c r="E23" s="9" t="str">
        <f aca="false">IF($A23="","",IF($C23&lt;=0,"kein Ausfall, läuft durch",Übungen!$O19))</f>
        <v>keiner, ab Freigabe der Wunde nutzbar</v>
      </c>
      <c r="F23" s="38"/>
      <c r="G23" s="39"/>
    </row>
    <row r="24" customFormat="false" ht="27.75" hidden="false" customHeight="true" outlineLevel="0" collapsed="false">
      <c r="A24" s="34" t="str">
        <f aca="false">IF(OR(Übungen!$A20="",Übungen!$L20="nein"),"",Übungen!$A20)</f>
        <v/>
      </c>
      <c r="B24" s="35" t="str">
        <f aca="false">IF(OR(Übungen!$A20="",Übungen!$L20="nein"),"",Übungen!$M20)</f>
        <v/>
      </c>
      <c r="C24" s="35" t="str">
        <f aca="false">IF($B24="","",MAX(0,$B24-1))</f>
        <v/>
      </c>
      <c r="D24" s="36" t="str">
        <f aca="false">IF(OR($B24="",$B$4=""),"",$B$4+($B24-1)*7)</f>
        <v/>
      </c>
      <c r="E24" s="37" t="str">
        <f aca="false">IF($A24="","",IF($C24&lt;=0,"kein Ausfall, läuft durch",Übungen!$O20))</f>
        <v/>
      </c>
      <c r="F24" s="38"/>
      <c r="G24" s="39"/>
    </row>
    <row r="25" customFormat="false" ht="27.75" hidden="false" customHeight="true" outlineLevel="0" collapsed="false">
      <c r="A25" s="40" t="str">
        <f aca="false">IF(OR(Übungen!$A21="",Übungen!$L21="nein"),"",Übungen!$A21)</f>
        <v/>
      </c>
      <c r="B25" s="41" t="str">
        <f aca="false">IF(OR(Übungen!$A21="",Übungen!$L21="nein"),"",Übungen!$M21)</f>
        <v/>
      </c>
      <c r="C25" s="41" t="str">
        <f aca="false">IF($B25="","",MAX(0,$B25-1))</f>
        <v/>
      </c>
      <c r="D25" s="42" t="str">
        <f aca="false">IF(OR($B25="",$B$4=""),"",$B$4+($B25-1)*7)</f>
        <v/>
      </c>
      <c r="E25" s="9" t="str">
        <f aca="false">IF($A25="","",IF($C25&lt;=0,"kein Ausfall, läuft durch",Übungen!$O21))</f>
        <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9" customFormat="false" ht="39.75" hidden="false" customHeight="true" outlineLevel="0" collapsed="false">
      <c r="A29" s="43" t="s">
        <v>175</v>
      </c>
      <c r="B29" s="43"/>
      <c r="C29" s="43"/>
      <c r="D29" s="43"/>
      <c r="E29" s="43"/>
      <c r="F29" s="43"/>
      <c r="G29" s="43"/>
    </row>
    <row r="31" customFormat="false" ht="19.5" hidden="false" customHeight="true" outlineLevel="0" collapsed="false">
      <c r="A31" s="3" t="s">
        <v>176</v>
      </c>
      <c r="B31" s="3"/>
      <c r="C31" s="3"/>
      <c r="D31" s="3"/>
      <c r="E31" s="3"/>
      <c r="F31" s="3"/>
      <c r="G31" s="3"/>
    </row>
    <row r="32" customFormat="false" ht="30" hidden="false" customHeight="true" outlineLevel="0" collapsed="false">
      <c r="A32" s="19" t="s">
        <v>177</v>
      </c>
      <c r="B32" s="9" t="s">
        <v>178</v>
      </c>
      <c r="C32" s="9"/>
      <c r="D32" s="9"/>
      <c r="E32" s="9"/>
      <c r="F32" s="9"/>
      <c r="G32" s="9"/>
    </row>
    <row r="33" customFormat="false" ht="30" hidden="false" customHeight="true" outlineLevel="0" collapsed="false">
      <c r="A33" s="19" t="s">
        <v>179</v>
      </c>
      <c r="B33" s="9" t="s">
        <v>180</v>
      </c>
      <c r="C33" s="9"/>
      <c r="D33" s="9"/>
      <c r="E33" s="9"/>
      <c r="F33" s="9"/>
      <c r="G33" s="9"/>
    </row>
    <row r="34" customFormat="false" ht="30" hidden="false" customHeight="true" outlineLevel="0" collapsed="false">
      <c r="A34" s="19" t="s">
        <v>181</v>
      </c>
      <c r="B34" s="9" t="s">
        <v>182</v>
      </c>
      <c r="C34" s="9"/>
      <c r="D34" s="9"/>
      <c r="E34" s="9"/>
      <c r="F34" s="9"/>
      <c r="G34" s="9"/>
    </row>
    <row r="35" customFormat="false" ht="30" hidden="false" customHeight="true" outlineLevel="0" collapsed="false">
      <c r="A35" s="19" t="s">
        <v>183</v>
      </c>
      <c r="B35" s="9" t="s">
        <v>184</v>
      </c>
      <c r="C35" s="9"/>
      <c r="D35" s="9"/>
      <c r="E35" s="9"/>
      <c r="F35" s="9"/>
      <c r="G35" s="9"/>
    </row>
    <row r="37" customFormat="false" ht="30" hidden="false" customHeight="true" outlineLevel="0" collapsed="false">
      <c r="A37" s="21" t="s">
        <v>185</v>
      </c>
      <c r="B37" s="21"/>
      <c r="C37" s="21"/>
      <c r="D37" s="21"/>
      <c r="E37" s="21"/>
      <c r="F37" s="21"/>
      <c r="G37" s="21"/>
    </row>
  </sheetData>
  <mergeCells count="11">
    <mergeCell ref="A1:G1"/>
    <mergeCell ref="A2:G2"/>
    <mergeCell ref="E4:G4"/>
    <mergeCell ref="A6:G6"/>
    <mergeCell ref="A29:G29"/>
    <mergeCell ref="A31:G31"/>
    <mergeCell ref="B32:G32"/>
    <mergeCell ref="B33:G33"/>
    <mergeCell ref="B34:G34"/>
    <mergeCell ref="B35:G35"/>
    <mergeCell ref="A37:G37"/>
  </mergeCells>
  <conditionalFormatting sqref="A8:G27">
    <cfRule type="expression" priority="2" aboveAverage="0" equalAverage="0" bottom="0" percent="0" rank="0" text="" dxfId="0">
      <formula>AND($C8&lt;&gt;"",$C8&gt;=4)</formula>
    </cfRule>
  </conditionalFormatting>
  <conditionalFormatting sqref="F8:F27">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7"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186</v>
      </c>
      <c r="C1" s="1"/>
      <c r="D1" s="1"/>
      <c r="E1" s="1"/>
    </row>
    <row r="2" customFormat="false" ht="15" hidden="false" customHeight="true" outlineLevel="0" collapsed="false">
      <c r="B2" s="2" t="s">
        <v>187</v>
      </c>
      <c r="C2" s="2"/>
      <c r="D2" s="2"/>
      <c r="E2" s="2"/>
    </row>
    <row r="4" customFormat="false" ht="19.5" hidden="false" customHeight="true" outlineLevel="0" collapsed="false">
      <c r="B4" s="3" t="s">
        <v>188</v>
      </c>
      <c r="C4" s="3"/>
      <c r="D4" s="3"/>
      <c r="E4" s="3"/>
    </row>
    <row r="5" customFormat="false" ht="13.5" hidden="false" customHeight="true" outlineLevel="0" collapsed="false">
      <c r="B5" s="44" t="s">
        <v>189</v>
      </c>
      <c r="C5" s="44" t="s">
        <v>190</v>
      </c>
      <c r="D5" s="44" t="s">
        <v>191</v>
      </c>
      <c r="E5" s="44" t="s">
        <v>192</v>
      </c>
    </row>
    <row r="6" customFormat="false" ht="30" hidden="false" customHeight="true" outlineLevel="0" collapsed="false">
      <c r="B6" s="9" t="s">
        <v>193</v>
      </c>
      <c r="C6" s="38"/>
      <c r="D6" s="45"/>
      <c r="E6" s="46"/>
    </row>
    <row r="7" customFormat="false" ht="30" hidden="false" customHeight="true" outlineLevel="0" collapsed="false">
      <c r="B7" s="9" t="s">
        <v>194</v>
      </c>
      <c r="C7" s="38"/>
      <c r="D7" s="45"/>
      <c r="E7" s="46"/>
    </row>
    <row r="8" customFormat="false" ht="19.5" hidden="false" customHeight="true" outlineLevel="0" collapsed="false">
      <c r="B8" s="9" t="s">
        <v>195</v>
      </c>
      <c r="C8" s="38"/>
      <c r="D8" s="45"/>
      <c r="E8" s="46"/>
    </row>
    <row r="9" customFormat="false" ht="30" hidden="false" customHeight="true" outlineLevel="0" collapsed="false">
      <c r="B9" s="9" t="s">
        <v>196</v>
      </c>
      <c r="C9" s="38"/>
      <c r="D9" s="45"/>
      <c r="E9" s="46"/>
    </row>
    <row r="10" customFormat="false" ht="30" hidden="false" customHeight="true" outlineLevel="0" collapsed="false">
      <c r="B10" s="9" t="s">
        <v>197</v>
      </c>
      <c r="C10" s="38"/>
      <c r="D10" s="45"/>
      <c r="E10" s="46"/>
    </row>
    <row r="11" customFormat="false" ht="30" hidden="false" customHeight="true" outlineLevel="0" collapsed="false">
      <c r="B11" s="9" t="s">
        <v>198</v>
      </c>
      <c r="C11" s="38"/>
      <c r="D11" s="45"/>
      <c r="E11" s="46"/>
    </row>
    <row r="12" customFormat="false" ht="30" hidden="false" customHeight="true" outlineLevel="0" collapsed="false">
      <c r="B12" s="9" t="s">
        <v>199</v>
      </c>
      <c r="C12" s="38"/>
      <c r="D12" s="45"/>
      <c r="E12" s="46"/>
    </row>
    <row r="13" customFormat="false" ht="30" hidden="false" customHeight="true" outlineLevel="0" collapsed="false">
      <c r="B13" s="9" t="s">
        <v>200</v>
      </c>
      <c r="C13" s="38"/>
      <c r="D13" s="45"/>
      <c r="E13" s="46"/>
    </row>
    <row r="14" customFormat="false" ht="30" hidden="false" customHeight="true" outlineLevel="0" collapsed="false">
      <c r="B14" s="9" t="s">
        <v>201</v>
      </c>
      <c r="C14" s="38"/>
      <c r="D14" s="45"/>
      <c r="E14" s="46"/>
    </row>
    <row r="15" customFormat="false" ht="19.5" hidden="false" customHeight="true" outlineLevel="0" collapsed="false">
      <c r="B15" s="9" t="s">
        <v>202</v>
      </c>
      <c r="C15" s="38"/>
      <c r="D15" s="45"/>
      <c r="E15" s="46"/>
    </row>
    <row r="16" customFormat="false" ht="19.5" hidden="false" customHeight="true" outlineLevel="0" collapsed="false">
      <c r="B16" s="9" t="s">
        <v>203</v>
      </c>
      <c r="C16" s="38"/>
      <c r="D16" s="45"/>
      <c r="E16" s="46"/>
    </row>
    <row r="17" customFormat="false" ht="42" hidden="false" customHeight="true" outlineLevel="0" collapsed="false">
      <c r="B17" s="9" t="s">
        <v>204</v>
      </c>
      <c r="C17" s="38"/>
      <c r="D17" s="45"/>
      <c r="E17" s="46"/>
    </row>
    <row r="18" customFormat="false" ht="30" hidden="false" customHeight="true" outlineLevel="0" collapsed="false">
      <c r="B18" s="9" t="s">
        <v>205</v>
      </c>
      <c r="C18" s="38"/>
      <c r="D18" s="45"/>
      <c r="E18" s="46"/>
    </row>
    <row r="20" customFormat="false" ht="19.5" hidden="false" customHeight="true" outlineLevel="0" collapsed="false">
      <c r="B20" s="3" t="s">
        <v>206</v>
      </c>
      <c r="C20" s="3"/>
      <c r="D20" s="3"/>
      <c r="E20" s="3"/>
    </row>
    <row r="21" customFormat="false" ht="13.5" hidden="false" customHeight="true" outlineLevel="0" collapsed="false">
      <c r="B21" s="44" t="s">
        <v>189</v>
      </c>
      <c r="C21" s="44" t="s">
        <v>190</v>
      </c>
      <c r="D21" s="44" t="s">
        <v>191</v>
      </c>
      <c r="E21" s="44" t="s">
        <v>192</v>
      </c>
    </row>
    <row r="22" customFormat="false" ht="19.5" hidden="false" customHeight="true" outlineLevel="0" collapsed="false">
      <c r="B22" s="9" t="s">
        <v>207</v>
      </c>
      <c r="C22" s="38"/>
      <c r="D22" s="45"/>
      <c r="E22" s="46"/>
    </row>
    <row r="23" customFormat="false" ht="19.5" hidden="false" customHeight="true" outlineLevel="0" collapsed="false">
      <c r="B23" s="9" t="s">
        <v>208</v>
      </c>
      <c r="C23" s="38"/>
      <c r="D23" s="45"/>
      <c r="E23" s="46"/>
    </row>
    <row r="24" customFormat="false" ht="19.5" hidden="false" customHeight="true" outlineLevel="0" collapsed="false">
      <c r="B24" s="9" t="s">
        <v>209</v>
      </c>
      <c r="C24" s="38"/>
      <c r="D24" s="45"/>
      <c r="E24" s="46"/>
    </row>
    <row r="25" customFormat="false" ht="42" hidden="false" customHeight="true" outlineLevel="0" collapsed="false">
      <c r="B25" s="9" t="s">
        <v>210</v>
      </c>
      <c r="C25" s="38"/>
      <c r="D25" s="45"/>
      <c r="E25" s="46"/>
    </row>
    <row r="26" customFormat="false" ht="42" hidden="false" customHeight="true" outlineLevel="0" collapsed="false">
      <c r="B26" s="9" t="s">
        <v>211</v>
      </c>
      <c r="C26" s="38"/>
      <c r="D26" s="45"/>
      <c r="E26" s="46"/>
    </row>
    <row r="27" customFormat="false" ht="30" hidden="false" customHeight="true" outlineLevel="0" collapsed="false">
      <c r="B27" s="9" t="s">
        <v>212</v>
      </c>
      <c r="C27" s="38"/>
      <c r="D27" s="45"/>
      <c r="E27" s="46"/>
    </row>
    <row r="28" customFormat="false" ht="19.5" hidden="false" customHeight="true" outlineLevel="0" collapsed="false">
      <c r="B28" s="9" t="s">
        <v>213</v>
      </c>
      <c r="C28" s="38"/>
      <c r="D28" s="45"/>
      <c r="E28" s="46"/>
    </row>
    <row r="29" customFormat="false" ht="19.5" hidden="false" customHeight="true" outlineLevel="0" collapsed="false">
      <c r="B29" s="9" t="s">
        <v>214</v>
      </c>
      <c r="C29" s="38"/>
      <c r="D29" s="45"/>
      <c r="E29" s="46"/>
    </row>
    <row r="30" customFormat="false" ht="19.5" hidden="false" customHeight="true" outlineLevel="0" collapsed="false">
      <c r="B30" s="9" t="s">
        <v>215</v>
      </c>
      <c r="C30" s="38"/>
      <c r="D30" s="45"/>
      <c r="E30" s="46"/>
    </row>
    <row r="32" customFormat="false" ht="19.5" hidden="false" customHeight="true" outlineLevel="0" collapsed="false">
      <c r="B32" s="3" t="s">
        <v>216</v>
      </c>
      <c r="C32" s="3"/>
      <c r="D32" s="3"/>
      <c r="E32" s="3"/>
    </row>
    <row r="33" customFormat="false" ht="13.5" hidden="false" customHeight="true" outlineLevel="0" collapsed="false">
      <c r="B33" s="44" t="s">
        <v>189</v>
      </c>
      <c r="C33" s="44" t="s">
        <v>190</v>
      </c>
      <c r="D33" s="44" t="s">
        <v>191</v>
      </c>
      <c r="E33" s="44" t="s">
        <v>192</v>
      </c>
    </row>
    <row r="34" customFormat="false" ht="30" hidden="false" customHeight="true" outlineLevel="0" collapsed="false">
      <c r="B34" s="9" t="s">
        <v>217</v>
      </c>
      <c r="C34" s="38"/>
      <c r="D34" s="45"/>
      <c r="E34" s="46"/>
    </row>
    <row r="35" customFormat="false" ht="42" hidden="false" customHeight="true" outlineLevel="0" collapsed="false">
      <c r="B35" s="9" t="s">
        <v>218</v>
      </c>
      <c r="C35" s="38"/>
      <c r="D35" s="45"/>
      <c r="E35" s="46"/>
    </row>
    <row r="36" customFormat="false" ht="30" hidden="false" customHeight="true" outlineLevel="0" collapsed="false">
      <c r="B36" s="9" t="s">
        <v>219</v>
      </c>
      <c r="C36" s="38"/>
      <c r="D36" s="45"/>
      <c r="E36" s="46"/>
    </row>
    <row r="37" customFormat="false" ht="30" hidden="false" customHeight="true" outlineLevel="0" collapsed="false">
      <c r="B37" s="9" t="s">
        <v>220</v>
      </c>
      <c r="C37" s="38"/>
      <c r="D37" s="45"/>
      <c r="E37" s="46"/>
    </row>
    <row r="38" customFormat="false" ht="30" hidden="false" customHeight="true" outlineLevel="0" collapsed="false">
      <c r="B38" s="9" t="s">
        <v>221</v>
      </c>
      <c r="C38" s="38"/>
      <c r="D38" s="45"/>
      <c r="E38" s="46"/>
    </row>
    <row r="39" customFormat="false" ht="30" hidden="false" customHeight="true" outlineLevel="0" collapsed="false">
      <c r="B39" s="9" t="s">
        <v>222</v>
      </c>
      <c r="C39" s="38"/>
      <c r="D39" s="45"/>
      <c r="E39" s="46"/>
    </row>
    <row r="41" customFormat="false" ht="19.5" hidden="false" customHeight="true" outlineLevel="0" collapsed="false">
      <c r="B41" s="3" t="s">
        <v>223</v>
      </c>
      <c r="C41" s="3"/>
      <c r="D41" s="3"/>
      <c r="E41" s="3"/>
    </row>
    <row r="42" customFormat="false" ht="13.5" hidden="false" customHeight="true" outlineLevel="0" collapsed="false">
      <c r="B42" s="44" t="s">
        <v>189</v>
      </c>
      <c r="C42" s="44" t="s">
        <v>190</v>
      </c>
      <c r="D42" s="44" t="s">
        <v>191</v>
      </c>
      <c r="E42" s="44" t="s">
        <v>192</v>
      </c>
    </row>
    <row r="43" customFormat="false" ht="30" hidden="false" customHeight="true" outlineLevel="0" collapsed="false">
      <c r="B43" s="9" t="s">
        <v>224</v>
      </c>
      <c r="C43" s="38"/>
      <c r="D43" s="45"/>
      <c r="E43" s="46"/>
    </row>
    <row r="44" customFormat="false" ht="30" hidden="false" customHeight="true" outlineLevel="0" collapsed="false">
      <c r="B44" s="9" t="s">
        <v>225</v>
      </c>
      <c r="C44" s="38"/>
      <c r="D44" s="45"/>
      <c r="E44" s="46"/>
    </row>
    <row r="45" customFormat="false" ht="30" hidden="false" customHeight="true" outlineLevel="0" collapsed="false">
      <c r="B45" s="9" t="s">
        <v>226</v>
      </c>
      <c r="C45" s="38"/>
      <c r="D45" s="45"/>
      <c r="E45" s="46"/>
    </row>
    <row r="46" customFormat="false" ht="19.5" hidden="false" customHeight="true" outlineLevel="0" collapsed="false">
      <c r="B46" s="9" t="s">
        <v>227</v>
      </c>
      <c r="C46" s="38"/>
      <c r="D46" s="45"/>
      <c r="E46" s="46"/>
    </row>
    <row r="48" customFormat="false" ht="15" hidden="false" customHeight="false" outlineLevel="0" collapsed="false">
      <c r="B48" s="30" t="s">
        <v>228</v>
      </c>
      <c r="C48" s="47" t="n">
        <f aca="false">32-(COUNTIF($C$6:$C$18,"ja")+COUNTIF($C$22:$C$30,"ja")+COUNTIF($C$34:$C$39,"ja")+COUNTIF($C$43:$C$46,"ja"))</f>
        <v>32</v>
      </c>
      <c r="D48" s="48" t="s">
        <v>229</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230</v>
      </c>
      <c r="B1" s="1"/>
      <c r="C1" s="1"/>
      <c r="D1" s="1"/>
      <c r="E1" s="1"/>
      <c r="F1" s="1"/>
      <c r="G1" s="1"/>
      <c r="H1" s="1"/>
      <c r="I1" s="1"/>
      <c r="J1" s="1"/>
    </row>
    <row r="2" customFormat="false" ht="15" hidden="false" customHeight="true" outlineLevel="0" collapsed="false">
      <c r="A2" s="2" t="s">
        <v>231</v>
      </c>
      <c r="B2" s="2"/>
      <c r="C2" s="2"/>
      <c r="D2" s="2"/>
      <c r="E2" s="2"/>
      <c r="F2" s="2"/>
      <c r="G2" s="2"/>
      <c r="H2" s="2"/>
      <c r="I2" s="2"/>
      <c r="J2" s="2"/>
    </row>
    <row r="3" customFormat="false" ht="19.5" hidden="false" customHeight="true" outlineLevel="0" collapsed="false">
      <c r="A3" s="3" t="s">
        <v>232</v>
      </c>
      <c r="B3" s="3"/>
      <c r="C3" s="3"/>
      <c r="D3" s="3"/>
      <c r="E3" s="3"/>
      <c r="F3" s="3"/>
      <c r="G3" s="3"/>
      <c r="H3" s="3"/>
      <c r="I3" s="3"/>
      <c r="J3" s="3"/>
    </row>
    <row r="4" customFormat="false" ht="18" hidden="false" customHeight="true" outlineLevel="0" collapsed="false">
      <c r="A4" s="13" t="s">
        <v>233</v>
      </c>
      <c r="B4" s="13"/>
      <c r="C4" s="13" t="s">
        <v>234</v>
      </c>
      <c r="D4" s="13" t="s">
        <v>235</v>
      </c>
      <c r="E4" s="13" t="s">
        <v>236</v>
      </c>
    </row>
    <row r="5" customFormat="false" ht="18" hidden="false" customHeight="true" outlineLevel="0" collapsed="false">
      <c r="A5" s="14" t="s">
        <v>237</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238</v>
      </c>
      <c r="G5" s="37"/>
      <c r="H5" s="37"/>
      <c r="I5" s="37"/>
      <c r="J5" s="37"/>
    </row>
    <row r="6" customFormat="false" ht="18" hidden="false" customHeight="true" outlineLevel="0" collapsed="false">
      <c r="A6" s="14" t="s">
        <v>239</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240</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241</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242</v>
      </c>
      <c r="B10" s="3"/>
      <c r="C10" s="3"/>
      <c r="D10" s="3"/>
      <c r="E10" s="3"/>
      <c r="F10" s="3"/>
      <c r="G10" s="3"/>
      <c r="H10" s="3"/>
      <c r="I10" s="3"/>
      <c r="J10" s="3"/>
    </row>
    <row r="11" customFormat="false" ht="17.25" hidden="false" customHeight="true" outlineLevel="0" collapsed="false">
      <c r="A11" s="52" t="s">
        <v>243</v>
      </c>
      <c r="B11" s="52"/>
      <c r="C11" s="52"/>
      <c r="D11" s="52"/>
      <c r="E11" s="52"/>
      <c r="F11" s="52"/>
      <c r="G11" s="52"/>
      <c r="H11" s="52"/>
      <c r="I11" s="52"/>
      <c r="J11" s="52"/>
    </row>
    <row r="12" customFormat="false" ht="17.25" hidden="false" customHeight="true" outlineLevel="0" collapsed="false">
      <c r="A12" s="52" t="s">
        <v>244</v>
      </c>
      <c r="B12" s="52"/>
      <c r="C12" s="52"/>
      <c r="D12" s="52"/>
      <c r="E12" s="52"/>
      <c r="F12" s="52"/>
      <c r="G12" s="52"/>
      <c r="H12" s="52"/>
      <c r="I12" s="52"/>
      <c r="J12" s="52"/>
    </row>
    <row r="13" customFormat="false" ht="17.25" hidden="false" customHeight="true" outlineLevel="0" collapsed="false">
      <c r="A13" s="52" t="s">
        <v>245</v>
      </c>
      <c r="B13" s="52"/>
      <c r="C13" s="52"/>
      <c r="D13" s="52"/>
      <c r="E13" s="52"/>
      <c r="F13" s="52"/>
      <c r="G13" s="52"/>
      <c r="H13" s="52"/>
      <c r="I13" s="52"/>
      <c r="J13" s="52"/>
    </row>
    <row r="14" customFormat="false" ht="17.25" hidden="false" customHeight="true" outlineLevel="0" collapsed="false">
      <c r="A14" s="52" t="s">
        <v>246</v>
      </c>
      <c r="B14" s="52"/>
      <c r="C14" s="52"/>
      <c r="D14" s="52"/>
      <c r="E14" s="52"/>
      <c r="F14" s="52"/>
      <c r="G14" s="52"/>
      <c r="H14" s="52"/>
      <c r="I14" s="52"/>
      <c r="J14" s="52"/>
    </row>
    <row r="15" customFormat="false" ht="31.5" hidden="false" customHeight="true" outlineLevel="0" collapsed="false">
      <c r="A15" s="13" t="s">
        <v>73</v>
      </c>
      <c r="B15" s="13" t="s">
        <v>247</v>
      </c>
      <c r="C15" s="13" t="s">
        <v>248</v>
      </c>
      <c r="D15" s="13" t="s">
        <v>249</v>
      </c>
      <c r="E15" s="13" t="s">
        <v>250</v>
      </c>
      <c r="F15" s="13" t="s">
        <v>251</v>
      </c>
      <c r="G15" s="13" t="s">
        <v>252</v>
      </c>
      <c r="H15" s="13" t="s">
        <v>253</v>
      </c>
      <c r="I15" s="13" t="s">
        <v>254</v>
      </c>
      <c r="J15" s="13" t="s">
        <v>255</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256</v>
      </c>
      <c r="B1" s="1"/>
      <c r="C1" s="1"/>
      <c r="D1" s="1"/>
      <c r="E1" s="1"/>
      <c r="F1" s="1"/>
      <c r="G1" s="1"/>
    </row>
    <row r="2" customFormat="false" ht="25.5" hidden="false" customHeight="true" outlineLevel="0" collapsed="false">
      <c r="A2" s="57" t="s">
        <v>257</v>
      </c>
      <c r="B2" s="57"/>
      <c r="C2" s="57"/>
      <c r="D2" s="57"/>
      <c r="E2" s="57"/>
      <c r="F2" s="57"/>
      <c r="G2" s="57"/>
    </row>
    <row r="4" customFormat="false" ht="19.5" hidden="false" customHeight="true" outlineLevel="0" collapsed="false">
      <c r="A4" s="3" t="s">
        <v>258</v>
      </c>
      <c r="B4" s="3"/>
      <c r="C4" s="3"/>
      <c r="D4" s="3"/>
      <c r="E4" s="3"/>
      <c r="F4" s="3"/>
      <c r="G4" s="3"/>
    </row>
    <row r="5" customFormat="false" ht="18" hidden="false" customHeight="true" outlineLevel="0" collapsed="false">
      <c r="A5" s="19" t="s">
        <v>259</v>
      </c>
      <c r="B5" s="9" t="s">
        <v>260</v>
      </c>
      <c r="C5" s="9"/>
      <c r="D5" s="9"/>
      <c r="E5" s="9"/>
      <c r="F5" s="9"/>
      <c r="G5" s="9"/>
    </row>
    <row r="6" customFormat="false" ht="18" hidden="false" customHeight="true" outlineLevel="0" collapsed="false">
      <c r="A6" s="19" t="s">
        <v>261</v>
      </c>
      <c r="B6" s="9" t="s">
        <v>262</v>
      </c>
      <c r="C6" s="9"/>
      <c r="D6" s="9"/>
      <c r="E6" s="9"/>
      <c r="F6" s="9"/>
      <c r="G6" s="9"/>
    </row>
    <row r="7" customFormat="false" ht="18" hidden="false" customHeight="true" outlineLevel="0" collapsed="false">
      <c r="A7" s="19" t="s">
        <v>247</v>
      </c>
      <c r="B7" s="9" t="s">
        <v>263</v>
      </c>
      <c r="C7" s="9"/>
      <c r="D7" s="9"/>
      <c r="E7" s="9"/>
      <c r="F7" s="9"/>
      <c r="G7" s="9"/>
    </row>
    <row r="8" customFormat="false" ht="18" hidden="false" customHeight="true" outlineLevel="0" collapsed="false">
      <c r="A8" s="19" t="s">
        <v>264</v>
      </c>
      <c r="B8" s="9" t="s">
        <v>265</v>
      </c>
      <c r="C8" s="9"/>
      <c r="D8" s="9"/>
      <c r="E8" s="9"/>
      <c r="F8" s="9"/>
      <c r="G8" s="9"/>
    </row>
    <row r="9" customFormat="false" ht="18" hidden="false" customHeight="true" outlineLevel="0" collapsed="false">
      <c r="A9" s="19" t="s">
        <v>266</v>
      </c>
      <c r="B9" s="9" t="s">
        <v>267</v>
      </c>
      <c r="C9" s="9"/>
      <c r="D9" s="9"/>
      <c r="E9" s="9"/>
      <c r="F9" s="9"/>
      <c r="G9" s="9"/>
    </row>
    <row r="10" customFormat="false" ht="18" hidden="false" customHeight="true" outlineLevel="0" collapsed="false">
      <c r="A10" s="19" t="s">
        <v>268</v>
      </c>
      <c r="B10" s="9" t="s">
        <v>269</v>
      </c>
      <c r="C10" s="9"/>
      <c r="D10" s="9"/>
      <c r="E10" s="9"/>
      <c r="F10" s="9"/>
      <c r="G10" s="9"/>
    </row>
    <row r="11" customFormat="false" ht="18" hidden="false" customHeight="true" outlineLevel="0" collapsed="false">
      <c r="A11" s="19" t="s">
        <v>270</v>
      </c>
      <c r="B11" s="9" t="s">
        <v>271</v>
      </c>
      <c r="C11" s="9"/>
      <c r="D11" s="9"/>
      <c r="E11" s="9"/>
      <c r="F11" s="9"/>
      <c r="G11" s="9"/>
    </row>
    <row r="12" customFormat="false" ht="30" hidden="false" customHeight="true" outlineLevel="0" collapsed="false">
      <c r="A12" s="58" t="s">
        <v>272</v>
      </c>
      <c r="B12" s="58"/>
      <c r="C12" s="58"/>
      <c r="D12" s="58"/>
      <c r="E12" s="58"/>
      <c r="F12" s="58"/>
      <c r="G12" s="58"/>
    </row>
    <row r="14" customFormat="false" ht="19.5" hidden="false" customHeight="true" outlineLevel="0" collapsed="false">
      <c r="A14" s="3" t="s">
        <v>273</v>
      </c>
      <c r="B14" s="3"/>
      <c r="C14" s="3"/>
      <c r="D14" s="3"/>
      <c r="E14" s="3"/>
      <c r="F14" s="3"/>
      <c r="G14" s="3"/>
    </row>
    <row r="15" customFormat="false" ht="42" hidden="false" customHeight="true" outlineLevel="0" collapsed="false">
      <c r="A15" s="19" t="s">
        <v>274</v>
      </c>
      <c r="B15" s="9" t="s">
        <v>275</v>
      </c>
      <c r="C15" s="9"/>
      <c r="D15" s="9"/>
      <c r="E15" s="9"/>
      <c r="F15" s="9"/>
      <c r="G15" s="9"/>
    </row>
    <row r="16" customFormat="false" ht="42" hidden="false" customHeight="true" outlineLevel="0" collapsed="false">
      <c r="A16" s="19" t="s">
        <v>276</v>
      </c>
      <c r="B16" s="9" t="s">
        <v>277</v>
      </c>
      <c r="C16" s="9"/>
      <c r="D16" s="9"/>
      <c r="E16" s="9"/>
      <c r="F16" s="9"/>
      <c r="G16" s="9"/>
    </row>
    <row r="17" customFormat="false" ht="30" hidden="false" customHeight="true" outlineLevel="0" collapsed="false">
      <c r="A17" s="19" t="s">
        <v>278</v>
      </c>
      <c r="B17" s="9" t="s">
        <v>279</v>
      </c>
      <c r="C17" s="9"/>
      <c r="D17" s="9"/>
      <c r="E17" s="9"/>
      <c r="F17" s="9"/>
      <c r="G17" s="9"/>
    </row>
    <row r="18" customFormat="false" ht="30" hidden="false" customHeight="true" outlineLevel="0" collapsed="false">
      <c r="A18" s="19" t="s">
        <v>280</v>
      </c>
      <c r="B18" s="9" t="s">
        <v>281</v>
      </c>
      <c r="C18" s="9"/>
      <c r="D18" s="9"/>
      <c r="E18" s="9"/>
      <c r="F18" s="9"/>
      <c r="G18" s="9"/>
    </row>
    <row r="19" customFormat="false" ht="30" hidden="false" customHeight="true" outlineLevel="0" collapsed="false">
      <c r="A19" s="19" t="s">
        <v>282</v>
      </c>
      <c r="B19" s="9" t="s">
        <v>283</v>
      </c>
      <c r="C19" s="9"/>
      <c r="D19" s="9"/>
      <c r="E19" s="9"/>
      <c r="F19" s="9"/>
      <c r="G19" s="9"/>
    </row>
    <row r="20" customFormat="false" ht="17.25" hidden="false" customHeight="true" outlineLevel="0" collapsed="false">
      <c r="A20" s="19" t="s">
        <v>284</v>
      </c>
      <c r="B20" s="9" t="s">
        <v>285</v>
      </c>
      <c r="C20" s="9"/>
      <c r="D20" s="9"/>
      <c r="E20" s="9"/>
      <c r="F20" s="9"/>
      <c r="G20" s="9"/>
    </row>
    <row r="21" customFormat="false" ht="30" hidden="false" customHeight="true" outlineLevel="0" collapsed="false">
      <c r="A21" s="19" t="s">
        <v>286</v>
      </c>
      <c r="B21" s="9" t="s">
        <v>287</v>
      </c>
      <c r="C21" s="9"/>
      <c r="D21" s="9"/>
      <c r="E21" s="9"/>
      <c r="F21" s="9"/>
      <c r="G21" s="9"/>
    </row>
    <row r="22" customFormat="false" ht="30" hidden="false" customHeight="true" outlineLevel="0" collapsed="false">
      <c r="A22" s="19" t="s">
        <v>288</v>
      </c>
      <c r="B22" s="9" t="s">
        <v>289</v>
      </c>
      <c r="C22" s="9"/>
      <c r="D22" s="9"/>
      <c r="E22" s="9"/>
      <c r="F22" s="9"/>
      <c r="G22" s="9"/>
    </row>
    <row r="24" customFormat="false" ht="19.5" hidden="false" customHeight="true" outlineLevel="0" collapsed="false">
      <c r="A24" s="3" t="s">
        <v>290</v>
      </c>
      <c r="B24" s="3"/>
      <c r="C24" s="3"/>
      <c r="D24" s="3"/>
      <c r="E24" s="3"/>
      <c r="F24" s="3"/>
      <c r="G24" s="3"/>
    </row>
    <row r="25" customFormat="false" ht="30" hidden="false" customHeight="true" outlineLevel="0" collapsed="false">
      <c r="A25" s="13" t="s">
        <v>291</v>
      </c>
      <c r="B25" s="13" t="s">
        <v>292</v>
      </c>
      <c r="C25" s="13" t="s">
        <v>293</v>
      </c>
      <c r="D25" s="13" t="s">
        <v>294</v>
      </c>
      <c r="E25" s="13" t="s">
        <v>295</v>
      </c>
      <c r="F25" s="13" t="s">
        <v>296</v>
      </c>
      <c r="G25" s="13" t="s">
        <v>297</v>
      </c>
    </row>
    <row r="26" customFormat="false" ht="105" hidden="false" customHeight="true" outlineLevel="0" collapsed="false">
      <c r="A26" s="59" t="s">
        <v>298</v>
      </c>
      <c r="B26" s="60" t="s">
        <v>299</v>
      </c>
      <c r="C26" s="37" t="s">
        <v>300</v>
      </c>
      <c r="D26" s="37" t="s">
        <v>301</v>
      </c>
      <c r="E26" s="37" t="s">
        <v>302</v>
      </c>
      <c r="F26" s="37" t="s">
        <v>303</v>
      </c>
      <c r="G26" s="37" t="s">
        <v>304</v>
      </c>
    </row>
    <row r="27" customFormat="false" ht="92.25" hidden="false" customHeight="true" outlineLevel="0" collapsed="false">
      <c r="A27" s="61" t="s">
        <v>305</v>
      </c>
      <c r="B27" s="62" t="s">
        <v>306</v>
      </c>
      <c r="C27" s="9" t="s">
        <v>307</v>
      </c>
      <c r="D27" s="9" t="s">
        <v>308</v>
      </c>
      <c r="E27" s="9" t="s">
        <v>309</v>
      </c>
      <c r="F27" s="9" t="s">
        <v>310</v>
      </c>
      <c r="G27" s="9" t="s">
        <v>311</v>
      </c>
    </row>
    <row r="28" customFormat="false" ht="92.25" hidden="false" customHeight="true" outlineLevel="0" collapsed="false">
      <c r="A28" s="59" t="s">
        <v>312</v>
      </c>
      <c r="B28" s="60" t="s">
        <v>313</v>
      </c>
      <c r="C28" s="37" t="s">
        <v>314</v>
      </c>
      <c r="D28" s="37" t="s">
        <v>315</v>
      </c>
      <c r="E28" s="37" t="s">
        <v>316</v>
      </c>
      <c r="F28" s="37" t="s">
        <v>317</v>
      </c>
      <c r="G28" s="37" t="s">
        <v>318</v>
      </c>
    </row>
    <row r="29" customFormat="false" ht="67.5" hidden="false" customHeight="true" outlineLevel="0" collapsed="false">
      <c r="A29" s="61" t="s">
        <v>319</v>
      </c>
      <c r="B29" s="62" t="s">
        <v>320</v>
      </c>
      <c r="C29" s="9" t="s">
        <v>321</v>
      </c>
      <c r="D29" s="9" t="s">
        <v>322</v>
      </c>
      <c r="E29" s="9" t="s">
        <v>323</v>
      </c>
      <c r="F29" s="9" t="s">
        <v>324</v>
      </c>
      <c r="G29" s="9" t="s">
        <v>325</v>
      </c>
    </row>
    <row r="30" customFormat="false" ht="54.75" hidden="false" customHeight="true" outlineLevel="0" collapsed="false">
      <c r="A30" s="59" t="s">
        <v>326</v>
      </c>
      <c r="B30" s="60" t="s">
        <v>327</v>
      </c>
      <c r="C30" s="37" t="s">
        <v>328</v>
      </c>
      <c r="D30" s="37" t="s">
        <v>329</v>
      </c>
      <c r="E30" s="37" t="s">
        <v>330</v>
      </c>
      <c r="F30" s="37" t="s">
        <v>331</v>
      </c>
      <c r="G30" s="37" t="s">
        <v>332</v>
      </c>
    </row>
    <row r="32" customFormat="false" ht="19.5" hidden="false" customHeight="true" outlineLevel="0" collapsed="false">
      <c r="A32" s="3" t="s">
        <v>333</v>
      </c>
      <c r="B32" s="3"/>
      <c r="C32" s="3"/>
      <c r="D32" s="3"/>
      <c r="E32" s="3"/>
      <c r="F32" s="3"/>
      <c r="G32" s="3"/>
    </row>
    <row r="33" customFormat="false" ht="54.75" hidden="false" customHeight="true" outlineLevel="0" collapsed="false">
      <c r="A33" s="63" t="s">
        <v>334</v>
      </c>
      <c r="B33" s="63"/>
      <c r="C33" s="63"/>
      <c r="D33" s="63"/>
      <c r="E33" s="63"/>
      <c r="F33" s="63"/>
      <c r="G33" s="63"/>
    </row>
    <row r="35" customFormat="false" ht="19.5" hidden="false" customHeight="true" outlineLevel="0" collapsed="false">
      <c r="A35" s="3" t="s">
        <v>335</v>
      </c>
      <c r="B35" s="3"/>
      <c r="C35" s="3"/>
      <c r="D35" s="3"/>
      <c r="E35" s="3"/>
      <c r="F35" s="3"/>
      <c r="G35" s="3"/>
    </row>
    <row r="36" customFormat="false" ht="30" hidden="false" customHeight="true" outlineLevel="0" collapsed="false">
      <c r="A36" s="19" t="s">
        <v>336</v>
      </c>
      <c r="B36" s="64" t="s">
        <v>337</v>
      </c>
      <c r="C36" s="9" t="s">
        <v>338</v>
      </c>
      <c r="D36" s="9"/>
      <c r="E36" s="9"/>
      <c r="F36" s="9"/>
      <c r="G36" s="9"/>
    </row>
    <row r="37" customFormat="false" ht="17.25" hidden="false" customHeight="true" outlineLevel="0" collapsed="false">
      <c r="A37" s="19" t="s">
        <v>339</v>
      </c>
      <c r="B37" s="65" t="s">
        <v>340</v>
      </c>
      <c r="C37" s="9" t="s">
        <v>341</v>
      </c>
      <c r="D37" s="9"/>
      <c r="E37" s="9"/>
      <c r="F37" s="9"/>
      <c r="G37" s="9"/>
    </row>
    <row r="38" customFormat="false" ht="30" hidden="false" customHeight="true" outlineLevel="0" collapsed="false">
      <c r="A38" s="19" t="s">
        <v>342</v>
      </c>
      <c r="B38" s="65" t="s">
        <v>340</v>
      </c>
      <c r="C38" s="9" t="s">
        <v>343</v>
      </c>
      <c r="D38" s="9"/>
      <c r="E38" s="9"/>
      <c r="F38" s="9"/>
      <c r="G38" s="9"/>
    </row>
    <row r="39" customFormat="false" ht="30" hidden="false" customHeight="true" outlineLevel="0" collapsed="false">
      <c r="A39" s="19" t="s">
        <v>344</v>
      </c>
      <c r="B39" s="65" t="s">
        <v>345</v>
      </c>
      <c r="C39" s="9" t="s">
        <v>346</v>
      </c>
      <c r="D39" s="9"/>
      <c r="E39" s="9"/>
      <c r="F39" s="9"/>
      <c r="G39" s="9"/>
    </row>
    <row r="40" customFormat="false" ht="30" hidden="false" customHeight="true" outlineLevel="0" collapsed="false">
      <c r="A40" s="19" t="s">
        <v>347</v>
      </c>
      <c r="B40" s="64" t="s">
        <v>348</v>
      </c>
      <c r="C40" s="9" t="s">
        <v>349</v>
      </c>
      <c r="D40" s="9"/>
      <c r="E40" s="9"/>
      <c r="F40" s="9"/>
      <c r="G40" s="9"/>
    </row>
    <row r="41" customFormat="false" ht="30" hidden="false" customHeight="true" outlineLevel="0" collapsed="false">
      <c r="A41" s="19" t="s">
        <v>350</v>
      </c>
      <c r="B41" s="64" t="s">
        <v>337</v>
      </c>
      <c r="C41" s="9" t="s">
        <v>351</v>
      </c>
      <c r="D41" s="9"/>
      <c r="E41" s="9"/>
      <c r="F41" s="9"/>
      <c r="G41" s="9"/>
    </row>
    <row r="42" customFormat="false" ht="30" hidden="false" customHeight="true" outlineLevel="0" collapsed="false">
      <c r="A42" s="19" t="s">
        <v>352</v>
      </c>
      <c r="B42" s="64" t="s">
        <v>353</v>
      </c>
      <c r="C42" s="9" t="s">
        <v>354</v>
      </c>
      <c r="D42" s="9"/>
      <c r="E42" s="9"/>
      <c r="F42" s="9"/>
      <c r="G42" s="9"/>
    </row>
    <row r="44" customFormat="false" ht="25.5" hidden="false" customHeight="true" outlineLevel="0" collapsed="false">
      <c r="A44" s="66" t="s">
        <v>355</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356</v>
      </c>
      <c r="B1" s="1"/>
      <c r="C1" s="1"/>
      <c r="D1" s="1"/>
      <c r="E1" s="1"/>
      <c r="F1" s="1"/>
      <c r="G1" s="1"/>
      <c r="H1" s="1"/>
      <c r="I1" s="1"/>
      <c r="J1" s="1"/>
      <c r="K1" s="1"/>
      <c r="L1" s="1"/>
    </row>
    <row r="2" customFormat="false" ht="15" hidden="false" customHeight="true" outlineLevel="0" collapsed="false">
      <c r="A2" s="2" t="s">
        <v>357</v>
      </c>
      <c r="B2" s="2"/>
      <c r="C2" s="2"/>
      <c r="D2" s="2"/>
      <c r="E2" s="2"/>
      <c r="F2" s="2"/>
      <c r="G2" s="2"/>
      <c r="H2" s="2"/>
      <c r="I2" s="2"/>
      <c r="J2" s="2"/>
      <c r="K2" s="2"/>
      <c r="L2" s="2"/>
    </row>
    <row r="3" customFormat="false" ht="31.5" hidden="false" customHeight="true" outlineLevel="0" collapsed="false">
      <c r="A3" s="13" t="s">
        <v>88</v>
      </c>
      <c r="B3" s="13" t="s">
        <v>73</v>
      </c>
      <c r="C3" s="13" t="s">
        <v>358</v>
      </c>
      <c r="D3" s="13" t="s">
        <v>359</v>
      </c>
      <c r="E3" s="13" t="s">
        <v>360</v>
      </c>
      <c r="F3" s="13" t="s">
        <v>361</v>
      </c>
      <c r="G3" s="13" t="s">
        <v>362</v>
      </c>
      <c r="H3" s="13" t="s">
        <v>363</v>
      </c>
      <c r="I3" s="13" t="s">
        <v>364</v>
      </c>
      <c r="J3" s="13" t="s">
        <v>365</v>
      </c>
      <c r="K3" s="13" t="s">
        <v>366</v>
      </c>
      <c r="L3" s="13" t="s">
        <v>255</v>
      </c>
    </row>
    <row r="4" customFormat="false" ht="18" hidden="false" customHeight="true" outlineLevel="0" collapsed="false">
      <c r="A4" s="67" t="n">
        <v>1</v>
      </c>
      <c r="B4" s="53"/>
      <c r="C4" s="56"/>
      <c r="D4" s="55"/>
      <c r="E4" s="68"/>
      <c r="F4" s="55"/>
      <c r="G4" s="68"/>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7" t="n">
        <v>2</v>
      </c>
      <c r="B5" s="53"/>
      <c r="C5" s="56"/>
      <c r="D5" s="55"/>
      <c r="E5" s="68"/>
      <c r="F5" s="55"/>
      <c r="G5" s="68"/>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7" t="n">
        <v>3</v>
      </c>
      <c r="B6" s="53"/>
      <c r="C6" s="56"/>
      <c r="D6" s="55"/>
      <c r="E6" s="68"/>
      <c r="F6" s="55"/>
      <c r="G6" s="68"/>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7" t="n">
        <v>4</v>
      </c>
      <c r="B7" s="53"/>
      <c r="C7" s="56"/>
      <c r="D7" s="55"/>
      <c r="E7" s="68"/>
      <c r="F7" s="55"/>
      <c r="G7" s="68"/>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7" t="n">
        <v>5</v>
      </c>
      <c r="B8" s="53"/>
      <c r="C8" s="56"/>
      <c r="D8" s="55"/>
      <c r="E8" s="68"/>
      <c r="F8" s="55"/>
      <c r="G8" s="68"/>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7" t="n">
        <v>6</v>
      </c>
      <c r="B9" s="53"/>
      <c r="C9" s="56"/>
      <c r="D9" s="55"/>
      <c r="E9" s="68"/>
      <c r="F9" s="55"/>
      <c r="G9" s="68"/>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7" t="n">
        <v>7</v>
      </c>
      <c r="B10" s="53"/>
      <c r="C10" s="56"/>
      <c r="D10" s="55"/>
      <c r="E10" s="68"/>
      <c r="F10" s="55"/>
      <c r="G10" s="68"/>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7" t="n">
        <v>8</v>
      </c>
      <c r="B11" s="53"/>
      <c r="C11" s="56"/>
      <c r="D11" s="55"/>
      <c r="E11" s="68"/>
      <c r="F11" s="55"/>
      <c r="G11" s="68"/>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7" t="n">
        <v>9</v>
      </c>
      <c r="B12" s="53"/>
      <c r="C12" s="56"/>
      <c r="D12" s="55"/>
      <c r="E12" s="68"/>
      <c r="F12" s="55"/>
      <c r="G12" s="68"/>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7" t="n">
        <v>10</v>
      </c>
      <c r="B13" s="53"/>
      <c r="C13" s="56"/>
      <c r="D13" s="55"/>
      <c r="E13" s="68"/>
      <c r="F13" s="55"/>
      <c r="G13" s="68"/>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7" t="n">
        <v>11</v>
      </c>
      <c r="B14" s="53"/>
      <c r="C14" s="56"/>
      <c r="D14" s="55"/>
      <c r="E14" s="68"/>
      <c r="F14" s="55"/>
      <c r="G14" s="68"/>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7" t="n">
        <v>12</v>
      </c>
      <c r="B15" s="53"/>
      <c r="C15" s="56"/>
      <c r="D15" s="55"/>
      <c r="E15" s="68"/>
      <c r="F15" s="55"/>
      <c r="G15" s="68"/>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7" t="n">
        <v>13</v>
      </c>
      <c r="B16" s="53"/>
      <c r="C16" s="56"/>
      <c r="D16" s="55"/>
      <c r="E16" s="68"/>
      <c r="F16" s="55"/>
      <c r="G16" s="68"/>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67" t="n">
        <v>14</v>
      </c>
      <c r="B17" s="53"/>
      <c r="C17" s="56"/>
      <c r="D17" s="55"/>
      <c r="E17" s="68"/>
      <c r="F17" s="55"/>
      <c r="G17" s="68"/>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67" t="n">
        <v>15</v>
      </c>
      <c r="B18" s="53"/>
      <c r="C18" s="56"/>
      <c r="D18" s="55"/>
      <c r="E18" s="68"/>
      <c r="F18" s="55"/>
      <c r="G18" s="68"/>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67" t="n">
        <v>16</v>
      </c>
      <c r="B19" s="53"/>
      <c r="C19" s="56"/>
      <c r="D19" s="55"/>
      <c r="E19" s="68"/>
      <c r="F19" s="55"/>
      <c r="G19" s="68"/>
      <c r="H19" s="49" t="n">
        <f aca="false">IF(COUNTIFS(Log!$B$4:$B$1203,$A19,Log!$E$4:$E$1203,"A")=0,"",COUNTIFS(Log!$B$4:$B$1203,$A19,Log!$E$4:$E$1203,"A"))</f>
        <v>9</v>
      </c>
      <c r="I19" s="49" t="n">
        <f aca="false">IF($H19="","",SUMIFS(Log!$I$4:$I$1203,Log!$B$4:$B$1203,$A19,Log!$E$4:$E$1203,"A"))</f>
        <v>7255</v>
      </c>
      <c r="J19" s="49" t="n">
        <f aca="false">IF($H19="","",SUMIFS(Log!$I$4:$I$1203,Log!$B$4:$B$1203,$A19))</f>
        <v>7255</v>
      </c>
      <c r="L19" s="54"/>
    </row>
    <row r="20" customFormat="false" ht="18" hidden="false" customHeight="true" outlineLevel="0" collapsed="false">
      <c r="A20" s="67" t="n">
        <v>17</v>
      </c>
      <c r="B20" s="53"/>
      <c r="C20" s="56"/>
      <c r="D20" s="55"/>
      <c r="E20" s="68"/>
      <c r="F20" s="55"/>
      <c r="G20" s="68"/>
      <c r="H20" s="49" t="n">
        <f aca="false">IF(COUNTIFS(Log!$B$4:$B$1203,$A20,Log!$E$4:$E$1203,"A")=0,"",COUNTIFS(Log!$B$4:$B$1203,$A20,Log!$E$4:$E$1203,"A"))</f>
        <v>9</v>
      </c>
      <c r="I20" s="49" t="n">
        <f aca="false">IF($H20="","",SUMIFS(Log!$I$4:$I$1203,Log!$B$4:$B$1203,$A20,Log!$E$4:$E$1203,"A"))</f>
        <v>8705</v>
      </c>
      <c r="J20" s="49" t="n">
        <f aca="false">IF($H20="","",SUMIFS(Log!$I$4:$I$1203,Log!$B$4:$B$1203,$A20))</f>
        <v>8705</v>
      </c>
      <c r="L20" s="54"/>
    </row>
    <row r="21" customFormat="false" ht="18" hidden="false" customHeight="true" outlineLevel="0" collapsed="false">
      <c r="A21" s="67" t="n">
        <v>18</v>
      </c>
      <c r="B21" s="53"/>
      <c r="C21" s="56"/>
      <c r="D21" s="55"/>
      <c r="E21" s="68"/>
      <c r="F21" s="55"/>
      <c r="G21" s="68"/>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7" t="n">
        <v>19</v>
      </c>
      <c r="B22" s="53"/>
      <c r="C22" s="56"/>
      <c r="D22" s="55"/>
      <c r="E22" s="68"/>
      <c r="F22" s="55"/>
      <c r="G22" s="68"/>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7" t="n">
        <v>20</v>
      </c>
      <c r="B23" s="53"/>
      <c r="C23" s="56"/>
      <c r="D23" s="55"/>
      <c r="E23" s="68"/>
      <c r="F23" s="55"/>
      <c r="G23" s="68"/>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7" t="n">
        <v>21</v>
      </c>
      <c r="B24" s="53"/>
      <c r="C24" s="56"/>
      <c r="D24" s="55"/>
      <c r="E24" s="68"/>
      <c r="F24" s="55"/>
      <c r="G24" s="68"/>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7" t="n">
        <v>22</v>
      </c>
      <c r="B25" s="53"/>
      <c r="C25" s="56"/>
      <c r="D25" s="55"/>
      <c r="E25" s="68"/>
      <c r="F25" s="55"/>
      <c r="G25" s="68"/>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7" t="n">
        <v>23</v>
      </c>
      <c r="B26" s="53"/>
      <c r="C26" s="56"/>
      <c r="D26" s="55"/>
      <c r="E26" s="68"/>
      <c r="F26" s="55"/>
      <c r="G26" s="68"/>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7" t="n">
        <v>24</v>
      </c>
      <c r="B27" s="53"/>
      <c r="C27" s="56"/>
      <c r="D27" s="55"/>
      <c r="E27" s="68"/>
      <c r="F27" s="55"/>
      <c r="G27" s="68"/>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7" t="n">
        <v>25</v>
      </c>
      <c r="B28" s="53"/>
      <c r="C28" s="56"/>
      <c r="D28" s="55"/>
      <c r="E28" s="68"/>
      <c r="F28" s="55"/>
      <c r="G28" s="68"/>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7" t="n">
        <v>26</v>
      </c>
      <c r="B29" s="53"/>
      <c r="C29" s="56"/>
      <c r="D29" s="55"/>
      <c r="E29" s="68"/>
      <c r="F29" s="55"/>
      <c r="G29" s="68"/>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7" t="n">
        <v>27</v>
      </c>
      <c r="B30" s="53"/>
      <c r="C30" s="56"/>
      <c r="D30" s="55"/>
      <c r="E30" s="68"/>
      <c r="F30" s="55"/>
      <c r="G30" s="68"/>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7" t="n">
        <v>28</v>
      </c>
      <c r="B31" s="53"/>
      <c r="C31" s="56"/>
      <c r="D31" s="55"/>
      <c r="E31" s="68"/>
      <c r="F31" s="55"/>
      <c r="G31" s="68"/>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7" t="n">
        <v>29</v>
      </c>
      <c r="B32" s="53"/>
      <c r="C32" s="56"/>
      <c r="D32" s="55"/>
      <c r="E32" s="68"/>
      <c r="F32" s="55"/>
      <c r="G32" s="68"/>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7" t="n">
        <v>30</v>
      </c>
      <c r="B33" s="53"/>
      <c r="C33" s="56"/>
      <c r="D33" s="55"/>
      <c r="E33" s="68"/>
      <c r="F33" s="55"/>
      <c r="G33" s="68"/>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7" t="n">
        <v>31</v>
      </c>
      <c r="B34" s="53"/>
      <c r="C34" s="56"/>
      <c r="D34" s="55"/>
      <c r="E34" s="68"/>
      <c r="F34" s="55"/>
      <c r="G34" s="68"/>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7" t="n">
        <v>32</v>
      </c>
      <c r="B35" s="53"/>
      <c r="C35" s="56"/>
      <c r="D35" s="55"/>
      <c r="E35" s="68"/>
      <c r="F35" s="55"/>
      <c r="G35" s="68"/>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7" t="n">
        <v>33</v>
      </c>
      <c r="B36" s="53"/>
      <c r="C36" s="56"/>
      <c r="D36" s="55"/>
      <c r="E36" s="68"/>
      <c r="F36" s="55"/>
      <c r="G36" s="68"/>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7" t="n">
        <v>34</v>
      </c>
      <c r="B37" s="53"/>
      <c r="C37" s="56"/>
      <c r="D37" s="55"/>
      <c r="E37" s="68"/>
      <c r="F37" s="55"/>
      <c r="G37" s="68"/>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7" t="n">
        <v>35</v>
      </c>
      <c r="B38" s="53"/>
      <c r="C38" s="56"/>
      <c r="D38" s="55"/>
      <c r="E38" s="68"/>
      <c r="F38" s="55"/>
      <c r="G38" s="68"/>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7" t="n">
        <v>36</v>
      </c>
      <c r="B39" s="53"/>
      <c r="C39" s="56"/>
      <c r="D39" s="55"/>
      <c r="E39" s="68"/>
      <c r="F39" s="55"/>
      <c r="G39" s="68"/>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7" t="n">
        <v>37</v>
      </c>
      <c r="B40" s="53"/>
      <c r="C40" s="56"/>
      <c r="D40" s="55"/>
      <c r="E40" s="68"/>
      <c r="F40" s="55"/>
      <c r="G40" s="68"/>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7" t="n">
        <v>38</v>
      </c>
      <c r="B41" s="53"/>
      <c r="C41" s="56"/>
      <c r="D41" s="55"/>
      <c r="E41" s="68"/>
      <c r="F41" s="55"/>
      <c r="G41" s="68"/>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7" t="n">
        <v>39</v>
      </c>
      <c r="B42" s="53"/>
      <c r="C42" s="56"/>
      <c r="D42" s="55"/>
      <c r="E42" s="68"/>
      <c r="F42" s="55"/>
      <c r="G42" s="68"/>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7" t="n">
        <v>40</v>
      </c>
      <c r="B43" s="53"/>
      <c r="C43" s="56"/>
      <c r="D43" s="55"/>
      <c r="E43" s="68"/>
      <c r="F43" s="55"/>
      <c r="G43" s="68"/>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7" t="n">
        <v>41</v>
      </c>
      <c r="B44" s="53"/>
      <c r="C44" s="56"/>
      <c r="D44" s="55"/>
      <c r="E44" s="68"/>
      <c r="F44" s="55"/>
      <c r="G44" s="68"/>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7" t="n">
        <v>42</v>
      </c>
      <c r="B45" s="53"/>
      <c r="C45" s="56"/>
      <c r="D45" s="55"/>
      <c r="E45" s="68"/>
      <c r="F45" s="55"/>
      <c r="G45" s="68"/>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7" t="n">
        <v>43</v>
      </c>
      <c r="B46" s="53"/>
      <c r="C46" s="56"/>
      <c r="D46" s="55"/>
      <c r="E46" s="68"/>
      <c r="F46" s="55"/>
      <c r="G46" s="68"/>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7" t="n">
        <v>44</v>
      </c>
      <c r="B47" s="53"/>
      <c r="C47" s="56"/>
      <c r="D47" s="55"/>
      <c r="E47" s="68"/>
      <c r="F47" s="55"/>
      <c r="G47" s="68"/>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7" t="n">
        <v>45</v>
      </c>
      <c r="B48" s="53"/>
      <c r="C48" s="56"/>
      <c r="D48" s="55"/>
      <c r="E48" s="68"/>
      <c r="F48" s="55"/>
      <c r="G48" s="68"/>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7" t="n">
        <v>46</v>
      </c>
      <c r="B49" s="53"/>
      <c r="C49" s="56"/>
      <c r="D49" s="55"/>
      <c r="E49" s="68"/>
      <c r="F49" s="55"/>
      <c r="G49" s="68"/>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7" t="n">
        <v>47</v>
      </c>
      <c r="B50" s="53"/>
      <c r="C50" s="56"/>
      <c r="D50" s="55"/>
      <c r="E50" s="68"/>
      <c r="F50" s="55"/>
      <c r="G50" s="68"/>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7" t="n">
        <v>48</v>
      </c>
      <c r="B51" s="53"/>
      <c r="C51" s="56"/>
      <c r="D51" s="55"/>
      <c r="E51" s="68"/>
      <c r="F51" s="55"/>
      <c r="G51" s="68"/>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7" t="n">
        <v>49</v>
      </c>
      <c r="B52" s="53"/>
      <c r="C52" s="56"/>
      <c r="D52" s="55"/>
      <c r="E52" s="68"/>
      <c r="F52" s="55"/>
      <c r="G52" s="68"/>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7" t="n">
        <v>50</v>
      </c>
      <c r="B53" s="53"/>
      <c r="C53" s="56"/>
      <c r="D53" s="55"/>
      <c r="E53" s="68"/>
      <c r="F53" s="55"/>
      <c r="G53" s="68"/>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7" t="n">
        <v>51</v>
      </c>
      <c r="B54" s="53"/>
      <c r="C54" s="56"/>
      <c r="D54" s="55"/>
      <c r="E54" s="68"/>
      <c r="F54" s="55"/>
      <c r="G54" s="68"/>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7" t="n">
        <v>52</v>
      </c>
      <c r="B55" s="53"/>
      <c r="C55" s="56"/>
      <c r="D55" s="55"/>
      <c r="E55" s="68"/>
      <c r="F55" s="55"/>
      <c r="G55" s="68"/>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7" t="n">
        <v>53</v>
      </c>
      <c r="B56" s="53"/>
      <c r="C56" s="56"/>
      <c r="D56" s="55"/>
      <c r="E56" s="68"/>
      <c r="F56" s="55"/>
      <c r="G56" s="68"/>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7" t="n">
        <v>54</v>
      </c>
      <c r="B57" s="53"/>
      <c r="C57" s="56"/>
      <c r="D57" s="55"/>
      <c r="E57" s="68"/>
      <c r="F57" s="55"/>
      <c r="G57" s="68"/>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7" t="n">
        <v>55</v>
      </c>
      <c r="B58" s="53"/>
      <c r="C58" s="56"/>
      <c r="D58" s="55"/>
      <c r="E58" s="68"/>
      <c r="F58" s="55"/>
      <c r="G58" s="68"/>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7" t="n">
        <v>56</v>
      </c>
      <c r="B59" s="53"/>
      <c r="C59" s="56"/>
      <c r="D59" s="55"/>
      <c r="E59" s="68"/>
      <c r="F59" s="55"/>
      <c r="G59" s="68"/>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7" t="n">
        <v>57</v>
      </c>
      <c r="B60" s="53"/>
      <c r="C60" s="56"/>
      <c r="D60" s="55"/>
      <c r="E60" s="68"/>
      <c r="F60" s="55"/>
      <c r="G60" s="68"/>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7" t="n">
        <v>58</v>
      </c>
      <c r="B61" s="53"/>
      <c r="C61" s="56"/>
      <c r="D61" s="55"/>
      <c r="E61" s="68"/>
      <c r="F61" s="55"/>
      <c r="G61" s="68"/>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7" t="n">
        <v>59</v>
      </c>
      <c r="B62" s="53"/>
      <c r="C62" s="56"/>
      <c r="D62" s="55"/>
      <c r="E62" s="68"/>
      <c r="F62" s="55"/>
      <c r="G62" s="68"/>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7" t="n">
        <v>60</v>
      </c>
      <c r="B63" s="53"/>
      <c r="C63" s="56"/>
      <c r="D63" s="55"/>
      <c r="E63" s="68"/>
      <c r="F63" s="55"/>
      <c r="G63" s="68"/>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9" t="s">
        <v>367</v>
      </c>
      <c r="B64" s="70"/>
      <c r="C64" s="70"/>
      <c r="D64" s="70"/>
      <c r="E64" s="70"/>
      <c r="F64" s="70"/>
      <c r="G64" s="70"/>
      <c r="H64" s="71" t="n">
        <f aca="false">SUM(H4:H63)</f>
        <v>212</v>
      </c>
      <c r="I64" s="71" t="n">
        <f aca="false">SUM(I4:I63)</f>
        <v>249407.5</v>
      </c>
      <c r="J64" s="71" t="n">
        <f aca="false">SUM(J4:J63)</f>
        <v>269295</v>
      </c>
      <c r="K64" s="70"/>
      <c r="L64" s="70"/>
    </row>
    <row r="66" customFormat="false" ht="15" hidden="false" customHeight="false" outlineLevel="0" collapsed="false">
      <c r="A66" s="28" t="s">
        <v>368</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369</v>
      </c>
      <c r="B1" s="1"/>
      <c r="C1" s="1"/>
      <c r="D1" s="1"/>
      <c r="E1" s="1"/>
      <c r="F1" s="1"/>
      <c r="G1" s="1"/>
      <c r="H1" s="1"/>
      <c r="I1" s="1"/>
      <c r="J1" s="1"/>
      <c r="K1" s="1"/>
      <c r="L1" s="1"/>
    </row>
    <row r="2" customFormat="false" ht="15" hidden="false" customHeight="true" outlineLevel="0" collapsed="false">
      <c r="A2" s="2" t="s">
        <v>370</v>
      </c>
      <c r="B2" s="2"/>
      <c r="C2" s="2"/>
      <c r="D2" s="2"/>
      <c r="E2" s="2"/>
      <c r="F2" s="2"/>
      <c r="G2" s="2"/>
      <c r="H2" s="2"/>
      <c r="I2" s="2"/>
      <c r="J2" s="2"/>
      <c r="K2" s="2"/>
      <c r="L2" s="2"/>
    </row>
    <row r="3" customFormat="false" ht="31.5" hidden="false" customHeight="true" outlineLevel="0" collapsed="false">
      <c r="A3" s="13" t="s">
        <v>73</v>
      </c>
      <c r="B3" s="13" t="s">
        <v>88</v>
      </c>
      <c r="C3" s="13" t="s">
        <v>371</v>
      </c>
      <c r="D3" s="13" t="s">
        <v>168</v>
      </c>
      <c r="E3" s="13" t="s">
        <v>372</v>
      </c>
      <c r="F3" s="13" t="s">
        <v>373</v>
      </c>
      <c r="G3" s="13" t="s">
        <v>374</v>
      </c>
      <c r="H3" s="13" t="s">
        <v>48</v>
      </c>
      <c r="I3" s="13" t="s">
        <v>375</v>
      </c>
      <c r="J3" s="13" t="s">
        <v>376</v>
      </c>
      <c r="K3" s="13" t="s">
        <v>377</v>
      </c>
      <c r="L3" s="13" t="s">
        <v>255</v>
      </c>
    </row>
    <row r="4" customFormat="false" ht="15.75" hidden="false" customHeight="true" outlineLevel="0" collapsed="false">
      <c r="A4" s="72" t="str">
        <f aca="false">IFERROR(IF($B4="","",IF(INDEX(Einheiten!$B$4:$B$63,MATCH($B4,Einheiten!$A$4:$A$63,0))=0,"",INDEX(Einheiten!$B$4:$B$63,MATCH($B4,Einheiten!$A$4:$A$63,0)))),"")</f>
        <v/>
      </c>
      <c r="B4" s="54" t="n">
        <v>1</v>
      </c>
      <c r="C4" s="73" t="str">
        <f aca="false">IFERROR(IF($D4="","",INDEX(Übungen!$B$4:$B$23,MATCH($D4,Übungen!$A$4:$A$23,0))),"")</f>
        <v>Beine vorne</v>
      </c>
      <c r="D4" s="56" t="s">
        <v>378</v>
      </c>
      <c r="E4" s="67" t="s">
        <v>379</v>
      </c>
      <c r="F4" s="55" t="n">
        <v>77.5</v>
      </c>
      <c r="G4" s="68"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2" t="str">
        <f aca="false">IFERROR(IF($B5="","",IF(INDEX(Einheiten!$B$4:$B$63,MATCH($B5,Einheiten!$A$4:$A$63,0))=0,"",INDEX(Einheiten!$B$4:$B$63,MATCH($B5,Einheiten!$A$4:$A$63,0)))),"")</f>
        <v/>
      </c>
      <c r="B5" s="54" t="n">
        <v>1</v>
      </c>
      <c r="C5" s="73" t="str">
        <f aca="false">IFERROR(IF($D5="","",INDEX(Übungen!$B$4:$B$23,MATCH($D5,Übungen!$A$4:$A$23,0))),"")</f>
        <v>Beine vorne</v>
      </c>
      <c r="D5" s="56" t="s">
        <v>378</v>
      </c>
      <c r="E5" s="67" t="s">
        <v>380</v>
      </c>
      <c r="F5" s="55" t="n">
        <v>152.5</v>
      </c>
      <c r="G5" s="68"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2" t="str">
        <f aca="false">IFERROR(IF($B6="","",IF(INDEX(Einheiten!$B$4:$B$63,MATCH($B6,Einheiten!$A$4:$A$63,0))=0,"",INDEX(Einheiten!$B$4:$B$63,MATCH($B6,Einheiten!$A$4:$A$63,0)))),"")</f>
        <v/>
      </c>
      <c r="B6" s="54" t="n">
        <v>1</v>
      </c>
      <c r="C6" s="73" t="str">
        <f aca="false">IFERROR(IF($D6="","",INDEX(Übungen!$B$4:$B$23,MATCH($D6,Übungen!$A$4:$A$23,0))),"")</f>
        <v>Beine vorne</v>
      </c>
      <c r="D6" s="56" t="s">
        <v>378</v>
      </c>
      <c r="E6" s="67" t="s">
        <v>380</v>
      </c>
      <c r="F6" s="55" t="n">
        <v>152.5</v>
      </c>
      <c r="G6" s="68"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2" t="str">
        <f aca="false">IFERROR(IF($B7="","",IF(INDEX(Einheiten!$B$4:$B$63,MATCH($B7,Einheiten!$A$4:$A$63,0))=0,"",INDEX(Einheiten!$B$4:$B$63,MATCH($B7,Einheiten!$A$4:$A$63,0)))),"")</f>
        <v/>
      </c>
      <c r="B7" s="54" t="n">
        <v>1</v>
      </c>
      <c r="C7" s="73" t="str">
        <f aca="false">IFERROR(IF($D7="","",INDEX(Übungen!$B$4:$B$23,MATCH($D7,Übungen!$A$4:$A$23,0))),"")</f>
        <v>Beine vorne</v>
      </c>
      <c r="D7" s="56" t="s">
        <v>378</v>
      </c>
      <c r="E7" s="67" t="s">
        <v>381</v>
      </c>
      <c r="F7" s="55" t="n">
        <v>110</v>
      </c>
      <c r="G7" s="68" t="n">
        <v>10</v>
      </c>
      <c r="H7" s="55"/>
      <c r="I7" s="49" t="str">
        <f aca="false">IF(AND(ISNUMBER($F7),ISNUMBER($G7),$E7&lt;&gt;"R"),$F7*$G7,"")</f>
        <v/>
      </c>
      <c r="J7" s="51" t="str">
        <f aca="false">IF(AND($E7="A",ISNUMBER($F7),ISNUMBER($G7)),$F7*(1+$G7/30),"")</f>
        <v/>
      </c>
      <c r="K7" s="56" t="s">
        <v>382</v>
      </c>
      <c r="L7" s="56"/>
    </row>
    <row r="8" customFormat="false" ht="15.75" hidden="false" customHeight="true" outlineLevel="0" collapsed="false">
      <c r="A8" s="72" t="str">
        <f aca="false">IFERROR(IF($B8="","",IF(INDEX(Einheiten!$B$4:$B$63,MATCH($B8,Einheiten!$A$4:$A$63,0))=0,"",INDEX(Einheiten!$B$4:$B$63,MATCH($B8,Einheiten!$A$4:$A$63,0)))),"")</f>
        <v/>
      </c>
      <c r="B8" s="54" t="n">
        <v>2</v>
      </c>
      <c r="C8" s="73" t="str">
        <f aca="false">IFERROR(IF($D8="","",INDEX(Übungen!$B$4:$B$23,MATCH($D8,Übungen!$A$4:$A$23,0))),"")</f>
        <v>Beine vorne</v>
      </c>
      <c r="D8" s="56" t="s">
        <v>378</v>
      </c>
      <c r="E8" s="67" t="s">
        <v>379</v>
      </c>
      <c r="F8" s="55" t="n">
        <v>85</v>
      </c>
      <c r="G8" s="68" t="n">
        <v>10</v>
      </c>
      <c r="H8" s="55"/>
      <c r="I8" s="49" t="n">
        <f aca="false">IF(AND(ISNUMBER($F8),ISNUMBER($G8),$E8&lt;&gt;"R"),$F8*$G8,"")</f>
        <v>850</v>
      </c>
      <c r="J8" s="51" t="str">
        <f aca="false">IF(AND($E8="A",ISNUMBER($F8),ISNUMBER($G8)),$F8*(1+$G8/30),"")</f>
        <v/>
      </c>
      <c r="K8" s="56"/>
      <c r="L8" s="56"/>
    </row>
    <row r="9" customFormat="false" ht="15.75" hidden="false" customHeight="true" outlineLevel="0" collapsed="false">
      <c r="A9" s="72" t="str">
        <f aca="false">IFERROR(IF($B9="","",IF(INDEX(Einheiten!$B$4:$B$63,MATCH($B9,Einheiten!$A$4:$A$63,0))=0,"",INDEX(Einheiten!$B$4:$B$63,MATCH($B9,Einheiten!$A$4:$A$63,0)))),"")</f>
        <v/>
      </c>
      <c r="B9" s="54" t="n">
        <v>2</v>
      </c>
      <c r="C9" s="73" t="str">
        <f aca="false">IFERROR(IF($D9="","",INDEX(Übungen!$B$4:$B$23,MATCH($D9,Übungen!$A$4:$A$23,0))),"")</f>
        <v>Beine vorne</v>
      </c>
      <c r="D9" s="56" t="s">
        <v>378</v>
      </c>
      <c r="E9" s="67" t="s">
        <v>380</v>
      </c>
      <c r="F9" s="55" t="n">
        <v>152.5</v>
      </c>
      <c r="G9" s="68"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2" t="str">
        <f aca="false">IFERROR(IF($B10="","",IF(INDEX(Einheiten!$B$4:$B$63,MATCH($B10,Einheiten!$A$4:$A$63,0))=0,"",INDEX(Einheiten!$B$4:$B$63,MATCH($B10,Einheiten!$A$4:$A$63,0)))),"")</f>
        <v/>
      </c>
      <c r="B10" s="54" t="n">
        <v>2</v>
      </c>
      <c r="C10" s="73" t="str">
        <f aca="false">IFERROR(IF($D10="","",INDEX(Übungen!$B$4:$B$23,MATCH($D10,Übungen!$A$4:$A$23,0))),"")</f>
        <v>Beine vorne</v>
      </c>
      <c r="D10" s="56" t="s">
        <v>378</v>
      </c>
      <c r="E10" s="67" t="s">
        <v>380</v>
      </c>
      <c r="F10" s="55" t="n">
        <v>152.5</v>
      </c>
      <c r="G10" s="68"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2" t="str">
        <f aca="false">IFERROR(IF($B11="","",IF(INDEX(Einheiten!$B$4:$B$63,MATCH($B11,Einheiten!$A$4:$A$63,0))=0,"",INDEX(Einheiten!$B$4:$B$63,MATCH($B11,Einheiten!$A$4:$A$63,0)))),"")</f>
        <v/>
      </c>
      <c r="B11" s="54" t="n">
        <v>2</v>
      </c>
      <c r="C11" s="73" t="str">
        <f aca="false">IFERROR(IF($D11="","",INDEX(Übungen!$B$4:$B$23,MATCH($D11,Übungen!$A$4:$A$23,0))),"")</f>
        <v>Beine vorne</v>
      </c>
      <c r="D11" s="56" t="s">
        <v>378</v>
      </c>
      <c r="E11" s="67" t="s">
        <v>381</v>
      </c>
      <c r="F11" s="55" t="n">
        <v>110</v>
      </c>
      <c r="G11" s="68" t="n">
        <v>10</v>
      </c>
      <c r="H11" s="55"/>
      <c r="I11" s="49" t="str">
        <f aca="false">IF(AND(ISNUMBER($F11),ISNUMBER($G11),$E11&lt;&gt;"R"),$F11*$G11,"")</f>
        <v/>
      </c>
      <c r="J11" s="51" t="str">
        <f aca="false">IF(AND($E11="A",ISNUMBER($F11),ISNUMBER($G11)),$F11*(1+$G11/30),"")</f>
        <v/>
      </c>
      <c r="K11" s="56" t="s">
        <v>383</v>
      </c>
      <c r="L11" s="56"/>
    </row>
    <row r="12" customFormat="false" ht="15.75" hidden="false" customHeight="true" outlineLevel="0" collapsed="false">
      <c r="A12" s="72" t="str">
        <f aca="false">IFERROR(IF($B12="","",IF(INDEX(Einheiten!$B$4:$B$63,MATCH($B12,Einheiten!$A$4:$A$63,0))=0,"",INDEX(Einheiten!$B$4:$B$63,MATCH($B12,Einheiten!$A$4:$A$63,0)))),"")</f>
        <v/>
      </c>
      <c r="B12" s="54" t="n">
        <v>3</v>
      </c>
      <c r="C12" s="73" t="str">
        <f aca="false">IFERROR(IF($D12="","",INDEX(Übungen!$B$4:$B$23,MATCH($D12,Übungen!$A$4:$A$23,0))),"")</f>
        <v>Beine vorne</v>
      </c>
      <c r="D12" s="56" t="s">
        <v>378</v>
      </c>
      <c r="E12" s="67" t="s">
        <v>379</v>
      </c>
      <c r="F12" s="55" t="n">
        <v>65</v>
      </c>
      <c r="G12" s="68"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2" t="str">
        <f aca="false">IFERROR(IF($B13="","",IF(INDEX(Einheiten!$B$4:$B$63,MATCH($B13,Einheiten!$A$4:$A$63,0))=0,"",INDEX(Einheiten!$B$4:$B$63,MATCH($B13,Einheiten!$A$4:$A$63,0)))),"")</f>
        <v/>
      </c>
      <c r="B13" s="54" t="n">
        <v>3</v>
      </c>
      <c r="C13" s="73" t="str">
        <f aca="false">IFERROR(IF($D13="","",INDEX(Übungen!$B$4:$B$23,MATCH($D13,Übungen!$A$4:$A$23,0))),"")</f>
        <v>Beine vorne</v>
      </c>
      <c r="D13" s="56" t="s">
        <v>378</v>
      </c>
      <c r="E13" s="67" t="s">
        <v>379</v>
      </c>
      <c r="F13" s="55" t="n">
        <v>80</v>
      </c>
      <c r="G13" s="68"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2" t="str">
        <f aca="false">IFERROR(IF($B14="","",IF(INDEX(Einheiten!$B$4:$B$63,MATCH($B14,Einheiten!$A$4:$A$63,0))=0,"",INDEX(Einheiten!$B$4:$B$63,MATCH($B14,Einheiten!$A$4:$A$63,0)))),"")</f>
        <v/>
      </c>
      <c r="B14" s="54" t="n">
        <v>3</v>
      </c>
      <c r="C14" s="73" t="str">
        <f aca="false">IFERROR(IF($D14="","",INDEX(Übungen!$B$4:$B$23,MATCH($D14,Übungen!$A$4:$A$23,0))),"")</f>
        <v>Beine vorne</v>
      </c>
      <c r="D14" s="56" t="s">
        <v>378</v>
      </c>
      <c r="E14" s="67" t="s">
        <v>380</v>
      </c>
      <c r="F14" s="55" t="n">
        <v>152.5</v>
      </c>
      <c r="G14" s="68"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2" t="str">
        <f aca="false">IFERROR(IF($B15="","",IF(INDEX(Einheiten!$B$4:$B$63,MATCH($B15,Einheiten!$A$4:$A$63,0))=0,"",INDEX(Einheiten!$B$4:$B$63,MATCH($B15,Einheiten!$A$4:$A$63,0)))),"")</f>
        <v/>
      </c>
      <c r="B15" s="54" t="n">
        <v>3</v>
      </c>
      <c r="C15" s="73" t="str">
        <f aca="false">IFERROR(IF($D15="","",INDEX(Übungen!$B$4:$B$23,MATCH($D15,Übungen!$A$4:$A$23,0))),"")</f>
        <v>Beine vorne</v>
      </c>
      <c r="D15" s="56" t="s">
        <v>378</v>
      </c>
      <c r="E15" s="67" t="s">
        <v>380</v>
      </c>
      <c r="F15" s="55" t="n">
        <v>152.5</v>
      </c>
      <c r="G15" s="68"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2" t="str">
        <f aca="false">IFERROR(IF($B16="","",IF(INDEX(Einheiten!$B$4:$B$63,MATCH($B16,Einheiten!$A$4:$A$63,0))=0,"",INDEX(Einheiten!$B$4:$B$63,MATCH($B16,Einheiten!$A$4:$A$63,0)))),"")</f>
        <v/>
      </c>
      <c r="B16" s="54" t="n">
        <v>3</v>
      </c>
      <c r="C16" s="73" t="str">
        <f aca="false">IFERROR(IF($D16="","",INDEX(Übungen!$B$4:$B$23,MATCH($D16,Übungen!$A$4:$A$23,0))),"")</f>
        <v>Beine vorne</v>
      </c>
      <c r="D16" s="56" t="s">
        <v>378</v>
      </c>
      <c r="E16" s="67" t="s">
        <v>381</v>
      </c>
      <c r="F16" s="55" t="n">
        <v>110</v>
      </c>
      <c r="G16" s="68" t="n">
        <v>10</v>
      </c>
      <c r="H16" s="55"/>
      <c r="I16" s="49" t="str">
        <f aca="false">IF(AND(ISNUMBER($F16),ISNUMBER($G16),$E16&lt;&gt;"R"),$F16*$G16,"")</f>
        <v/>
      </c>
      <c r="J16" s="51" t="str">
        <f aca="false">IF(AND($E16="A",ISNUMBER($F16),ISNUMBER($G16)),$F16*(1+$G16/30),"")</f>
        <v/>
      </c>
      <c r="K16" s="56" t="s">
        <v>384</v>
      </c>
      <c r="L16" s="56"/>
    </row>
    <row r="17" customFormat="false" ht="15.75" hidden="false" customHeight="true" outlineLevel="0" collapsed="false">
      <c r="A17" s="72" t="str">
        <f aca="false">IFERROR(IF($B17="","",IF(INDEX(Einheiten!$B$4:$B$63,MATCH($B17,Einheiten!$A$4:$A$63,0))=0,"",INDEX(Einheiten!$B$4:$B$63,MATCH($B17,Einheiten!$A$4:$A$63,0)))),"")</f>
        <v/>
      </c>
      <c r="B17" s="54" t="n">
        <v>4</v>
      </c>
      <c r="C17" s="73" t="str">
        <f aca="false">IFERROR(IF($D17="","",INDEX(Übungen!$B$4:$B$23,MATCH($D17,Übungen!$A$4:$A$23,0))),"")</f>
        <v>Beine vorne</v>
      </c>
      <c r="D17" s="56" t="s">
        <v>378</v>
      </c>
      <c r="E17" s="67" t="s">
        <v>379</v>
      </c>
      <c r="F17" s="55" t="n">
        <v>50</v>
      </c>
      <c r="G17" s="68"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2" t="str">
        <f aca="false">IFERROR(IF($B18="","",IF(INDEX(Einheiten!$B$4:$B$63,MATCH($B18,Einheiten!$A$4:$A$63,0))=0,"",INDEX(Einheiten!$B$4:$B$63,MATCH($B18,Einheiten!$A$4:$A$63,0)))),"")</f>
        <v/>
      </c>
      <c r="B18" s="54" t="n">
        <v>4</v>
      </c>
      <c r="C18" s="73" t="str">
        <f aca="false">IFERROR(IF($D18="","",INDEX(Übungen!$B$4:$B$23,MATCH($D18,Übungen!$A$4:$A$23,0))),"")</f>
        <v>Beine vorne</v>
      </c>
      <c r="D18" s="56" t="s">
        <v>378</v>
      </c>
      <c r="E18" s="67" t="s">
        <v>379</v>
      </c>
      <c r="F18" s="55" t="n">
        <v>70</v>
      </c>
      <c r="G18" s="68"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2" t="str">
        <f aca="false">IFERROR(IF($B19="","",IF(INDEX(Einheiten!$B$4:$B$63,MATCH($B19,Einheiten!$A$4:$A$63,0))=0,"",INDEX(Einheiten!$B$4:$B$63,MATCH($B19,Einheiten!$A$4:$A$63,0)))),"")</f>
        <v/>
      </c>
      <c r="B19" s="54" t="n">
        <v>4</v>
      </c>
      <c r="C19" s="73" t="str">
        <f aca="false">IFERROR(IF($D19="","",INDEX(Übungen!$B$4:$B$23,MATCH($D19,Übungen!$A$4:$A$23,0))),"")</f>
        <v>Beine vorne</v>
      </c>
      <c r="D19" s="56" t="s">
        <v>378</v>
      </c>
      <c r="E19" s="67" t="s">
        <v>380</v>
      </c>
      <c r="F19" s="55" t="n">
        <v>152.5</v>
      </c>
      <c r="G19" s="68" t="n">
        <v>25</v>
      </c>
      <c r="H19" s="55"/>
      <c r="I19" s="49" t="n">
        <f aca="false">IF(AND(ISNUMBER($F19),ISNUMBER($G19),$E19&lt;&gt;"R"),$F19*$G19,"")</f>
        <v>3812.5</v>
      </c>
      <c r="J19" s="51" t="n">
        <f aca="false">IF(AND($E19="A",ISNUMBER($F19),ISNUMBER($G19)),$F19*(1+$G19/30),"")</f>
        <v>279.583333333333</v>
      </c>
      <c r="K19" s="56"/>
      <c r="L19" s="56" t="s">
        <v>385</v>
      </c>
    </row>
    <row r="20" customFormat="false" ht="15.75" hidden="false" customHeight="true" outlineLevel="0" collapsed="false">
      <c r="A20" s="72" t="str">
        <f aca="false">IFERROR(IF($B20="","",IF(INDEX(Einheiten!$B$4:$B$63,MATCH($B20,Einheiten!$A$4:$A$63,0))=0,"",INDEX(Einheiten!$B$4:$B$63,MATCH($B20,Einheiten!$A$4:$A$63,0)))),"")</f>
        <v/>
      </c>
      <c r="B20" s="54" t="n">
        <v>4</v>
      </c>
      <c r="C20" s="73" t="str">
        <f aca="false">IFERROR(IF($D20="","",INDEX(Übungen!$B$4:$B$23,MATCH($D20,Übungen!$A$4:$A$23,0))),"")</f>
        <v>Beine vorne</v>
      </c>
      <c r="D20" s="56" t="s">
        <v>378</v>
      </c>
      <c r="E20" s="67" t="s">
        <v>380</v>
      </c>
      <c r="F20" s="55" t="n">
        <v>152.5</v>
      </c>
      <c r="G20" s="68" t="n">
        <v>20</v>
      </c>
      <c r="H20" s="55"/>
      <c r="I20" s="49" t="n">
        <f aca="false">IF(AND(ISNUMBER($F20),ISNUMBER($G20),$E20&lt;&gt;"R"),$F20*$G20,"")</f>
        <v>3050</v>
      </c>
      <c r="J20" s="51" t="n">
        <f aca="false">IF(AND($E20="A",ISNUMBER($F20),ISNUMBER($G20)),$F20*(1+$G20/30),"")</f>
        <v>254.166666666667</v>
      </c>
      <c r="K20" s="56"/>
      <c r="L20" s="56" t="s">
        <v>385</v>
      </c>
    </row>
    <row r="21" customFormat="false" ht="15.75" hidden="false" customHeight="true" outlineLevel="0" collapsed="false">
      <c r="A21" s="72" t="str">
        <f aca="false">IFERROR(IF($B21="","",IF(INDEX(Einheiten!$B$4:$B$63,MATCH($B21,Einheiten!$A$4:$A$63,0))=0,"",INDEX(Einheiten!$B$4:$B$63,MATCH($B21,Einheiten!$A$4:$A$63,0)))),"")</f>
        <v/>
      </c>
      <c r="B21" s="54" t="n">
        <v>4</v>
      </c>
      <c r="C21" s="73" t="str">
        <f aca="false">IFERROR(IF($D21="","",INDEX(Übungen!$B$4:$B$23,MATCH($D21,Übungen!$A$4:$A$23,0))),"")</f>
        <v>Beine vorne</v>
      </c>
      <c r="D21" s="56" t="s">
        <v>378</v>
      </c>
      <c r="E21" s="67" t="s">
        <v>381</v>
      </c>
      <c r="F21" s="55" t="n">
        <v>125</v>
      </c>
      <c r="G21" s="68" t="n">
        <v>6</v>
      </c>
      <c r="H21" s="55"/>
      <c r="I21" s="49" t="str">
        <f aca="false">IF(AND(ISNUMBER($F21),ISNUMBER($G21),$E21&lt;&gt;"R"),$F21*$G21,"")</f>
        <v/>
      </c>
      <c r="J21" s="51" t="str">
        <f aca="false">IF(AND($E21="A",ISNUMBER($F21),ISNUMBER($G21)),$F21*(1+$G21/30),"")</f>
        <v/>
      </c>
      <c r="K21" s="56" t="s">
        <v>386</v>
      </c>
      <c r="L21" s="56"/>
    </row>
    <row r="22" customFormat="false" ht="15.75" hidden="false" customHeight="true" outlineLevel="0" collapsed="false">
      <c r="A22" s="72" t="str">
        <f aca="false">IFERROR(IF($B22="","",IF(INDEX(Einheiten!$B$4:$B$63,MATCH($B22,Einheiten!$A$4:$A$63,0))=0,"",INDEX(Einheiten!$B$4:$B$63,MATCH($B22,Einheiten!$A$4:$A$63,0)))),"")</f>
        <v/>
      </c>
      <c r="B22" s="54" t="n">
        <v>1</v>
      </c>
      <c r="C22" s="73" t="str">
        <f aca="false">IFERROR(IF($D22="","",INDEX(Übungen!$B$4:$B$23,MATCH($D22,Übungen!$A$4:$A$23,0))),"")</f>
        <v>Beine vorne</v>
      </c>
      <c r="D22" s="56" t="s">
        <v>387</v>
      </c>
      <c r="E22" s="67" t="s">
        <v>379</v>
      </c>
      <c r="F22" s="55" t="n">
        <v>15</v>
      </c>
      <c r="G22" s="68"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2" t="str">
        <f aca="false">IFERROR(IF($B23="","",IF(INDEX(Einheiten!$B$4:$B$63,MATCH($B23,Einheiten!$A$4:$A$63,0))=0,"",INDEX(Einheiten!$B$4:$B$63,MATCH($B23,Einheiten!$A$4:$A$63,0)))),"")</f>
        <v/>
      </c>
      <c r="B23" s="54" t="n">
        <v>1</v>
      </c>
      <c r="C23" s="73" t="str">
        <f aca="false">IFERROR(IF($D23="","",INDEX(Übungen!$B$4:$B$23,MATCH($D23,Übungen!$A$4:$A$23,0))),"")</f>
        <v>Beine vorne</v>
      </c>
      <c r="D23" s="56" t="s">
        <v>387</v>
      </c>
      <c r="E23" s="67" t="s">
        <v>379</v>
      </c>
      <c r="F23" s="55" t="n">
        <v>30</v>
      </c>
      <c r="G23" s="68"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2" t="str">
        <f aca="false">IFERROR(IF($B24="","",IF(INDEX(Einheiten!$B$4:$B$63,MATCH($B24,Einheiten!$A$4:$A$63,0))=0,"",INDEX(Einheiten!$B$4:$B$63,MATCH($B24,Einheiten!$A$4:$A$63,0)))),"")</f>
        <v/>
      </c>
      <c r="B24" s="54" t="n">
        <v>1</v>
      </c>
      <c r="C24" s="73" t="str">
        <f aca="false">IFERROR(IF($D24="","",INDEX(Übungen!$B$4:$B$23,MATCH($D24,Übungen!$A$4:$A$23,0))),"")</f>
        <v>Beine vorne</v>
      </c>
      <c r="D24" s="56" t="s">
        <v>387</v>
      </c>
      <c r="E24" s="67" t="s">
        <v>380</v>
      </c>
      <c r="F24" s="55" t="n">
        <v>65</v>
      </c>
      <c r="G24" s="68"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2" t="str">
        <f aca="false">IFERROR(IF($B25="","",IF(INDEX(Einheiten!$B$4:$B$63,MATCH($B25,Einheiten!$A$4:$A$63,0))=0,"",INDEX(Einheiten!$B$4:$B$63,MATCH($B25,Einheiten!$A$4:$A$63,0)))),"")</f>
        <v/>
      </c>
      <c r="B25" s="54" t="n">
        <v>1</v>
      </c>
      <c r="C25" s="73" t="str">
        <f aca="false">IFERROR(IF($D25="","",INDEX(Übungen!$B$4:$B$23,MATCH($D25,Übungen!$A$4:$A$23,0))),"")</f>
        <v>Beine vorne</v>
      </c>
      <c r="D25" s="56" t="s">
        <v>387</v>
      </c>
      <c r="E25" s="67" t="s">
        <v>380</v>
      </c>
      <c r="F25" s="55" t="n">
        <v>75</v>
      </c>
      <c r="G25" s="68"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2" t="str">
        <f aca="false">IFERROR(IF($B26="","",IF(INDEX(Einheiten!$B$4:$B$63,MATCH($B26,Einheiten!$A$4:$A$63,0))=0,"",INDEX(Einheiten!$B$4:$B$63,MATCH($B26,Einheiten!$A$4:$A$63,0)))),"")</f>
        <v/>
      </c>
      <c r="B26" s="54" t="n">
        <v>1</v>
      </c>
      <c r="C26" s="73" t="str">
        <f aca="false">IFERROR(IF($D26="","",INDEX(Übungen!$B$4:$B$23,MATCH($D26,Übungen!$A$4:$A$23,0))),"")</f>
        <v>Beine vorne</v>
      </c>
      <c r="D26" s="56" t="s">
        <v>387</v>
      </c>
      <c r="E26" s="67" t="s">
        <v>381</v>
      </c>
      <c r="F26" s="55" t="n">
        <v>55</v>
      </c>
      <c r="G26" s="68"/>
      <c r="H26" s="55"/>
      <c r="I26" s="49" t="str">
        <f aca="false">IF(AND(ISNUMBER($F26),ISNUMBER($G26),$E26&lt;&gt;"R"),$F26*$G26,"")</f>
        <v/>
      </c>
      <c r="J26" s="51" t="str">
        <f aca="false">IF(AND($E26="A",ISNUMBER($F26),ISNUMBER($G26)),$F26*(1+$G26/30),"")</f>
        <v/>
      </c>
      <c r="K26" s="56" t="s">
        <v>388</v>
      </c>
      <c r="L26" s="56" t="s">
        <v>389</v>
      </c>
    </row>
    <row r="27" customFormat="false" ht="15.75" hidden="false" customHeight="true" outlineLevel="0" collapsed="false">
      <c r="A27" s="72" t="str">
        <f aca="false">IFERROR(IF($B27="","",IF(INDEX(Einheiten!$B$4:$B$63,MATCH($B27,Einheiten!$A$4:$A$63,0))=0,"",INDEX(Einheiten!$B$4:$B$63,MATCH($B27,Einheiten!$A$4:$A$63,0)))),"")</f>
        <v/>
      </c>
      <c r="B27" s="54" t="n">
        <v>2</v>
      </c>
      <c r="C27" s="73" t="str">
        <f aca="false">IFERROR(IF($D27="","",INDEX(Übungen!$B$4:$B$23,MATCH($D27,Übungen!$A$4:$A$23,0))),"")</f>
        <v>Beine vorne</v>
      </c>
      <c r="D27" s="56" t="s">
        <v>387</v>
      </c>
      <c r="E27" s="67" t="s">
        <v>379</v>
      </c>
      <c r="F27" s="55" t="n">
        <v>10</v>
      </c>
      <c r="G27" s="68"/>
      <c r="H27" s="55"/>
      <c r="I27" s="49" t="str">
        <f aca="false">IF(AND(ISNUMBER($F27),ISNUMBER($G27),$E27&lt;&gt;"R"),$F27*$G27,"")</f>
        <v/>
      </c>
      <c r="J27" s="51" t="str">
        <f aca="false">IF(AND($E27="A",ISNUMBER($F27),ISNUMBER($G27)),$F27*(1+$G27/30),"")</f>
        <v/>
      </c>
      <c r="K27" s="56"/>
      <c r="L27" s="56" t="s">
        <v>390</v>
      </c>
    </row>
    <row r="28" customFormat="false" ht="15.75" hidden="false" customHeight="true" outlineLevel="0" collapsed="false">
      <c r="A28" s="72" t="str">
        <f aca="false">IFERROR(IF($B28="","",IF(INDEX(Einheiten!$B$4:$B$63,MATCH($B28,Einheiten!$A$4:$A$63,0))=0,"",INDEX(Einheiten!$B$4:$B$63,MATCH($B28,Einheiten!$A$4:$A$63,0)))),"")</f>
        <v/>
      </c>
      <c r="B28" s="54" t="n">
        <v>2</v>
      </c>
      <c r="C28" s="73" t="str">
        <f aca="false">IFERROR(IF($D28="","",INDEX(Übungen!$B$4:$B$23,MATCH($D28,Übungen!$A$4:$A$23,0))),"")</f>
        <v>Beine vorne</v>
      </c>
      <c r="D28" s="56" t="s">
        <v>387</v>
      </c>
      <c r="E28" s="67" t="s">
        <v>379</v>
      </c>
      <c r="F28" s="55" t="n">
        <v>20</v>
      </c>
      <c r="G28" s="68"/>
      <c r="H28" s="55"/>
      <c r="I28" s="49" t="str">
        <f aca="false">IF(AND(ISNUMBER($F28),ISNUMBER($G28),$E28&lt;&gt;"R"),$F28*$G28,"")</f>
        <v/>
      </c>
      <c r="J28" s="51" t="str">
        <f aca="false">IF(AND($E28="A",ISNUMBER($F28),ISNUMBER($G28)),$F28*(1+$G28/30),"")</f>
        <v/>
      </c>
      <c r="K28" s="56"/>
      <c r="L28" s="56" t="s">
        <v>390</v>
      </c>
    </row>
    <row r="29" customFormat="false" ht="15.75" hidden="false" customHeight="true" outlineLevel="0" collapsed="false">
      <c r="A29" s="72" t="str">
        <f aca="false">IFERROR(IF($B29="","",IF(INDEX(Einheiten!$B$4:$B$63,MATCH($B29,Einheiten!$A$4:$A$63,0))=0,"",INDEX(Einheiten!$B$4:$B$63,MATCH($B29,Einheiten!$A$4:$A$63,0)))),"")</f>
        <v/>
      </c>
      <c r="B29" s="54" t="n">
        <v>2</v>
      </c>
      <c r="C29" s="73" t="str">
        <f aca="false">IFERROR(IF($D29="","",INDEX(Übungen!$B$4:$B$23,MATCH($D29,Übungen!$A$4:$A$23,0))),"")</f>
        <v>Beine vorne</v>
      </c>
      <c r="D29" s="56" t="s">
        <v>387</v>
      </c>
      <c r="E29" s="67" t="s">
        <v>380</v>
      </c>
      <c r="F29" s="55" t="n">
        <v>70</v>
      </c>
      <c r="G29" s="68"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2" t="str">
        <f aca="false">IFERROR(IF($B30="","",IF(INDEX(Einheiten!$B$4:$B$63,MATCH($B30,Einheiten!$A$4:$A$63,0))=0,"",INDEX(Einheiten!$B$4:$B$63,MATCH($B30,Einheiten!$A$4:$A$63,0)))),"")</f>
        <v/>
      </c>
      <c r="B30" s="54" t="n">
        <v>2</v>
      </c>
      <c r="C30" s="73" t="str">
        <f aca="false">IFERROR(IF($D30="","",INDEX(Übungen!$B$4:$B$23,MATCH($D30,Übungen!$A$4:$A$23,0))),"")</f>
        <v>Beine vorne</v>
      </c>
      <c r="D30" s="56" t="s">
        <v>387</v>
      </c>
      <c r="E30" s="67" t="s">
        <v>380</v>
      </c>
      <c r="F30" s="55" t="n">
        <v>80</v>
      </c>
      <c r="G30" s="68"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2" t="str">
        <f aca="false">IFERROR(IF($B31="","",IF(INDEX(Einheiten!$B$4:$B$63,MATCH($B31,Einheiten!$A$4:$A$63,0))=0,"",INDEX(Einheiten!$B$4:$B$63,MATCH($B31,Einheiten!$A$4:$A$63,0)))),"")</f>
        <v/>
      </c>
      <c r="B31" s="54" t="n">
        <v>2</v>
      </c>
      <c r="C31" s="73" t="str">
        <f aca="false">IFERROR(IF($D31="","",INDEX(Übungen!$B$4:$B$23,MATCH($D31,Übungen!$A$4:$A$23,0))),"")</f>
        <v>Beine vorne</v>
      </c>
      <c r="D31" s="56" t="s">
        <v>387</v>
      </c>
      <c r="E31" s="67" t="s">
        <v>381</v>
      </c>
      <c r="F31" s="55" t="n">
        <v>60</v>
      </c>
      <c r="G31" s="68" t="n">
        <v>10</v>
      </c>
      <c r="H31" s="55"/>
      <c r="I31" s="49" t="str">
        <f aca="false">IF(AND(ISNUMBER($F31),ISNUMBER($G31),$E31&lt;&gt;"R"),$F31*$G31,"")</f>
        <v/>
      </c>
      <c r="J31" s="51" t="str">
        <f aca="false">IF(AND($E31="A",ISNUMBER($F31),ISNUMBER($G31)),$F31*(1+$G31/30),"")</f>
        <v/>
      </c>
      <c r="K31" s="56" t="s">
        <v>391</v>
      </c>
      <c r="L31" s="56"/>
    </row>
    <row r="32" customFormat="false" ht="15.75" hidden="false" customHeight="true" outlineLevel="0" collapsed="false">
      <c r="A32" s="72" t="str">
        <f aca="false">IFERROR(IF($B32="","",IF(INDEX(Einheiten!$B$4:$B$63,MATCH($B32,Einheiten!$A$4:$A$63,0))=0,"",INDEX(Einheiten!$B$4:$B$63,MATCH($B32,Einheiten!$A$4:$A$63,0)))),"")</f>
        <v/>
      </c>
      <c r="B32" s="54" t="n">
        <v>3</v>
      </c>
      <c r="C32" s="73" t="str">
        <f aca="false">IFERROR(IF($D32="","",INDEX(Übungen!$B$4:$B$23,MATCH($D32,Übungen!$A$4:$A$23,0))),"")</f>
        <v>Beine vorne</v>
      </c>
      <c r="D32" s="56" t="s">
        <v>387</v>
      </c>
      <c r="E32" s="67" t="s">
        <v>379</v>
      </c>
      <c r="F32" s="55" t="n">
        <v>15</v>
      </c>
      <c r="G32" s="68"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2" t="str">
        <f aca="false">IFERROR(IF($B33="","",IF(INDEX(Einheiten!$B$4:$B$63,MATCH($B33,Einheiten!$A$4:$A$63,0))=0,"",INDEX(Einheiten!$B$4:$B$63,MATCH($B33,Einheiten!$A$4:$A$63,0)))),"")</f>
        <v/>
      </c>
      <c r="B33" s="54" t="n">
        <v>3</v>
      </c>
      <c r="C33" s="73" t="str">
        <f aca="false">IFERROR(IF($D33="","",INDEX(Übungen!$B$4:$B$23,MATCH($D33,Übungen!$A$4:$A$23,0))),"")</f>
        <v>Beine vorne</v>
      </c>
      <c r="D33" s="56" t="s">
        <v>387</v>
      </c>
      <c r="E33" s="67" t="s">
        <v>379</v>
      </c>
      <c r="F33" s="55" t="n">
        <v>25</v>
      </c>
      <c r="G33" s="68"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2" t="str">
        <f aca="false">IFERROR(IF($B34="","",IF(INDEX(Einheiten!$B$4:$B$63,MATCH($B34,Einheiten!$A$4:$A$63,0))=0,"",INDEX(Einheiten!$B$4:$B$63,MATCH($B34,Einheiten!$A$4:$A$63,0)))),"")</f>
        <v/>
      </c>
      <c r="B34" s="54" t="n">
        <v>3</v>
      </c>
      <c r="C34" s="73" t="str">
        <f aca="false">IFERROR(IF($D34="","",INDEX(Übungen!$B$4:$B$23,MATCH($D34,Übungen!$A$4:$A$23,0))),"")</f>
        <v>Beine vorne</v>
      </c>
      <c r="D34" s="56" t="s">
        <v>387</v>
      </c>
      <c r="E34" s="67" t="s">
        <v>380</v>
      </c>
      <c r="F34" s="55" t="n">
        <v>85</v>
      </c>
      <c r="G34" s="68"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2" t="str">
        <f aca="false">IFERROR(IF($B35="","",IF(INDEX(Einheiten!$B$4:$B$63,MATCH($B35,Einheiten!$A$4:$A$63,0))=0,"",INDEX(Einheiten!$B$4:$B$63,MATCH($B35,Einheiten!$A$4:$A$63,0)))),"")</f>
        <v/>
      </c>
      <c r="B35" s="54" t="n">
        <v>3</v>
      </c>
      <c r="C35" s="73" t="str">
        <f aca="false">IFERROR(IF($D35="","",INDEX(Übungen!$B$4:$B$23,MATCH($D35,Übungen!$A$4:$A$23,0))),"")</f>
        <v>Beine vorne</v>
      </c>
      <c r="D35" s="56" t="s">
        <v>387</v>
      </c>
      <c r="E35" s="67" t="s">
        <v>380</v>
      </c>
      <c r="F35" s="55" t="n">
        <v>75</v>
      </c>
      <c r="G35" s="68"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2" t="str">
        <f aca="false">IFERROR(IF($B36="","",IF(INDEX(Einheiten!$B$4:$B$63,MATCH($B36,Einheiten!$A$4:$A$63,0))=0,"",INDEX(Einheiten!$B$4:$B$63,MATCH($B36,Einheiten!$A$4:$A$63,0)))),"")</f>
        <v/>
      </c>
      <c r="B36" s="54" t="n">
        <v>3</v>
      </c>
      <c r="C36" s="73" t="str">
        <f aca="false">IFERROR(IF($D36="","",INDEX(Übungen!$B$4:$B$23,MATCH($D36,Übungen!$A$4:$A$23,0))),"")</f>
        <v>Beine vorne</v>
      </c>
      <c r="D36" s="56" t="s">
        <v>387</v>
      </c>
      <c r="E36" s="67" t="s">
        <v>381</v>
      </c>
      <c r="F36" s="55" t="n">
        <v>65</v>
      </c>
      <c r="G36" s="68" t="n">
        <v>10</v>
      </c>
      <c r="H36" s="55"/>
      <c r="I36" s="49" t="str">
        <f aca="false">IF(AND(ISNUMBER($F36),ISNUMBER($G36),$E36&lt;&gt;"R"),$F36*$G36,"")</f>
        <v/>
      </c>
      <c r="J36" s="51" t="str">
        <f aca="false">IF(AND($E36="A",ISNUMBER($F36),ISNUMBER($G36)),$F36*(1+$G36/30),"")</f>
        <v/>
      </c>
      <c r="K36" s="56" t="s">
        <v>392</v>
      </c>
      <c r="L36" s="56"/>
    </row>
    <row r="37" customFormat="false" ht="15.75" hidden="false" customHeight="true" outlineLevel="0" collapsed="false">
      <c r="A37" s="72" t="str">
        <f aca="false">IFERROR(IF($B37="","",IF(INDEX(Einheiten!$B$4:$B$63,MATCH($B37,Einheiten!$A$4:$A$63,0))=0,"",INDEX(Einheiten!$B$4:$B$63,MATCH($B37,Einheiten!$A$4:$A$63,0)))),"")</f>
        <v/>
      </c>
      <c r="B37" s="54" t="n">
        <v>4</v>
      </c>
      <c r="C37" s="73" t="str">
        <f aca="false">IFERROR(IF($D37="","",INDEX(Übungen!$B$4:$B$23,MATCH($D37,Übungen!$A$4:$A$23,0))),"")</f>
        <v>Beine vorne</v>
      </c>
      <c r="D37" s="56" t="s">
        <v>387</v>
      </c>
      <c r="E37" s="67" t="s">
        <v>379</v>
      </c>
      <c r="F37" s="55" t="n">
        <v>15</v>
      </c>
      <c r="G37" s="68"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2" t="str">
        <f aca="false">IFERROR(IF($B38="","",IF(INDEX(Einheiten!$B$4:$B$63,MATCH($B38,Einheiten!$A$4:$A$63,0))=0,"",INDEX(Einheiten!$B$4:$B$63,MATCH($B38,Einheiten!$A$4:$A$63,0)))),"")</f>
        <v/>
      </c>
      <c r="B38" s="54" t="n">
        <v>4</v>
      </c>
      <c r="C38" s="73" t="str">
        <f aca="false">IFERROR(IF($D38="","",INDEX(Übungen!$B$4:$B$23,MATCH($D38,Übungen!$A$4:$A$23,0))),"")</f>
        <v>Beine vorne</v>
      </c>
      <c r="D38" s="56" t="s">
        <v>387</v>
      </c>
      <c r="E38" s="67" t="s">
        <v>379</v>
      </c>
      <c r="F38" s="55" t="n">
        <v>30</v>
      </c>
      <c r="G38" s="68"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2" t="str">
        <f aca="false">IFERROR(IF($B39="","",IF(INDEX(Einheiten!$B$4:$B$63,MATCH($B39,Einheiten!$A$4:$A$63,0))=0,"",INDEX(Einheiten!$B$4:$B$63,MATCH($B39,Einheiten!$A$4:$A$63,0)))),"")</f>
        <v/>
      </c>
      <c r="B39" s="54" t="n">
        <v>4</v>
      </c>
      <c r="C39" s="73" t="str">
        <f aca="false">IFERROR(IF($D39="","",INDEX(Übungen!$B$4:$B$23,MATCH($D39,Übungen!$A$4:$A$23,0))),"")</f>
        <v>Beine vorne</v>
      </c>
      <c r="D39" s="56" t="s">
        <v>387</v>
      </c>
      <c r="E39" s="67" t="s">
        <v>380</v>
      </c>
      <c r="F39" s="55" t="n">
        <v>80</v>
      </c>
      <c r="G39" s="68"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2" t="str">
        <f aca="false">IFERROR(IF($B40="","",IF(INDEX(Einheiten!$B$4:$B$63,MATCH($B40,Einheiten!$A$4:$A$63,0))=0,"",INDEX(Einheiten!$B$4:$B$63,MATCH($B40,Einheiten!$A$4:$A$63,0)))),"")</f>
        <v/>
      </c>
      <c r="B40" s="54" t="n">
        <v>4</v>
      </c>
      <c r="C40" s="73" t="str">
        <f aca="false">IFERROR(IF($D40="","",INDEX(Übungen!$B$4:$B$23,MATCH($D40,Übungen!$A$4:$A$23,0))),"")</f>
        <v>Beine vorne</v>
      </c>
      <c r="D40" s="56" t="s">
        <v>387</v>
      </c>
      <c r="E40" s="67" t="s">
        <v>380</v>
      </c>
      <c r="F40" s="55" t="n">
        <v>80</v>
      </c>
      <c r="G40" s="68"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2" t="str">
        <f aca="false">IFERROR(IF($B41="","",IF(INDEX(Einheiten!$B$4:$B$63,MATCH($B41,Einheiten!$A$4:$A$63,0))=0,"",INDEX(Einheiten!$B$4:$B$63,MATCH($B41,Einheiten!$A$4:$A$63,0)))),"")</f>
        <v/>
      </c>
      <c r="B41" s="54" t="n">
        <v>4</v>
      </c>
      <c r="C41" s="73" t="str">
        <f aca="false">IFERROR(IF($D41="","",INDEX(Übungen!$B$4:$B$23,MATCH($D41,Übungen!$A$4:$A$23,0))),"")</f>
        <v>Beine vorne</v>
      </c>
      <c r="D41" s="56" t="s">
        <v>387</v>
      </c>
      <c r="E41" s="67" t="s">
        <v>381</v>
      </c>
      <c r="F41" s="55" t="n">
        <v>70</v>
      </c>
      <c r="G41" s="68" t="n">
        <v>6</v>
      </c>
      <c r="H41" s="55"/>
      <c r="I41" s="49" t="str">
        <f aca="false">IF(AND(ISNUMBER($F41),ISNUMBER($G41),$E41&lt;&gt;"R"),$F41*$G41,"")</f>
        <v/>
      </c>
      <c r="J41" s="51" t="str">
        <f aca="false">IF(AND($E41="A",ISNUMBER($F41),ISNUMBER($G41)),$F41*(1+$G41/30),"")</f>
        <v/>
      </c>
      <c r="K41" s="56" t="s">
        <v>393</v>
      </c>
      <c r="L41" s="56"/>
    </row>
    <row r="42" customFormat="false" ht="15.75" hidden="false" customHeight="true" outlineLevel="0" collapsed="false">
      <c r="A42" s="72" t="str">
        <f aca="false">IFERROR(IF($B42="","",IF(INDEX(Einheiten!$B$4:$B$63,MATCH($B42,Einheiten!$A$4:$A$63,0))=0,"",INDEX(Einheiten!$B$4:$B$63,MATCH($B42,Einheiten!$A$4:$A$63,0)))),"")</f>
        <v/>
      </c>
      <c r="B42" s="54" t="n">
        <v>1</v>
      </c>
      <c r="C42" s="73" t="str">
        <f aca="false">IFERROR(IF($D42="","",INDEX(Übungen!$B$4:$B$23,MATCH($D42,Übungen!$A$4:$A$23,0))),"")</f>
        <v>Beine vorne</v>
      </c>
      <c r="D42" s="56" t="s">
        <v>394</v>
      </c>
      <c r="E42" s="67" t="s">
        <v>379</v>
      </c>
      <c r="F42" s="55" t="n">
        <v>20</v>
      </c>
      <c r="G42" s="68"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2" t="str">
        <f aca="false">IFERROR(IF($B43="","",IF(INDEX(Einheiten!$B$4:$B$63,MATCH($B43,Einheiten!$A$4:$A$63,0))=0,"",INDEX(Einheiten!$B$4:$B$63,MATCH($B43,Einheiten!$A$4:$A$63,0)))),"")</f>
        <v/>
      </c>
      <c r="B43" s="54" t="n">
        <v>1</v>
      </c>
      <c r="C43" s="73" t="str">
        <f aca="false">IFERROR(IF($D43="","",INDEX(Übungen!$B$4:$B$23,MATCH($D43,Übungen!$A$4:$A$23,0))),"")</f>
        <v>Beine vorne</v>
      </c>
      <c r="D43" s="56" t="s">
        <v>394</v>
      </c>
      <c r="E43" s="67" t="s">
        <v>379</v>
      </c>
      <c r="F43" s="55" t="n">
        <v>40</v>
      </c>
      <c r="G43" s="68"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2" t="str">
        <f aca="false">IFERROR(IF($B44="","",IF(INDEX(Einheiten!$B$4:$B$63,MATCH($B44,Einheiten!$A$4:$A$63,0))=0,"",INDEX(Einheiten!$B$4:$B$63,MATCH($B44,Einheiten!$A$4:$A$63,0)))),"")</f>
        <v/>
      </c>
      <c r="B44" s="54" t="n">
        <v>1</v>
      </c>
      <c r="C44" s="73" t="str">
        <f aca="false">IFERROR(IF($D44="","",INDEX(Übungen!$B$4:$B$23,MATCH($D44,Übungen!$A$4:$A$23,0))),"")</f>
        <v>Beine vorne</v>
      </c>
      <c r="D44" s="56" t="s">
        <v>394</v>
      </c>
      <c r="E44" s="67" t="s">
        <v>380</v>
      </c>
      <c r="F44" s="55" t="n">
        <v>80</v>
      </c>
      <c r="G44" s="68"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2" t="str">
        <f aca="false">IFERROR(IF($B45="","",IF(INDEX(Einheiten!$B$4:$B$63,MATCH($B45,Einheiten!$A$4:$A$63,0))=0,"",INDEX(Einheiten!$B$4:$B$63,MATCH($B45,Einheiten!$A$4:$A$63,0)))),"")</f>
        <v/>
      </c>
      <c r="B45" s="54" t="n">
        <v>1</v>
      </c>
      <c r="C45" s="73" t="str">
        <f aca="false">IFERROR(IF($D45="","",INDEX(Übungen!$B$4:$B$23,MATCH($D45,Übungen!$A$4:$A$23,0))),"")</f>
        <v>Beine vorne</v>
      </c>
      <c r="D45" s="56" t="s">
        <v>394</v>
      </c>
      <c r="E45" s="67" t="s">
        <v>380</v>
      </c>
      <c r="F45" s="55" t="n">
        <v>90</v>
      </c>
      <c r="G45" s="68"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2" t="str">
        <f aca="false">IFERROR(IF($B46="","",IF(INDEX(Einheiten!$B$4:$B$63,MATCH($B46,Einheiten!$A$4:$A$63,0))=0,"",INDEX(Einheiten!$B$4:$B$63,MATCH($B46,Einheiten!$A$4:$A$63,0)))),"")</f>
        <v/>
      </c>
      <c r="B46" s="54" t="n">
        <v>1</v>
      </c>
      <c r="C46" s="73" t="str">
        <f aca="false">IFERROR(IF($D46="","",INDEX(Übungen!$B$4:$B$23,MATCH($D46,Übungen!$A$4:$A$23,0))),"")</f>
        <v>Beine vorne</v>
      </c>
      <c r="D46" s="56" t="s">
        <v>394</v>
      </c>
      <c r="E46" s="67" t="s">
        <v>380</v>
      </c>
      <c r="F46" s="55" t="n">
        <v>100</v>
      </c>
      <c r="G46" s="68"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2" t="str">
        <f aca="false">IFERROR(IF($B47="","",IF(INDEX(Einheiten!$B$4:$B$63,MATCH($B47,Einheiten!$A$4:$A$63,0))=0,"",INDEX(Einheiten!$B$4:$B$63,MATCH($B47,Einheiten!$A$4:$A$63,0)))),"")</f>
        <v/>
      </c>
      <c r="B47" s="54" t="n">
        <v>2</v>
      </c>
      <c r="C47" s="73" t="str">
        <f aca="false">IFERROR(IF($D47="","",INDEX(Übungen!$B$4:$B$23,MATCH($D47,Übungen!$A$4:$A$23,0))),"")</f>
        <v>Beine vorne</v>
      </c>
      <c r="D47" s="56" t="s">
        <v>394</v>
      </c>
      <c r="E47" s="67" t="s">
        <v>379</v>
      </c>
      <c r="F47" s="55" t="n">
        <v>30</v>
      </c>
      <c r="G47" s="68"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2" t="str">
        <f aca="false">IFERROR(IF($B48="","",IF(INDEX(Einheiten!$B$4:$B$63,MATCH($B48,Einheiten!$A$4:$A$63,0))=0,"",INDEX(Einheiten!$B$4:$B$63,MATCH($B48,Einheiten!$A$4:$A$63,0)))),"")</f>
        <v/>
      </c>
      <c r="B48" s="54" t="n">
        <v>2</v>
      </c>
      <c r="C48" s="73" t="str">
        <f aca="false">IFERROR(IF($D48="","",INDEX(Übungen!$B$4:$B$23,MATCH($D48,Übungen!$A$4:$A$23,0))),"")</f>
        <v>Beine vorne</v>
      </c>
      <c r="D48" s="56" t="s">
        <v>394</v>
      </c>
      <c r="E48" s="67" t="s">
        <v>379</v>
      </c>
      <c r="F48" s="55" t="n">
        <v>50</v>
      </c>
      <c r="G48" s="68"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2" t="str">
        <f aca="false">IFERROR(IF($B49="","",IF(INDEX(Einheiten!$B$4:$B$63,MATCH($B49,Einheiten!$A$4:$A$63,0))=0,"",INDEX(Einheiten!$B$4:$B$63,MATCH($B49,Einheiten!$A$4:$A$63,0)))),"")</f>
        <v/>
      </c>
      <c r="B49" s="54" t="n">
        <v>2</v>
      </c>
      <c r="C49" s="73" t="str">
        <f aca="false">IFERROR(IF($D49="","",INDEX(Übungen!$B$4:$B$23,MATCH($D49,Übungen!$A$4:$A$23,0))),"")</f>
        <v>Beine vorne</v>
      </c>
      <c r="D49" s="56" t="s">
        <v>394</v>
      </c>
      <c r="E49" s="67" t="s">
        <v>380</v>
      </c>
      <c r="F49" s="55" t="n">
        <v>85</v>
      </c>
      <c r="G49" s="68"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2" t="str">
        <f aca="false">IFERROR(IF($B50="","",IF(INDEX(Einheiten!$B$4:$B$63,MATCH($B50,Einheiten!$A$4:$A$63,0))=0,"",INDEX(Einheiten!$B$4:$B$63,MATCH($B50,Einheiten!$A$4:$A$63,0)))),"")</f>
        <v/>
      </c>
      <c r="B50" s="54" t="n">
        <v>2</v>
      </c>
      <c r="C50" s="73" t="str">
        <f aca="false">IFERROR(IF($D50="","",INDEX(Übungen!$B$4:$B$23,MATCH($D50,Übungen!$A$4:$A$23,0))),"")</f>
        <v>Beine vorne</v>
      </c>
      <c r="D50" s="56" t="s">
        <v>394</v>
      </c>
      <c r="E50" s="67" t="s">
        <v>380</v>
      </c>
      <c r="F50" s="55" t="n">
        <v>95</v>
      </c>
      <c r="G50" s="68"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2" t="str">
        <f aca="false">IFERROR(IF($B51="","",IF(INDEX(Einheiten!$B$4:$B$63,MATCH($B51,Einheiten!$A$4:$A$63,0))=0,"",INDEX(Einheiten!$B$4:$B$63,MATCH($B51,Einheiten!$A$4:$A$63,0)))),"")</f>
        <v/>
      </c>
      <c r="B51" s="54" t="n">
        <v>2</v>
      </c>
      <c r="C51" s="73" t="str">
        <f aca="false">IFERROR(IF($D51="","",INDEX(Übungen!$B$4:$B$23,MATCH($D51,Übungen!$A$4:$A$23,0))),"")</f>
        <v>Beine vorne</v>
      </c>
      <c r="D51" s="56" t="s">
        <v>394</v>
      </c>
      <c r="E51" s="67" t="s">
        <v>380</v>
      </c>
      <c r="F51" s="55" t="n">
        <v>105</v>
      </c>
      <c r="G51" s="68"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2" t="str">
        <f aca="false">IFERROR(IF($B52="","",IF(INDEX(Einheiten!$B$4:$B$63,MATCH($B52,Einheiten!$A$4:$A$63,0))=0,"",INDEX(Einheiten!$B$4:$B$63,MATCH($B52,Einheiten!$A$4:$A$63,0)))),"")</f>
        <v/>
      </c>
      <c r="B52" s="54" t="n">
        <v>3</v>
      </c>
      <c r="C52" s="73" t="str">
        <f aca="false">IFERROR(IF($D52="","",INDEX(Übungen!$B$4:$B$23,MATCH($D52,Übungen!$A$4:$A$23,0))),"")</f>
        <v>Beine vorne</v>
      </c>
      <c r="D52" s="56" t="s">
        <v>394</v>
      </c>
      <c r="E52" s="67" t="s">
        <v>379</v>
      </c>
      <c r="F52" s="55" t="n">
        <v>40</v>
      </c>
      <c r="G52" s="68"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2" t="str">
        <f aca="false">IFERROR(IF($B53="","",IF(INDEX(Einheiten!$B$4:$B$63,MATCH($B53,Einheiten!$A$4:$A$63,0))=0,"",INDEX(Einheiten!$B$4:$B$63,MATCH($B53,Einheiten!$A$4:$A$63,0)))),"")</f>
        <v/>
      </c>
      <c r="B53" s="54" t="n">
        <v>3</v>
      </c>
      <c r="C53" s="73" t="str">
        <f aca="false">IFERROR(IF($D53="","",INDEX(Übungen!$B$4:$B$23,MATCH($D53,Übungen!$A$4:$A$23,0))),"")</f>
        <v>Beine vorne</v>
      </c>
      <c r="D53" s="56" t="s">
        <v>394</v>
      </c>
      <c r="E53" s="67" t="s">
        <v>379</v>
      </c>
      <c r="F53" s="55" t="n">
        <v>60</v>
      </c>
      <c r="G53" s="68"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2" t="str">
        <f aca="false">IFERROR(IF($B54="","",IF(INDEX(Einheiten!$B$4:$B$63,MATCH($B54,Einheiten!$A$4:$A$63,0))=0,"",INDEX(Einheiten!$B$4:$B$63,MATCH($B54,Einheiten!$A$4:$A$63,0)))),"")</f>
        <v/>
      </c>
      <c r="B54" s="54" t="n">
        <v>3</v>
      </c>
      <c r="C54" s="73" t="str">
        <f aca="false">IFERROR(IF($D54="","",INDEX(Übungen!$B$4:$B$23,MATCH($D54,Übungen!$A$4:$A$23,0))),"")</f>
        <v>Beine vorne</v>
      </c>
      <c r="D54" s="56" t="s">
        <v>394</v>
      </c>
      <c r="E54" s="67" t="s">
        <v>380</v>
      </c>
      <c r="F54" s="55" t="n">
        <v>100</v>
      </c>
      <c r="G54" s="68"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2" t="str">
        <f aca="false">IFERROR(IF($B55="","",IF(INDEX(Einheiten!$B$4:$B$63,MATCH($B55,Einheiten!$A$4:$A$63,0))=0,"",INDEX(Einheiten!$B$4:$B$63,MATCH($B55,Einheiten!$A$4:$A$63,0)))),"")</f>
        <v/>
      </c>
      <c r="B55" s="54" t="n">
        <v>3</v>
      </c>
      <c r="C55" s="73" t="str">
        <f aca="false">IFERROR(IF($D55="","",INDEX(Übungen!$B$4:$B$23,MATCH($D55,Übungen!$A$4:$A$23,0))),"")</f>
        <v>Beine vorne</v>
      </c>
      <c r="D55" s="56" t="s">
        <v>394</v>
      </c>
      <c r="E55" s="67" t="s">
        <v>380</v>
      </c>
      <c r="F55" s="55" t="n">
        <v>95</v>
      </c>
      <c r="G55" s="68"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2" t="str">
        <f aca="false">IFERROR(IF($B56="","",IF(INDEX(Einheiten!$B$4:$B$63,MATCH($B56,Einheiten!$A$4:$A$63,0))=0,"",INDEX(Einheiten!$B$4:$B$63,MATCH($B56,Einheiten!$A$4:$A$63,0)))),"")</f>
        <v/>
      </c>
      <c r="B56" s="54" t="n">
        <v>3</v>
      </c>
      <c r="C56" s="73" t="str">
        <f aca="false">IFERROR(IF($D56="","",INDEX(Übungen!$B$4:$B$23,MATCH($D56,Übungen!$A$4:$A$23,0))),"")</f>
        <v>Beine vorne</v>
      </c>
      <c r="D56" s="56" t="s">
        <v>394</v>
      </c>
      <c r="E56" s="67" t="s">
        <v>380</v>
      </c>
      <c r="F56" s="55" t="n">
        <v>90</v>
      </c>
      <c r="G56" s="68"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2" t="str">
        <f aca="false">IFERROR(IF($B57="","",IF(INDEX(Einheiten!$B$4:$B$63,MATCH($B57,Einheiten!$A$4:$A$63,0))=0,"",INDEX(Einheiten!$B$4:$B$63,MATCH($B57,Einheiten!$A$4:$A$63,0)))),"")</f>
        <v/>
      </c>
      <c r="B57" s="54" t="n">
        <v>4</v>
      </c>
      <c r="C57" s="73" t="str">
        <f aca="false">IFERROR(IF($D57="","",INDEX(Übungen!$B$4:$B$23,MATCH($D57,Übungen!$A$4:$A$23,0))),"")</f>
        <v>Beine vorne</v>
      </c>
      <c r="D57" s="56" t="s">
        <v>394</v>
      </c>
      <c r="E57" s="67" t="s">
        <v>379</v>
      </c>
      <c r="F57" s="55" t="n">
        <v>40</v>
      </c>
      <c r="G57" s="68"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2" t="str">
        <f aca="false">IFERROR(IF($B58="","",IF(INDEX(Einheiten!$B$4:$B$63,MATCH($B58,Einheiten!$A$4:$A$63,0))=0,"",INDEX(Einheiten!$B$4:$B$63,MATCH($B58,Einheiten!$A$4:$A$63,0)))),"")</f>
        <v/>
      </c>
      <c r="B58" s="54" t="n">
        <v>4</v>
      </c>
      <c r="C58" s="73" t="str">
        <f aca="false">IFERROR(IF($D58="","",INDEX(Übungen!$B$4:$B$23,MATCH($D58,Übungen!$A$4:$A$23,0))),"")</f>
        <v>Beine vorne</v>
      </c>
      <c r="D58" s="56" t="s">
        <v>394</v>
      </c>
      <c r="E58" s="67" t="s">
        <v>379</v>
      </c>
      <c r="F58" s="55" t="n">
        <v>70</v>
      </c>
      <c r="G58" s="68"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2" t="str">
        <f aca="false">IFERROR(IF($B59="","",IF(INDEX(Einheiten!$B$4:$B$63,MATCH($B59,Einheiten!$A$4:$A$63,0))=0,"",INDEX(Einheiten!$B$4:$B$63,MATCH($B59,Einheiten!$A$4:$A$63,0)))),"")</f>
        <v/>
      </c>
      <c r="B59" s="54" t="n">
        <v>4</v>
      </c>
      <c r="C59" s="73" t="str">
        <f aca="false">IFERROR(IF($D59="","",INDEX(Übungen!$B$4:$B$23,MATCH($D59,Übungen!$A$4:$A$23,0))),"")</f>
        <v>Beine vorne</v>
      </c>
      <c r="D59" s="56" t="s">
        <v>394</v>
      </c>
      <c r="E59" s="67" t="s">
        <v>380</v>
      </c>
      <c r="F59" s="55" t="n">
        <v>80</v>
      </c>
      <c r="G59" s="68"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2" t="str">
        <f aca="false">IFERROR(IF($B60="","",IF(INDEX(Einheiten!$B$4:$B$63,MATCH($B60,Einheiten!$A$4:$A$63,0))=0,"",INDEX(Einheiten!$B$4:$B$63,MATCH($B60,Einheiten!$A$4:$A$63,0)))),"")</f>
        <v/>
      </c>
      <c r="B60" s="54" t="n">
        <v>4</v>
      </c>
      <c r="C60" s="73" t="str">
        <f aca="false">IFERROR(IF($D60="","",INDEX(Übungen!$B$4:$B$23,MATCH($D60,Übungen!$A$4:$A$23,0))),"")</f>
        <v>Beine vorne</v>
      </c>
      <c r="D60" s="56" t="s">
        <v>394</v>
      </c>
      <c r="E60" s="67" t="s">
        <v>380</v>
      </c>
      <c r="F60" s="55" t="n">
        <v>60</v>
      </c>
      <c r="G60" s="68"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2" t="str">
        <f aca="false">IFERROR(IF($B61="","",IF(INDEX(Einheiten!$B$4:$B$63,MATCH($B61,Einheiten!$A$4:$A$63,0))=0,"",INDEX(Einheiten!$B$4:$B$63,MATCH($B61,Einheiten!$A$4:$A$63,0)))),"")</f>
        <v/>
      </c>
      <c r="B61" s="54" t="n">
        <v>4</v>
      </c>
      <c r="C61" s="73" t="str">
        <f aca="false">IFERROR(IF($D61="","",INDEX(Übungen!$B$4:$B$23,MATCH($D61,Übungen!$A$4:$A$23,0))),"")</f>
        <v>Beine vorne</v>
      </c>
      <c r="D61" s="56" t="s">
        <v>394</v>
      </c>
      <c r="E61" s="67" t="s">
        <v>380</v>
      </c>
      <c r="F61" s="55" t="n">
        <v>50</v>
      </c>
      <c r="G61" s="68"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2" t="str">
        <f aca="false">IFERROR(IF($B62="","",IF(INDEX(Einheiten!$B$4:$B$63,MATCH($B62,Einheiten!$A$4:$A$63,0))=0,"",INDEX(Einheiten!$B$4:$B$63,MATCH($B62,Einheiten!$A$4:$A$63,0)))),"")</f>
        <v/>
      </c>
      <c r="B62" s="54" t="n">
        <v>1</v>
      </c>
      <c r="C62" s="73" t="str">
        <f aca="false">IFERROR(IF($D62="","",INDEX(Übungen!$B$4:$B$23,MATCH($D62,Übungen!$A$4:$A$23,0))),"")</f>
        <v>Beine vorne</v>
      </c>
      <c r="D62" s="56" t="s">
        <v>71</v>
      </c>
      <c r="E62" s="67" t="s">
        <v>380</v>
      </c>
      <c r="F62" s="55" t="n">
        <v>10</v>
      </c>
      <c r="G62" s="68"/>
      <c r="H62" s="55"/>
      <c r="I62" s="49" t="str">
        <f aca="false">IF(AND(ISNUMBER($F62),ISNUMBER($G62),$E62&lt;&gt;"R"),$F62*$G62,"")</f>
        <v/>
      </c>
      <c r="J62" s="51" t="str">
        <f aca="false">IF(AND($E62="A",ISNUMBER($F62),ISNUMBER($G62)),$F62*(1+$G62/30),"")</f>
        <v/>
      </c>
      <c r="K62" s="56"/>
      <c r="L62" s="56" t="s">
        <v>395</v>
      </c>
    </row>
    <row r="63" customFormat="false" ht="15.75" hidden="false" customHeight="true" outlineLevel="0" collapsed="false">
      <c r="A63" s="72" t="str">
        <f aca="false">IFERROR(IF($B63="","",IF(INDEX(Einheiten!$B$4:$B$63,MATCH($B63,Einheiten!$A$4:$A$63,0))=0,"",INDEX(Einheiten!$B$4:$B$63,MATCH($B63,Einheiten!$A$4:$A$63,0)))),"")</f>
        <v/>
      </c>
      <c r="B63" s="54" t="n">
        <v>2</v>
      </c>
      <c r="C63" s="73" t="str">
        <f aca="false">IFERROR(IF($D63="","",INDEX(Übungen!$B$4:$B$23,MATCH($D63,Übungen!$A$4:$A$23,0))),"")</f>
        <v>Beine vorne</v>
      </c>
      <c r="D63" s="56" t="s">
        <v>71</v>
      </c>
      <c r="E63" s="67" t="s">
        <v>380</v>
      </c>
      <c r="F63" s="55" t="n">
        <v>16</v>
      </c>
      <c r="G63" s="68"/>
      <c r="H63" s="55"/>
      <c r="I63" s="49" t="str">
        <f aca="false">IF(AND(ISNUMBER($F63),ISNUMBER($G63),$E63&lt;&gt;"R"),$F63*$G63,"")</f>
        <v/>
      </c>
      <c r="J63" s="51" t="str">
        <f aca="false">IF(AND($E63="A",ISNUMBER($F63),ISNUMBER($G63)),$F63*(1+$G63/30),"")</f>
        <v/>
      </c>
      <c r="K63" s="56"/>
      <c r="L63" s="56" t="s">
        <v>395</v>
      </c>
    </row>
    <row r="64" customFormat="false" ht="15.75" hidden="false" customHeight="true" outlineLevel="0" collapsed="false">
      <c r="A64" s="72" t="str">
        <f aca="false">IFERROR(IF($B64="","",IF(INDEX(Einheiten!$B$4:$B$63,MATCH($B64,Einheiten!$A$4:$A$63,0))=0,"",INDEX(Einheiten!$B$4:$B$63,MATCH($B64,Einheiten!$A$4:$A$63,0)))),"")</f>
        <v/>
      </c>
      <c r="B64" s="54" t="n">
        <v>3</v>
      </c>
      <c r="C64" s="73" t="str">
        <f aca="false">IFERROR(IF($D64="","",INDEX(Übungen!$B$4:$B$23,MATCH($D64,Übungen!$A$4:$A$23,0))),"")</f>
        <v>Beine vorne</v>
      </c>
      <c r="D64" s="56" t="s">
        <v>71</v>
      </c>
      <c r="E64" s="67" t="s">
        <v>380</v>
      </c>
      <c r="F64" s="55" t="n">
        <v>18</v>
      </c>
      <c r="G64" s="68"/>
      <c r="H64" s="55"/>
      <c r="I64" s="49" t="str">
        <f aca="false">IF(AND(ISNUMBER($F64),ISNUMBER($G64),$E64&lt;&gt;"R"),$F64*$G64,"")</f>
        <v/>
      </c>
      <c r="J64" s="51" t="str">
        <f aca="false">IF(AND($E64="A",ISNUMBER($F64),ISNUMBER($G64)),$F64*(1+$G64/30),"")</f>
        <v/>
      </c>
      <c r="K64" s="56"/>
      <c r="L64" s="56" t="s">
        <v>395</v>
      </c>
    </row>
    <row r="65" customFormat="false" ht="15.75" hidden="false" customHeight="true" outlineLevel="0" collapsed="false">
      <c r="A65" s="72" t="str">
        <f aca="false">IFERROR(IF($B65="","",IF(INDEX(Einheiten!$B$4:$B$63,MATCH($B65,Einheiten!$A$4:$A$63,0))=0,"",INDEX(Einheiten!$B$4:$B$63,MATCH($B65,Einheiten!$A$4:$A$63,0)))),"")</f>
        <v/>
      </c>
      <c r="B65" s="54" t="n">
        <v>1</v>
      </c>
      <c r="C65" s="73" t="str">
        <f aca="false">IFERROR(IF($D65="","",INDEX(Übungen!$B$4:$B$23,MATCH($D65,Übungen!$A$4:$A$23,0))),"")</f>
        <v>Beine hinten</v>
      </c>
      <c r="D65" s="56" t="s">
        <v>396</v>
      </c>
      <c r="E65" s="67" t="s">
        <v>379</v>
      </c>
      <c r="F65" s="55" t="n">
        <v>35</v>
      </c>
      <c r="G65" s="68"/>
      <c r="H65" s="55"/>
      <c r="I65" s="49" t="str">
        <f aca="false">IF(AND(ISNUMBER($F65),ISNUMBER($G65),$E65&lt;&gt;"R"),$F65*$G65,"")</f>
        <v/>
      </c>
      <c r="J65" s="51" t="str">
        <f aca="false">IF(AND($E65="A",ISNUMBER($F65),ISNUMBER($G65)),$F65*(1+$G65/30),"")</f>
        <v/>
      </c>
      <c r="K65" s="56"/>
      <c r="L65" s="56" t="s">
        <v>395</v>
      </c>
    </row>
    <row r="66" customFormat="false" ht="15.75" hidden="false" customHeight="true" outlineLevel="0" collapsed="false">
      <c r="A66" s="72" t="str">
        <f aca="false">IFERROR(IF($B66="","",IF(INDEX(Einheiten!$B$4:$B$63,MATCH($B66,Einheiten!$A$4:$A$63,0))=0,"",INDEX(Einheiten!$B$4:$B$63,MATCH($B66,Einheiten!$A$4:$A$63,0)))),"")</f>
        <v/>
      </c>
      <c r="B66" s="54" t="n">
        <v>1</v>
      </c>
      <c r="C66" s="73" t="str">
        <f aca="false">IFERROR(IF($D66="","",INDEX(Übungen!$B$4:$B$23,MATCH($D66,Übungen!$A$4:$A$23,0))),"")</f>
        <v>Beine hinten</v>
      </c>
      <c r="D66" s="56" t="s">
        <v>396</v>
      </c>
      <c r="E66" s="67" t="s">
        <v>379</v>
      </c>
      <c r="F66" s="55" t="n">
        <v>49</v>
      </c>
      <c r="G66" s="68"/>
      <c r="H66" s="55"/>
      <c r="I66" s="49" t="str">
        <f aca="false">IF(AND(ISNUMBER($F66),ISNUMBER($G66),$E66&lt;&gt;"R"),$F66*$G66,"")</f>
        <v/>
      </c>
      <c r="J66" s="51" t="str">
        <f aca="false">IF(AND($E66="A",ISNUMBER($F66),ISNUMBER($G66)),$F66*(1+$G66/30),"")</f>
        <v/>
      </c>
      <c r="K66" s="56"/>
      <c r="L66" s="56" t="s">
        <v>395</v>
      </c>
    </row>
    <row r="67" customFormat="false" ht="15.75" hidden="false" customHeight="true" outlineLevel="0" collapsed="false">
      <c r="A67" s="72" t="str">
        <f aca="false">IFERROR(IF($B67="","",IF(INDEX(Einheiten!$B$4:$B$63,MATCH($B67,Einheiten!$A$4:$A$63,0))=0,"",INDEX(Einheiten!$B$4:$B$63,MATCH($B67,Einheiten!$A$4:$A$63,0)))),"")</f>
        <v/>
      </c>
      <c r="B67" s="54" t="n">
        <v>1</v>
      </c>
      <c r="C67" s="73" t="str">
        <f aca="false">IFERROR(IF($D67="","",INDEX(Übungen!$B$4:$B$23,MATCH($D67,Übungen!$A$4:$A$23,0))),"")</f>
        <v>Beine hinten</v>
      </c>
      <c r="D67" s="56" t="s">
        <v>396</v>
      </c>
      <c r="E67" s="67" t="s">
        <v>380</v>
      </c>
      <c r="F67" s="55" t="n">
        <v>70</v>
      </c>
      <c r="G67" s="68"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2" t="str">
        <f aca="false">IFERROR(IF($B68="","",IF(INDEX(Einheiten!$B$4:$B$63,MATCH($B68,Einheiten!$A$4:$A$63,0))=0,"",INDEX(Einheiten!$B$4:$B$63,MATCH($B68,Einheiten!$A$4:$A$63,0)))),"")</f>
        <v/>
      </c>
      <c r="B68" s="54" t="n">
        <v>1</v>
      </c>
      <c r="C68" s="73" t="str">
        <f aca="false">IFERROR(IF($D68="","",INDEX(Übungen!$B$4:$B$23,MATCH($D68,Übungen!$A$4:$A$23,0))),"")</f>
        <v>Beine hinten</v>
      </c>
      <c r="D68" s="56" t="s">
        <v>396</v>
      </c>
      <c r="E68" s="67" t="s">
        <v>380</v>
      </c>
      <c r="F68" s="55" t="n">
        <v>77</v>
      </c>
      <c r="G68" s="68"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2" t="str">
        <f aca="false">IFERROR(IF($B69="","",IF(INDEX(Einheiten!$B$4:$B$63,MATCH($B69,Einheiten!$A$4:$A$63,0))=0,"",INDEX(Einheiten!$B$4:$B$63,MATCH($B69,Einheiten!$A$4:$A$63,0)))),"")</f>
        <v/>
      </c>
      <c r="B69" s="54" t="n">
        <v>2</v>
      </c>
      <c r="C69" s="73" t="str">
        <f aca="false">IFERROR(IF($D69="","",INDEX(Übungen!$B$4:$B$23,MATCH($D69,Übungen!$A$4:$A$23,0))),"")</f>
        <v>Beine hinten</v>
      </c>
      <c r="D69" s="56" t="s">
        <v>396</v>
      </c>
      <c r="E69" s="67" t="s">
        <v>379</v>
      </c>
      <c r="F69" s="55" t="n">
        <v>30</v>
      </c>
      <c r="G69" s="68"/>
      <c r="H69" s="55"/>
      <c r="I69" s="49" t="str">
        <f aca="false">IF(AND(ISNUMBER($F69),ISNUMBER($G69),$E69&lt;&gt;"R"),$F69*$G69,"")</f>
        <v/>
      </c>
      <c r="J69" s="51" t="str">
        <f aca="false">IF(AND($E69="A",ISNUMBER($F69),ISNUMBER($G69)),$F69*(1+$G69/30),"")</f>
        <v/>
      </c>
      <c r="K69" s="56"/>
      <c r="L69" s="56" t="s">
        <v>395</v>
      </c>
    </row>
    <row r="70" customFormat="false" ht="15.75" hidden="false" customHeight="true" outlineLevel="0" collapsed="false">
      <c r="A70" s="72" t="str">
        <f aca="false">IFERROR(IF($B70="","",IF(INDEX(Einheiten!$B$4:$B$63,MATCH($B70,Einheiten!$A$4:$A$63,0))=0,"",INDEX(Einheiten!$B$4:$B$63,MATCH($B70,Einheiten!$A$4:$A$63,0)))),"")</f>
        <v/>
      </c>
      <c r="B70" s="54" t="n">
        <v>2</v>
      </c>
      <c r="C70" s="73" t="str">
        <f aca="false">IFERROR(IF($D70="","",INDEX(Übungen!$B$4:$B$23,MATCH($D70,Übungen!$A$4:$A$23,0))),"")</f>
        <v>Beine hinten</v>
      </c>
      <c r="D70" s="56" t="s">
        <v>396</v>
      </c>
      <c r="E70" s="67" t="s">
        <v>379</v>
      </c>
      <c r="F70" s="55" t="n">
        <v>42</v>
      </c>
      <c r="G70" s="68"/>
      <c r="H70" s="55"/>
      <c r="I70" s="49" t="str">
        <f aca="false">IF(AND(ISNUMBER($F70),ISNUMBER($G70),$E70&lt;&gt;"R"),$F70*$G70,"")</f>
        <v/>
      </c>
      <c r="J70" s="51" t="str">
        <f aca="false">IF(AND($E70="A",ISNUMBER($F70),ISNUMBER($G70)),$F70*(1+$G70/30),"")</f>
        <v/>
      </c>
      <c r="K70" s="56"/>
      <c r="L70" s="56" t="s">
        <v>395</v>
      </c>
    </row>
    <row r="71" customFormat="false" ht="15.75" hidden="false" customHeight="true" outlineLevel="0" collapsed="false">
      <c r="A71" s="72" t="str">
        <f aca="false">IFERROR(IF($B71="","",IF(INDEX(Einheiten!$B$4:$B$63,MATCH($B71,Einheiten!$A$4:$A$63,0))=0,"",INDEX(Einheiten!$B$4:$B$63,MATCH($B71,Einheiten!$A$4:$A$63,0)))),"")</f>
        <v/>
      </c>
      <c r="B71" s="54" t="n">
        <v>2</v>
      </c>
      <c r="C71" s="73" t="str">
        <f aca="false">IFERROR(IF($D71="","",INDEX(Übungen!$B$4:$B$23,MATCH($D71,Übungen!$A$4:$A$23,0))),"")</f>
        <v>Beine hinten</v>
      </c>
      <c r="D71" s="56" t="s">
        <v>396</v>
      </c>
      <c r="E71" s="67" t="s">
        <v>380</v>
      </c>
      <c r="F71" s="55" t="n">
        <v>77</v>
      </c>
      <c r="G71" s="68"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2" t="str">
        <f aca="false">IFERROR(IF($B72="","",IF(INDEX(Einheiten!$B$4:$B$63,MATCH($B72,Einheiten!$A$4:$A$63,0))=0,"",INDEX(Einheiten!$B$4:$B$63,MATCH($B72,Einheiten!$A$4:$A$63,0)))),"")</f>
        <v/>
      </c>
      <c r="B72" s="54" t="n">
        <v>2</v>
      </c>
      <c r="C72" s="73" t="str">
        <f aca="false">IFERROR(IF($D72="","",INDEX(Übungen!$B$4:$B$23,MATCH($D72,Übungen!$A$4:$A$23,0))),"")</f>
        <v>Beine hinten</v>
      </c>
      <c r="D72" s="56" t="s">
        <v>396</v>
      </c>
      <c r="E72" s="67" t="s">
        <v>380</v>
      </c>
      <c r="F72" s="55" t="n">
        <v>84</v>
      </c>
      <c r="G72" s="68"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2" t="str">
        <f aca="false">IFERROR(IF($B73="","",IF(INDEX(Einheiten!$B$4:$B$63,MATCH($B73,Einheiten!$A$4:$A$63,0))=0,"",INDEX(Einheiten!$B$4:$B$63,MATCH($B73,Einheiten!$A$4:$A$63,0)))),"")</f>
        <v/>
      </c>
      <c r="B73" s="54" t="n">
        <v>3</v>
      </c>
      <c r="C73" s="73" t="str">
        <f aca="false">IFERROR(IF($D73="","",INDEX(Übungen!$B$4:$B$23,MATCH($D73,Übungen!$A$4:$A$23,0))),"")</f>
        <v>Beine hinten</v>
      </c>
      <c r="D73" s="56" t="s">
        <v>396</v>
      </c>
      <c r="E73" s="67" t="s">
        <v>379</v>
      </c>
      <c r="F73" s="55" t="n">
        <v>20</v>
      </c>
      <c r="G73" s="68"/>
      <c r="H73" s="55"/>
      <c r="I73" s="49" t="str">
        <f aca="false">IF(AND(ISNUMBER($F73),ISNUMBER($G73),$E73&lt;&gt;"R"),$F73*$G73,"")</f>
        <v/>
      </c>
      <c r="J73" s="51" t="str">
        <f aca="false">IF(AND($E73="A",ISNUMBER($F73),ISNUMBER($G73)),$F73*(1+$G73/30),"")</f>
        <v/>
      </c>
      <c r="K73" s="56"/>
      <c r="L73" s="56" t="s">
        <v>395</v>
      </c>
    </row>
    <row r="74" customFormat="false" ht="15.75" hidden="false" customHeight="true" outlineLevel="0" collapsed="false">
      <c r="A74" s="72" t="str">
        <f aca="false">IFERROR(IF($B74="","",IF(INDEX(Einheiten!$B$4:$B$63,MATCH($B74,Einheiten!$A$4:$A$63,0))=0,"",INDEX(Einheiten!$B$4:$B$63,MATCH($B74,Einheiten!$A$4:$A$63,0)))),"")</f>
        <v/>
      </c>
      <c r="B74" s="54" t="n">
        <v>3</v>
      </c>
      <c r="C74" s="73" t="str">
        <f aca="false">IFERROR(IF($D74="","",INDEX(Übungen!$B$4:$B$23,MATCH($D74,Übungen!$A$4:$A$23,0))),"")</f>
        <v>Beine hinten</v>
      </c>
      <c r="D74" s="56" t="s">
        <v>396</v>
      </c>
      <c r="E74" s="67" t="s">
        <v>379</v>
      </c>
      <c r="F74" s="55" t="n">
        <v>30</v>
      </c>
      <c r="G74" s="68"/>
      <c r="H74" s="55"/>
      <c r="I74" s="49" t="str">
        <f aca="false">IF(AND(ISNUMBER($F74),ISNUMBER($G74),$E74&lt;&gt;"R"),$F74*$G74,"")</f>
        <v/>
      </c>
      <c r="J74" s="51" t="str">
        <f aca="false">IF(AND($E74="A",ISNUMBER($F74),ISNUMBER($G74)),$F74*(1+$G74/30),"")</f>
        <v/>
      </c>
      <c r="K74" s="56"/>
      <c r="L74" s="56" t="s">
        <v>395</v>
      </c>
    </row>
    <row r="75" customFormat="false" ht="15.75" hidden="false" customHeight="true" outlineLevel="0" collapsed="false">
      <c r="A75" s="72" t="str">
        <f aca="false">IFERROR(IF($B75="","",IF(INDEX(Einheiten!$B$4:$B$63,MATCH($B75,Einheiten!$A$4:$A$63,0))=0,"",INDEX(Einheiten!$B$4:$B$63,MATCH($B75,Einheiten!$A$4:$A$63,0)))),"")</f>
        <v/>
      </c>
      <c r="B75" s="54" t="n">
        <v>3</v>
      </c>
      <c r="C75" s="73" t="str">
        <f aca="false">IFERROR(IF($D75="","",INDEX(Übungen!$B$4:$B$23,MATCH($D75,Übungen!$A$4:$A$23,0))),"")</f>
        <v>Beine hinten</v>
      </c>
      <c r="D75" s="56" t="s">
        <v>396</v>
      </c>
      <c r="E75" s="67" t="s">
        <v>380</v>
      </c>
      <c r="F75" s="55" t="n">
        <v>77</v>
      </c>
      <c r="G75" s="68"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2" t="str">
        <f aca="false">IFERROR(IF($B76="","",IF(INDEX(Einheiten!$B$4:$B$63,MATCH($B76,Einheiten!$A$4:$A$63,0))=0,"",INDEX(Einheiten!$B$4:$B$63,MATCH($B76,Einheiten!$A$4:$A$63,0)))),"")</f>
        <v/>
      </c>
      <c r="B76" s="54" t="n">
        <v>3</v>
      </c>
      <c r="C76" s="73" t="str">
        <f aca="false">IFERROR(IF($D76="","",INDEX(Übungen!$B$4:$B$23,MATCH($D76,Übungen!$A$4:$A$23,0))),"")</f>
        <v>Beine hinten</v>
      </c>
      <c r="D76" s="56" t="s">
        <v>396</v>
      </c>
      <c r="E76" s="67" t="s">
        <v>380</v>
      </c>
      <c r="F76" s="55" t="n">
        <v>84</v>
      </c>
      <c r="G76" s="68"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2" t="str">
        <f aca="false">IFERROR(IF($B77="","",IF(INDEX(Einheiten!$B$4:$B$63,MATCH($B77,Einheiten!$A$4:$A$63,0))=0,"",INDEX(Einheiten!$B$4:$B$63,MATCH($B77,Einheiten!$A$4:$A$63,0)))),"")</f>
        <v/>
      </c>
      <c r="B77" s="54" t="n">
        <v>4</v>
      </c>
      <c r="C77" s="73" t="str">
        <f aca="false">IFERROR(IF($D77="","",INDEX(Übungen!$B$4:$B$23,MATCH($D77,Übungen!$A$4:$A$23,0))),"")</f>
        <v>Beine hinten</v>
      </c>
      <c r="D77" s="56" t="s">
        <v>396</v>
      </c>
      <c r="E77" s="67" t="s">
        <v>379</v>
      </c>
      <c r="F77" s="55" t="n">
        <v>25</v>
      </c>
      <c r="G77" s="68"/>
      <c r="H77" s="55"/>
      <c r="I77" s="49" t="str">
        <f aca="false">IF(AND(ISNUMBER($F77),ISNUMBER($G77),$E77&lt;&gt;"R"),$F77*$G77,"")</f>
        <v/>
      </c>
      <c r="J77" s="51" t="str">
        <f aca="false">IF(AND($E77="A",ISNUMBER($F77),ISNUMBER($G77)),$F77*(1+$G77/30),"")</f>
        <v/>
      </c>
      <c r="K77" s="56"/>
      <c r="L77" s="56" t="s">
        <v>395</v>
      </c>
    </row>
    <row r="78" customFormat="false" ht="15.75" hidden="false" customHeight="true" outlineLevel="0" collapsed="false">
      <c r="A78" s="72" t="str">
        <f aca="false">IFERROR(IF($B78="","",IF(INDEX(Einheiten!$B$4:$B$63,MATCH($B78,Einheiten!$A$4:$A$63,0))=0,"",INDEX(Einheiten!$B$4:$B$63,MATCH($B78,Einheiten!$A$4:$A$63,0)))),"")</f>
        <v/>
      </c>
      <c r="B78" s="54" t="n">
        <v>4</v>
      </c>
      <c r="C78" s="73" t="str">
        <f aca="false">IFERROR(IF($D78="","",INDEX(Übungen!$B$4:$B$23,MATCH($D78,Übungen!$A$4:$A$23,0))),"")</f>
        <v>Beine hinten</v>
      </c>
      <c r="D78" s="56" t="s">
        <v>396</v>
      </c>
      <c r="E78" s="67" t="s">
        <v>379</v>
      </c>
      <c r="F78" s="55" t="n">
        <v>35</v>
      </c>
      <c r="G78" s="68"/>
      <c r="H78" s="55"/>
      <c r="I78" s="49" t="str">
        <f aca="false">IF(AND(ISNUMBER($F78),ISNUMBER($G78),$E78&lt;&gt;"R"),$F78*$G78,"")</f>
        <v/>
      </c>
      <c r="J78" s="51" t="str">
        <f aca="false">IF(AND($E78="A",ISNUMBER($F78),ISNUMBER($G78)),$F78*(1+$G78/30),"")</f>
        <v/>
      </c>
      <c r="K78" s="56"/>
      <c r="L78" s="56" t="s">
        <v>395</v>
      </c>
    </row>
    <row r="79" customFormat="false" ht="15.75" hidden="false" customHeight="true" outlineLevel="0" collapsed="false">
      <c r="A79" s="72" t="str">
        <f aca="false">IFERROR(IF($B79="","",IF(INDEX(Einheiten!$B$4:$B$63,MATCH($B79,Einheiten!$A$4:$A$63,0))=0,"",INDEX(Einheiten!$B$4:$B$63,MATCH($B79,Einheiten!$A$4:$A$63,0)))),"")</f>
        <v/>
      </c>
      <c r="B79" s="54" t="n">
        <v>4</v>
      </c>
      <c r="C79" s="73" t="str">
        <f aca="false">IFERROR(IF($D79="","",INDEX(Übungen!$B$4:$B$23,MATCH($D79,Übungen!$A$4:$A$23,0))),"")</f>
        <v>Beine hinten</v>
      </c>
      <c r="D79" s="56" t="s">
        <v>396</v>
      </c>
      <c r="E79" s="67" t="s">
        <v>380</v>
      </c>
      <c r="F79" s="55" t="n">
        <v>63</v>
      </c>
      <c r="G79" s="68"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2" t="str">
        <f aca="false">IFERROR(IF($B80="","",IF(INDEX(Einheiten!$B$4:$B$63,MATCH($B80,Einheiten!$A$4:$A$63,0))=0,"",INDEX(Einheiten!$B$4:$B$63,MATCH($B80,Einheiten!$A$4:$A$63,0)))),"")</f>
        <v/>
      </c>
      <c r="B80" s="54" t="n">
        <v>4</v>
      </c>
      <c r="C80" s="73" t="str">
        <f aca="false">IFERROR(IF($D80="","",INDEX(Übungen!$B$4:$B$23,MATCH($D80,Übungen!$A$4:$A$23,0))),"")</f>
        <v>Beine hinten</v>
      </c>
      <c r="D80" s="56" t="s">
        <v>396</v>
      </c>
      <c r="E80" s="67" t="s">
        <v>380</v>
      </c>
      <c r="F80" s="55" t="n">
        <v>56</v>
      </c>
      <c r="G80" s="68"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2" t="str">
        <f aca="false">IFERROR(IF($B81="","",IF(INDEX(Einheiten!$B$4:$B$63,MATCH($B81,Einheiten!$A$4:$A$63,0))=0,"",INDEX(Einheiten!$B$4:$B$63,MATCH($B81,Einheiten!$A$4:$A$63,0)))),"")</f>
        <v/>
      </c>
      <c r="B81" s="54" t="n">
        <v>1</v>
      </c>
      <c r="C81" s="73" t="str">
        <f aca="false">IFERROR(IF($D81="","",INDEX(Übungen!$B$4:$B$23,MATCH($D81,Übungen!$A$4:$A$23,0))),"")</f>
        <v>Beine hinten</v>
      </c>
      <c r="D81" s="56" t="s">
        <v>397</v>
      </c>
      <c r="E81" s="67" t="s">
        <v>379</v>
      </c>
      <c r="F81" s="55" t="n">
        <v>15</v>
      </c>
      <c r="G81" s="68"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2" t="str">
        <f aca="false">IFERROR(IF($B82="","",IF(INDEX(Einheiten!$B$4:$B$63,MATCH($B82,Einheiten!$A$4:$A$63,0))=0,"",INDEX(Einheiten!$B$4:$B$63,MATCH($B82,Einheiten!$A$4:$A$63,0)))),"")</f>
        <v/>
      </c>
      <c r="B82" s="54" t="n">
        <v>1</v>
      </c>
      <c r="C82" s="73" t="str">
        <f aca="false">IFERROR(IF($D82="","",INDEX(Übungen!$B$4:$B$23,MATCH($D82,Übungen!$A$4:$A$23,0))),"")</f>
        <v>Beine hinten</v>
      </c>
      <c r="D82" s="56" t="s">
        <v>397</v>
      </c>
      <c r="E82" s="67" t="s">
        <v>380</v>
      </c>
      <c r="F82" s="55" t="n">
        <v>49</v>
      </c>
      <c r="G82" s="68"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2" t="str">
        <f aca="false">IFERROR(IF($B83="","",IF(INDEX(Einheiten!$B$4:$B$63,MATCH($B83,Einheiten!$A$4:$A$63,0))=0,"",INDEX(Einheiten!$B$4:$B$63,MATCH($B83,Einheiten!$A$4:$A$63,0)))),"")</f>
        <v/>
      </c>
      <c r="B83" s="54" t="n">
        <v>1</v>
      </c>
      <c r="C83" s="73" t="str">
        <f aca="false">IFERROR(IF($D83="","",INDEX(Übungen!$B$4:$B$23,MATCH($D83,Übungen!$A$4:$A$23,0))),"")</f>
        <v>Beine hinten</v>
      </c>
      <c r="D83" s="56" t="s">
        <v>397</v>
      </c>
      <c r="E83" s="67" t="s">
        <v>380</v>
      </c>
      <c r="F83" s="55" t="n">
        <v>35</v>
      </c>
      <c r="G83" s="68"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2" t="str">
        <f aca="false">IFERROR(IF($B84="","",IF(INDEX(Einheiten!$B$4:$B$63,MATCH($B84,Einheiten!$A$4:$A$63,0))=0,"",INDEX(Einheiten!$B$4:$B$63,MATCH($B84,Einheiten!$A$4:$A$63,0)))),"")</f>
        <v/>
      </c>
      <c r="B84" s="54" t="n">
        <v>2</v>
      </c>
      <c r="C84" s="73" t="str">
        <f aca="false">IFERROR(IF($D84="","",INDEX(Übungen!$B$4:$B$23,MATCH($D84,Übungen!$A$4:$A$23,0))),"")</f>
        <v>Beine hinten</v>
      </c>
      <c r="D84" s="56" t="s">
        <v>397</v>
      </c>
      <c r="E84" s="67" t="s">
        <v>379</v>
      </c>
      <c r="F84" s="55" t="n">
        <v>25</v>
      </c>
      <c r="G84" s="68"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2" t="str">
        <f aca="false">IFERROR(IF($B85="","",IF(INDEX(Einheiten!$B$4:$B$63,MATCH($B85,Einheiten!$A$4:$A$63,0))=0,"",INDEX(Einheiten!$B$4:$B$63,MATCH($B85,Einheiten!$A$4:$A$63,0)))),"")</f>
        <v/>
      </c>
      <c r="B85" s="54" t="n">
        <v>2</v>
      </c>
      <c r="C85" s="73" t="str">
        <f aca="false">IFERROR(IF($D85="","",INDEX(Übungen!$B$4:$B$23,MATCH($D85,Übungen!$A$4:$A$23,0))),"")</f>
        <v>Beine hinten</v>
      </c>
      <c r="D85" s="56" t="s">
        <v>397</v>
      </c>
      <c r="E85" s="67" t="s">
        <v>380</v>
      </c>
      <c r="F85" s="55" t="n">
        <v>35</v>
      </c>
      <c r="G85" s="68"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2" t="str">
        <f aca="false">IFERROR(IF($B86="","",IF(INDEX(Einheiten!$B$4:$B$63,MATCH($B86,Einheiten!$A$4:$A$63,0))=0,"",INDEX(Einheiten!$B$4:$B$63,MATCH($B86,Einheiten!$A$4:$A$63,0)))),"")</f>
        <v/>
      </c>
      <c r="B86" s="54" t="n">
        <v>2</v>
      </c>
      <c r="C86" s="73" t="str">
        <f aca="false">IFERROR(IF($D86="","",INDEX(Übungen!$B$4:$B$23,MATCH($D86,Übungen!$A$4:$A$23,0))),"")</f>
        <v>Beine hinten</v>
      </c>
      <c r="D86" s="56" t="s">
        <v>397</v>
      </c>
      <c r="E86" s="67" t="s">
        <v>380</v>
      </c>
      <c r="F86" s="55" t="n">
        <v>30</v>
      </c>
      <c r="G86" s="68"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2" t="str">
        <f aca="false">IFERROR(IF($B87="","",IF(INDEX(Einheiten!$B$4:$B$63,MATCH($B87,Einheiten!$A$4:$A$63,0))=0,"",INDEX(Einheiten!$B$4:$B$63,MATCH($B87,Einheiten!$A$4:$A$63,0)))),"")</f>
        <v/>
      </c>
      <c r="B87" s="54" t="n">
        <v>1</v>
      </c>
      <c r="C87" s="73" t="str">
        <f aca="false">IFERROR(IF($D87="","",INDEX(Übungen!$B$4:$B$23,MATCH($D87,Übungen!$A$4:$A$23,0))),"")</f>
        <v>Beine hinten</v>
      </c>
      <c r="D87" s="56" t="s">
        <v>398</v>
      </c>
      <c r="E87" s="67" t="s">
        <v>379</v>
      </c>
      <c r="F87" s="55" t="n">
        <v>25</v>
      </c>
      <c r="G87" s="68"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2" t="str">
        <f aca="false">IFERROR(IF($B88="","",IF(INDEX(Einheiten!$B$4:$B$63,MATCH($B88,Einheiten!$A$4:$A$63,0))=0,"",INDEX(Einheiten!$B$4:$B$63,MATCH($B88,Einheiten!$A$4:$A$63,0)))),"")</f>
        <v/>
      </c>
      <c r="B88" s="54" t="n">
        <v>1</v>
      </c>
      <c r="C88" s="73" t="str">
        <f aca="false">IFERROR(IF($D88="","",INDEX(Übungen!$B$4:$B$23,MATCH($D88,Übungen!$A$4:$A$23,0))),"")</f>
        <v>Beine hinten</v>
      </c>
      <c r="D88" s="56" t="s">
        <v>398</v>
      </c>
      <c r="E88" s="67" t="s">
        <v>380</v>
      </c>
      <c r="F88" s="55" t="n">
        <v>45</v>
      </c>
      <c r="G88" s="68"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2" t="str">
        <f aca="false">IFERROR(IF($B89="","",IF(INDEX(Einheiten!$B$4:$B$63,MATCH($B89,Einheiten!$A$4:$A$63,0))=0,"",INDEX(Einheiten!$B$4:$B$63,MATCH($B89,Einheiten!$A$4:$A$63,0)))),"")</f>
        <v/>
      </c>
      <c r="B89" s="54" t="n">
        <v>1</v>
      </c>
      <c r="C89" s="73" t="str">
        <f aca="false">IFERROR(IF($D89="","",INDEX(Übungen!$B$4:$B$23,MATCH($D89,Übungen!$A$4:$A$23,0))),"")</f>
        <v>Beine hinten</v>
      </c>
      <c r="D89" s="56" t="s">
        <v>398</v>
      </c>
      <c r="E89" s="67" t="s">
        <v>380</v>
      </c>
      <c r="F89" s="55" t="n">
        <v>50</v>
      </c>
      <c r="G89" s="68"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2" t="str">
        <f aca="false">IFERROR(IF($B90="","",IF(INDEX(Einheiten!$B$4:$B$63,MATCH($B90,Einheiten!$A$4:$A$63,0))=0,"",INDEX(Einheiten!$B$4:$B$63,MATCH($B90,Einheiten!$A$4:$A$63,0)))),"")</f>
        <v/>
      </c>
      <c r="B90" s="54" t="n">
        <v>1</v>
      </c>
      <c r="C90" s="73" t="str">
        <f aca="false">IFERROR(IF($D90="","",INDEX(Übungen!$B$4:$B$23,MATCH($D90,Übungen!$A$4:$A$23,0))),"")</f>
        <v>Beine hinten</v>
      </c>
      <c r="D90" s="56" t="s">
        <v>398</v>
      </c>
      <c r="E90" s="67" t="s">
        <v>381</v>
      </c>
      <c r="F90" s="55" t="n">
        <v>30</v>
      </c>
      <c r="G90" s="68" t="n">
        <v>10</v>
      </c>
      <c r="H90" s="55"/>
      <c r="I90" s="49" t="str">
        <f aca="false">IF(AND(ISNUMBER($F90),ISNUMBER($G90),$E90&lt;&gt;"R"),$F90*$G90,"")</f>
        <v/>
      </c>
      <c r="J90" s="51" t="str">
        <f aca="false">IF(AND($E90="A",ISNUMBER($F90),ISNUMBER($G90)),$F90*(1+$G90/30),"")</f>
        <v/>
      </c>
      <c r="K90" s="56" t="s">
        <v>399</v>
      </c>
      <c r="L90" s="56"/>
    </row>
    <row r="91" customFormat="false" ht="15.75" hidden="false" customHeight="true" outlineLevel="0" collapsed="false">
      <c r="A91" s="72" t="str">
        <f aca="false">IFERROR(IF($B91="","",IF(INDEX(Einheiten!$B$4:$B$63,MATCH($B91,Einheiten!$A$4:$A$63,0))=0,"",INDEX(Einheiten!$B$4:$B$63,MATCH($B91,Einheiten!$A$4:$A$63,0)))),"")</f>
        <v/>
      </c>
      <c r="B91" s="54" t="n">
        <v>2</v>
      </c>
      <c r="C91" s="73" t="str">
        <f aca="false">IFERROR(IF($D91="","",INDEX(Übungen!$B$4:$B$23,MATCH($D91,Übungen!$A$4:$A$23,0))),"")</f>
        <v>Beine hinten</v>
      </c>
      <c r="D91" s="56" t="s">
        <v>398</v>
      </c>
      <c r="E91" s="67" t="s">
        <v>379</v>
      </c>
      <c r="F91" s="55" t="n">
        <v>30</v>
      </c>
      <c r="G91" s="68"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2" t="str">
        <f aca="false">IFERROR(IF($B92="","",IF(INDEX(Einheiten!$B$4:$B$63,MATCH($B92,Einheiten!$A$4:$A$63,0))=0,"",INDEX(Einheiten!$B$4:$B$63,MATCH($B92,Einheiten!$A$4:$A$63,0)))),"")</f>
        <v/>
      </c>
      <c r="B92" s="54" t="n">
        <v>2</v>
      </c>
      <c r="C92" s="73" t="str">
        <f aca="false">IFERROR(IF($D92="","",INDEX(Übungen!$B$4:$B$23,MATCH($D92,Übungen!$A$4:$A$23,0))),"")</f>
        <v>Beine hinten</v>
      </c>
      <c r="D92" s="56" t="s">
        <v>398</v>
      </c>
      <c r="E92" s="67" t="s">
        <v>380</v>
      </c>
      <c r="F92" s="55" t="n">
        <v>50</v>
      </c>
      <c r="G92" s="68"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2" t="str">
        <f aca="false">IFERROR(IF($B93="","",IF(INDEX(Einheiten!$B$4:$B$63,MATCH($B93,Einheiten!$A$4:$A$63,0))=0,"",INDEX(Einheiten!$B$4:$B$63,MATCH($B93,Einheiten!$A$4:$A$63,0)))),"")</f>
        <v/>
      </c>
      <c r="B93" s="54" t="n">
        <v>2</v>
      </c>
      <c r="C93" s="73" t="str">
        <f aca="false">IFERROR(IF($D93="","",INDEX(Übungen!$B$4:$B$23,MATCH($D93,Übungen!$A$4:$A$23,0))),"")</f>
        <v>Beine hinten</v>
      </c>
      <c r="D93" s="56" t="s">
        <v>398</v>
      </c>
      <c r="E93" s="67" t="s">
        <v>380</v>
      </c>
      <c r="F93" s="55" t="n">
        <v>55</v>
      </c>
      <c r="G93" s="68"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2" t="str">
        <f aca="false">IFERROR(IF($B94="","",IF(INDEX(Einheiten!$B$4:$B$63,MATCH($B94,Einheiten!$A$4:$A$63,0))=0,"",INDEX(Einheiten!$B$4:$B$63,MATCH($B94,Einheiten!$A$4:$A$63,0)))),"")</f>
        <v/>
      </c>
      <c r="B94" s="54" t="n">
        <v>2</v>
      </c>
      <c r="C94" s="73" t="str">
        <f aca="false">IFERROR(IF($D94="","",INDEX(Übungen!$B$4:$B$23,MATCH($D94,Übungen!$A$4:$A$23,0))),"")</f>
        <v>Beine hinten</v>
      </c>
      <c r="D94" s="56" t="s">
        <v>398</v>
      </c>
      <c r="E94" s="67" t="s">
        <v>381</v>
      </c>
      <c r="F94" s="55" t="n">
        <v>40</v>
      </c>
      <c r="G94" s="68" t="n">
        <v>8</v>
      </c>
      <c r="H94" s="55"/>
      <c r="I94" s="49" t="str">
        <f aca="false">IF(AND(ISNUMBER($F94),ISNUMBER($G94),$E94&lt;&gt;"R"),$F94*$G94,"")</f>
        <v/>
      </c>
      <c r="J94" s="51" t="str">
        <f aca="false">IF(AND($E94="A",ISNUMBER($F94),ISNUMBER($G94)),$F94*(1+$G94/30),"")</f>
        <v/>
      </c>
      <c r="K94" s="56" t="s">
        <v>400</v>
      </c>
      <c r="L94" s="56"/>
    </row>
    <row r="95" customFormat="false" ht="15.75" hidden="false" customHeight="true" outlineLevel="0" collapsed="false">
      <c r="A95" s="72" t="str">
        <f aca="false">IFERROR(IF($B95="","",IF(INDEX(Einheiten!$B$4:$B$63,MATCH($B95,Einheiten!$A$4:$A$63,0))=0,"",INDEX(Einheiten!$B$4:$B$63,MATCH($B95,Einheiten!$A$4:$A$63,0)))),"")</f>
        <v/>
      </c>
      <c r="B95" s="54" t="n">
        <v>3</v>
      </c>
      <c r="C95" s="73" t="str">
        <f aca="false">IFERROR(IF($D95="","",INDEX(Übungen!$B$4:$B$23,MATCH($D95,Übungen!$A$4:$A$23,0))),"")</f>
        <v>Beine hinten</v>
      </c>
      <c r="D95" s="56" t="s">
        <v>398</v>
      </c>
      <c r="E95" s="67" t="s">
        <v>379</v>
      </c>
      <c r="F95" s="55" t="n">
        <v>35</v>
      </c>
      <c r="G95" s="68"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2" t="str">
        <f aca="false">IFERROR(IF($B96="","",IF(INDEX(Einheiten!$B$4:$B$63,MATCH($B96,Einheiten!$A$4:$A$63,0))=0,"",INDEX(Einheiten!$B$4:$B$63,MATCH($B96,Einheiten!$A$4:$A$63,0)))),"")</f>
        <v/>
      </c>
      <c r="B96" s="54" t="n">
        <v>3</v>
      </c>
      <c r="C96" s="73" t="str">
        <f aca="false">IFERROR(IF($D96="","",INDEX(Übungen!$B$4:$B$23,MATCH($D96,Übungen!$A$4:$A$23,0))),"")</f>
        <v>Beine hinten</v>
      </c>
      <c r="D96" s="56" t="s">
        <v>398</v>
      </c>
      <c r="E96" s="67" t="s">
        <v>380</v>
      </c>
      <c r="F96" s="55" t="n">
        <v>45</v>
      </c>
      <c r="G96" s="68"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2" t="str">
        <f aca="false">IFERROR(IF($B97="","",IF(INDEX(Einheiten!$B$4:$B$63,MATCH($B97,Einheiten!$A$4:$A$63,0))=0,"",INDEX(Einheiten!$B$4:$B$63,MATCH($B97,Einheiten!$A$4:$A$63,0)))),"")</f>
        <v/>
      </c>
      <c r="B97" s="54" t="n">
        <v>3</v>
      </c>
      <c r="C97" s="73" t="str">
        <f aca="false">IFERROR(IF($D97="","",INDEX(Übungen!$B$4:$B$23,MATCH($D97,Übungen!$A$4:$A$23,0))),"")</f>
        <v>Beine hinten</v>
      </c>
      <c r="D97" s="56" t="s">
        <v>398</v>
      </c>
      <c r="E97" s="67" t="s">
        <v>380</v>
      </c>
      <c r="F97" s="55" t="n">
        <v>40</v>
      </c>
      <c r="G97" s="68"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2" t="str">
        <f aca="false">IFERROR(IF($B98="","",IF(INDEX(Einheiten!$B$4:$B$63,MATCH($B98,Einheiten!$A$4:$A$63,0))=0,"",INDEX(Einheiten!$B$4:$B$63,MATCH($B98,Einheiten!$A$4:$A$63,0)))),"")</f>
        <v/>
      </c>
      <c r="B98" s="54" t="n">
        <v>3</v>
      </c>
      <c r="C98" s="73" t="str">
        <f aca="false">IFERROR(IF($D98="","",INDEX(Übungen!$B$4:$B$23,MATCH($D98,Übungen!$A$4:$A$23,0))),"")</f>
        <v>Beine hinten</v>
      </c>
      <c r="D98" s="56" t="s">
        <v>398</v>
      </c>
      <c r="E98" s="67" t="s">
        <v>381</v>
      </c>
      <c r="F98" s="55" t="n">
        <v>30</v>
      </c>
      <c r="G98" s="68" t="n">
        <v>6</v>
      </c>
      <c r="H98" s="55"/>
      <c r="I98" s="49" t="str">
        <f aca="false">IF(AND(ISNUMBER($F98),ISNUMBER($G98),$E98&lt;&gt;"R"),$F98*$G98,"")</f>
        <v/>
      </c>
      <c r="J98" s="51" t="str">
        <f aca="false">IF(AND($E98="A",ISNUMBER($F98),ISNUMBER($G98)),$F98*(1+$G98/30),"")</f>
        <v/>
      </c>
      <c r="K98" s="56" t="s">
        <v>401</v>
      </c>
      <c r="L98" s="56"/>
    </row>
    <row r="99" customFormat="false" ht="15.75" hidden="false" customHeight="true" outlineLevel="0" collapsed="false">
      <c r="A99" s="72" t="str">
        <f aca="false">IFERROR(IF($B99="","",IF(INDEX(Einheiten!$B$4:$B$63,MATCH($B99,Einheiten!$A$4:$A$63,0))=0,"",INDEX(Einheiten!$B$4:$B$63,MATCH($B99,Einheiten!$A$4:$A$63,0)))),"")</f>
        <v/>
      </c>
      <c r="B99" s="54" t="n">
        <v>1</v>
      </c>
      <c r="C99" s="73" t="str">
        <f aca="false">IFERROR(IF($D99="","",INDEX(Übungen!$B$4:$B$23,MATCH($D99,Übungen!$A$4:$A$23,0))),"")</f>
        <v>Beine hinten</v>
      </c>
      <c r="D99" s="56" t="s">
        <v>402</v>
      </c>
      <c r="E99" s="67" t="s">
        <v>379</v>
      </c>
      <c r="F99" s="55" t="n">
        <v>170</v>
      </c>
      <c r="G99" s="68" t="n">
        <v>10</v>
      </c>
      <c r="H99" s="55"/>
      <c r="I99" s="49" t="n">
        <f aca="false">IF(AND(ISNUMBER($F99),ISNUMBER($G99),$E99&lt;&gt;"R"),$F99*$G99,"")</f>
        <v>1700</v>
      </c>
      <c r="J99" s="51" t="str">
        <f aca="false">IF(AND($E99="A",ISNUMBER($F99),ISNUMBER($G99)),$F99*(1+$G99/30),"")</f>
        <v/>
      </c>
      <c r="K99" s="56"/>
      <c r="L99" s="56" t="s">
        <v>403</v>
      </c>
    </row>
    <row r="100" customFormat="false" ht="15.75" hidden="false" customHeight="true" outlineLevel="0" collapsed="false">
      <c r="A100" s="72" t="str">
        <f aca="false">IFERROR(IF($B100="","",IF(INDEX(Einheiten!$B$4:$B$63,MATCH($B100,Einheiten!$A$4:$A$63,0))=0,"",INDEX(Einheiten!$B$4:$B$63,MATCH($B100,Einheiten!$A$4:$A$63,0)))),"")</f>
        <v/>
      </c>
      <c r="B100" s="54" t="n">
        <v>1</v>
      </c>
      <c r="C100" s="73" t="str">
        <f aca="false">IFERROR(IF($D100="","",INDEX(Übungen!$B$4:$B$23,MATCH($D100,Übungen!$A$4:$A$23,0))),"")</f>
        <v>Beine hinten</v>
      </c>
      <c r="D100" s="56" t="s">
        <v>402</v>
      </c>
      <c r="E100" s="67" t="s">
        <v>380</v>
      </c>
      <c r="F100" s="55" t="n">
        <v>220</v>
      </c>
      <c r="G100" s="68"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2" t="str">
        <f aca="false">IFERROR(IF($B101="","",IF(INDEX(Einheiten!$B$4:$B$63,MATCH($B101,Einheiten!$A$4:$A$63,0))=0,"",INDEX(Einheiten!$B$4:$B$63,MATCH($B101,Einheiten!$A$4:$A$63,0)))),"")</f>
        <v/>
      </c>
      <c r="B101" s="54" t="n">
        <v>1</v>
      </c>
      <c r="C101" s="73" t="str">
        <f aca="false">IFERROR(IF($D101="","",INDEX(Übungen!$B$4:$B$23,MATCH($D101,Übungen!$A$4:$A$23,0))),"")</f>
        <v>Beine hinten</v>
      </c>
      <c r="D101" s="56" t="s">
        <v>402</v>
      </c>
      <c r="E101" s="67" t="s">
        <v>380</v>
      </c>
      <c r="F101" s="55" t="n">
        <v>240</v>
      </c>
      <c r="G101" s="68"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2" t="str">
        <f aca="false">IFERROR(IF($B102="","",IF(INDEX(Einheiten!$B$4:$B$63,MATCH($B102,Einheiten!$A$4:$A$63,0))=0,"",INDEX(Einheiten!$B$4:$B$63,MATCH($B102,Einheiten!$A$4:$A$63,0)))),"")</f>
        <v/>
      </c>
      <c r="B102" s="54" t="n">
        <v>1</v>
      </c>
      <c r="C102" s="73" t="str">
        <f aca="false">IFERROR(IF($D102="","",INDEX(Übungen!$B$4:$B$23,MATCH($D102,Übungen!$A$4:$A$23,0))),"")</f>
        <v>Beine hinten</v>
      </c>
      <c r="D102" s="56" t="s">
        <v>402</v>
      </c>
      <c r="E102" s="67" t="s">
        <v>381</v>
      </c>
      <c r="F102" s="55"/>
      <c r="G102" s="68" t="n">
        <v>6</v>
      </c>
      <c r="H102" s="55"/>
      <c r="I102" s="49" t="str">
        <f aca="false">IF(AND(ISNUMBER($F102),ISNUMBER($G102),$E102&lt;&gt;"R"),$F102*$G102,"")</f>
        <v/>
      </c>
      <c r="J102" s="51" t="str">
        <f aca="false">IF(AND($E102="A",ISNUMBER($F102),ISNUMBER($G102)),$F102*(1+$G102/30),"")</f>
        <v/>
      </c>
      <c r="K102" s="56" t="s">
        <v>404</v>
      </c>
      <c r="L102" s="56" t="s">
        <v>405</v>
      </c>
    </row>
    <row r="103" customFormat="false" ht="15.75" hidden="false" customHeight="true" outlineLevel="0" collapsed="false">
      <c r="A103" s="72" t="str">
        <f aca="false">IFERROR(IF($B103="","",IF(INDEX(Einheiten!$B$4:$B$63,MATCH($B103,Einheiten!$A$4:$A$63,0))=0,"",INDEX(Einheiten!$B$4:$B$63,MATCH($B103,Einheiten!$A$4:$A$63,0)))),"")</f>
        <v/>
      </c>
      <c r="B103" s="54" t="n">
        <v>2</v>
      </c>
      <c r="C103" s="73" t="str">
        <f aca="false">IFERROR(IF($D103="","",INDEX(Übungen!$B$4:$B$23,MATCH($D103,Übungen!$A$4:$A$23,0))),"")</f>
        <v>Beine hinten</v>
      </c>
      <c r="D103" s="56" t="s">
        <v>402</v>
      </c>
      <c r="E103" s="67" t="s">
        <v>379</v>
      </c>
      <c r="F103" s="55" t="n">
        <v>180</v>
      </c>
      <c r="G103" s="68"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2" t="str">
        <f aca="false">IFERROR(IF($B104="","",IF(INDEX(Einheiten!$B$4:$B$63,MATCH($B104,Einheiten!$A$4:$A$63,0))=0,"",INDEX(Einheiten!$B$4:$B$63,MATCH($B104,Einheiten!$A$4:$A$63,0)))),"")</f>
        <v/>
      </c>
      <c r="B104" s="54" t="n">
        <v>2</v>
      </c>
      <c r="C104" s="73" t="str">
        <f aca="false">IFERROR(IF($D104="","",INDEX(Übungen!$B$4:$B$23,MATCH($D104,Übungen!$A$4:$A$23,0))),"")</f>
        <v>Beine hinten</v>
      </c>
      <c r="D104" s="56" t="s">
        <v>402</v>
      </c>
      <c r="E104" s="67" t="s">
        <v>380</v>
      </c>
      <c r="F104" s="55" t="n">
        <v>240</v>
      </c>
      <c r="G104" s="68"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2" t="str">
        <f aca="false">IFERROR(IF($B105="","",IF(INDEX(Einheiten!$B$4:$B$63,MATCH($B105,Einheiten!$A$4:$A$63,0))=0,"",INDEX(Einheiten!$B$4:$B$63,MATCH($B105,Einheiten!$A$4:$A$63,0)))),"")</f>
        <v/>
      </c>
      <c r="B105" s="54" t="n">
        <v>2</v>
      </c>
      <c r="C105" s="73" t="str">
        <f aca="false">IFERROR(IF($D105="","",INDEX(Übungen!$B$4:$B$23,MATCH($D105,Übungen!$A$4:$A$23,0))),"")</f>
        <v>Beine hinten</v>
      </c>
      <c r="D105" s="56" t="s">
        <v>402</v>
      </c>
      <c r="E105" s="67" t="s">
        <v>380</v>
      </c>
      <c r="F105" s="55" t="n">
        <v>280</v>
      </c>
      <c r="G105" s="68"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2" t="str">
        <f aca="false">IFERROR(IF($B106="","",IF(INDEX(Einheiten!$B$4:$B$63,MATCH($B106,Einheiten!$A$4:$A$63,0))=0,"",INDEX(Einheiten!$B$4:$B$63,MATCH($B106,Einheiten!$A$4:$A$63,0)))),"")</f>
        <v/>
      </c>
      <c r="B106" s="54" t="n">
        <v>2</v>
      </c>
      <c r="C106" s="73" t="str">
        <f aca="false">IFERROR(IF($D106="","",INDEX(Übungen!$B$4:$B$23,MATCH($D106,Übungen!$A$4:$A$23,0))),"")</f>
        <v>Beine hinten</v>
      </c>
      <c r="D106" s="56" t="s">
        <v>402</v>
      </c>
      <c r="E106" s="67" t="s">
        <v>381</v>
      </c>
      <c r="F106" s="55"/>
      <c r="G106" s="68" t="n">
        <v>6</v>
      </c>
      <c r="H106" s="55"/>
      <c r="I106" s="49" t="str">
        <f aca="false">IF(AND(ISNUMBER($F106),ISNUMBER($G106),$E106&lt;&gt;"R"),$F106*$G106,"")</f>
        <v/>
      </c>
      <c r="J106" s="51" t="str">
        <f aca="false">IF(AND($E106="A",ISNUMBER($F106),ISNUMBER($G106)),$F106*(1+$G106/30),"")</f>
        <v/>
      </c>
      <c r="K106" s="56" t="s">
        <v>404</v>
      </c>
      <c r="L106" s="56" t="s">
        <v>405</v>
      </c>
    </row>
    <row r="107" customFormat="false" ht="15.75" hidden="false" customHeight="true" outlineLevel="0" collapsed="false">
      <c r="A107" s="72" t="str">
        <f aca="false">IFERROR(IF($B107="","",IF(INDEX(Einheiten!$B$4:$B$63,MATCH($B107,Einheiten!$A$4:$A$63,0))=0,"",INDEX(Einheiten!$B$4:$B$63,MATCH($B107,Einheiten!$A$4:$A$63,0)))),"")</f>
        <v/>
      </c>
      <c r="B107" s="54" t="n">
        <v>3</v>
      </c>
      <c r="C107" s="73" t="str">
        <f aca="false">IFERROR(IF($D107="","",INDEX(Übungen!$B$4:$B$23,MATCH($D107,Übungen!$A$4:$A$23,0))),"")</f>
        <v>Beine hinten</v>
      </c>
      <c r="D107" s="56" t="s">
        <v>402</v>
      </c>
      <c r="E107" s="67" t="s">
        <v>379</v>
      </c>
      <c r="F107" s="55" t="n">
        <v>120</v>
      </c>
      <c r="G107" s="68"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2" t="str">
        <f aca="false">IFERROR(IF($B108="","",IF(INDEX(Einheiten!$B$4:$B$63,MATCH($B108,Einheiten!$A$4:$A$63,0))=0,"",INDEX(Einheiten!$B$4:$B$63,MATCH($B108,Einheiten!$A$4:$A$63,0)))),"")</f>
        <v/>
      </c>
      <c r="B108" s="54" t="n">
        <v>3</v>
      </c>
      <c r="C108" s="73" t="str">
        <f aca="false">IFERROR(IF($D108="","",INDEX(Übungen!$B$4:$B$23,MATCH($D108,Übungen!$A$4:$A$23,0))),"")</f>
        <v>Beine hinten</v>
      </c>
      <c r="D108" s="56" t="s">
        <v>402</v>
      </c>
      <c r="E108" s="67" t="s">
        <v>379</v>
      </c>
      <c r="F108" s="55" t="n">
        <v>170</v>
      </c>
      <c r="G108" s="68"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2" t="str">
        <f aca="false">IFERROR(IF($B109="","",IF(INDEX(Einheiten!$B$4:$B$63,MATCH($B109,Einheiten!$A$4:$A$63,0))=0,"",INDEX(Einheiten!$B$4:$B$63,MATCH($B109,Einheiten!$A$4:$A$63,0)))),"")</f>
        <v/>
      </c>
      <c r="B109" s="54" t="n">
        <v>3</v>
      </c>
      <c r="C109" s="73" t="str">
        <f aca="false">IFERROR(IF($D109="","",INDEX(Übungen!$B$4:$B$23,MATCH($D109,Übungen!$A$4:$A$23,0))),"")</f>
        <v>Beine hinten</v>
      </c>
      <c r="D109" s="56" t="s">
        <v>402</v>
      </c>
      <c r="E109" s="67" t="s">
        <v>380</v>
      </c>
      <c r="F109" s="55" t="n">
        <v>280</v>
      </c>
      <c r="G109" s="68"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2" t="str">
        <f aca="false">IFERROR(IF($B110="","",IF(INDEX(Einheiten!$B$4:$B$63,MATCH($B110,Einheiten!$A$4:$A$63,0))=0,"",INDEX(Einheiten!$B$4:$B$63,MATCH($B110,Einheiten!$A$4:$A$63,0)))),"")</f>
        <v/>
      </c>
      <c r="B110" s="54" t="n">
        <v>3</v>
      </c>
      <c r="C110" s="73" t="str">
        <f aca="false">IFERROR(IF($D110="","",INDEX(Übungen!$B$4:$B$23,MATCH($D110,Übungen!$A$4:$A$23,0))),"")</f>
        <v>Beine hinten</v>
      </c>
      <c r="D110" s="56" t="s">
        <v>402</v>
      </c>
      <c r="E110" s="67" t="s">
        <v>380</v>
      </c>
      <c r="F110" s="55" t="n">
        <v>270</v>
      </c>
      <c r="G110" s="68"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2" t="str">
        <f aca="false">IFERROR(IF($B111="","",IF(INDEX(Einheiten!$B$4:$B$63,MATCH($B111,Einheiten!$A$4:$A$63,0))=0,"",INDEX(Einheiten!$B$4:$B$63,MATCH($B111,Einheiten!$A$4:$A$63,0)))),"")</f>
        <v/>
      </c>
      <c r="B111" s="54" t="n">
        <v>3</v>
      </c>
      <c r="C111" s="73" t="str">
        <f aca="false">IFERROR(IF($D111="","",INDEX(Übungen!$B$4:$B$23,MATCH($D111,Übungen!$A$4:$A$23,0))),"")</f>
        <v>Beine hinten</v>
      </c>
      <c r="D111" s="56" t="s">
        <v>402</v>
      </c>
      <c r="E111" s="67" t="s">
        <v>381</v>
      </c>
      <c r="F111" s="55"/>
      <c r="G111" s="68" t="n">
        <v>6</v>
      </c>
      <c r="H111" s="55"/>
      <c r="I111" s="49" t="str">
        <f aca="false">IF(AND(ISNUMBER($F111),ISNUMBER($G111),$E111&lt;&gt;"R"),$F111*$G111,"")</f>
        <v/>
      </c>
      <c r="J111" s="51" t="str">
        <f aca="false">IF(AND($E111="A",ISNUMBER($F111),ISNUMBER($G111)),$F111*(1+$G111/30),"")</f>
        <v/>
      </c>
      <c r="K111" s="56" t="s">
        <v>404</v>
      </c>
      <c r="L111" s="56" t="s">
        <v>405</v>
      </c>
    </row>
    <row r="112" customFormat="false" ht="15.75" hidden="false" customHeight="true" outlineLevel="0" collapsed="false">
      <c r="A112" s="72" t="str">
        <f aca="false">IFERROR(IF($B112="","",IF(INDEX(Einheiten!$B$4:$B$63,MATCH($B112,Einheiten!$A$4:$A$63,0))=0,"",INDEX(Einheiten!$B$4:$B$63,MATCH($B112,Einheiten!$A$4:$A$63,0)))),"")</f>
        <v/>
      </c>
      <c r="B112" s="54" t="n">
        <v>4</v>
      </c>
      <c r="C112" s="73" t="str">
        <f aca="false">IFERROR(IF($D112="","",INDEX(Übungen!$B$4:$B$23,MATCH($D112,Übungen!$A$4:$A$23,0))),"")</f>
        <v>Beine hinten</v>
      </c>
      <c r="D112" s="56" t="s">
        <v>402</v>
      </c>
      <c r="E112" s="67" t="s">
        <v>379</v>
      </c>
      <c r="F112" s="55" t="n">
        <v>120</v>
      </c>
      <c r="G112" s="68"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2" t="str">
        <f aca="false">IFERROR(IF($B113="","",IF(INDEX(Einheiten!$B$4:$B$63,MATCH($B113,Einheiten!$A$4:$A$63,0))=0,"",INDEX(Einheiten!$B$4:$B$63,MATCH($B113,Einheiten!$A$4:$A$63,0)))),"")</f>
        <v/>
      </c>
      <c r="B113" s="54" t="n">
        <v>4</v>
      </c>
      <c r="C113" s="73" t="str">
        <f aca="false">IFERROR(IF($D113="","",INDEX(Übungen!$B$4:$B$23,MATCH($D113,Übungen!$A$4:$A$23,0))),"")</f>
        <v>Beine hinten</v>
      </c>
      <c r="D113" s="56" t="s">
        <v>402</v>
      </c>
      <c r="E113" s="67" t="s">
        <v>379</v>
      </c>
      <c r="F113" s="55" t="n">
        <v>170</v>
      </c>
      <c r="G113" s="68"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2" t="str">
        <f aca="false">IFERROR(IF($B114="","",IF(INDEX(Einheiten!$B$4:$B$63,MATCH($B114,Einheiten!$A$4:$A$63,0))=0,"",INDEX(Einheiten!$B$4:$B$63,MATCH($B114,Einheiten!$A$4:$A$63,0)))),"")</f>
        <v/>
      </c>
      <c r="B114" s="54" t="n">
        <v>4</v>
      </c>
      <c r="C114" s="73" t="str">
        <f aca="false">IFERROR(IF($D114="","",INDEX(Übungen!$B$4:$B$23,MATCH($D114,Übungen!$A$4:$A$23,0))),"")</f>
        <v>Beine hinten</v>
      </c>
      <c r="D114" s="56" t="s">
        <v>402</v>
      </c>
      <c r="E114" s="67" t="s">
        <v>380</v>
      </c>
      <c r="F114" s="55" t="n">
        <v>270</v>
      </c>
      <c r="G114" s="68"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2" t="str">
        <f aca="false">IFERROR(IF($B115="","",IF(INDEX(Einheiten!$B$4:$B$63,MATCH($B115,Einheiten!$A$4:$A$63,0))=0,"",INDEX(Einheiten!$B$4:$B$63,MATCH($B115,Einheiten!$A$4:$A$63,0)))),"")</f>
        <v/>
      </c>
      <c r="B115" s="54" t="n">
        <v>4</v>
      </c>
      <c r="C115" s="73" t="str">
        <f aca="false">IFERROR(IF($D115="","",INDEX(Übungen!$B$4:$B$23,MATCH($D115,Übungen!$A$4:$A$23,0))),"")</f>
        <v>Beine hinten</v>
      </c>
      <c r="D115" s="56" t="s">
        <v>402</v>
      </c>
      <c r="E115" s="67" t="s">
        <v>380</v>
      </c>
      <c r="F115" s="55" t="n">
        <v>270</v>
      </c>
      <c r="G115" s="68"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2" t="str">
        <f aca="false">IFERROR(IF($B116="","",IF(INDEX(Einheiten!$B$4:$B$63,MATCH($B116,Einheiten!$A$4:$A$63,0))=0,"",INDEX(Einheiten!$B$4:$B$63,MATCH($B116,Einheiten!$A$4:$A$63,0)))),"")</f>
        <v/>
      </c>
      <c r="B116" s="54" t="n">
        <v>4</v>
      </c>
      <c r="C116" s="73" t="str">
        <f aca="false">IFERROR(IF($D116="","",INDEX(Übungen!$B$4:$B$23,MATCH($D116,Übungen!$A$4:$A$23,0))),"")</f>
        <v>Beine hinten</v>
      </c>
      <c r="D116" s="56" t="s">
        <v>402</v>
      </c>
      <c r="E116" s="67" t="s">
        <v>380</v>
      </c>
      <c r="F116" s="55" t="n">
        <v>270</v>
      </c>
      <c r="G116" s="68"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2" t="str">
        <f aca="false">IFERROR(IF($B117="","",IF(INDEX(Einheiten!$B$4:$B$63,MATCH($B117,Einheiten!$A$4:$A$63,0))=0,"",INDEX(Einheiten!$B$4:$B$63,MATCH($B117,Einheiten!$A$4:$A$63,0)))),"")</f>
        <v/>
      </c>
      <c r="B117" s="54" t="n">
        <v>1</v>
      </c>
      <c r="C117" s="73" t="str">
        <f aca="false">IFERROR(IF($D117="","",INDEX(Übungen!$B$4:$B$23,MATCH($D117,Übungen!$A$4:$A$23,0))),"")</f>
        <v>Beine hinten</v>
      </c>
      <c r="D117" s="56" t="s">
        <v>406</v>
      </c>
      <c r="E117" s="67" t="s">
        <v>379</v>
      </c>
      <c r="F117" s="55" t="n">
        <v>65</v>
      </c>
      <c r="G117" s="68"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2" t="str">
        <f aca="false">IFERROR(IF($B118="","",IF(INDEX(Einheiten!$B$4:$B$63,MATCH($B118,Einheiten!$A$4:$A$63,0))=0,"",INDEX(Einheiten!$B$4:$B$63,MATCH($B118,Einheiten!$A$4:$A$63,0)))),"")</f>
        <v/>
      </c>
      <c r="B118" s="54" t="n">
        <v>1</v>
      </c>
      <c r="C118" s="73" t="str">
        <f aca="false">IFERROR(IF($D118="","",INDEX(Übungen!$B$4:$B$23,MATCH($D118,Übungen!$A$4:$A$23,0))),"")</f>
        <v>Beine hinten</v>
      </c>
      <c r="D118" s="56" t="s">
        <v>406</v>
      </c>
      <c r="E118" s="67" t="s">
        <v>380</v>
      </c>
      <c r="F118" s="55" t="n">
        <v>145</v>
      </c>
      <c r="G118" s="68"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2" t="str">
        <f aca="false">IFERROR(IF($B119="","",IF(INDEX(Einheiten!$B$4:$B$63,MATCH($B119,Einheiten!$A$4:$A$63,0))=0,"",INDEX(Einheiten!$B$4:$B$63,MATCH($B119,Einheiten!$A$4:$A$63,0)))),"")</f>
        <v/>
      </c>
      <c r="B119" s="54" t="n">
        <v>1</v>
      </c>
      <c r="C119" s="73" t="str">
        <f aca="false">IFERROR(IF($D119="","",INDEX(Übungen!$B$4:$B$23,MATCH($D119,Übungen!$A$4:$A$23,0))),"")</f>
        <v>Beine hinten</v>
      </c>
      <c r="D119" s="56" t="s">
        <v>406</v>
      </c>
      <c r="E119" s="67" t="s">
        <v>380</v>
      </c>
      <c r="F119" s="55" t="n">
        <v>115</v>
      </c>
      <c r="G119" s="68"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2" t="str">
        <f aca="false">IFERROR(IF($B120="","",IF(INDEX(Einheiten!$B$4:$B$63,MATCH($B120,Einheiten!$A$4:$A$63,0))=0,"",INDEX(Einheiten!$B$4:$B$63,MATCH($B120,Einheiten!$A$4:$A$63,0)))),"")</f>
        <v/>
      </c>
      <c r="B120" s="54" t="n">
        <v>2</v>
      </c>
      <c r="C120" s="73" t="str">
        <f aca="false">IFERROR(IF($D120="","",INDEX(Übungen!$B$4:$B$23,MATCH($D120,Übungen!$A$4:$A$23,0))),"")</f>
        <v>Beine hinten</v>
      </c>
      <c r="D120" s="56" t="s">
        <v>406</v>
      </c>
      <c r="E120" s="67" t="s">
        <v>379</v>
      </c>
      <c r="F120" s="55" t="n">
        <v>67.5</v>
      </c>
      <c r="G120" s="68"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2" t="str">
        <f aca="false">IFERROR(IF($B121="","",IF(INDEX(Einheiten!$B$4:$B$63,MATCH($B121,Einheiten!$A$4:$A$63,0))=0,"",INDEX(Einheiten!$B$4:$B$63,MATCH($B121,Einheiten!$A$4:$A$63,0)))),"")</f>
        <v/>
      </c>
      <c r="B121" s="54" t="n">
        <v>2</v>
      </c>
      <c r="C121" s="73" t="str">
        <f aca="false">IFERROR(IF($D121="","",INDEX(Übungen!$B$4:$B$23,MATCH($D121,Übungen!$A$4:$A$23,0))),"")</f>
        <v>Beine hinten</v>
      </c>
      <c r="D121" s="56" t="s">
        <v>406</v>
      </c>
      <c r="E121" s="67" t="s">
        <v>380</v>
      </c>
      <c r="F121" s="55" t="n">
        <v>150</v>
      </c>
      <c r="G121" s="68"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2" t="str">
        <f aca="false">IFERROR(IF($B122="","",IF(INDEX(Einheiten!$B$4:$B$63,MATCH($B122,Einheiten!$A$4:$A$63,0))=0,"",INDEX(Einheiten!$B$4:$B$63,MATCH($B122,Einheiten!$A$4:$A$63,0)))),"")</f>
        <v/>
      </c>
      <c r="B122" s="54" t="n">
        <v>2</v>
      </c>
      <c r="C122" s="73" t="str">
        <f aca="false">IFERROR(IF($D122="","",INDEX(Übungen!$B$4:$B$23,MATCH($D122,Übungen!$A$4:$A$23,0))),"")</f>
        <v>Beine hinten</v>
      </c>
      <c r="D122" s="56" t="s">
        <v>406</v>
      </c>
      <c r="E122" s="67" t="s">
        <v>380</v>
      </c>
      <c r="F122" s="55" t="n">
        <v>140</v>
      </c>
      <c r="G122" s="68"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2" t="str">
        <f aca="false">IFERROR(IF($B123="","",IF(INDEX(Einheiten!$B$4:$B$63,MATCH($B123,Einheiten!$A$4:$A$63,0))=0,"",INDEX(Einheiten!$B$4:$B$63,MATCH($B123,Einheiten!$A$4:$A$63,0)))),"")</f>
        <v/>
      </c>
      <c r="B123" s="54" t="n">
        <v>5</v>
      </c>
      <c r="C123" s="73" t="str">
        <f aca="false">IFERROR(IF($D123="","",INDEX(Übungen!$B$4:$B$23,MATCH($D123,Übungen!$A$4:$A$23,0))),"")</f>
        <v>Beine hinten</v>
      </c>
      <c r="D123" s="56" t="s">
        <v>407</v>
      </c>
      <c r="E123" s="67" t="s">
        <v>379</v>
      </c>
      <c r="F123" s="55" t="n">
        <v>40</v>
      </c>
      <c r="G123" s="68"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2" t="str">
        <f aca="false">IFERROR(IF($B124="","",IF(INDEX(Einheiten!$B$4:$B$63,MATCH($B124,Einheiten!$A$4:$A$63,0))=0,"",INDEX(Einheiten!$B$4:$B$63,MATCH($B124,Einheiten!$A$4:$A$63,0)))),"")</f>
        <v/>
      </c>
      <c r="B124" s="54" t="n">
        <v>5</v>
      </c>
      <c r="C124" s="73" t="str">
        <f aca="false">IFERROR(IF($D124="","",INDEX(Übungen!$B$4:$B$23,MATCH($D124,Übungen!$A$4:$A$23,0))),"")</f>
        <v>Beine hinten</v>
      </c>
      <c r="D124" s="56" t="s">
        <v>407</v>
      </c>
      <c r="E124" s="67" t="s">
        <v>379</v>
      </c>
      <c r="F124" s="55" t="n">
        <v>80</v>
      </c>
      <c r="G124" s="68"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2" t="str">
        <f aca="false">IFERROR(IF($B125="","",IF(INDEX(Einheiten!$B$4:$B$63,MATCH($B125,Einheiten!$A$4:$A$63,0))=0,"",INDEX(Einheiten!$B$4:$B$63,MATCH($B125,Einheiten!$A$4:$A$63,0)))),"")</f>
        <v/>
      </c>
      <c r="B125" s="54" t="n">
        <v>5</v>
      </c>
      <c r="C125" s="73" t="str">
        <f aca="false">IFERROR(IF($D125="","",INDEX(Übungen!$B$4:$B$23,MATCH($D125,Übungen!$A$4:$A$23,0))),"")</f>
        <v>Beine hinten</v>
      </c>
      <c r="D125" s="56" t="s">
        <v>407</v>
      </c>
      <c r="E125" s="67" t="s">
        <v>380</v>
      </c>
      <c r="F125" s="55" t="n">
        <v>110</v>
      </c>
      <c r="G125" s="68"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2" t="str">
        <f aca="false">IFERROR(IF($B126="","",IF(INDEX(Einheiten!$B$4:$B$63,MATCH($B126,Einheiten!$A$4:$A$63,0))=0,"",INDEX(Einheiten!$B$4:$B$63,MATCH($B126,Einheiten!$A$4:$A$63,0)))),"")</f>
        <v/>
      </c>
      <c r="B126" s="54" t="n">
        <v>5</v>
      </c>
      <c r="C126" s="73" t="str">
        <f aca="false">IFERROR(IF($D126="","",INDEX(Übungen!$B$4:$B$23,MATCH($D126,Übungen!$A$4:$A$23,0))),"")</f>
        <v>Beine hinten</v>
      </c>
      <c r="D126" s="56" t="s">
        <v>407</v>
      </c>
      <c r="E126" s="67" t="s">
        <v>380</v>
      </c>
      <c r="F126" s="55" t="n">
        <v>110</v>
      </c>
      <c r="G126" s="68"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2" t="str">
        <f aca="false">IFERROR(IF($B127="","",IF(INDEX(Einheiten!$B$4:$B$63,MATCH($B127,Einheiten!$A$4:$A$63,0))=0,"",INDEX(Einheiten!$B$4:$B$63,MATCH($B127,Einheiten!$A$4:$A$63,0)))),"")</f>
        <v/>
      </c>
      <c r="B127" s="54" t="n">
        <v>5</v>
      </c>
      <c r="C127" s="73" t="str">
        <f aca="false">IFERROR(IF($D127="","",INDEX(Übungen!$B$4:$B$23,MATCH($D127,Übungen!$A$4:$A$23,0))),"")</f>
        <v>Beine hinten</v>
      </c>
      <c r="D127" s="56" t="s">
        <v>407</v>
      </c>
      <c r="E127" s="67" t="s">
        <v>380</v>
      </c>
      <c r="F127" s="55" t="n">
        <v>110</v>
      </c>
      <c r="G127" s="68"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2" t="str">
        <f aca="false">IFERROR(IF($B128="","",IF(INDEX(Einheiten!$B$4:$B$63,MATCH($B128,Einheiten!$A$4:$A$63,0))=0,"",INDEX(Einheiten!$B$4:$B$63,MATCH($B128,Einheiten!$A$4:$A$63,0)))),"")</f>
        <v/>
      </c>
      <c r="B128" s="54" t="n">
        <v>5</v>
      </c>
      <c r="C128" s="73" t="str">
        <f aca="false">IFERROR(IF($D128="","",INDEX(Übungen!$B$4:$B$23,MATCH($D128,Übungen!$A$4:$A$23,0))),"")</f>
        <v>Beine hinten</v>
      </c>
      <c r="D128" s="56" t="s">
        <v>402</v>
      </c>
      <c r="E128" s="67" t="s">
        <v>379</v>
      </c>
      <c r="F128" s="55" t="n">
        <v>125</v>
      </c>
      <c r="G128" s="68" t="n">
        <v>8</v>
      </c>
      <c r="H128" s="55"/>
      <c r="I128" s="49" t="n">
        <f aca="false">IF(AND(ISNUMBER($F128),ISNUMBER($G128),$E128&lt;&gt;"R"),$F128*$G128,"")</f>
        <v>1000</v>
      </c>
      <c r="J128" s="51" t="str">
        <f aca="false">IF(AND($E128="A",ISNUMBER($F128),ISNUMBER($G128)),$F128*(1+$G128/30),"")</f>
        <v/>
      </c>
      <c r="K128" s="56"/>
      <c r="L128" s="56" t="s">
        <v>408</v>
      </c>
    </row>
    <row r="129" customFormat="false" ht="15.75" hidden="false" customHeight="true" outlineLevel="0" collapsed="false">
      <c r="A129" s="72" t="str">
        <f aca="false">IFERROR(IF($B129="","",IF(INDEX(Einheiten!$B$4:$B$63,MATCH($B129,Einheiten!$A$4:$A$63,0))=0,"",INDEX(Einheiten!$B$4:$B$63,MATCH($B129,Einheiten!$A$4:$A$63,0)))),"")</f>
        <v/>
      </c>
      <c r="B129" s="54" t="n">
        <v>5</v>
      </c>
      <c r="C129" s="73" t="str">
        <f aca="false">IFERROR(IF($D129="","",INDEX(Übungen!$B$4:$B$23,MATCH($D129,Übungen!$A$4:$A$23,0))),"")</f>
        <v>Beine hinten</v>
      </c>
      <c r="D129" s="56" t="s">
        <v>402</v>
      </c>
      <c r="E129" s="67" t="s">
        <v>380</v>
      </c>
      <c r="F129" s="55" t="n">
        <v>150</v>
      </c>
      <c r="G129" s="68"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2" t="str">
        <f aca="false">IFERROR(IF($B130="","",IF(INDEX(Einheiten!$B$4:$B$63,MATCH($B130,Einheiten!$A$4:$A$63,0))=0,"",INDEX(Einheiten!$B$4:$B$63,MATCH($B130,Einheiten!$A$4:$A$63,0)))),"")</f>
        <v/>
      </c>
      <c r="B130" s="54" t="n">
        <v>5</v>
      </c>
      <c r="C130" s="73" t="str">
        <f aca="false">IFERROR(IF($D130="","",INDEX(Übungen!$B$4:$B$23,MATCH($D130,Übungen!$A$4:$A$23,0))),"")</f>
        <v>Beine hinten</v>
      </c>
      <c r="D130" s="56" t="s">
        <v>402</v>
      </c>
      <c r="E130" s="67" t="s">
        <v>380</v>
      </c>
      <c r="F130" s="55" t="n">
        <v>170</v>
      </c>
      <c r="G130" s="68"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2" t="str">
        <f aca="false">IFERROR(IF($B131="","",IF(INDEX(Einheiten!$B$4:$B$63,MATCH($B131,Einheiten!$A$4:$A$63,0))=0,"",INDEX(Einheiten!$B$4:$B$63,MATCH($B131,Einheiten!$A$4:$A$63,0)))),"")</f>
        <v/>
      </c>
      <c r="B131" s="54" t="n">
        <v>5</v>
      </c>
      <c r="C131" s="73" t="str">
        <f aca="false">IFERROR(IF($D131="","",INDEX(Übungen!$B$4:$B$23,MATCH($D131,Übungen!$A$4:$A$23,0))),"")</f>
        <v>Beine hinten</v>
      </c>
      <c r="D131" s="56" t="s">
        <v>402</v>
      </c>
      <c r="E131" s="67" t="s">
        <v>380</v>
      </c>
      <c r="F131" s="55" t="n">
        <v>190</v>
      </c>
      <c r="G131" s="68"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2" t="str">
        <f aca="false">IFERROR(IF($B132="","",IF(INDEX(Einheiten!$B$4:$B$63,MATCH($B132,Einheiten!$A$4:$A$63,0))=0,"",INDEX(Einheiten!$B$4:$B$63,MATCH($B132,Einheiten!$A$4:$A$63,0)))),"")</f>
        <v/>
      </c>
      <c r="B132" s="54" t="n">
        <v>5</v>
      </c>
      <c r="C132" s="73" t="str">
        <f aca="false">IFERROR(IF($D132="","",INDEX(Übungen!$B$4:$B$23,MATCH($D132,Übungen!$A$4:$A$23,0))),"")</f>
        <v>Beine hinten</v>
      </c>
      <c r="D132" s="56" t="s">
        <v>398</v>
      </c>
      <c r="E132" s="67" t="s">
        <v>379</v>
      </c>
      <c r="F132" s="55" t="n">
        <v>20.5</v>
      </c>
      <c r="G132" s="68"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2" t="str">
        <f aca="false">IFERROR(IF($B133="","",IF(INDEX(Einheiten!$B$4:$B$63,MATCH($B133,Einheiten!$A$4:$A$63,0))=0,"",INDEX(Einheiten!$B$4:$B$63,MATCH($B133,Einheiten!$A$4:$A$63,0)))),"")</f>
        <v/>
      </c>
      <c r="B133" s="54" t="n">
        <v>5</v>
      </c>
      <c r="C133" s="73" t="str">
        <f aca="false">IFERROR(IF($D133="","",INDEX(Übungen!$B$4:$B$23,MATCH($D133,Übungen!$A$4:$A$23,0))),"")</f>
        <v>Beine hinten</v>
      </c>
      <c r="D133" s="56" t="s">
        <v>398</v>
      </c>
      <c r="E133" s="67" t="s">
        <v>379</v>
      </c>
      <c r="F133" s="55" t="n">
        <v>32</v>
      </c>
      <c r="G133" s="68"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2" t="str">
        <f aca="false">IFERROR(IF($B134="","",IF(INDEX(Einheiten!$B$4:$B$63,MATCH($B134,Einheiten!$A$4:$A$63,0))=0,"",INDEX(Einheiten!$B$4:$B$63,MATCH($B134,Einheiten!$A$4:$A$63,0)))),"")</f>
        <v/>
      </c>
      <c r="B134" s="54" t="n">
        <v>5</v>
      </c>
      <c r="C134" s="73" t="str">
        <f aca="false">IFERROR(IF($D134="","",INDEX(Übungen!$B$4:$B$23,MATCH($D134,Übungen!$A$4:$A$23,0))),"")</f>
        <v>Beine hinten</v>
      </c>
      <c r="D134" s="56" t="s">
        <v>398</v>
      </c>
      <c r="E134" s="67" t="s">
        <v>380</v>
      </c>
      <c r="F134" s="55" t="n">
        <v>45</v>
      </c>
      <c r="G134" s="68"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2" t="str">
        <f aca="false">IFERROR(IF($B135="","",IF(INDEX(Einheiten!$B$4:$B$63,MATCH($B135,Einheiten!$A$4:$A$63,0))=0,"",INDEX(Einheiten!$B$4:$B$63,MATCH($B135,Einheiten!$A$4:$A$63,0)))),"")</f>
        <v/>
      </c>
      <c r="B135" s="54" t="n">
        <v>5</v>
      </c>
      <c r="C135" s="73" t="str">
        <f aca="false">IFERROR(IF($D135="","",INDEX(Übungen!$B$4:$B$23,MATCH($D135,Übungen!$A$4:$A$23,0))),"")</f>
        <v>Beine hinten</v>
      </c>
      <c r="D135" s="56" t="s">
        <v>398</v>
      </c>
      <c r="E135" s="67" t="s">
        <v>380</v>
      </c>
      <c r="F135" s="55" t="n">
        <v>45</v>
      </c>
      <c r="G135" s="68"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2" t="str">
        <f aca="false">IFERROR(IF($B136="","",IF(INDEX(Einheiten!$B$4:$B$63,MATCH($B136,Einheiten!$A$4:$A$63,0))=0,"",INDEX(Einheiten!$B$4:$B$63,MATCH($B136,Einheiten!$A$4:$A$63,0)))),"")</f>
        <v/>
      </c>
      <c r="B136" s="54" t="n">
        <v>5</v>
      </c>
      <c r="C136" s="73" t="str">
        <f aca="false">IFERROR(IF($D136="","",INDEX(Übungen!$B$4:$B$23,MATCH($D136,Übungen!$A$4:$A$23,0))),"")</f>
        <v>Beine hinten</v>
      </c>
      <c r="D136" s="56" t="s">
        <v>398</v>
      </c>
      <c r="E136" s="67" t="s">
        <v>381</v>
      </c>
      <c r="F136" s="55" t="n">
        <v>30</v>
      </c>
      <c r="G136" s="68" t="n">
        <v>6</v>
      </c>
      <c r="H136" s="55"/>
      <c r="I136" s="49" t="str">
        <f aca="false">IF(AND(ISNUMBER($F136),ISNUMBER($G136),$E136&lt;&gt;"R"),$F136*$G136,"")</f>
        <v/>
      </c>
      <c r="J136" s="51" t="str">
        <f aca="false">IF(AND($E136="A",ISNUMBER($F136),ISNUMBER($G136)),$F136*(1+$G136/30),"")</f>
        <v/>
      </c>
      <c r="K136" s="56" t="s">
        <v>401</v>
      </c>
      <c r="L136" s="56"/>
    </row>
    <row r="137" customFormat="false" ht="15.75" hidden="false" customHeight="true" outlineLevel="0" collapsed="false">
      <c r="A137" s="72" t="str">
        <f aca="false">IFERROR(IF($B137="","",IF(INDEX(Einheiten!$B$4:$B$63,MATCH($B137,Einheiten!$A$4:$A$63,0))=0,"",INDEX(Einheiten!$B$4:$B$63,MATCH($B137,Einheiten!$A$4:$A$63,0)))),"")</f>
        <v/>
      </c>
      <c r="B137" s="54" t="n">
        <v>5</v>
      </c>
      <c r="C137" s="73" t="str">
        <f aca="false">IFERROR(IF($D137="","",INDEX(Übungen!$B$4:$B$23,MATCH($D137,Übungen!$A$4:$A$23,0))),"")</f>
        <v>Beine hinten</v>
      </c>
      <c r="D137" s="56" t="s">
        <v>397</v>
      </c>
      <c r="E137" s="67" t="s">
        <v>379</v>
      </c>
      <c r="F137" s="55" t="n">
        <v>16</v>
      </c>
      <c r="G137" s="68"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2" t="str">
        <f aca="false">IFERROR(IF($B138="","",IF(INDEX(Einheiten!$B$4:$B$63,MATCH($B138,Einheiten!$A$4:$A$63,0))=0,"",INDEX(Einheiten!$B$4:$B$63,MATCH($B138,Einheiten!$A$4:$A$63,0)))),"")</f>
        <v/>
      </c>
      <c r="B138" s="54" t="n">
        <v>5</v>
      </c>
      <c r="C138" s="73" t="str">
        <f aca="false">IFERROR(IF($D138="","",INDEX(Übungen!$B$4:$B$23,MATCH($D138,Übungen!$A$4:$A$23,0))),"")</f>
        <v>Beine hinten</v>
      </c>
      <c r="D138" s="56" t="s">
        <v>397</v>
      </c>
      <c r="E138" s="67" t="s">
        <v>380</v>
      </c>
      <c r="F138" s="55" t="n">
        <v>36</v>
      </c>
      <c r="G138" s="68"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2" t="str">
        <f aca="false">IFERROR(IF($B139="","",IF(INDEX(Einheiten!$B$4:$B$63,MATCH($B139,Einheiten!$A$4:$A$63,0))=0,"",INDEX(Einheiten!$B$4:$B$63,MATCH($B139,Einheiten!$A$4:$A$63,0)))),"")</f>
        <v/>
      </c>
      <c r="B139" s="54" t="n">
        <v>5</v>
      </c>
      <c r="C139" s="73" t="str">
        <f aca="false">IFERROR(IF($D139="","",INDEX(Übungen!$B$4:$B$23,MATCH($D139,Übungen!$A$4:$A$23,0))),"")</f>
        <v>Beine hinten</v>
      </c>
      <c r="D139" s="56" t="s">
        <v>397</v>
      </c>
      <c r="E139" s="67" t="s">
        <v>380</v>
      </c>
      <c r="F139" s="55" t="n">
        <v>36</v>
      </c>
      <c r="G139" s="68"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2" t="str">
        <f aca="false">IFERROR(IF($B140="","",IF(INDEX(Einheiten!$B$4:$B$63,MATCH($B140,Einheiten!$A$4:$A$63,0))=0,"",INDEX(Einheiten!$B$4:$B$63,MATCH($B140,Einheiten!$A$4:$A$63,0)))),"")</f>
        <v/>
      </c>
      <c r="B140" s="54" t="n">
        <v>5</v>
      </c>
      <c r="C140" s="73" t="str">
        <f aca="false">IFERROR(IF($D140="","",INDEX(Übungen!$B$4:$B$23,MATCH($D140,Übungen!$A$4:$A$23,0))),"")</f>
        <v>Beine hinten</v>
      </c>
      <c r="D140" s="56" t="s">
        <v>406</v>
      </c>
      <c r="E140" s="67" t="s">
        <v>379</v>
      </c>
      <c r="F140" s="55" t="n">
        <v>70</v>
      </c>
      <c r="G140" s="68"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2" t="str">
        <f aca="false">IFERROR(IF($B141="","",IF(INDEX(Einheiten!$B$4:$B$63,MATCH($B141,Einheiten!$A$4:$A$63,0))=0,"",INDEX(Einheiten!$B$4:$B$63,MATCH($B141,Einheiten!$A$4:$A$63,0)))),"")</f>
        <v/>
      </c>
      <c r="B141" s="54" t="n">
        <v>5</v>
      </c>
      <c r="C141" s="73" t="str">
        <f aca="false">IFERROR(IF($D141="","",INDEX(Übungen!$B$4:$B$23,MATCH($D141,Übungen!$A$4:$A$23,0))),"")</f>
        <v>Beine hinten</v>
      </c>
      <c r="D141" s="56" t="s">
        <v>406</v>
      </c>
      <c r="E141" s="67" t="s">
        <v>379</v>
      </c>
      <c r="F141" s="55" t="n">
        <v>108</v>
      </c>
      <c r="G141" s="68"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2" t="str">
        <f aca="false">IFERROR(IF($B142="","",IF(INDEX(Einheiten!$B$4:$B$63,MATCH($B142,Einheiten!$A$4:$A$63,0))=0,"",INDEX(Einheiten!$B$4:$B$63,MATCH($B142,Einheiten!$A$4:$A$63,0)))),"")</f>
        <v/>
      </c>
      <c r="B142" s="54" t="n">
        <v>5</v>
      </c>
      <c r="C142" s="73" t="str">
        <f aca="false">IFERROR(IF($D142="","",INDEX(Übungen!$B$4:$B$23,MATCH($D142,Übungen!$A$4:$A$23,0))),"")</f>
        <v>Beine hinten</v>
      </c>
      <c r="D142" s="56" t="s">
        <v>406</v>
      </c>
      <c r="E142" s="67" t="s">
        <v>380</v>
      </c>
      <c r="F142" s="55" t="n">
        <v>135</v>
      </c>
      <c r="G142" s="68"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2" t="str">
        <f aca="false">IFERROR(IF($B143="","",IF(INDEX(Einheiten!$B$4:$B$63,MATCH($B143,Einheiten!$A$4:$A$63,0))=0,"",INDEX(Einheiten!$B$4:$B$63,MATCH($B143,Einheiten!$A$4:$A$63,0)))),"")</f>
        <v/>
      </c>
      <c r="B143" s="54" t="n">
        <v>5</v>
      </c>
      <c r="C143" s="73" t="str">
        <f aca="false">IFERROR(IF($D143="","",INDEX(Übungen!$B$4:$B$23,MATCH($D143,Übungen!$A$4:$A$23,0))),"")</f>
        <v>Beine hinten</v>
      </c>
      <c r="D143" s="56" t="s">
        <v>406</v>
      </c>
      <c r="E143" s="67" t="s">
        <v>380</v>
      </c>
      <c r="F143" s="55" t="n">
        <v>135</v>
      </c>
      <c r="G143" s="68"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2" t="str">
        <f aca="false">IFERROR(IF($B144="","",IF(INDEX(Einheiten!$B$4:$B$63,MATCH($B144,Einheiten!$A$4:$A$63,0))=0,"",INDEX(Einheiten!$B$4:$B$63,MATCH($B144,Einheiten!$A$4:$A$63,0)))),"")</f>
        <v/>
      </c>
      <c r="B144" s="54" t="n">
        <v>5</v>
      </c>
      <c r="C144" s="73" t="str">
        <f aca="false">IFERROR(IF($D144="","",INDEX(Übungen!$B$4:$B$23,MATCH($D144,Übungen!$A$4:$A$23,0))),"")</f>
        <v>Beine vorne</v>
      </c>
      <c r="D144" s="56" t="s">
        <v>394</v>
      </c>
      <c r="E144" s="67" t="s">
        <v>379</v>
      </c>
      <c r="F144" s="55" t="n">
        <v>40</v>
      </c>
      <c r="G144" s="68"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2" t="str">
        <f aca="false">IFERROR(IF($B145="","",IF(INDEX(Einheiten!$B$4:$B$63,MATCH($B145,Einheiten!$A$4:$A$63,0))=0,"",INDEX(Einheiten!$B$4:$B$63,MATCH($B145,Einheiten!$A$4:$A$63,0)))),"")</f>
        <v/>
      </c>
      <c r="B145" s="54" t="n">
        <v>5</v>
      </c>
      <c r="C145" s="73" t="str">
        <f aca="false">IFERROR(IF($D145="","",INDEX(Übungen!$B$4:$B$23,MATCH($D145,Übungen!$A$4:$A$23,0))),"")</f>
        <v>Beine vorne</v>
      </c>
      <c r="D145" s="56" t="s">
        <v>394</v>
      </c>
      <c r="E145" s="67" t="s">
        <v>379</v>
      </c>
      <c r="F145" s="55" t="n">
        <v>60</v>
      </c>
      <c r="G145" s="68"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2" t="str">
        <f aca="false">IFERROR(IF($B146="","",IF(INDEX(Einheiten!$B$4:$B$63,MATCH($B146,Einheiten!$A$4:$A$63,0))=0,"",INDEX(Einheiten!$B$4:$B$63,MATCH($B146,Einheiten!$A$4:$A$63,0)))),"")</f>
        <v/>
      </c>
      <c r="B146" s="54" t="n">
        <v>5</v>
      </c>
      <c r="C146" s="73" t="str">
        <f aca="false">IFERROR(IF($D146="","",INDEX(Übungen!$B$4:$B$23,MATCH($D146,Übungen!$A$4:$A$23,0))),"")</f>
        <v>Beine vorne</v>
      </c>
      <c r="D146" s="56" t="s">
        <v>394</v>
      </c>
      <c r="E146" s="67" t="s">
        <v>380</v>
      </c>
      <c r="F146" s="55" t="n">
        <v>100</v>
      </c>
      <c r="G146" s="68"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2" t="str">
        <f aca="false">IFERROR(IF($B147="","",IF(INDEX(Einheiten!$B$4:$B$63,MATCH($B147,Einheiten!$A$4:$A$63,0))=0,"",INDEX(Einheiten!$B$4:$B$63,MATCH($B147,Einheiten!$A$4:$A$63,0)))),"")</f>
        <v/>
      </c>
      <c r="B147" s="54" t="n">
        <v>5</v>
      </c>
      <c r="C147" s="73" t="str">
        <f aca="false">IFERROR(IF($D147="","",INDEX(Übungen!$B$4:$B$23,MATCH($D147,Übungen!$A$4:$A$23,0))),"")</f>
        <v>Beine vorne</v>
      </c>
      <c r="D147" s="56" t="s">
        <v>394</v>
      </c>
      <c r="E147" s="67" t="s">
        <v>380</v>
      </c>
      <c r="F147" s="55" t="n">
        <v>80</v>
      </c>
      <c r="G147" s="68" t="n">
        <v>12</v>
      </c>
      <c r="H147" s="55"/>
      <c r="I147" s="49" t="n">
        <f aca="false">IF(AND(ISNUMBER($F147),ISNUMBER($G147),$E147&lt;&gt;"R"),$F147*$G147,"")</f>
        <v>960</v>
      </c>
      <c r="J147" s="51" t="n">
        <f aca="false">IF(AND($E147="A",ISNUMBER($F147),ISNUMBER($G147)),$F147*(1+$G147/30),"")</f>
        <v>112</v>
      </c>
      <c r="K147" s="56"/>
      <c r="L147" s="56" t="s">
        <v>409</v>
      </c>
    </row>
    <row r="148" customFormat="false" ht="15.75" hidden="false" customHeight="true" outlineLevel="0" collapsed="false">
      <c r="A148" s="72" t="str">
        <f aca="false">IFERROR(IF($B148="","",IF(INDEX(Einheiten!$B$4:$B$63,MATCH($B148,Einheiten!$A$4:$A$63,0))=0,"",INDEX(Einheiten!$B$4:$B$63,MATCH($B148,Einheiten!$A$4:$A$63,0)))),"")</f>
        <v/>
      </c>
      <c r="B148" s="54" t="n">
        <v>5</v>
      </c>
      <c r="C148" s="73" t="str">
        <f aca="false">IFERROR(IF($D148="","",INDEX(Übungen!$B$4:$B$23,MATCH($D148,Übungen!$A$4:$A$23,0))),"")</f>
        <v>Beine vorne</v>
      </c>
      <c r="D148" s="56" t="s">
        <v>410</v>
      </c>
      <c r="E148" s="67" t="s">
        <v>379</v>
      </c>
      <c r="F148" s="55" t="n">
        <v>103</v>
      </c>
      <c r="G148" s="68"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2" t="str">
        <f aca="false">IFERROR(IF($B149="","",IF(INDEX(Einheiten!$B$4:$B$63,MATCH($B149,Einheiten!$A$4:$A$63,0))=0,"",INDEX(Einheiten!$B$4:$B$63,MATCH($B149,Einheiten!$A$4:$A$63,0)))),"")</f>
        <v/>
      </c>
      <c r="B149" s="54" t="n">
        <v>5</v>
      </c>
      <c r="C149" s="73" t="str">
        <f aca="false">IFERROR(IF($D149="","",INDEX(Übungen!$B$4:$B$23,MATCH($D149,Übungen!$A$4:$A$23,0))),"")</f>
        <v>Beine vorne</v>
      </c>
      <c r="D149" s="56" t="s">
        <v>410</v>
      </c>
      <c r="E149" s="67" t="s">
        <v>379</v>
      </c>
      <c r="F149" s="55" t="n">
        <v>153</v>
      </c>
      <c r="G149" s="68"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2" t="str">
        <f aca="false">IFERROR(IF($B150="","",IF(INDEX(Einheiten!$B$4:$B$63,MATCH($B150,Einheiten!$A$4:$A$63,0))=0,"",INDEX(Einheiten!$B$4:$B$63,MATCH($B150,Einheiten!$A$4:$A$63,0)))),"")</f>
        <v/>
      </c>
      <c r="B150" s="54" t="n">
        <v>5</v>
      </c>
      <c r="C150" s="73" t="str">
        <f aca="false">IFERROR(IF($D150="","",INDEX(Übungen!$B$4:$B$23,MATCH($D150,Übungen!$A$4:$A$23,0))),"")</f>
        <v>Beine vorne</v>
      </c>
      <c r="D150" s="56" t="s">
        <v>410</v>
      </c>
      <c r="E150" s="67" t="s">
        <v>380</v>
      </c>
      <c r="F150" s="55" t="n">
        <v>253</v>
      </c>
      <c r="G150" s="68"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2" t="str">
        <f aca="false">IFERROR(IF($B151="","",IF(INDEX(Einheiten!$B$4:$B$63,MATCH($B151,Einheiten!$A$4:$A$63,0))=0,"",INDEX(Einheiten!$B$4:$B$63,MATCH($B151,Einheiten!$A$4:$A$63,0)))),"")</f>
        <v/>
      </c>
      <c r="B151" s="54" t="n">
        <v>5</v>
      </c>
      <c r="C151" s="73" t="str">
        <f aca="false">IFERROR(IF($D151="","",INDEX(Übungen!$B$4:$B$23,MATCH($D151,Übungen!$A$4:$A$23,0))),"")</f>
        <v>Beine vorne</v>
      </c>
      <c r="D151" s="56" t="s">
        <v>410</v>
      </c>
      <c r="E151" s="67" t="s">
        <v>380</v>
      </c>
      <c r="F151" s="55" t="n">
        <v>273</v>
      </c>
      <c r="G151" s="68"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2" t="str">
        <f aca="false">IFERROR(IF($B152="","",IF(INDEX(Einheiten!$B$4:$B$63,MATCH($B152,Einheiten!$A$4:$A$63,0))=0,"",INDEX(Einheiten!$B$4:$B$63,MATCH($B152,Einheiten!$A$4:$A$63,0)))),"")</f>
        <v/>
      </c>
      <c r="B152" s="54" t="n">
        <v>5</v>
      </c>
      <c r="C152" s="73" t="str">
        <f aca="false">IFERROR(IF($D152="","",INDEX(Übungen!$B$4:$B$23,MATCH($D152,Übungen!$A$4:$A$23,0))),"")</f>
        <v>Beine vorne</v>
      </c>
      <c r="D152" s="56" t="s">
        <v>387</v>
      </c>
      <c r="E152" s="67" t="s">
        <v>379</v>
      </c>
      <c r="F152" s="55" t="n">
        <v>35</v>
      </c>
      <c r="G152" s="68"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2" t="str">
        <f aca="false">IFERROR(IF($B153="","",IF(INDEX(Einheiten!$B$4:$B$63,MATCH($B153,Einheiten!$A$4:$A$63,0))=0,"",INDEX(Einheiten!$B$4:$B$63,MATCH($B153,Einheiten!$A$4:$A$63,0)))),"")</f>
        <v/>
      </c>
      <c r="B153" s="54" t="n">
        <v>5</v>
      </c>
      <c r="C153" s="73" t="str">
        <f aca="false">IFERROR(IF($D153="","",INDEX(Übungen!$B$4:$B$23,MATCH($D153,Übungen!$A$4:$A$23,0))),"")</f>
        <v>Beine vorne</v>
      </c>
      <c r="D153" s="56" t="s">
        <v>387</v>
      </c>
      <c r="E153" s="67" t="s">
        <v>379</v>
      </c>
      <c r="F153" s="55" t="n">
        <v>55</v>
      </c>
      <c r="G153" s="68"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2" t="str">
        <f aca="false">IFERROR(IF($B154="","",IF(INDEX(Einheiten!$B$4:$B$63,MATCH($B154,Einheiten!$A$4:$A$63,0))=0,"",INDEX(Einheiten!$B$4:$B$63,MATCH($B154,Einheiten!$A$4:$A$63,0)))),"")</f>
        <v/>
      </c>
      <c r="B154" s="54" t="n">
        <v>5</v>
      </c>
      <c r="C154" s="73" t="str">
        <f aca="false">IFERROR(IF($D154="","",INDEX(Übungen!$B$4:$B$23,MATCH($D154,Übungen!$A$4:$A$23,0))),"")</f>
        <v>Beine vorne</v>
      </c>
      <c r="D154" s="56" t="s">
        <v>387</v>
      </c>
      <c r="E154" s="67" t="s">
        <v>380</v>
      </c>
      <c r="F154" s="55" t="n">
        <v>80</v>
      </c>
      <c r="G154" s="68"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2" t="str">
        <f aca="false">IFERROR(IF($B155="","",IF(INDEX(Einheiten!$B$4:$B$63,MATCH($B155,Einheiten!$A$4:$A$63,0))=0,"",INDEX(Einheiten!$B$4:$B$63,MATCH($B155,Einheiten!$A$4:$A$63,0)))),"")</f>
        <v/>
      </c>
      <c r="B155" s="54" t="n">
        <v>5</v>
      </c>
      <c r="C155" s="73" t="str">
        <f aca="false">IFERROR(IF($D155="","",INDEX(Übungen!$B$4:$B$23,MATCH($D155,Übungen!$A$4:$A$23,0))),"")</f>
        <v>Beine vorne</v>
      </c>
      <c r="D155" s="56" t="s">
        <v>387</v>
      </c>
      <c r="E155" s="67" t="s">
        <v>380</v>
      </c>
      <c r="F155" s="55" t="n">
        <v>70</v>
      </c>
      <c r="G155" s="68" t="n">
        <v>11</v>
      </c>
      <c r="H155" s="55"/>
      <c r="I155" s="49" t="n">
        <f aca="false">IF(AND(ISNUMBER($F155),ISNUMBER($G155),$E155&lt;&gt;"R"),$F155*$G155,"")</f>
        <v>770</v>
      </c>
      <c r="J155" s="51" t="n">
        <f aca="false">IF(AND($E155="A",ISNUMBER($F155),ISNUMBER($G155)),$F155*(1+$G155/30),"")</f>
        <v>95.6666666666667</v>
      </c>
      <c r="K155" s="56"/>
      <c r="L155" s="56" t="s">
        <v>409</v>
      </c>
    </row>
    <row r="156" customFormat="false" ht="15.75" hidden="false" customHeight="true" outlineLevel="0" collapsed="false">
      <c r="A156" s="72" t="str">
        <f aca="false">IFERROR(IF($B156="","",IF(INDEX(Einheiten!$B$4:$B$63,MATCH($B156,Einheiten!$A$4:$A$63,0))=0,"",INDEX(Einheiten!$B$4:$B$63,MATCH($B156,Einheiten!$A$4:$A$63,0)))),"")</f>
        <v/>
      </c>
      <c r="B156" s="54" t="n">
        <v>5</v>
      </c>
      <c r="C156" s="73" t="str">
        <f aca="false">IFERROR(IF($D156="","",INDEX(Übungen!$B$4:$B$23,MATCH($D156,Übungen!$A$4:$A$23,0))),"")</f>
        <v>Beine vorne</v>
      </c>
      <c r="D156" s="56" t="s">
        <v>387</v>
      </c>
      <c r="E156" s="67" t="s">
        <v>381</v>
      </c>
      <c r="F156" s="55" t="n">
        <v>50</v>
      </c>
      <c r="G156" s="68"/>
      <c r="H156" s="55"/>
      <c r="I156" s="49" t="str">
        <f aca="false">IF(AND(ISNUMBER($F156),ISNUMBER($G156),$E156&lt;&gt;"R"),$F156*$G156,"")</f>
        <v/>
      </c>
      <c r="J156" s="51" t="str">
        <f aca="false">IF(AND($E156="A",ISNUMBER($F156),ISNUMBER($G156)),$F156*(1+$G156/30),"")</f>
        <v/>
      </c>
      <c r="K156" s="56" t="s">
        <v>411</v>
      </c>
      <c r="L156" s="56" t="s">
        <v>412</v>
      </c>
    </row>
    <row r="157" customFormat="false" ht="15.75" hidden="false" customHeight="true" outlineLevel="0" collapsed="false">
      <c r="A157" s="72" t="str">
        <f aca="false">IFERROR(IF($B157="","",IF(INDEX(Einheiten!$B$4:$B$63,MATCH($B157,Einheiten!$A$4:$A$63,0))=0,"",INDEX(Einheiten!$B$4:$B$63,MATCH($B157,Einheiten!$A$4:$A$63,0)))),"")</f>
        <v/>
      </c>
      <c r="B157" s="54" t="n">
        <v>5</v>
      </c>
      <c r="C157" s="73" t="str">
        <f aca="false">IFERROR(IF($D157="","",INDEX(Übungen!$B$4:$B$23,MATCH($D157,Übungen!$A$4:$A$23,0))),"")</f>
        <v>Beine vorne</v>
      </c>
      <c r="D157" s="56" t="s">
        <v>378</v>
      </c>
      <c r="E157" s="67" t="s">
        <v>379</v>
      </c>
      <c r="F157" s="55" t="n">
        <v>70</v>
      </c>
      <c r="G157" s="68"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2" t="str">
        <f aca="false">IFERROR(IF($B158="","",IF(INDEX(Einheiten!$B$4:$B$63,MATCH($B158,Einheiten!$A$4:$A$63,0))=0,"",INDEX(Einheiten!$B$4:$B$63,MATCH($B158,Einheiten!$A$4:$A$63,0)))),"")</f>
        <v/>
      </c>
      <c r="B158" s="54" t="n">
        <v>5</v>
      </c>
      <c r="C158" s="73" t="str">
        <f aca="false">IFERROR(IF($D158="","",INDEX(Übungen!$B$4:$B$23,MATCH($D158,Übungen!$A$4:$A$23,0))),"")</f>
        <v>Beine vorne</v>
      </c>
      <c r="D158" s="56" t="s">
        <v>378</v>
      </c>
      <c r="E158" s="67" t="s">
        <v>380</v>
      </c>
      <c r="F158" s="55" t="n">
        <v>162.5</v>
      </c>
      <c r="G158" s="68"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2" t="str">
        <f aca="false">IFERROR(IF($B159="","",IF(INDEX(Einheiten!$B$4:$B$63,MATCH($B159,Einheiten!$A$4:$A$63,0))=0,"",INDEX(Einheiten!$B$4:$B$63,MATCH($B159,Einheiten!$A$4:$A$63,0)))),"")</f>
        <v/>
      </c>
      <c r="B159" s="54" t="n">
        <v>5</v>
      </c>
      <c r="C159" s="73" t="str">
        <f aca="false">IFERROR(IF($D159="","",INDEX(Übungen!$B$4:$B$23,MATCH($D159,Übungen!$A$4:$A$23,0))),"")</f>
        <v>Beine vorne</v>
      </c>
      <c r="D159" s="56" t="s">
        <v>378</v>
      </c>
      <c r="E159" s="67" t="s">
        <v>380</v>
      </c>
      <c r="F159" s="55" t="n">
        <v>162.5</v>
      </c>
      <c r="G159" s="68"/>
      <c r="H159" s="55"/>
      <c r="I159" s="49" t="str">
        <f aca="false">IF(AND(ISNUMBER($F159),ISNUMBER($G159),$E159&lt;&gt;"R"),$F159*$G159,"")</f>
        <v/>
      </c>
      <c r="J159" s="51" t="str">
        <f aca="false">IF(AND($E159="A",ISNUMBER($F159),ISNUMBER($G159)),$F159*(1+$G159/30),"")</f>
        <v/>
      </c>
      <c r="K159" s="56"/>
      <c r="L159" s="56" t="s">
        <v>412</v>
      </c>
    </row>
    <row r="160" customFormat="false" ht="15.75" hidden="false" customHeight="true" outlineLevel="0" collapsed="false">
      <c r="A160" s="72" t="str">
        <f aca="false">IFERROR(IF($B160="","",IF(INDEX(Einheiten!$B$4:$B$63,MATCH($B160,Einheiten!$A$4:$A$63,0))=0,"",INDEX(Einheiten!$B$4:$B$63,MATCH($B160,Einheiten!$A$4:$A$63,0)))),"")</f>
        <v/>
      </c>
      <c r="B160" s="54" t="n">
        <v>6</v>
      </c>
      <c r="C160" s="73" t="str">
        <f aca="false">IFERROR(IF($D160="","",INDEX(Übungen!$B$4:$B$23,MATCH($D160,Übungen!$A$4:$A$23,0))),"")</f>
        <v>Beine vorne</v>
      </c>
      <c r="D160" s="56" t="s">
        <v>394</v>
      </c>
      <c r="E160" s="67" t="s">
        <v>380</v>
      </c>
      <c r="F160" s="55" t="n">
        <v>100</v>
      </c>
      <c r="G160" s="68"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2" t="str">
        <f aca="false">IFERROR(IF($B161="","",IF(INDEX(Einheiten!$B$4:$B$63,MATCH($B161,Einheiten!$A$4:$A$63,0))=0,"",INDEX(Einheiten!$B$4:$B$63,MATCH($B161,Einheiten!$A$4:$A$63,0)))),"")</f>
        <v/>
      </c>
      <c r="B161" s="54" t="n">
        <v>6</v>
      </c>
      <c r="C161" s="73" t="str">
        <f aca="false">IFERROR(IF($D161="","",INDEX(Übungen!$B$4:$B$23,MATCH($D161,Übungen!$A$4:$A$23,0))),"")</f>
        <v>Beine vorne</v>
      </c>
      <c r="D161" s="56" t="s">
        <v>394</v>
      </c>
      <c r="E161" s="67" t="s">
        <v>380</v>
      </c>
      <c r="F161" s="55" t="n">
        <v>100</v>
      </c>
      <c r="G161" s="68"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2" t="str">
        <f aca="false">IFERROR(IF($B162="","",IF(INDEX(Einheiten!$B$4:$B$63,MATCH($B162,Einheiten!$A$4:$A$63,0))=0,"",INDEX(Einheiten!$B$4:$B$63,MATCH($B162,Einheiten!$A$4:$A$63,0)))),"")</f>
        <v/>
      </c>
      <c r="B162" s="54" t="n">
        <v>6</v>
      </c>
      <c r="C162" s="73" t="str">
        <f aca="false">IFERROR(IF($D162="","",INDEX(Übungen!$B$4:$B$23,MATCH($D162,Übungen!$A$4:$A$23,0))),"")</f>
        <v>Beine vorne</v>
      </c>
      <c r="D162" s="56" t="s">
        <v>394</v>
      </c>
      <c r="E162" s="67" t="s">
        <v>380</v>
      </c>
      <c r="F162" s="55" t="n">
        <v>100</v>
      </c>
      <c r="G162" s="68"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2" t="str">
        <f aca="false">IFERROR(IF($B163="","",IF(INDEX(Einheiten!$B$4:$B$63,MATCH($B163,Einheiten!$A$4:$A$63,0))=0,"",INDEX(Einheiten!$B$4:$B$63,MATCH($B163,Einheiten!$A$4:$A$63,0)))),"")</f>
        <v/>
      </c>
      <c r="B163" s="54" t="n">
        <v>6</v>
      </c>
      <c r="C163" s="73" t="str">
        <f aca="false">IFERROR(IF($D163="","",INDEX(Übungen!$B$4:$B$23,MATCH($D163,Übungen!$A$4:$A$23,0))),"")</f>
        <v>Beine vorne</v>
      </c>
      <c r="D163" s="56" t="s">
        <v>410</v>
      </c>
      <c r="E163" s="67" t="s">
        <v>380</v>
      </c>
      <c r="F163" s="55" t="n">
        <v>273</v>
      </c>
      <c r="G163" s="68"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2" t="str">
        <f aca="false">IFERROR(IF($B164="","",IF(INDEX(Einheiten!$B$4:$B$63,MATCH($B164,Einheiten!$A$4:$A$63,0))=0,"",INDEX(Einheiten!$B$4:$B$63,MATCH($B164,Einheiten!$A$4:$A$63,0)))),"")</f>
        <v/>
      </c>
      <c r="B164" s="54" t="n">
        <v>6</v>
      </c>
      <c r="C164" s="73" t="str">
        <f aca="false">IFERROR(IF($D164="","",INDEX(Übungen!$B$4:$B$23,MATCH($D164,Übungen!$A$4:$A$23,0))),"")</f>
        <v>Beine vorne</v>
      </c>
      <c r="D164" s="56" t="s">
        <v>410</v>
      </c>
      <c r="E164" s="67" t="s">
        <v>380</v>
      </c>
      <c r="F164" s="55" t="n">
        <v>283</v>
      </c>
      <c r="G164" s="68"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2" t="str">
        <f aca="false">IFERROR(IF($B165="","",IF(INDEX(Einheiten!$B$4:$B$63,MATCH($B165,Einheiten!$A$4:$A$63,0))=0,"",INDEX(Einheiten!$B$4:$B$63,MATCH($B165,Einheiten!$A$4:$A$63,0)))),"")</f>
        <v/>
      </c>
      <c r="B165" s="54" t="n">
        <v>6</v>
      </c>
      <c r="C165" s="73" t="str">
        <f aca="false">IFERROR(IF($D165="","",INDEX(Übungen!$B$4:$B$23,MATCH($D165,Übungen!$A$4:$A$23,0))),"")</f>
        <v>Beine vorne</v>
      </c>
      <c r="D165" s="56" t="s">
        <v>410</v>
      </c>
      <c r="E165" s="67" t="s">
        <v>380</v>
      </c>
      <c r="F165" s="55" t="n">
        <v>303</v>
      </c>
      <c r="G165" s="68"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2" t="str">
        <f aca="false">IFERROR(IF($B166="","",IF(INDEX(Einheiten!$B$4:$B$63,MATCH($B166,Einheiten!$A$4:$A$63,0))=0,"",INDEX(Einheiten!$B$4:$B$63,MATCH($B166,Einheiten!$A$4:$A$63,0)))),"")</f>
        <v/>
      </c>
      <c r="B166" s="54" t="n">
        <v>6</v>
      </c>
      <c r="C166" s="73" t="str">
        <f aca="false">IFERROR(IF($D166="","",INDEX(Übungen!$B$4:$B$23,MATCH($D166,Übungen!$A$4:$A$23,0))),"")</f>
        <v>Beine vorne</v>
      </c>
      <c r="D166" s="56" t="s">
        <v>387</v>
      </c>
      <c r="E166" s="67" t="s">
        <v>380</v>
      </c>
      <c r="F166" s="55" t="n">
        <v>90</v>
      </c>
      <c r="G166" s="68"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2" t="str">
        <f aca="false">IFERROR(IF($B167="","",IF(INDEX(Einheiten!$B$4:$B$63,MATCH($B167,Einheiten!$A$4:$A$63,0))=0,"",INDEX(Einheiten!$B$4:$B$63,MATCH($B167,Einheiten!$A$4:$A$63,0)))),"")</f>
        <v/>
      </c>
      <c r="B167" s="54" t="n">
        <v>6</v>
      </c>
      <c r="C167" s="73" t="str">
        <f aca="false">IFERROR(IF($D167="","",INDEX(Übungen!$B$4:$B$23,MATCH($D167,Übungen!$A$4:$A$23,0))),"")</f>
        <v>Beine vorne</v>
      </c>
      <c r="D167" s="56" t="s">
        <v>387</v>
      </c>
      <c r="E167" s="67" t="s">
        <v>380</v>
      </c>
      <c r="F167" s="55" t="n">
        <v>95</v>
      </c>
      <c r="G167" s="68"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2" t="str">
        <f aca="false">IFERROR(IF($B168="","",IF(INDEX(Einheiten!$B$4:$B$63,MATCH($B168,Einheiten!$A$4:$A$63,0))=0,"",INDEX(Einheiten!$B$4:$B$63,MATCH($B168,Einheiten!$A$4:$A$63,0)))),"")</f>
        <v/>
      </c>
      <c r="B168" s="54" t="n">
        <v>6</v>
      </c>
      <c r="C168" s="73" t="str">
        <f aca="false">IFERROR(IF($D168="","",INDEX(Übungen!$B$4:$B$23,MATCH($D168,Übungen!$A$4:$A$23,0))),"")</f>
        <v>Beine vorne</v>
      </c>
      <c r="D168" s="56" t="s">
        <v>387</v>
      </c>
      <c r="E168" s="67" t="s">
        <v>380</v>
      </c>
      <c r="F168" s="55" t="n">
        <v>95</v>
      </c>
      <c r="G168" s="68"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2" t="str">
        <f aca="false">IFERROR(IF($B169="","",IF(INDEX(Einheiten!$B$4:$B$63,MATCH($B169,Einheiten!$A$4:$A$63,0))=0,"",INDEX(Einheiten!$B$4:$B$63,MATCH($B169,Einheiten!$A$4:$A$63,0)))),"")</f>
        <v/>
      </c>
      <c r="B169" s="54" t="n">
        <v>6</v>
      </c>
      <c r="C169" s="73" t="str">
        <f aca="false">IFERROR(IF($D169="","",INDEX(Übungen!$B$4:$B$23,MATCH($D169,Übungen!$A$4:$A$23,0))),"")</f>
        <v>Beine vorne</v>
      </c>
      <c r="D169" s="56" t="s">
        <v>378</v>
      </c>
      <c r="E169" s="67" t="s">
        <v>380</v>
      </c>
      <c r="F169" s="55" t="n">
        <v>175.5</v>
      </c>
      <c r="G169" s="68"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2" t="str">
        <f aca="false">IFERROR(IF($B170="","",IF(INDEX(Einheiten!$B$4:$B$63,MATCH($B170,Einheiten!$A$4:$A$63,0))=0,"",INDEX(Einheiten!$B$4:$B$63,MATCH($B170,Einheiten!$A$4:$A$63,0)))),"")</f>
        <v/>
      </c>
      <c r="B170" s="54" t="n">
        <v>6</v>
      </c>
      <c r="C170" s="73" t="str">
        <f aca="false">IFERROR(IF($D170="","",INDEX(Übungen!$B$4:$B$23,MATCH($D170,Übungen!$A$4:$A$23,0))),"")</f>
        <v>Beine vorne</v>
      </c>
      <c r="D170" s="56" t="s">
        <v>378</v>
      </c>
      <c r="E170" s="67" t="s">
        <v>380</v>
      </c>
      <c r="F170" s="55" t="n">
        <v>180</v>
      </c>
      <c r="G170" s="68"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2" t="str">
        <f aca="false">IFERROR(IF($B171="","",IF(INDEX(Einheiten!$B$4:$B$63,MATCH($B171,Einheiten!$A$4:$A$63,0))=0,"",INDEX(Einheiten!$B$4:$B$63,MATCH($B171,Einheiten!$A$4:$A$63,0)))),"")</f>
        <v/>
      </c>
      <c r="B171" s="54" t="n">
        <v>7</v>
      </c>
      <c r="C171" s="73" t="str">
        <f aca="false">IFERROR(IF($D171="","",INDEX(Übungen!$B$4:$B$23,MATCH($D171,Übungen!$A$4:$A$23,0))),"")</f>
        <v>Beine hinten</v>
      </c>
      <c r="D171" s="56" t="s">
        <v>407</v>
      </c>
      <c r="E171" s="67" t="s">
        <v>380</v>
      </c>
      <c r="F171" s="55" t="n">
        <v>120</v>
      </c>
      <c r="G171" s="68"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2" t="str">
        <f aca="false">IFERROR(IF($B172="","",IF(INDEX(Einheiten!$B$4:$B$63,MATCH($B172,Einheiten!$A$4:$A$63,0))=0,"",INDEX(Einheiten!$B$4:$B$63,MATCH($B172,Einheiten!$A$4:$A$63,0)))),"")</f>
        <v/>
      </c>
      <c r="B172" s="54" t="n">
        <v>7</v>
      </c>
      <c r="C172" s="73" t="str">
        <f aca="false">IFERROR(IF($D172="","",INDEX(Übungen!$B$4:$B$23,MATCH($D172,Übungen!$A$4:$A$23,0))),"")</f>
        <v>Beine hinten</v>
      </c>
      <c r="D172" s="56" t="s">
        <v>407</v>
      </c>
      <c r="E172" s="67" t="s">
        <v>380</v>
      </c>
      <c r="F172" s="55" t="n">
        <v>130</v>
      </c>
      <c r="G172" s="68"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2" t="str">
        <f aca="false">IFERROR(IF($B173="","",IF(INDEX(Einheiten!$B$4:$B$63,MATCH($B173,Einheiten!$A$4:$A$63,0))=0,"",INDEX(Einheiten!$B$4:$B$63,MATCH($B173,Einheiten!$A$4:$A$63,0)))),"")</f>
        <v/>
      </c>
      <c r="B173" s="54" t="n">
        <v>7</v>
      </c>
      <c r="C173" s="73" t="str">
        <f aca="false">IFERROR(IF($D173="","",INDEX(Übungen!$B$4:$B$23,MATCH($D173,Übungen!$A$4:$A$23,0))),"")</f>
        <v>Beine hinten</v>
      </c>
      <c r="D173" s="56" t="s">
        <v>407</v>
      </c>
      <c r="E173" s="67" t="s">
        <v>380</v>
      </c>
      <c r="F173" s="55" t="n">
        <v>135</v>
      </c>
      <c r="G173" s="68"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2" t="str">
        <f aca="false">IFERROR(IF($B174="","",IF(INDEX(Einheiten!$B$4:$B$63,MATCH($B174,Einheiten!$A$4:$A$63,0))=0,"",INDEX(Einheiten!$B$4:$B$63,MATCH($B174,Einheiten!$A$4:$A$63,0)))),"")</f>
        <v/>
      </c>
      <c r="B174" s="54" t="n">
        <v>7</v>
      </c>
      <c r="C174" s="73" t="str">
        <f aca="false">IFERROR(IF($D174="","",INDEX(Übungen!$B$4:$B$23,MATCH($D174,Übungen!$A$4:$A$23,0))),"")</f>
        <v>Beine hinten</v>
      </c>
      <c r="D174" s="56" t="s">
        <v>402</v>
      </c>
      <c r="E174" s="67" t="s">
        <v>380</v>
      </c>
      <c r="F174" s="55" t="n">
        <v>280</v>
      </c>
      <c r="G174" s="68"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2" t="str">
        <f aca="false">IFERROR(IF($B175="","",IF(INDEX(Einheiten!$B$4:$B$63,MATCH($B175,Einheiten!$A$4:$A$63,0))=0,"",INDEX(Einheiten!$B$4:$B$63,MATCH($B175,Einheiten!$A$4:$A$63,0)))),"")</f>
        <v/>
      </c>
      <c r="B175" s="54" t="n">
        <v>7</v>
      </c>
      <c r="C175" s="73" t="str">
        <f aca="false">IFERROR(IF($D175="","",INDEX(Übungen!$B$4:$B$23,MATCH($D175,Übungen!$A$4:$A$23,0))),"")</f>
        <v>Beine hinten</v>
      </c>
      <c r="D175" s="56" t="s">
        <v>402</v>
      </c>
      <c r="E175" s="67" t="s">
        <v>380</v>
      </c>
      <c r="F175" s="55" t="n">
        <v>290</v>
      </c>
      <c r="G175" s="68"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2" t="str">
        <f aca="false">IFERROR(IF($B176="","",IF(INDEX(Einheiten!$B$4:$B$63,MATCH($B176,Einheiten!$A$4:$A$63,0))=0,"",INDEX(Einheiten!$B$4:$B$63,MATCH($B176,Einheiten!$A$4:$A$63,0)))),"")</f>
        <v/>
      </c>
      <c r="B176" s="54" t="n">
        <v>7</v>
      </c>
      <c r="C176" s="73" t="str">
        <f aca="false">IFERROR(IF($D176="","",INDEX(Übungen!$B$4:$B$23,MATCH($D176,Übungen!$A$4:$A$23,0))),"")</f>
        <v>Beine hinten</v>
      </c>
      <c r="D176" s="56" t="s">
        <v>402</v>
      </c>
      <c r="E176" s="67" t="s">
        <v>380</v>
      </c>
      <c r="F176" s="55" t="n">
        <v>290</v>
      </c>
      <c r="G176" s="68"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2" t="str">
        <f aca="false">IFERROR(IF($B177="","",IF(INDEX(Einheiten!$B$4:$B$63,MATCH($B177,Einheiten!$A$4:$A$63,0))=0,"",INDEX(Einheiten!$B$4:$B$63,MATCH($B177,Einheiten!$A$4:$A$63,0)))),"")</f>
        <v/>
      </c>
      <c r="B177" s="54" t="n">
        <v>7</v>
      </c>
      <c r="C177" s="73" t="str">
        <f aca="false">IFERROR(IF($D177="","",INDEX(Übungen!$B$4:$B$23,MATCH($D177,Übungen!$A$4:$A$23,0))),"")</f>
        <v>Beine hinten</v>
      </c>
      <c r="D177" s="56" t="s">
        <v>398</v>
      </c>
      <c r="E177" s="67" t="s">
        <v>380</v>
      </c>
      <c r="F177" s="55" t="n">
        <v>50</v>
      </c>
      <c r="G177" s="68"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2" t="str">
        <f aca="false">IFERROR(IF($B178="","",IF(INDEX(Einheiten!$B$4:$B$63,MATCH($B178,Einheiten!$A$4:$A$63,0))=0,"",INDEX(Einheiten!$B$4:$B$63,MATCH($B178,Einheiten!$A$4:$A$63,0)))),"")</f>
        <v/>
      </c>
      <c r="B178" s="54" t="n">
        <v>7</v>
      </c>
      <c r="C178" s="73" t="str">
        <f aca="false">IFERROR(IF($D178="","",INDEX(Übungen!$B$4:$B$23,MATCH($D178,Übungen!$A$4:$A$23,0))),"")</f>
        <v>Beine hinten</v>
      </c>
      <c r="D178" s="56" t="s">
        <v>398</v>
      </c>
      <c r="E178" s="67" t="s">
        <v>380</v>
      </c>
      <c r="F178" s="55" t="n">
        <v>52.5</v>
      </c>
      <c r="G178" s="68"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2" t="str">
        <f aca="false">IFERROR(IF($B179="","",IF(INDEX(Einheiten!$B$4:$B$63,MATCH($B179,Einheiten!$A$4:$A$63,0))=0,"",INDEX(Einheiten!$B$4:$B$63,MATCH($B179,Einheiten!$A$4:$A$63,0)))),"")</f>
        <v/>
      </c>
      <c r="B179" s="54" t="n">
        <v>7</v>
      </c>
      <c r="C179" s="73" t="str">
        <f aca="false">IFERROR(IF($D179="","",INDEX(Übungen!$B$4:$B$23,MATCH($D179,Übungen!$A$4:$A$23,0))),"")</f>
        <v>Beine hinten</v>
      </c>
      <c r="D179" s="56" t="s">
        <v>413</v>
      </c>
      <c r="E179" s="67" t="s">
        <v>380</v>
      </c>
      <c r="F179" s="55" t="n">
        <v>136</v>
      </c>
      <c r="G179" s="68" t="n">
        <v>15</v>
      </c>
      <c r="H179" s="55"/>
      <c r="I179" s="49" t="n">
        <f aca="false">IF(AND(ISNUMBER($F179),ISNUMBER($G179),$E179&lt;&gt;"R"),$F179*$G179,"")</f>
        <v>2040</v>
      </c>
      <c r="J179" s="51" t="n">
        <f aca="false">IF(AND($E179="A",ISNUMBER($F179),ISNUMBER($G179)),$F179*(1+$G179/30),"")</f>
        <v>204</v>
      </c>
      <c r="K179" s="56"/>
      <c r="L179" s="56" t="s">
        <v>414</v>
      </c>
    </row>
    <row r="180" customFormat="false" ht="15.75" hidden="false" customHeight="true" outlineLevel="0" collapsed="false">
      <c r="A180" s="72" t="str">
        <f aca="false">IFERROR(IF($B180="","",IF(INDEX(Einheiten!$B$4:$B$63,MATCH($B180,Einheiten!$A$4:$A$63,0))=0,"",INDEX(Einheiten!$B$4:$B$63,MATCH($B180,Einheiten!$A$4:$A$63,0)))),"")</f>
        <v/>
      </c>
      <c r="B180" s="54" t="n">
        <v>7</v>
      </c>
      <c r="C180" s="73" t="str">
        <f aca="false">IFERROR(IF($D180="","",INDEX(Übungen!$B$4:$B$23,MATCH($D180,Übungen!$A$4:$A$23,0))),"")</f>
        <v>Beine hinten</v>
      </c>
      <c r="D180" s="56" t="s">
        <v>413</v>
      </c>
      <c r="E180" s="67" t="s">
        <v>380</v>
      </c>
      <c r="F180" s="55" t="n">
        <v>141</v>
      </c>
      <c r="G180" s="68"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2" t="str">
        <f aca="false">IFERROR(IF($B181="","",IF(INDEX(Einheiten!$B$4:$B$63,MATCH($B181,Einheiten!$A$4:$A$63,0))=0,"",INDEX(Einheiten!$B$4:$B$63,MATCH($B181,Einheiten!$A$4:$A$63,0)))),"")</f>
        <v/>
      </c>
      <c r="B181" s="54" t="n">
        <v>7</v>
      </c>
      <c r="C181" s="73" t="str">
        <f aca="false">IFERROR(IF($D181="","",INDEX(Übungen!$B$4:$B$23,MATCH($D181,Übungen!$A$4:$A$23,0))),"")</f>
        <v>Beine hinten</v>
      </c>
      <c r="D181" s="56" t="s">
        <v>406</v>
      </c>
      <c r="E181" s="67" t="s">
        <v>380</v>
      </c>
      <c r="F181" s="55" t="n">
        <v>150</v>
      </c>
      <c r="G181" s="68"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2" t="str">
        <f aca="false">IFERROR(IF($B182="","",IF(INDEX(Einheiten!$B$4:$B$63,MATCH($B182,Einheiten!$A$4:$A$63,0))=0,"",INDEX(Einheiten!$B$4:$B$63,MATCH($B182,Einheiten!$A$4:$A$63,0)))),"")</f>
        <v/>
      </c>
      <c r="B182" s="54" t="n">
        <v>7</v>
      </c>
      <c r="C182" s="73" t="str">
        <f aca="false">IFERROR(IF($D182="","",INDEX(Übungen!$B$4:$B$23,MATCH($D182,Übungen!$A$4:$A$23,0))),"")</f>
        <v>Beine hinten</v>
      </c>
      <c r="D182" s="56" t="s">
        <v>406</v>
      </c>
      <c r="E182" s="67" t="s">
        <v>380</v>
      </c>
      <c r="F182" s="55" t="n">
        <v>160</v>
      </c>
      <c r="G182" s="68"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2" t="str">
        <f aca="false">IFERROR(IF($B183="","",IF(INDEX(Einheiten!$B$4:$B$63,MATCH($B183,Einheiten!$A$4:$A$63,0))=0,"",INDEX(Einheiten!$B$4:$B$63,MATCH($B183,Einheiten!$A$4:$A$63,0)))),"")</f>
        <v/>
      </c>
      <c r="B183" s="54" t="n">
        <v>8</v>
      </c>
      <c r="C183" s="73" t="str">
        <f aca="false">IFERROR(IF($D183="","",INDEX(Übungen!$B$4:$B$23,MATCH($D183,Übungen!$A$4:$A$23,0))),"")</f>
        <v>Beine vorne</v>
      </c>
      <c r="D183" s="56" t="s">
        <v>394</v>
      </c>
      <c r="E183" s="67" t="s">
        <v>380</v>
      </c>
      <c r="F183" s="55" t="n">
        <v>110</v>
      </c>
      <c r="G183" s="68"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2" t="str">
        <f aca="false">IFERROR(IF($B184="","",IF(INDEX(Einheiten!$B$4:$B$63,MATCH($B184,Einheiten!$A$4:$A$63,0))=0,"",INDEX(Einheiten!$B$4:$B$63,MATCH($B184,Einheiten!$A$4:$A$63,0)))),"")</f>
        <v/>
      </c>
      <c r="B184" s="54" t="n">
        <v>8</v>
      </c>
      <c r="C184" s="73" t="str">
        <f aca="false">IFERROR(IF($D184="","",INDEX(Übungen!$B$4:$B$23,MATCH($D184,Übungen!$A$4:$A$23,0))),"")</f>
        <v>Beine vorne</v>
      </c>
      <c r="D184" s="56" t="s">
        <v>394</v>
      </c>
      <c r="E184" s="67" t="s">
        <v>380</v>
      </c>
      <c r="F184" s="55" t="n">
        <v>115</v>
      </c>
      <c r="G184" s="68"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2" t="str">
        <f aca="false">IFERROR(IF($B185="","",IF(INDEX(Einheiten!$B$4:$B$63,MATCH($B185,Einheiten!$A$4:$A$63,0))=0,"",INDEX(Einheiten!$B$4:$B$63,MATCH($B185,Einheiten!$A$4:$A$63,0)))),"")</f>
        <v/>
      </c>
      <c r="B185" s="54" t="n">
        <v>8</v>
      </c>
      <c r="C185" s="73" t="str">
        <f aca="false">IFERROR(IF($D185="","",INDEX(Übungen!$B$4:$B$23,MATCH($D185,Übungen!$A$4:$A$23,0))),"")</f>
        <v>Beine vorne</v>
      </c>
      <c r="D185" s="56" t="s">
        <v>394</v>
      </c>
      <c r="E185" s="67" t="s">
        <v>380</v>
      </c>
      <c r="F185" s="55" t="n">
        <v>115</v>
      </c>
      <c r="G185" s="68"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2" t="str">
        <f aca="false">IFERROR(IF($B186="","",IF(INDEX(Einheiten!$B$4:$B$63,MATCH($B186,Einheiten!$A$4:$A$63,0))=0,"",INDEX(Einheiten!$B$4:$B$63,MATCH($B186,Einheiten!$A$4:$A$63,0)))),"")</f>
        <v/>
      </c>
      <c r="B186" s="54" t="n">
        <v>8</v>
      </c>
      <c r="C186" s="73" t="str">
        <f aca="false">IFERROR(IF($D186="","",INDEX(Übungen!$B$4:$B$23,MATCH($D186,Übungen!$A$4:$A$23,0))),"")</f>
        <v>Beine vorne</v>
      </c>
      <c r="D186" s="56" t="s">
        <v>410</v>
      </c>
      <c r="E186" s="67" t="s">
        <v>380</v>
      </c>
      <c r="F186" s="55" t="n">
        <v>333</v>
      </c>
      <c r="G186" s="68"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2" t="str">
        <f aca="false">IFERROR(IF($B187="","",IF(INDEX(Einheiten!$B$4:$B$63,MATCH($B187,Einheiten!$A$4:$A$63,0))=0,"",INDEX(Einheiten!$B$4:$B$63,MATCH($B187,Einheiten!$A$4:$A$63,0)))),"")</f>
        <v/>
      </c>
      <c r="B187" s="54" t="n">
        <v>8</v>
      </c>
      <c r="C187" s="73" t="str">
        <f aca="false">IFERROR(IF($D187="","",INDEX(Übungen!$B$4:$B$23,MATCH($D187,Übungen!$A$4:$A$23,0))),"")</f>
        <v>Beine vorne</v>
      </c>
      <c r="D187" s="56" t="s">
        <v>410</v>
      </c>
      <c r="E187" s="67" t="s">
        <v>380</v>
      </c>
      <c r="F187" s="55" t="n">
        <v>333</v>
      </c>
      <c r="G187" s="68"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2" t="str">
        <f aca="false">IFERROR(IF($B188="","",IF(INDEX(Einheiten!$B$4:$B$63,MATCH($B188,Einheiten!$A$4:$A$63,0))=0,"",INDEX(Einheiten!$B$4:$B$63,MATCH($B188,Einheiten!$A$4:$A$63,0)))),"")</f>
        <v/>
      </c>
      <c r="B188" s="54" t="n">
        <v>8</v>
      </c>
      <c r="C188" s="73" t="str">
        <f aca="false">IFERROR(IF($D188="","",INDEX(Übungen!$B$4:$B$23,MATCH($D188,Übungen!$A$4:$A$23,0))),"")</f>
        <v>Beine vorne</v>
      </c>
      <c r="D188" s="56" t="s">
        <v>410</v>
      </c>
      <c r="E188" s="67" t="s">
        <v>380</v>
      </c>
      <c r="F188" s="55" t="n">
        <v>303</v>
      </c>
      <c r="G188" s="68"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2" t="str">
        <f aca="false">IFERROR(IF($B189="","",IF(INDEX(Einheiten!$B$4:$B$63,MATCH($B189,Einheiten!$A$4:$A$63,0))=0,"",INDEX(Einheiten!$B$4:$B$63,MATCH($B189,Einheiten!$A$4:$A$63,0)))),"")</f>
        <v/>
      </c>
      <c r="B189" s="54" t="n">
        <v>8</v>
      </c>
      <c r="C189" s="73" t="str">
        <f aca="false">IFERROR(IF($D189="","",INDEX(Übungen!$B$4:$B$23,MATCH($D189,Übungen!$A$4:$A$23,0))),"")</f>
        <v>Beine vorne</v>
      </c>
      <c r="D189" s="56" t="s">
        <v>387</v>
      </c>
      <c r="E189" s="67" t="s">
        <v>380</v>
      </c>
      <c r="F189" s="55" t="n">
        <v>80</v>
      </c>
      <c r="G189" s="68"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2" t="str">
        <f aca="false">IFERROR(IF($B190="","",IF(INDEX(Einheiten!$B$4:$B$63,MATCH($B190,Einheiten!$A$4:$A$63,0))=0,"",INDEX(Einheiten!$B$4:$B$63,MATCH($B190,Einheiten!$A$4:$A$63,0)))),"")</f>
        <v/>
      </c>
      <c r="B190" s="54" t="n">
        <v>8</v>
      </c>
      <c r="C190" s="73" t="str">
        <f aca="false">IFERROR(IF($D190="","",INDEX(Übungen!$B$4:$B$23,MATCH($D190,Übungen!$A$4:$A$23,0))),"")</f>
        <v>Beine vorne</v>
      </c>
      <c r="D190" s="56" t="s">
        <v>387</v>
      </c>
      <c r="E190" s="67" t="s">
        <v>380</v>
      </c>
      <c r="F190" s="55" t="n">
        <v>80</v>
      </c>
      <c r="G190" s="68"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2" t="str">
        <f aca="false">IFERROR(IF($B191="","",IF(INDEX(Einheiten!$B$4:$B$63,MATCH($B191,Einheiten!$A$4:$A$63,0))=0,"",INDEX(Einheiten!$B$4:$B$63,MATCH($B191,Einheiten!$A$4:$A$63,0)))),"")</f>
        <v/>
      </c>
      <c r="B191" s="54" t="n">
        <v>8</v>
      </c>
      <c r="C191" s="73" t="str">
        <f aca="false">IFERROR(IF($D191="","",INDEX(Übungen!$B$4:$B$23,MATCH($D191,Übungen!$A$4:$A$23,0))),"")</f>
        <v>Beine vorne</v>
      </c>
      <c r="D191" s="56" t="s">
        <v>387</v>
      </c>
      <c r="E191" s="67" t="s">
        <v>380</v>
      </c>
      <c r="F191" s="55" t="n">
        <v>80</v>
      </c>
      <c r="G191" s="68"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2" t="str">
        <f aca="false">IFERROR(IF($B192="","",IF(INDEX(Einheiten!$B$4:$B$63,MATCH($B192,Einheiten!$A$4:$A$63,0))=0,"",INDEX(Einheiten!$B$4:$B$63,MATCH($B192,Einheiten!$A$4:$A$63,0)))),"")</f>
        <v/>
      </c>
      <c r="B192" s="54" t="n">
        <v>8</v>
      </c>
      <c r="C192" s="73" t="str">
        <f aca="false">IFERROR(IF($D192="","",INDEX(Übungen!$B$4:$B$23,MATCH($D192,Übungen!$A$4:$A$23,0))),"")</f>
        <v>Beine vorne</v>
      </c>
      <c r="D192" s="56" t="s">
        <v>378</v>
      </c>
      <c r="E192" s="67" t="s">
        <v>380</v>
      </c>
      <c r="F192" s="55" t="n">
        <v>185</v>
      </c>
      <c r="G192" s="68"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2" t="str">
        <f aca="false">IFERROR(IF($B193="","",IF(INDEX(Einheiten!$B$4:$B$63,MATCH($B193,Einheiten!$A$4:$A$63,0))=0,"",INDEX(Einheiten!$B$4:$B$63,MATCH($B193,Einheiten!$A$4:$A$63,0)))),"")</f>
        <v/>
      </c>
      <c r="B193" s="54" t="n">
        <v>8</v>
      </c>
      <c r="C193" s="73" t="str">
        <f aca="false">IFERROR(IF($D193="","",INDEX(Übungen!$B$4:$B$23,MATCH($D193,Übungen!$A$4:$A$23,0))),"")</f>
        <v>Beine vorne</v>
      </c>
      <c r="D193" s="56" t="s">
        <v>378</v>
      </c>
      <c r="E193" s="67" t="s">
        <v>380</v>
      </c>
      <c r="F193" s="55" t="n">
        <v>176</v>
      </c>
      <c r="G193" s="68"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2" t="str">
        <f aca="false">IFERROR(IF($B194="","",IF(INDEX(Einheiten!$B$4:$B$63,MATCH($B194,Einheiten!$A$4:$A$63,0))=0,"",INDEX(Einheiten!$B$4:$B$63,MATCH($B194,Einheiten!$A$4:$A$63,0)))),"")</f>
        <v/>
      </c>
      <c r="B194" s="54" t="n">
        <v>8</v>
      </c>
      <c r="C194" s="73" t="str">
        <f aca="false">IFERROR(IF($D194="","",INDEX(Übungen!$B$4:$B$23,MATCH($D194,Übungen!$A$4:$A$23,0))),"")</f>
        <v>Beine vorne</v>
      </c>
      <c r="D194" s="56" t="s">
        <v>378</v>
      </c>
      <c r="E194" s="67" t="s">
        <v>380</v>
      </c>
      <c r="F194" s="55" t="n">
        <v>166.5</v>
      </c>
      <c r="G194" s="68"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2" t="str">
        <f aca="false">IFERROR(IF($B195="","",IF(INDEX(Einheiten!$B$4:$B$63,MATCH($B195,Einheiten!$A$4:$A$63,0))=0,"",INDEX(Einheiten!$B$4:$B$63,MATCH($B195,Einheiten!$A$4:$A$63,0)))),"")</f>
        <v/>
      </c>
      <c r="B195" s="54" t="n">
        <v>9</v>
      </c>
      <c r="C195" s="73" t="str">
        <f aca="false">IFERROR(IF($D195="","",INDEX(Übungen!$B$4:$B$23,MATCH($D195,Übungen!$A$4:$A$23,0))),"")</f>
        <v>Beine hinten</v>
      </c>
      <c r="D195" s="56" t="s">
        <v>407</v>
      </c>
      <c r="E195" s="67" t="s">
        <v>379</v>
      </c>
      <c r="F195" s="55" t="n">
        <v>60</v>
      </c>
      <c r="G195" s="68"/>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2" t="str">
        <f aca="false">IFERROR(IF($B196="","",IF(INDEX(Einheiten!$B$4:$B$63,MATCH($B196,Einheiten!$A$4:$A$63,0))=0,"",INDEX(Einheiten!$B$4:$B$63,MATCH($B196,Einheiten!$A$4:$A$63,0)))),"")</f>
        <v/>
      </c>
      <c r="B196" s="54" t="n">
        <v>9</v>
      </c>
      <c r="C196" s="73" t="str">
        <f aca="false">IFERROR(IF($D196="","",INDEX(Übungen!$B$4:$B$23,MATCH($D196,Übungen!$A$4:$A$23,0))),"")</f>
        <v>Beine hinten</v>
      </c>
      <c r="D196" s="56" t="s">
        <v>407</v>
      </c>
      <c r="E196" s="67" t="s">
        <v>379</v>
      </c>
      <c r="F196" s="55" t="n">
        <v>90</v>
      </c>
      <c r="G196" s="68"/>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2" t="str">
        <f aca="false">IFERROR(IF($B197="","",IF(INDEX(Einheiten!$B$4:$B$63,MATCH($B197,Einheiten!$A$4:$A$63,0))=0,"",INDEX(Einheiten!$B$4:$B$63,MATCH($B197,Einheiten!$A$4:$A$63,0)))),"")</f>
        <v/>
      </c>
      <c r="B197" s="54" t="n">
        <v>9</v>
      </c>
      <c r="C197" s="73" t="str">
        <f aca="false">IFERROR(IF($D197="","",INDEX(Übungen!$B$4:$B$23,MATCH($D197,Übungen!$A$4:$A$23,0))),"")</f>
        <v>Beine hinten</v>
      </c>
      <c r="D197" s="56" t="s">
        <v>407</v>
      </c>
      <c r="E197" s="67" t="s">
        <v>380</v>
      </c>
      <c r="F197" s="55" t="n">
        <v>130</v>
      </c>
      <c r="G197" s="68"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2" t="str">
        <f aca="false">IFERROR(IF($B198="","",IF(INDEX(Einheiten!$B$4:$B$63,MATCH($B198,Einheiten!$A$4:$A$63,0))=0,"",INDEX(Einheiten!$B$4:$B$63,MATCH($B198,Einheiten!$A$4:$A$63,0)))),"")</f>
        <v/>
      </c>
      <c r="B198" s="54" t="n">
        <v>9</v>
      </c>
      <c r="C198" s="73" t="str">
        <f aca="false">IFERROR(IF($D198="","",INDEX(Übungen!$B$4:$B$23,MATCH($D198,Übungen!$A$4:$A$23,0))),"")</f>
        <v>Beine hinten</v>
      </c>
      <c r="D198" s="56" t="s">
        <v>407</v>
      </c>
      <c r="E198" s="67" t="s">
        <v>380</v>
      </c>
      <c r="F198" s="55" t="n">
        <v>135</v>
      </c>
      <c r="G198" s="68"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2" t="str">
        <f aca="false">IFERROR(IF($B199="","",IF(INDEX(Einheiten!$B$4:$B$63,MATCH($B199,Einheiten!$A$4:$A$63,0))=0,"",INDEX(Einheiten!$B$4:$B$63,MATCH($B199,Einheiten!$A$4:$A$63,0)))),"")</f>
        <v/>
      </c>
      <c r="B199" s="54" t="n">
        <v>9</v>
      </c>
      <c r="C199" s="73" t="str">
        <f aca="false">IFERROR(IF($D199="","",INDEX(Übungen!$B$4:$B$23,MATCH($D199,Übungen!$A$4:$A$23,0))),"")</f>
        <v>Beine hinten</v>
      </c>
      <c r="D199" s="56" t="s">
        <v>407</v>
      </c>
      <c r="E199" s="67" t="s">
        <v>380</v>
      </c>
      <c r="F199" s="55" t="n">
        <v>135</v>
      </c>
      <c r="G199" s="68"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2" t="str">
        <f aca="false">IFERROR(IF($B200="","",IF(INDEX(Einheiten!$B$4:$B$63,MATCH($B200,Einheiten!$A$4:$A$63,0))=0,"",INDEX(Einheiten!$B$4:$B$63,MATCH($B200,Einheiten!$A$4:$A$63,0)))),"")</f>
        <v/>
      </c>
      <c r="B200" s="54" t="n">
        <v>9</v>
      </c>
      <c r="C200" s="73" t="str">
        <f aca="false">IFERROR(IF($D200="","",INDEX(Übungen!$B$4:$B$23,MATCH($D200,Übungen!$A$4:$A$23,0))),"")</f>
        <v>Beine hinten</v>
      </c>
      <c r="D200" s="56" t="s">
        <v>413</v>
      </c>
      <c r="E200" s="67" t="s">
        <v>379</v>
      </c>
      <c r="F200" s="55" t="n">
        <v>75</v>
      </c>
      <c r="G200" s="68"/>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2" t="str">
        <f aca="false">IFERROR(IF($B201="","",IF(INDEX(Einheiten!$B$4:$B$63,MATCH($B201,Einheiten!$A$4:$A$63,0))=0,"",INDEX(Einheiten!$B$4:$B$63,MATCH($B201,Einheiten!$A$4:$A$63,0)))),"")</f>
        <v/>
      </c>
      <c r="B201" s="54" t="n">
        <v>9</v>
      </c>
      <c r="C201" s="73" t="str">
        <f aca="false">IFERROR(IF($D201="","",INDEX(Übungen!$B$4:$B$23,MATCH($D201,Übungen!$A$4:$A$23,0))),"")</f>
        <v>Beine hinten</v>
      </c>
      <c r="D201" s="56" t="s">
        <v>413</v>
      </c>
      <c r="E201" s="67" t="s">
        <v>379</v>
      </c>
      <c r="F201" s="55" t="n">
        <v>103</v>
      </c>
      <c r="G201" s="68"/>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2" t="str">
        <f aca="false">IFERROR(IF($B202="","",IF(INDEX(Einheiten!$B$4:$B$63,MATCH($B202,Einheiten!$A$4:$A$63,0))=0,"",INDEX(Einheiten!$B$4:$B$63,MATCH($B202,Einheiten!$A$4:$A$63,0)))),"")</f>
        <v/>
      </c>
      <c r="B202" s="54" t="n">
        <v>9</v>
      </c>
      <c r="C202" s="73" t="str">
        <f aca="false">IFERROR(IF($D202="","",INDEX(Übungen!$B$4:$B$23,MATCH($D202,Übungen!$A$4:$A$23,0))),"")</f>
        <v>Beine hinten</v>
      </c>
      <c r="D202" s="56" t="s">
        <v>413</v>
      </c>
      <c r="E202" s="67" t="s">
        <v>380</v>
      </c>
      <c r="F202" s="55" t="n">
        <v>145</v>
      </c>
      <c r="G202" s="68"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2" t="str">
        <f aca="false">IFERROR(IF($B203="","",IF(INDEX(Einheiten!$B$4:$B$63,MATCH($B203,Einheiten!$A$4:$A$63,0))=0,"",INDEX(Einheiten!$B$4:$B$63,MATCH($B203,Einheiten!$A$4:$A$63,0)))),"")</f>
        <v/>
      </c>
      <c r="B203" s="54" t="n">
        <v>9</v>
      </c>
      <c r="C203" s="73" t="str">
        <f aca="false">IFERROR(IF($D203="","",INDEX(Übungen!$B$4:$B$23,MATCH($D203,Übungen!$A$4:$A$23,0))),"")</f>
        <v>Beine hinten</v>
      </c>
      <c r="D203" s="56" t="s">
        <v>413</v>
      </c>
      <c r="E203" s="67" t="s">
        <v>380</v>
      </c>
      <c r="F203" s="55" t="n">
        <v>165</v>
      </c>
      <c r="G203" s="68"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2" t="str">
        <f aca="false">IFERROR(IF($B204="","",IF(INDEX(Einheiten!$B$4:$B$63,MATCH($B204,Einheiten!$A$4:$A$63,0))=0,"",INDEX(Einheiten!$B$4:$B$63,MATCH($B204,Einheiten!$A$4:$A$63,0)))),"")</f>
        <v/>
      </c>
      <c r="B204" s="54" t="n">
        <v>9</v>
      </c>
      <c r="C204" s="73" t="str">
        <f aca="false">IFERROR(IF($D204="","",INDEX(Übungen!$B$4:$B$23,MATCH($D204,Übungen!$A$4:$A$23,0))),"")</f>
        <v>Beine hinten</v>
      </c>
      <c r="D204" s="56" t="s">
        <v>413</v>
      </c>
      <c r="E204" s="67" t="s">
        <v>380</v>
      </c>
      <c r="F204" s="55" t="n">
        <v>176</v>
      </c>
      <c r="G204" s="68"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2" t="str">
        <f aca="false">IFERROR(IF($B205="","",IF(INDEX(Einheiten!$B$4:$B$63,MATCH($B205,Einheiten!$A$4:$A$63,0))=0,"",INDEX(Einheiten!$B$4:$B$63,MATCH($B205,Einheiten!$A$4:$A$63,0)))),"")</f>
        <v/>
      </c>
      <c r="B205" s="54" t="n">
        <v>9</v>
      </c>
      <c r="C205" s="73" t="str">
        <f aca="false">IFERROR(IF($D205="","",INDEX(Übungen!$B$4:$B$23,MATCH($D205,Übungen!$A$4:$A$23,0))),"")</f>
        <v>Beine hinten</v>
      </c>
      <c r="D205" s="56" t="s">
        <v>398</v>
      </c>
      <c r="E205" s="67" t="s">
        <v>379</v>
      </c>
      <c r="F205" s="55" t="n">
        <v>23</v>
      </c>
      <c r="G205" s="68"/>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2" t="str">
        <f aca="false">IFERROR(IF($B206="","",IF(INDEX(Einheiten!$B$4:$B$63,MATCH($B206,Einheiten!$A$4:$A$63,0))=0,"",INDEX(Einheiten!$B$4:$B$63,MATCH($B206,Einheiten!$A$4:$A$63,0)))),"")</f>
        <v/>
      </c>
      <c r="B206" s="54" t="n">
        <v>9</v>
      </c>
      <c r="C206" s="73" t="str">
        <f aca="false">IFERROR(IF($D206="","",INDEX(Übungen!$B$4:$B$23,MATCH($D206,Übungen!$A$4:$A$23,0))),"")</f>
        <v>Beine hinten</v>
      </c>
      <c r="D206" s="56" t="s">
        <v>398</v>
      </c>
      <c r="E206" s="67" t="s">
        <v>379</v>
      </c>
      <c r="F206" s="55" t="n">
        <v>40</v>
      </c>
      <c r="G206" s="68"/>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2" t="str">
        <f aca="false">IFERROR(IF($B207="","",IF(INDEX(Einheiten!$B$4:$B$63,MATCH($B207,Einheiten!$A$4:$A$63,0))=0,"",INDEX(Einheiten!$B$4:$B$63,MATCH($B207,Einheiten!$A$4:$A$63,0)))),"")</f>
        <v/>
      </c>
      <c r="B207" s="54" t="n">
        <v>9</v>
      </c>
      <c r="C207" s="73" t="str">
        <f aca="false">IFERROR(IF($D207="","",INDEX(Übungen!$B$4:$B$23,MATCH($D207,Übungen!$A$4:$A$23,0))),"")</f>
        <v>Beine hinten</v>
      </c>
      <c r="D207" s="56" t="s">
        <v>398</v>
      </c>
      <c r="E207" s="67" t="s">
        <v>380</v>
      </c>
      <c r="F207" s="55" t="n">
        <v>57.5</v>
      </c>
      <c r="G207" s="68"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2" t="str">
        <f aca="false">IFERROR(IF($B208="","",IF(INDEX(Einheiten!$B$4:$B$63,MATCH($B208,Einheiten!$A$4:$A$63,0))=0,"",INDEX(Einheiten!$B$4:$B$63,MATCH($B208,Einheiten!$A$4:$A$63,0)))),"")</f>
        <v/>
      </c>
      <c r="B208" s="54" t="n">
        <v>9</v>
      </c>
      <c r="C208" s="73" t="str">
        <f aca="false">IFERROR(IF($D208="","",INDEX(Übungen!$B$4:$B$23,MATCH($D208,Übungen!$A$4:$A$23,0))),"")</f>
        <v>Beine hinten</v>
      </c>
      <c r="D208" s="56" t="s">
        <v>398</v>
      </c>
      <c r="E208" s="67" t="s">
        <v>380</v>
      </c>
      <c r="F208" s="55" t="n">
        <v>52.5</v>
      </c>
      <c r="G208" s="68"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2" t="str">
        <f aca="false">IFERROR(IF($B209="","",IF(INDEX(Einheiten!$B$4:$B$63,MATCH($B209,Einheiten!$A$4:$A$63,0))=0,"",INDEX(Einheiten!$B$4:$B$63,MATCH($B209,Einheiten!$A$4:$A$63,0)))),"")</f>
        <v/>
      </c>
      <c r="B209" s="54" t="n">
        <v>9</v>
      </c>
      <c r="C209" s="73" t="str">
        <f aca="false">IFERROR(IF($D209="","",INDEX(Übungen!$B$4:$B$23,MATCH($D209,Übungen!$A$4:$A$23,0))),"")</f>
        <v>Beine hinten</v>
      </c>
      <c r="D209" s="56" t="s">
        <v>398</v>
      </c>
      <c r="E209" s="67" t="s">
        <v>380</v>
      </c>
      <c r="F209" s="55" t="n">
        <v>50</v>
      </c>
      <c r="G209" s="68"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2" t="str">
        <f aca="false">IFERROR(IF($B210="","",IF(INDEX(Einheiten!$B$4:$B$63,MATCH($B210,Einheiten!$A$4:$A$63,0))=0,"",INDEX(Einheiten!$B$4:$B$63,MATCH($B210,Einheiten!$A$4:$A$63,0)))),"")</f>
        <v/>
      </c>
      <c r="B210" s="54" t="n">
        <v>9</v>
      </c>
      <c r="C210" s="73" t="str">
        <f aca="false">IFERROR(IF($D210="","",INDEX(Übungen!$B$4:$B$23,MATCH($D210,Übungen!$A$4:$A$23,0))),"")</f>
        <v>Beine hinten</v>
      </c>
      <c r="D210" s="56" t="s">
        <v>406</v>
      </c>
      <c r="E210" s="67" t="s">
        <v>379</v>
      </c>
      <c r="F210" s="55" t="n">
        <v>80</v>
      </c>
      <c r="G210" s="68"/>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2" t="str">
        <f aca="false">IFERROR(IF($B211="","",IF(INDEX(Einheiten!$B$4:$B$63,MATCH($B211,Einheiten!$A$4:$A$63,0))=0,"",INDEX(Einheiten!$B$4:$B$63,MATCH($B211,Einheiten!$A$4:$A$63,0)))),"")</f>
        <v/>
      </c>
      <c r="B211" s="54" t="n">
        <v>9</v>
      </c>
      <c r="C211" s="73" t="str">
        <f aca="false">IFERROR(IF($D211="","",INDEX(Übungen!$B$4:$B$23,MATCH($D211,Übungen!$A$4:$A$23,0))),"")</f>
        <v>Beine hinten</v>
      </c>
      <c r="D211" s="56" t="s">
        <v>406</v>
      </c>
      <c r="E211" s="67" t="s">
        <v>379</v>
      </c>
      <c r="F211" s="55" t="n">
        <v>120</v>
      </c>
      <c r="G211" s="68"/>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2" t="str">
        <f aca="false">IFERROR(IF($B212="","",IF(INDEX(Einheiten!$B$4:$B$63,MATCH($B212,Einheiten!$A$4:$A$63,0))=0,"",INDEX(Einheiten!$B$4:$B$63,MATCH($B212,Einheiten!$A$4:$A$63,0)))),"")</f>
        <v/>
      </c>
      <c r="B212" s="54" t="n">
        <v>9</v>
      </c>
      <c r="C212" s="73" t="str">
        <f aca="false">IFERROR(IF($D212="","",INDEX(Übungen!$B$4:$B$23,MATCH($D212,Übungen!$A$4:$A$23,0))),"")</f>
        <v>Beine hinten</v>
      </c>
      <c r="D212" s="56" t="s">
        <v>406</v>
      </c>
      <c r="E212" s="67" t="s">
        <v>380</v>
      </c>
      <c r="F212" s="55" t="n">
        <v>165</v>
      </c>
      <c r="G212" s="68" t="n">
        <v>10</v>
      </c>
      <c r="H212" s="55"/>
      <c r="I212" s="49" t="n">
        <f aca="false">IF(AND(ISNUMBER($F212),ISNUMBER($G212),$E212&lt;&gt;"R"),$F212*$G212,"")</f>
        <v>1650</v>
      </c>
      <c r="J212" s="51" t="n">
        <f aca="false">IF(AND($E212="A",ISNUMBER($F212),ISNUMBER($G212)),$F212*(1+$G212/30),"")</f>
        <v>220</v>
      </c>
      <c r="K212" s="56"/>
      <c r="L212" s="56" t="s">
        <v>415</v>
      </c>
    </row>
    <row r="213" customFormat="false" ht="15.75" hidden="false" customHeight="true" outlineLevel="0" collapsed="false">
      <c r="A213" s="72" t="str">
        <f aca="false">IFERROR(IF($B213="","",IF(INDEX(Einheiten!$B$4:$B$63,MATCH($B213,Einheiten!$A$4:$A$63,0))=0,"",INDEX(Einheiten!$B$4:$B$63,MATCH($B213,Einheiten!$A$4:$A$63,0)))),"")</f>
        <v/>
      </c>
      <c r="B213" s="54" t="n">
        <v>10</v>
      </c>
      <c r="C213" s="73" t="str">
        <f aca="false">IFERROR(IF($D213="","",INDEX(Übungen!$B$4:$B$23,MATCH($D213,Übungen!$A$4:$A$23,0))),"")</f>
        <v>Beine vorne</v>
      </c>
      <c r="D213" s="56" t="s">
        <v>394</v>
      </c>
      <c r="E213" s="67" t="s">
        <v>379</v>
      </c>
      <c r="F213" s="55" t="n">
        <v>46</v>
      </c>
      <c r="G213" s="68"/>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2" t="str">
        <f aca="false">IFERROR(IF($B214="","",IF(INDEX(Einheiten!$B$4:$B$63,MATCH($B214,Einheiten!$A$4:$A$63,0))=0,"",INDEX(Einheiten!$B$4:$B$63,MATCH($B214,Einheiten!$A$4:$A$63,0)))),"")</f>
        <v/>
      </c>
      <c r="B214" s="54" t="n">
        <v>10</v>
      </c>
      <c r="C214" s="73" t="str">
        <f aca="false">IFERROR(IF($D214="","",INDEX(Übungen!$B$4:$B$23,MATCH($D214,Übungen!$A$4:$A$23,0))),"")</f>
        <v>Beine vorne</v>
      </c>
      <c r="D214" s="56" t="s">
        <v>394</v>
      </c>
      <c r="E214" s="67" t="s">
        <v>379</v>
      </c>
      <c r="F214" s="55" t="n">
        <v>80.5</v>
      </c>
      <c r="G214" s="68"/>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2" t="str">
        <f aca="false">IFERROR(IF($B215="","",IF(INDEX(Einheiten!$B$4:$B$63,MATCH($B215,Einheiten!$A$4:$A$63,0))=0,"",INDEX(Einheiten!$B$4:$B$63,MATCH($B215,Einheiten!$A$4:$A$63,0)))),"")</f>
        <v/>
      </c>
      <c r="B215" s="54" t="n">
        <v>10</v>
      </c>
      <c r="C215" s="73" t="str">
        <f aca="false">IFERROR(IF($D215="","",INDEX(Übungen!$B$4:$B$23,MATCH($D215,Übungen!$A$4:$A$23,0))),"")</f>
        <v>Beine vorne</v>
      </c>
      <c r="D215" s="56" t="s">
        <v>394</v>
      </c>
      <c r="E215" s="67" t="s">
        <v>380</v>
      </c>
      <c r="F215" s="55" t="n">
        <v>115</v>
      </c>
      <c r="G215" s="68"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2" t="str">
        <f aca="false">IFERROR(IF($B216="","",IF(INDEX(Einheiten!$B$4:$B$63,MATCH($B216,Einheiten!$A$4:$A$63,0))=0,"",INDEX(Einheiten!$B$4:$B$63,MATCH($B216,Einheiten!$A$4:$A$63,0)))),"")</f>
        <v/>
      </c>
      <c r="B216" s="54" t="n">
        <v>10</v>
      </c>
      <c r="C216" s="73" t="str">
        <f aca="false">IFERROR(IF($D216="","",INDEX(Übungen!$B$4:$B$23,MATCH($D216,Übungen!$A$4:$A$23,0))),"")</f>
        <v>Beine vorne</v>
      </c>
      <c r="D216" s="56" t="s">
        <v>394</v>
      </c>
      <c r="E216" s="67" t="s">
        <v>380</v>
      </c>
      <c r="F216" s="55" t="n">
        <v>110</v>
      </c>
      <c r="G216" s="68"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2" t="str">
        <f aca="false">IFERROR(IF($B217="","",IF(INDEX(Einheiten!$B$4:$B$63,MATCH($B217,Einheiten!$A$4:$A$63,0))=0,"",INDEX(Einheiten!$B$4:$B$63,MATCH($B217,Einheiten!$A$4:$A$63,0)))),"")</f>
        <v/>
      </c>
      <c r="B217" s="54" t="n">
        <v>10</v>
      </c>
      <c r="C217" s="73" t="str">
        <f aca="false">IFERROR(IF($D217="","",INDEX(Übungen!$B$4:$B$23,MATCH($D217,Übungen!$A$4:$A$23,0))),"")</f>
        <v>Beine vorne</v>
      </c>
      <c r="D217" s="56" t="s">
        <v>394</v>
      </c>
      <c r="E217" s="67" t="s">
        <v>380</v>
      </c>
      <c r="F217" s="55" t="n">
        <v>105</v>
      </c>
      <c r="G217" s="68"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2" t="str">
        <f aca="false">IFERROR(IF($B218="","",IF(INDEX(Einheiten!$B$4:$B$63,MATCH($B218,Einheiten!$A$4:$A$63,0))=0,"",INDEX(Einheiten!$B$4:$B$63,MATCH($B218,Einheiten!$A$4:$A$63,0)))),"")</f>
        <v/>
      </c>
      <c r="B218" s="54" t="n">
        <v>10</v>
      </c>
      <c r="C218" s="73" t="str">
        <f aca="false">IFERROR(IF($D218="","",INDEX(Übungen!$B$4:$B$23,MATCH($D218,Übungen!$A$4:$A$23,0))),"")</f>
        <v>Beine vorne</v>
      </c>
      <c r="D218" s="56" t="s">
        <v>410</v>
      </c>
      <c r="E218" s="67" t="s">
        <v>379</v>
      </c>
      <c r="F218" s="55" t="n">
        <v>136</v>
      </c>
      <c r="G218" s="68"/>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2" t="str">
        <f aca="false">IFERROR(IF($B219="","",IF(INDEX(Einheiten!$B$4:$B$63,MATCH($B219,Einheiten!$A$4:$A$63,0))=0,"",INDEX(Einheiten!$B$4:$B$63,MATCH($B219,Einheiten!$A$4:$A$63,0)))),"")</f>
        <v/>
      </c>
      <c r="B219" s="54" t="n">
        <v>10</v>
      </c>
      <c r="C219" s="73" t="str">
        <f aca="false">IFERROR(IF($D219="","",INDEX(Übungen!$B$4:$B$23,MATCH($D219,Übungen!$A$4:$A$23,0))),"")</f>
        <v>Beine vorne</v>
      </c>
      <c r="D219" s="56" t="s">
        <v>410</v>
      </c>
      <c r="E219" s="67" t="s">
        <v>379</v>
      </c>
      <c r="F219" s="55" t="n">
        <v>203</v>
      </c>
      <c r="G219" s="68"/>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2" t="str">
        <f aca="false">IFERROR(IF($B220="","",IF(INDEX(Einheiten!$B$4:$B$63,MATCH($B220,Einheiten!$A$4:$A$63,0))=0,"",INDEX(Einheiten!$B$4:$B$63,MATCH($B220,Einheiten!$A$4:$A$63,0)))),"")</f>
        <v/>
      </c>
      <c r="B220" s="54" t="n">
        <v>10</v>
      </c>
      <c r="C220" s="73" t="str">
        <f aca="false">IFERROR(IF($D220="","",INDEX(Übungen!$B$4:$B$23,MATCH($D220,Übungen!$A$4:$A$23,0))),"")</f>
        <v>Beine vorne</v>
      </c>
      <c r="D220" s="56" t="s">
        <v>410</v>
      </c>
      <c r="E220" s="67" t="s">
        <v>380</v>
      </c>
      <c r="F220" s="55" t="n">
        <v>300</v>
      </c>
      <c r="G220" s="68"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2" t="str">
        <f aca="false">IFERROR(IF($B221="","",IF(INDEX(Einheiten!$B$4:$B$63,MATCH($B221,Einheiten!$A$4:$A$63,0))=0,"",INDEX(Einheiten!$B$4:$B$63,MATCH($B221,Einheiten!$A$4:$A$63,0)))),"")</f>
        <v/>
      </c>
      <c r="B221" s="54" t="n">
        <v>10</v>
      </c>
      <c r="C221" s="73" t="str">
        <f aca="false">IFERROR(IF($D221="","",INDEX(Übungen!$B$4:$B$23,MATCH($D221,Übungen!$A$4:$A$23,0))),"")</f>
        <v>Beine vorne</v>
      </c>
      <c r="D221" s="56" t="s">
        <v>410</v>
      </c>
      <c r="E221" s="67" t="s">
        <v>380</v>
      </c>
      <c r="F221" s="55" t="n">
        <v>310</v>
      </c>
      <c r="G221" s="68"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2" t="str">
        <f aca="false">IFERROR(IF($B222="","",IF(INDEX(Einheiten!$B$4:$B$63,MATCH($B222,Einheiten!$A$4:$A$63,0))=0,"",INDEX(Einheiten!$B$4:$B$63,MATCH($B222,Einheiten!$A$4:$A$63,0)))),"")</f>
        <v/>
      </c>
      <c r="B222" s="54" t="n">
        <v>10</v>
      </c>
      <c r="C222" s="73" t="str">
        <f aca="false">IFERROR(IF($D222="","",INDEX(Übungen!$B$4:$B$23,MATCH($D222,Übungen!$A$4:$A$23,0))),"")</f>
        <v>Beine vorne</v>
      </c>
      <c r="D222" s="56" t="s">
        <v>410</v>
      </c>
      <c r="E222" s="67" t="s">
        <v>380</v>
      </c>
      <c r="F222" s="55" t="n">
        <v>330</v>
      </c>
      <c r="G222" s="68"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2" t="str">
        <f aca="false">IFERROR(IF($B223="","",IF(INDEX(Einheiten!$B$4:$B$63,MATCH($B223,Einheiten!$A$4:$A$63,0))=0,"",INDEX(Einheiten!$B$4:$B$63,MATCH($B223,Einheiten!$A$4:$A$63,0)))),"")</f>
        <v/>
      </c>
      <c r="B223" s="54" t="n">
        <v>10</v>
      </c>
      <c r="C223" s="73" t="str">
        <f aca="false">IFERROR(IF($D223="","",INDEX(Übungen!$B$4:$B$23,MATCH($D223,Übungen!$A$4:$A$23,0))),"")</f>
        <v>Beine vorne</v>
      </c>
      <c r="D223" s="56" t="s">
        <v>387</v>
      </c>
      <c r="E223" s="67" t="s">
        <v>379</v>
      </c>
      <c r="F223" s="55" t="n">
        <v>30</v>
      </c>
      <c r="G223" s="68"/>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2" t="str">
        <f aca="false">IFERROR(IF($B224="","",IF(INDEX(Einheiten!$B$4:$B$63,MATCH($B224,Einheiten!$A$4:$A$63,0))=0,"",INDEX(Einheiten!$B$4:$B$63,MATCH($B224,Einheiten!$A$4:$A$63,0)))),"")</f>
        <v/>
      </c>
      <c r="B224" s="54" t="n">
        <v>10</v>
      </c>
      <c r="C224" s="73" t="str">
        <f aca="false">IFERROR(IF($D224="","",INDEX(Übungen!$B$4:$B$23,MATCH($D224,Übungen!$A$4:$A$23,0))),"")</f>
        <v>Beine vorne</v>
      </c>
      <c r="D224" s="56" t="s">
        <v>387</v>
      </c>
      <c r="E224" s="67" t="s">
        <v>379</v>
      </c>
      <c r="F224" s="55" t="n">
        <v>60</v>
      </c>
      <c r="G224" s="68"/>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2" t="str">
        <f aca="false">IFERROR(IF($B225="","",IF(INDEX(Einheiten!$B$4:$B$63,MATCH($B225,Einheiten!$A$4:$A$63,0))=0,"",INDEX(Einheiten!$B$4:$B$63,MATCH($B225,Einheiten!$A$4:$A$63,0)))),"")</f>
        <v/>
      </c>
      <c r="B225" s="54" t="n">
        <v>10</v>
      </c>
      <c r="C225" s="73" t="str">
        <f aca="false">IFERROR(IF($D225="","",INDEX(Übungen!$B$4:$B$23,MATCH($D225,Übungen!$A$4:$A$23,0))),"")</f>
        <v>Beine vorne</v>
      </c>
      <c r="D225" s="56" t="s">
        <v>387</v>
      </c>
      <c r="E225" s="67" t="s">
        <v>380</v>
      </c>
      <c r="F225" s="55" t="n">
        <v>80</v>
      </c>
      <c r="G225" s="68"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2" t="str">
        <f aca="false">IFERROR(IF($B226="","",IF(INDEX(Einheiten!$B$4:$B$63,MATCH($B226,Einheiten!$A$4:$A$63,0))=0,"",INDEX(Einheiten!$B$4:$B$63,MATCH($B226,Einheiten!$A$4:$A$63,0)))),"")</f>
        <v/>
      </c>
      <c r="B226" s="54" t="n">
        <v>10</v>
      </c>
      <c r="C226" s="73" t="str">
        <f aca="false">IFERROR(IF($D226="","",INDEX(Übungen!$B$4:$B$23,MATCH($D226,Übungen!$A$4:$A$23,0))),"")</f>
        <v>Beine vorne</v>
      </c>
      <c r="D226" s="56" t="s">
        <v>387</v>
      </c>
      <c r="E226" s="67" t="s">
        <v>380</v>
      </c>
      <c r="F226" s="55" t="n">
        <v>85</v>
      </c>
      <c r="G226" s="68"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2" t="str">
        <f aca="false">IFERROR(IF($B227="","",IF(INDEX(Einheiten!$B$4:$B$63,MATCH($B227,Einheiten!$A$4:$A$63,0))=0,"",INDEX(Einheiten!$B$4:$B$63,MATCH($B227,Einheiten!$A$4:$A$63,0)))),"")</f>
        <v/>
      </c>
      <c r="B227" s="54" t="n">
        <v>10</v>
      </c>
      <c r="C227" s="73" t="str">
        <f aca="false">IFERROR(IF($D227="","",INDEX(Übungen!$B$4:$B$23,MATCH($D227,Übungen!$A$4:$A$23,0))),"")</f>
        <v>Beine vorne</v>
      </c>
      <c r="D227" s="56" t="s">
        <v>387</v>
      </c>
      <c r="E227" s="67" t="s">
        <v>380</v>
      </c>
      <c r="F227" s="55" t="n">
        <v>90</v>
      </c>
      <c r="G227" s="68"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2" t="str">
        <f aca="false">IFERROR(IF($B228="","",IF(INDEX(Einheiten!$B$4:$B$63,MATCH($B228,Einheiten!$A$4:$A$63,0))=0,"",INDEX(Einheiten!$B$4:$B$63,MATCH($B228,Einheiten!$A$4:$A$63,0)))),"")</f>
        <v/>
      </c>
      <c r="B228" s="54" t="n">
        <v>11</v>
      </c>
      <c r="C228" s="73" t="str">
        <f aca="false">IFERROR(IF($D228="","",INDEX(Übungen!$B$4:$B$23,MATCH($D228,Übungen!$A$4:$A$23,0))),"")</f>
        <v>Beine hinten</v>
      </c>
      <c r="D228" s="56" t="s">
        <v>407</v>
      </c>
      <c r="E228" s="67" t="s">
        <v>379</v>
      </c>
      <c r="F228" s="55" t="n">
        <v>40</v>
      </c>
      <c r="G228" s="68"/>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2" t="str">
        <f aca="false">IFERROR(IF($B229="","",IF(INDEX(Einheiten!$B$4:$B$63,MATCH($B229,Einheiten!$A$4:$A$63,0))=0,"",INDEX(Einheiten!$B$4:$B$63,MATCH($B229,Einheiten!$A$4:$A$63,0)))),"")</f>
        <v/>
      </c>
      <c r="B229" s="54" t="n">
        <v>11</v>
      </c>
      <c r="C229" s="73" t="str">
        <f aca="false">IFERROR(IF($D229="","",INDEX(Übungen!$B$4:$B$23,MATCH($D229,Übungen!$A$4:$A$23,0))),"")</f>
        <v>Beine hinten</v>
      </c>
      <c r="D229" s="56" t="s">
        <v>407</v>
      </c>
      <c r="E229" s="67" t="s">
        <v>379</v>
      </c>
      <c r="F229" s="55" t="n">
        <v>70</v>
      </c>
      <c r="G229" s="68"/>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2" t="str">
        <f aca="false">IFERROR(IF($B230="","",IF(INDEX(Einheiten!$B$4:$B$63,MATCH($B230,Einheiten!$A$4:$A$63,0))=0,"",INDEX(Einheiten!$B$4:$B$63,MATCH($B230,Einheiten!$A$4:$A$63,0)))),"")</f>
        <v/>
      </c>
      <c r="B230" s="54" t="n">
        <v>11</v>
      </c>
      <c r="C230" s="73" t="str">
        <f aca="false">IFERROR(IF($D230="","",INDEX(Übungen!$B$4:$B$23,MATCH($D230,Übungen!$A$4:$A$23,0))),"")</f>
        <v>Beine hinten</v>
      </c>
      <c r="D230" s="56" t="s">
        <v>407</v>
      </c>
      <c r="E230" s="67" t="s">
        <v>380</v>
      </c>
      <c r="F230" s="55" t="n">
        <v>105</v>
      </c>
      <c r="G230" s="68"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2" t="str">
        <f aca="false">IFERROR(IF($B231="","",IF(INDEX(Einheiten!$B$4:$B$63,MATCH($B231,Einheiten!$A$4:$A$63,0))=0,"",INDEX(Einheiten!$B$4:$B$63,MATCH($B231,Einheiten!$A$4:$A$63,0)))),"")</f>
        <v/>
      </c>
      <c r="B231" s="54" t="n">
        <v>11</v>
      </c>
      <c r="C231" s="73" t="str">
        <f aca="false">IFERROR(IF($D231="","",INDEX(Übungen!$B$4:$B$23,MATCH($D231,Übungen!$A$4:$A$23,0))),"")</f>
        <v>Beine hinten</v>
      </c>
      <c r="D231" s="56" t="s">
        <v>407</v>
      </c>
      <c r="E231" s="67" t="s">
        <v>380</v>
      </c>
      <c r="F231" s="55" t="n">
        <v>115</v>
      </c>
      <c r="G231" s="68"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2" t="str">
        <f aca="false">IFERROR(IF($B232="","",IF(INDEX(Einheiten!$B$4:$B$63,MATCH($B232,Einheiten!$A$4:$A$63,0))=0,"",INDEX(Einheiten!$B$4:$B$63,MATCH($B232,Einheiten!$A$4:$A$63,0)))),"")</f>
        <v/>
      </c>
      <c r="B232" s="54" t="n">
        <v>11</v>
      </c>
      <c r="C232" s="73" t="str">
        <f aca="false">IFERROR(IF($D232="","",INDEX(Übungen!$B$4:$B$23,MATCH($D232,Übungen!$A$4:$A$23,0))),"")</f>
        <v>Beine hinten</v>
      </c>
      <c r="D232" s="56" t="s">
        <v>402</v>
      </c>
      <c r="E232" s="67" t="s">
        <v>379</v>
      </c>
      <c r="F232" s="55" t="n">
        <v>100</v>
      </c>
      <c r="G232" s="68"/>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2" t="str">
        <f aca="false">IFERROR(IF($B233="","",IF(INDEX(Einheiten!$B$4:$B$63,MATCH($B233,Einheiten!$A$4:$A$63,0))=0,"",INDEX(Einheiten!$B$4:$B$63,MATCH($B233,Einheiten!$A$4:$A$63,0)))),"")</f>
        <v/>
      </c>
      <c r="B233" s="54" t="n">
        <v>11</v>
      </c>
      <c r="C233" s="73" t="str">
        <f aca="false">IFERROR(IF($D233="","",INDEX(Übungen!$B$4:$B$23,MATCH($D233,Übungen!$A$4:$A$23,0))),"")</f>
        <v>Beine hinten</v>
      </c>
      <c r="D233" s="56" t="s">
        <v>402</v>
      </c>
      <c r="E233" s="67" t="s">
        <v>379</v>
      </c>
      <c r="F233" s="55" t="n">
        <v>150</v>
      </c>
      <c r="G233" s="68"/>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2" t="str">
        <f aca="false">IFERROR(IF($B234="","",IF(INDEX(Einheiten!$B$4:$B$63,MATCH($B234,Einheiten!$A$4:$A$63,0))=0,"",INDEX(Einheiten!$B$4:$B$63,MATCH($B234,Einheiten!$A$4:$A$63,0)))),"")</f>
        <v/>
      </c>
      <c r="B234" s="54" t="n">
        <v>11</v>
      </c>
      <c r="C234" s="73" t="str">
        <f aca="false">IFERROR(IF($D234="","",INDEX(Übungen!$B$4:$B$23,MATCH($D234,Übungen!$A$4:$A$23,0))),"")</f>
        <v>Beine hinten</v>
      </c>
      <c r="D234" s="56" t="s">
        <v>402</v>
      </c>
      <c r="E234" s="67" t="s">
        <v>380</v>
      </c>
      <c r="F234" s="55" t="n">
        <v>210</v>
      </c>
      <c r="G234" s="68"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2" t="str">
        <f aca="false">IFERROR(IF($B235="","",IF(INDEX(Einheiten!$B$4:$B$63,MATCH($B235,Einheiten!$A$4:$A$63,0))=0,"",INDEX(Einheiten!$B$4:$B$63,MATCH($B235,Einheiten!$A$4:$A$63,0)))),"")</f>
        <v/>
      </c>
      <c r="B235" s="54" t="n">
        <v>11</v>
      </c>
      <c r="C235" s="73" t="str">
        <f aca="false">IFERROR(IF($D235="","",INDEX(Übungen!$B$4:$B$23,MATCH($D235,Übungen!$A$4:$A$23,0))),"")</f>
        <v>Beine hinten</v>
      </c>
      <c r="D235" s="56" t="s">
        <v>402</v>
      </c>
      <c r="E235" s="67" t="s">
        <v>380</v>
      </c>
      <c r="F235" s="55" t="n">
        <v>230</v>
      </c>
      <c r="G235" s="68"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2" t="str">
        <f aca="false">IFERROR(IF($B236="","",IF(INDEX(Einheiten!$B$4:$B$63,MATCH($B236,Einheiten!$A$4:$A$63,0))=0,"",INDEX(Einheiten!$B$4:$B$63,MATCH($B236,Einheiten!$A$4:$A$63,0)))),"")</f>
        <v/>
      </c>
      <c r="B236" s="54" t="n">
        <v>11</v>
      </c>
      <c r="C236" s="73" t="str">
        <f aca="false">IFERROR(IF($D236="","",INDEX(Übungen!$B$4:$B$23,MATCH($D236,Übungen!$A$4:$A$23,0))),"")</f>
        <v>Beine hinten</v>
      </c>
      <c r="D236" s="56" t="s">
        <v>402</v>
      </c>
      <c r="E236" s="67" t="s">
        <v>380</v>
      </c>
      <c r="F236" s="55" t="n">
        <v>250</v>
      </c>
      <c r="G236" s="68"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2" t="str">
        <f aca="false">IFERROR(IF($B237="","",IF(INDEX(Einheiten!$B$4:$B$63,MATCH($B237,Einheiten!$A$4:$A$63,0))=0,"",INDEX(Einheiten!$B$4:$B$63,MATCH($B237,Einheiten!$A$4:$A$63,0)))),"")</f>
        <v/>
      </c>
      <c r="B237" s="54" t="n">
        <v>11</v>
      </c>
      <c r="C237" s="73" t="str">
        <f aca="false">IFERROR(IF($D237="","",INDEX(Übungen!$B$4:$B$23,MATCH($D237,Übungen!$A$4:$A$23,0))),"")</f>
        <v>Beine hinten</v>
      </c>
      <c r="D237" s="56" t="s">
        <v>413</v>
      </c>
      <c r="E237" s="67" t="s">
        <v>379</v>
      </c>
      <c r="F237" s="55" t="n">
        <v>56</v>
      </c>
      <c r="G237" s="68"/>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2" t="str">
        <f aca="false">IFERROR(IF($B238="","",IF(INDEX(Einheiten!$B$4:$B$63,MATCH($B238,Einheiten!$A$4:$A$63,0))=0,"",INDEX(Einheiten!$B$4:$B$63,MATCH($B238,Einheiten!$A$4:$A$63,0)))),"")</f>
        <v/>
      </c>
      <c r="B238" s="54" t="n">
        <v>11</v>
      </c>
      <c r="C238" s="73" t="str">
        <f aca="false">IFERROR(IF($D238="","",INDEX(Übungen!$B$4:$B$23,MATCH($D238,Übungen!$A$4:$A$23,0))),"")</f>
        <v>Beine hinten</v>
      </c>
      <c r="D238" s="56" t="s">
        <v>413</v>
      </c>
      <c r="E238" s="67" t="s">
        <v>379</v>
      </c>
      <c r="F238" s="55" t="n">
        <v>98</v>
      </c>
      <c r="G238" s="68"/>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2" t="str">
        <f aca="false">IFERROR(IF($B239="","",IF(INDEX(Einheiten!$B$4:$B$63,MATCH($B239,Einheiten!$A$4:$A$63,0))=0,"",INDEX(Einheiten!$B$4:$B$63,MATCH($B239,Einheiten!$A$4:$A$63,0)))),"")</f>
        <v/>
      </c>
      <c r="B239" s="54" t="n">
        <v>11</v>
      </c>
      <c r="C239" s="73" t="str">
        <f aca="false">IFERROR(IF($D239="","",INDEX(Übungen!$B$4:$B$23,MATCH($D239,Übungen!$A$4:$A$23,0))),"")</f>
        <v>Beine hinten</v>
      </c>
      <c r="D239" s="56" t="s">
        <v>413</v>
      </c>
      <c r="E239" s="67" t="s">
        <v>380</v>
      </c>
      <c r="F239" s="55" t="n">
        <v>120</v>
      </c>
      <c r="G239" s="68" t="n">
        <v>6</v>
      </c>
      <c r="H239" s="55"/>
      <c r="I239" s="49" t="n">
        <f aca="false">IF(AND(ISNUMBER($F239),ISNUMBER($G239),$E239&lt;&gt;"R"),$F239*$G239,"")</f>
        <v>720</v>
      </c>
      <c r="J239" s="51" t="n">
        <f aca="false">IF(AND($E239="A",ISNUMBER($F239),ISNUMBER($G239)),$F239*(1+$G239/30),"")</f>
        <v>144</v>
      </c>
      <c r="K239" s="56"/>
      <c r="L239" s="56" t="s">
        <v>416</v>
      </c>
    </row>
    <row r="240" customFormat="false" ht="15.75" hidden="false" customHeight="true" outlineLevel="0" collapsed="false">
      <c r="A240" s="72" t="str">
        <f aca="false">IFERROR(IF($B240="","",IF(INDEX(Einheiten!$B$4:$B$63,MATCH($B240,Einheiten!$A$4:$A$63,0))=0,"",INDEX(Einheiten!$B$4:$B$63,MATCH($B240,Einheiten!$A$4:$A$63,0)))),"")</f>
        <v/>
      </c>
      <c r="B240" s="54" t="n">
        <v>11</v>
      </c>
      <c r="C240" s="73" t="str">
        <f aca="false">IFERROR(IF($D240="","",INDEX(Übungen!$B$4:$B$23,MATCH($D240,Übungen!$A$4:$A$23,0))),"")</f>
        <v>Beine hinten</v>
      </c>
      <c r="D240" s="56" t="s">
        <v>413</v>
      </c>
      <c r="E240" s="67" t="s">
        <v>380</v>
      </c>
      <c r="F240" s="55" t="n">
        <v>110</v>
      </c>
      <c r="G240" s="68"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2" t="str">
        <f aca="false">IFERROR(IF($B241="","",IF(INDEX(Einheiten!$B$4:$B$63,MATCH($B241,Einheiten!$A$4:$A$63,0))=0,"",INDEX(Einheiten!$B$4:$B$63,MATCH($B241,Einheiten!$A$4:$A$63,0)))),"")</f>
        <v/>
      </c>
      <c r="B241" s="54" t="n">
        <v>11</v>
      </c>
      <c r="C241" s="73" t="str">
        <f aca="false">IFERROR(IF($D241="","",INDEX(Übungen!$B$4:$B$23,MATCH($D241,Übungen!$A$4:$A$23,0))),"")</f>
        <v>Beine hinten</v>
      </c>
      <c r="D241" s="56" t="s">
        <v>413</v>
      </c>
      <c r="E241" s="67" t="s">
        <v>380</v>
      </c>
      <c r="F241" s="55" t="n">
        <v>148</v>
      </c>
      <c r="G241" s="68"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2" t="str">
        <f aca="false">IFERROR(IF($B242="","",IF(INDEX(Einheiten!$B$4:$B$63,MATCH($B242,Einheiten!$A$4:$A$63,0))=0,"",INDEX(Einheiten!$B$4:$B$63,MATCH($B242,Einheiten!$A$4:$A$63,0)))),"")</f>
        <v/>
      </c>
      <c r="B242" s="54" t="n">
        <v>11</v>
      </c>
      <c r="C242" s="73" t="str">
        <f aca="false">IFERROR(IF($D242="","",INDEX(Übungen!$B$4:$B$23,MATCH($D242,Übungen!$A$4:$A$23,0))),"")</f>
        <v>Beine hinten</v>
      </c>
      <c r="D242" s="56" t="s">
        <v>413</v>
      </c>
      <c r="E242" s="67" t="s">
        <v>380</v>
      </c>
      <c r="F242" s="55" t="n">
        <v>163</v>
      </c>
      <c r="G242" s="68"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2" t="str">
        <f aca="false">IFERROR(IF($B243="","",IF(INDEX(Einheiten!$B$4:$B$63,MATCH($B243,Einheiten!$A$4:$A$63,0))=0,"",INDEX(Einheiten!$B$4:$B$63,MATCH($B243,Einheiten!$A$4:$A$63,0)))),"")</f>
        <v/>
      </c>
      <c r="B243" s="54" t="n">
        <v>11</v>
      </c>
      <c r="C243" s="73" t="str">
        <f aca="false">IFERROR(IF($D243="","",INDEX(Übungen!$B$4:$B$23,MATCH($D243,Übungen!$A$4:$A$23,0))),"")</f>
        <v>Beine hinten</v>
      </c>
      <c r="D243" s="56" t="s">
        <v>413</v>
      </c>
      <c r="E243" s="67" t="s">
        <v>380</v>
      </c>
      <c r="F243" s="55" t="n">
        <v>173</v>
      </c>
      <c r="G243" s="68"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2" t="str">
        <f aca="false">IFERROR(IF($B244="","",IF(INDEX(Einheiten!$B$4:$B$63,MATCH($B244,Einheiten!$A$4:$A$63,0))=0,"",INDEX(Einheiten!$B$4:$B$63,MATCH($B244,Einheiten!$A$4:$A$63,0)))),"")</f>
        <v/>
      </c>
      <c r="B244" s="54" t="n">
        <v>11</v>
      </c>
      <c r="C244" s="73" t="str">
        <f aca="false">IFERROR(IF($D244="","",INDEX(Übungen!$B$4:$B$23,MATCH($D244,Übungen!$A$4:$A$23,0))),"")</f>
        <v>Beine hinten</v>
      </c>
      <c r="D244" s="56" t="s">
        <v>406</v>
      </c>
      <c r="E244" s="67" t="s">
        <v>379</v>
      </c>
      <c r="F244" s="55" t="n">
        <v>55</v>
      </c>
      <c r="G244" s="68"/>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2" t="str">
        <f aca="false">IFERROR(IF($B245="","",IF(INDEX(Einheiten!$B$4:$B$63,MATCH($B245,Einheiten!$A$4:$A$63,0))=0,"",INDEX(Einheiten!$B$4:$B$63,MATCH($B245,Einheiten!$A$4:$A$63,0)))),"")</f>
        <v/>
      </c>
      <c r="B245" s="54" t="n">
        <v>11</v>
      </c>
      <c r="C245" s="73" t="str">
        <f aca="false">IFERROR(IF($D245="","",INDEX(Übungen!$B$4:$B$23,MATCH($D245,Übungen!$A$4:$A$23,0))),"")</f>
        <v>Beine hinten</v>
      </c>
      <c r="D245" s="56" t="s">
        <v>406</v>
      </c>
      <c r="E245" s="67" t="s">
        <v>379</v>
      </c>
      <c r="F245" s="55" t="n">
        <v>105</v>
      </c>
      <c r="G245" s="68"/>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2" t="str">
        <f aca="false">IFERROR(IF($B246="","",IF(INDEX(Einheiten!$B$4:$B$63,MATCH($B246,Einheiten!$A$4:$A$63,0))=0,"",INDEX(Einheiten!$B$4:$B$63,MATCH($B246,Einheiten!$A$4:$A$63,0)))),"")</f>
        <v/>
      </c>
      <c r="B246" s="54" t="n">
        <v>11</v>
      </c>
      <c r="C246" s="73" t="str">
        <f aca="false">IFERROR(IF($D246="","",INDEX(Übungen!$B$4:$B$23,MATCH($D246,Übungen!$A$4:$A$23,0))),"")</f>
        <v>Beine hinten</v>
      </c>
      <c r="D246" s="56" t="s">
        <v>406</v>
      </c>
      <c r="E246" s="67" t="s">
        <v>380</v>
      </c>
      <c r="F246" s="55" t="n">
        <v>155</v>
      </c>
      <c r="G246" s="68"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2" t="str">
        <f aca="false">IFERROR(IF($B247="","",IF(INDEX(Einheiten!$B$4:$B$63,MATCH($B247,Einheiten!$A$4:$A$63,0))=0,"",INDEX(Einheiten!$B$4:$B$63,MATCH($B247,Einheiten!$A$4:$A$63,0)))),"")</f>
        <v/>
      </c>
      <c r="B247" s="54" t="n">
        <v>11</v>
      </c>
      <c r="C247" s="73" t="str">
        <f aca="false">IFERROR(IF($D247="","",INDEX(Übungen!$B$4:$B$23,MATCH($D247,Übungen!$A$4:$A$23,0))),"")</f>
        <v>Beine hinten</v>
      </c>
      <c r="D247" s="56" t="s">
        <v>406</v>
      </c>
      <c r="E247" s="67" t="s">
        <v>380</v>
      </c>
      <c r="F247" s="55" t="n">
        <v>165</v>
      </c>
      <c r="G247" s="68"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2" t="str">
        <f aca="false">IFERROR(IF($B248="","",IF(INDEX(Einheiten!$B$4:$B$63,MATCH($B248,Einheiten!$A$4:$A$63,0))=0,"",INDEX(Einheiten!$B$4:$B$63,MATCH($B248,Einheiten!$A$4:$A$63,0)))),"")</f>
        <v/>
      </c>
      <c r="B248" s="54" t="n">
        <v>12</v>
      </c>
      <c r="C248" s="73" t="str">
        <f aca="false">IFERROR(IF($D248="","",INDEX(Übungen!$B$4:$B$23,MATCH($D248,Übungen!$A$4:$A$23,0))),"")</f>
        <v>Beine vorne</v>
      </c>
      <c r="D248" s="56" t="s">
        <v>410</v>
      </c>
      <c r="E248" s="67" t="s">
        <v>379</v>
      </c>
      <c r="F248" s="55" t="n">
        <v>100</v>
      </c>
      <c r="G248" s="68"/>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2" t="str">
        <f aca="false">IFERROR(IF($B249="","",IF(INDEX(Einheiten!$B$4:$B$63,MATCH($B249,Einheiten!$A$4:$A$63,0))=0,"",INDEX(Einheiten!$B$4:$B$63,MATCH($B249,Einheiten!$A$4:$A$63,0)))),"")</f>
        <v/>
      </c>
      <c r="B249" s="54" t="n">
        <v>12</v>
      </c>
      <c r="C249" s="73" t="str">
        <f aca="false">IFERROR(IF($D249="","",INDEX(Übungen!$B$4:$B$23,MATCH($D249,Übungen!$A$4:$A$23,0))),"")</f>
        <v>Beine vorne</v>
      </c>
      <c r="D249" s="56" t="s">
        <v>410</v>
      </c>
      <c r="E249" s="67" t="s">
        <v>379</v>
      </c>
      <c r="F249" s="55" t="n">
        <v>150</v>
      </c>
      <c r="G249" s="68"/>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2" t="str">
        <f aca="false">IFERROR(IF($B250="","",IF(INDEX(Einheiten!$B$4:$B$63,MATCH($B250,Einheiten!$A$4:$A$63,0))=0,"",INDEX(Einheiten!$B$4:$B$63,MATCH($B250,Einheiten!$A$4:$A$63,0)))),"")</f>
        <v/>
      </c>
      <c r="B250" s="54" t="n">
        <v>12</v>
      </c>
      <c r="C250" s="73" t="str">
        <f aca="false">IFERROR(IF($D250="","",INDEX(Übungen!$B$4:$B$23,MATCH($D250,Übungen!$A$4:$A$23,0))),"")</f>
        <v>Beine vorne</v>
      </c>
      <c r="D250" s="56" t="s">
        <v>410</v>
      </c>
      <c r="E250" s="67" t="s">
        <v>380</v>
      </c>
      <c r="F250" s="55" t="n">
        <v>250</v>
      </c>
      <c r="G250" s="68"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2" t="str">
        <f aca="false">IFERROR(IF($B251="","",IF(INDEX(Einheiten!$B$4:$B$63,MATCH($B251,Einheiten!$A$4:$A$63,0))=0,"",INDEX(Einheiten!$B$4:$B$63,MATCH($B251,Einheiten!$A$4:$A$63,0)))),"")</f>
        <v/>
      </c>
      <c r="B251" s="54" t="n">
        <v>12</v>
      </c>
      <c r="C251" s="73" t="str">
        <f aca="false">IFERROR(IF($D251="","",INDEX(Übungen!$B$4:$B$23,MATCH($D251,Übungen!$A$4:$A$23,0))),"")</f>
        <v>Beine vorne</v>
      </c>
      <c r="D251" s="56" t="s">
        <v>410</v>
      </c>
      <c r="E251" s="67" t="s">
        <v>380</v>
      </c>
      <c r="F251" s="55" t="n">
        <v>250</v>
      </c>
      <c r="G251" s="68"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2" t="str">
        <f aca="false">IFERROR(IF($B252="","",IF(INDEX(Einheiten!$B$4:$B$63,MATCH($B252,Einheiten!$A$4:$A$63,0))=0,"",INDEX(Einheiten!$B$4:$B$63,MATCH($B252,Einheiten!$A$4:$A$63,0)))),"")</f>
        <v/>
      </c>
      <c r="B252" s="54" t="n">
        <v>12</v>
      </c>
      <c r="C252" s="73" t="str">
        <f aca="false">IFERROR(IF($D252="","",INDEX(Übungen!$B$4:$B$23,MATCH($D252,Übungen!$A$4:$A$23,0))),"")</f>
        <v>Beine vorne</v>
      </c>
      <c r="D252" s="56" t="s">
        <v>410</v>
      </c>
      <c r="E252" s="67" t="s">
        <v>380</v>
      </c>
      <c r="F252" s="55" t="n">
        <v>250</v>
      </c>
      <c r="G252" s="68"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2" t="str">
        <f aca="false">IFERROR(IF($B253="","",IF(INDEX(Einheiten!$B$4:$B$63,MATCH($B253,Einheiten!$A$4:$A$63,0))=0,"",INDEX(Einheiten!$B$4:$B$63,MATCH($B253,Einheiten!$A$4:$A$63,0)))),"")</f>
        <v/>
      </c>
      <c r="B253" s="54" t="n">
        <v>12</v>
      </c>
      <c r="C253" s="73" t="str">
        <f aca="false">IFERROR(IF($D253="","",INDEX(Übungen!$B$4:$B$23,MATCH($D253,Übungen!$A$4:$A$23,0))),"")</f>
        <v>Beine vorne</v>
      </c>
      <c r="D253" s="56" t="s">
        <v>394</v>
      </c>
      <c r="E253" s="67" t="s">
        <v>379</v>
      </c>
      <c r="F253" s="55" t="n">
        <v>40</v>
      </c>
      <c r="G253" s="68"/>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2" t="str">
        <f aca="false">IFERROR(IF($B254="","",IF(INDEX(Einheiten!$B$4:$B$63,MATCH($B254,Einheiten!$A$4:$A$63,0))=0,"",INDEX(Einheiten!$B$4:$B$63,MATCH($B254,Einheiten!$A$4:$A$63,0)))),"")</f>
        <v/>
      </c>
      <c r="B254" s="54" t="n">
        <v>12</v>
      </c>
      <c r="C254" s="73" t="str">
        <f aca="false">IFERROR(IF($D254="","",INDEX(Übungen!$B$4:$B$23,MATCH($D254,Übungen!$A$4:$A$23,0))),"")</f>
        <v>Beine vorne</v>
      </c>
      <c r="D254" s="56" t="s">
        <v>394</v>
      </c>
      <c r="E254" s="67" t="s">
        <v>379</v>
      </c>
      <c r="F254" s="55" t="n">
        <v>50</v>
      </c>
      <c r="G254" s="68"/>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2" t="str">
        <f aca="false">IFERROR(IF($B255="","",IF(INDEX(Einheiten!$B$4:$B$63,MATCH($B255,Einheiten!$A$4:$A$63,0))=0,"",INDEX(Einheiten!$B$4:$B$63,MATCH($B255,Einheiten!$A$4:$A$63,0)))),"")</f>
        <v/>
      </c>
      <c r="B255" s="54" t="n">
        <v>12</v>
      </c>
      <c r="C255" s="73" t="str">
        <f aca="false">IFERROR(IF($D255="","",INDEX(Übungen!$B$4:$B$23,MATCH($D255,Übungen!$A$4:$A$23,0))),"")</f>
        <v>Beine vorne</v>
      </c>
      <c r="D255" s="56" t="s">
        <v>394</v>
      </c>
      <c r="E255" s="67" t="s">
        <v>380</v>
      </c>
      <c r="F255" s="55" t="n">
        <v>80</v>
      </c>
      <c r="G255" s="68"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2" t="str">
        <f aca="false">IFERROR(IF($B256="","",IF(INDEX(Einheiten!$B$4:$B$63,MATCH($B256,Einheiten!$A$4:$A$63,0))=0,"",INDEX(Einheiten!$B$4:$B$63,MATCH($B256,Einheiten!$A$4:$A$63,0)))),"")</f>
        <v/>
      </c>
      <c r="B256" s="54" t="n">
        <v>12</v>
      </c>
      <c r="C256" s="73" t="str">
        <f aca="false">IFERROR(IF($D256="","",INDEX(Übungen!$B$4:$B$23,MATCH($D256,Übungen!$A$4:$A$23,0))),"")</f>
        <v>Beine vorne</v>
      </c>
      <c r="D256" s="56" t="s">
        <v>394</v>
      </c>
      <c r="E256" s="67" t="s">
        <v>380</v>
      </c>
      <c r="F256" s="55" t="n">
        <v>70</v>
      </c>
      <c r="G256" s="68"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2" t="str">
        <f aca="false">IFERROR(IF($B257="","",IF(INDEX(Einheiten!$B$4:$B$63,MATCH($B257,Einheiten!$A$4:$A$63,0))=0,"",INDEX(Einheiten!$B$4:$B$63,MATCH($B257,Einheiten!$A$4:$A$63,0)))),"")</f>
        <v/>
      </c>
      <c r="B257" s="54" t="n">
        <v>12</v>
      </c>
      <c r="C257" s="73" t="str">
        <f aca="false">IFERROR(IF($D257="","",INDEX(Übungen!$B$4:$B$23,MATCH($D257,Übungen!$A$4:$A$23,0))),"")</f>
        <v>Beine vorne</v>
      </c>
      <c r="D257" s="56" t="s">
        <v>394</v>
      </c>
      <c r="E257" s="67" t="s">
        <v>380</v>
      </c>
      <c r="F257" s="55" t="n">
        <v>50</v>
      </c>
      <c r="G257" s="68"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2" t="str">
        <f aca="false">IFERROR(IF($B258="","",IF(INDEX(Einheiten!$B$4:$B$63,MATCH($B258,Einheiten!$A$4:$A$63,0))=0,"",INDEX(Einheiten!$B$4:$B$63,MATCH($B258,Einheiten!$A$4:$A$63,0)))),"")</f>
        <v/>
      </c>
      <c r="B258" s="54" t="n">
        <v>12</v>
      </c>
      <c r="C258" s="73" t="str">
        <f aca="false">IFERROR(IF($D258="","",INDEX(Übungen!$B$4:$B$23,MATCH($D258,Übungen!$A$4:$A$23,0))),"")</f>
        <v>Beine vorne</v>
      </c>
      <c r="D258" s="56" t="s">
        <v>387</v>
      </c>
      <c r="E258" s="67" t="s">
        <v>379</v>
      </c>
      <c r="F258" s="55" t="n">
        <v>25</v>
      </c>
      <c r="G258" s="68"/>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2" t="str">
        <f aca="false">IFERROR(IF($B259="","",IF(INDEX(Einheiten!$B$4:$B$63,MATCH($B259,Einheiten!$A$4:$A$63,0))=0,"",INDEX(Einheiten!$B$4:$B$63,MATCH($B259,Einheiten!$A$4:$A$63,0)))),"")</f>
        <v/>
      </c>
      <c r="B259" s="54" t="n">
        <v>12</v>
      </c>
      <c r="C259" s="73" t="str">
        <f aca="false">IFERROR(IF($D259="","",INDEX(Übungen!$B$4:$B$23,MATCH($D259,Übungen!$A$4:$A$23,0))),"")</f>
        <v>Beine vorne</v>
      </c>
      <c r="D259" s="56" t="s">
        <v>387</v>
      </c>
      <c r="E259" s="67" t="s">
        <v>379</v>
      </c>
      <c r="F259" s="55" t="n">
        <v>40</v>
      </c>
      <c r="G259" s="68"/>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2" t="str">
        <f aca="false">IFERROR(IF($B260="","",IF(INDEX(Einheiten!$B$4:$B$63,MATCH($B260,Einheiten!$A$4:$A$63,0))=0,"",INDEX(Einheiten!$B$4:$B$63,MATCH($B260,Einheiten!$A$4:$A$63,0)))),"")</f>
        <v/>
      </c>
      <c r="B260" s="54" t="n">
        <v>12</v>
      </c>
      <c r="C260" s="73" t="str">
        <f aca="false">IFERROR(IF($D260="","",INDEX(Übungen!$B$4:$B$23,MATCH($D260,Übungen!$A$4:$A$23,0))),"")</f>
        <v>Beine vorne</v>
      </c>
      <c r="D260" s="56" t="s">
        <v>387</v>
      </c>
      <c r="E260" s="67" t="s">
        <v>380</v>
      </c>
      <c r="F260" s="55" t="n">
        <v>65</v>
      </c>
      <c r="G260" s="68"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2" t="str">
        <f aca="false">IFERROR(IF($B261="","",IF(INDEX(Einheiten!$B$4:$B$63,MATCH($B261,Einheiten!$A$4:$A$63,0))=0,"",INDEX(Einheiten!$B$4:$B$63,MATCH($B261,Einheiten!$A$4:$A$63,0)))),"")</f>
        <v/>
      </c>
      <c r="B261" s="54" t="n">
        <v>12</v>
      </c>
      <c r="C261" s="73" t="str">
        <f aca="false">IFERROR(IF($D261="","",INDEX(Übungen!$B$4:$B$23,MATCH($D261,Übungen!$A$4:$A$23,0))),"")</f>
        <v>Beine vorne</v>
      </c>
      <c r="D261" s="56" t="s">
        <v>387</v>
      </c>
      <c r="E261" s="67" t="s">
        <v>380</v>
      </c>
      <c r="F261" s="55" t="n">
        <v>70</v>
      </c>
      <c r="G261" s="68"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2" t="str">
        <f aca="false">IFERROR(IF($B262="","",IF(INDEX(Einheiten!$B$4:$B$63,MATCH($B262,Einheiten!$A$4:$A$63,0))=0,"",INDEX(Einheiten!$B$4:$B$63,MATCH($B262,Einheiten!$A$4:$A$63,0)))),"")</f>
        <v/>
      </c>
      <c r="B262" s="54" t="n">
        <v>12</v>
      </c>
      <c r="C262" s="73" t="str">
        <f aca="false">IFERROR(IF($D262="","",INDEX(Übungen!$B$4:$B$23,MATCH($D262,Übungen!$A$4:$A$23,0))),"")</f>
        <v>Beine vorne</v>
      </c>
      <c r="D262" s="56" t="s">
        <v>387</v>
      </c>
      <c r="E262" s="67" t="s">
        <v>380</v>
      </c>
      <c r="F262" s="55" t="n">
        <v>77.5</v>
      </c>
      <c r="G262" s="68"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2" t="str">
        <f aca="false">IFERROR(IF($B263="","",IF(INDEX(Einheiten!$B$4:$B$63,MATCH($B263,Einheiten!$A$4:$A$63,0))=0,"",INDEX(Einheiten!$B$4:$B$63,MATCH($B263,Einheiten!$A$4:$A$63,0)))),"")</f>
        <v/>
      </c>
      <c r="B263" s="54" t="n">
        <v>13</v>
      </c>
      <c r="C263" s="73" t="str">
        <f aca="false">IFERROR(IF($D263="","",INDEX(Übungen!$B$4:$B$23,MATCH($D263,Übungen!$A$4:$A$23,0))),"")</f>
        <v>Beine hinten</v>
      </c>
      <c r="D263" s="56" t="s">
        <v>417</v>
      </c>
      <c r="E263" s="67" t="s">
        <v>379</v>
      </c>
      <c r="F263" s="55" t="n">
        <v>50</v>
      </c>
      <c r="G263" s="68"/>
      <c r="H263" s="55"/>
      <c r="I263" s="49" t="str">
        <f aca="false">IF(AND(ISNUMBER($F263),ISNUMBER($G263),$E263&lt;&gt;"R"),$F263*$G263,"")</f>
        <v/>
      </c>
      <c r="J263" s="51" t="str">
        <f aca="false">IF(AND($E263="A",ISNUMBER($F263),ISNUMBER($G263)),$F263*(1+$G263/30),"")</f>
        <v/>
      </c>
      <c r="K263" s="56"/>
      <c r="L263" s="56" t="s">
        <v>418</v>
      </c>
    </row>
    <row r="264" customFormat="false" ht="15.75" hidden="false" customHeight="true" outlineLevel="0" collapsed="false">
      <c r="A264" s="72" t="str">
        <f aca="false">IFERROR(IF($B264="","",IF(INDEX(Einheiten!$B$4:$B$63,MATCH($B264,Einheiten!$A$4:$A$63,0))=0,"",INDEX(Einheiten!$B$4:$B$63,MATCH($B264,Einheiten!$A$4:$A$63,0)))),"")</f>
        <v/>
      </c>
      <c r="B264" s="54" t="n">
        <v>13</v>
      </c>
      <c r="C264" s="73" t="str">
        <f aca="false">IFERROR(IF($D264="","",INDEX(Übungen!$B$4:$B$23,MATCH($D264,Übungen!$A$4:$A$23,0))),"")</f>
        <v>Beine hinten</v>
      </c>
      <c r="D264" s="56" t="s">
        <v>417</v>
      </c>
      <c r="E264" s="67" t="s">
        <v>379</v>
      </c>
      <c r="F264" s="55" t="n">
        <v>100</v>
      </c>
      <c r="G264" s="68"/>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2" t="str">
        <f aca="false">IFERROR(IF($B265="","",IF(INDEX(Einheiten!$B$4:$B$63,MATCH($B265,Einheiten!$A$4:$A$63,0))=0,"",INDEX(Einheiten!$B$4:$B$63,MATCH($B265,Einheiten!$A$4:$A$63,0)))),"")</f>
        <v/>
      </c>
      <c r="B265" s="54" t="n">
        <v>13</v>
      </c>
      <c r="C265" s="73" t="str">
        <f aca="false">IFERROR(IF($D265="","",INDEX(Übungen!$B$4:$B$23,MATCH($D265,Übungen!$A$4:$A$23,0))),"")</f>
        <v>Beine hinten</v>
      </c>
      <c r="D265" s="56" t="s">
        <v>417</v>
      </c>
      <c r="E265" s="67" t="s">
        <v>380</v>
      </c>
      <c r="F265" s="55" t="n">
        <v>180</v>
      </c>
      <c r="G265" s="68"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2" t="str">
        <f aca="false">IFERROR(IF($B266="","",IF(INDEX(Einheiten!$B$4:$B$63,MATCH($B266,Einheiten!$A$4:$A$63,0))=0,"",INDEX(Einheiten!$B$4:$B$63,MATCH($B266,Einheiten!$A$4:$A$63,0)))),"")</f>
        <v/>
      </c>
      <c r="B266" s="54" t="n">
        <v>13</v>
      </c>
      <c r="C266" s="73" t="str">
        <f aca="false">IFERROR(IF($D266="","",INDEX(Übungen!$B$4:$B$23,MATCH($D266,Übungen!$A$4:$A$23,0))),"")</f>
        <v>Beine hinten</v>
      </c>
      <c r="D266" s="56" t="s">
        <v>417</v>
      </c>
      <c r="E266" s="67" t="s">
        <v>380</v>
      </c>
      <c r="F266" s="55" t="n">
        <v>190</v>
      </c>
      <c r="G266" s="68"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2" t="str">
        <f aca="false">IFERROR(IF($B267="","",IF(INDEX(Einheiten!$B$4:$B$63,MATCH($B267,Einheiten!$A$4:$A$63,0))=0,"",INDEX(Einheiten!$B$4:$B$63,MATCH($B267,Einheiten!$A$4:$A$63,0)))),"")</f>
        <v/>
      </c>
      <c r="B267" s="54" t="n">
        <v>13</v>
      </c>
      <c r="C267" s="73" t="str">
        <f aca="false">IFERROR(IF($D267="","",INDEX(Übungen!$B$4:$B$23,MATCH($D267,Übungen!$A$4:$A$23,0))),"")</f>
        <v>Beine hinten</v>
      </c>
      <c r="D267" s="56" t="s">
        <v>417</v>
      </c>
      <c r="E267" s="67" t="s">
        <v>380</v>
      </c>
      <c r="F267" s="55" t="n">
        <v>210</v>
      </c>
      <c r="G267" s="68"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2" t="str">
        <f aca="false">IFERROR(IF($B268="","",IF(INDEX(Einheiten!$B$4:$B$63,MATCH($B268,Einheiten!$A$4:$A$63,0))=0,"",INDEX(Einheiten!$B$4:$B$63,MATCH($B268,Einheiten!$A$4:$A$63,0)))),"")</f>
        <v/>
      </c>
      <c r="B268" s="54" t="n">
        <v>13</v>
      </c>
      <c r="C268" s="73" t="str">
        <f aca="false">IFERROR(IF($D268="","",INDEX(Übungen!$B$4:$B$23,MATCH($D268,Übungen!$A$4:$A$23,0))),"")</f>
        <v>Beine hinten</v>
      </c>
      <c r="D268" s="56" t="s">
        <v>402</v>
      </c>
      <c r="E268" s="67" t="s">
        <v>379</v>
      </c>
      <c r="F268" s="55" t="n">
        <v>100</v>
      </c>
      <c r="G268" s="68"/>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2" t="str">
        <f aca="false">IFERROR(IF($B269="","",IF(INDEX(Einheiten!$B$4:$B$63,MATCH($B269,Einheiten!$A$4:$A$63,0))=0,"",INDEX(Einheiten!$B$4:$B$63,MATCH($B269,Einheiten!$A$4:$A$63,0)))),"")</f>
        <v/>
      </c>
      <c r="B269" s="54" t="n">
        <v>13</v>
      </c>
      <c r="C269" s="73" t="str">
        <f aca="false">IFERROR(IF($D269="","",INDEX(Übungen!$B$4:$B$23,MATCH($D269,Übungen!$A$4:$A$23,0))),"")</f>
        <v>Beine hinten</v>
      </c>
      <c r="D269" s="56" t="s">
        <v>402</v>
      </c>
      <c r="E269" s="67" t="s">
        <v>379</v>
      </c>
      <c r="F269" s="55" t="n">
        <v>170</v>
      </c>
      <c r="G269" s="68"/>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2" t="str">
        <f aca="false">IFERROR(IF($B270="","",IF(INDEX(Einheiten!$B$4:$B$63,MATCH($B270,Einheiten!$A$4:$A$63,0))=0,"",INDEX(Einheiten!$B$4:$B$63,MATCH($B270,Einheiten!$A$4:$A$63,0)))),"")</f>
        <v/>
      </c>
      <c r="B270" s="54" t="n">
        <v>13</v>
      </c>
      <c r="C270" s="73" t="str">
        <f aca="false">IFERROR(IF($D270="","",INDEX(Übungen!$B$4:$B$23,MATCH($D270,Übungen!$A$4:$A$23,0))),"")</f>
        <v>Beine hinten</v>
      </c>
      <c r="D270" s="56" t="s">
        <v>402</v>
      </c>
      <c r="E270" s="67" t="s">
        <v>380</v>
      </c>
      <c r="F270" s="55" t="n">
        <v>250</v>
      </c>
      <c r="G270" s="68"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2" t="str">
        <f aca="false">IFERROR(IF($B271="","",IF(INDEX(Einheiten!$B$4:$B$63,MATCH($B271,Einheiten!$A$4:$A$63,0))=0,"",INDEX(Einheiten!$B$4:$B$63,MATCH($B271,Einheiten!$A$4:$A$63,0)))),"")</f>
        <v/>
      </c>
      <c r="B271" s="54" t="n">
        <v>13</v>
      </c>
      <c r="C271" s="73" t="str">
        <f aca="false">IFERROR(IF($D271="","",INDEX(Übungen!$B$4:$B$23,MATCH($D271,Übungen!$A$4:$A$23,0))),"")</f>
        <v>Beine hinten</v>
      </c>
      <c r="D271" s="56" t="s">
        <v>402</v>
      </c>
      <c r="E271" s="67" t="s">
        <v>380</v>
      </c>
      <c r="F271" s="55" t="n">
        <v>270</v>
      </c>
      <c r="G271" s="68"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2" t="str">
        <f aca="false">IFERROR(IF($B272="","",IF(INDEX(Einheiten!$B$4:$B$63,MATCH($B272,Einheiten!$A$4:$A$63,0))=0,"",INDEX(Einheiten!$B$4:$B$63,MATCH($B272,Einheiten!$A$4:$A$63,0)))),"")</f>
        <v/>
      </c>
      <c r="B272" s="54" t="n">
        <v>13</v>
      </c>
      <c r="C272" s="73" t="str">
        <f aca="false">IFERROR(IF($D272="","",INDEX(Übungen!$B$4:$B$23,MATCH($D272,Übungen!$A$4:$A$23,0))),"")</f>
        <v>Beine hinten</v>
      </c>
      <c r="D272" s="56" t="s">
        <v>402</v>
      </c>
      <c r="E272" s="67" t="s">
        <v>380</v>
      </c>
      <c r="F272" s="55" t="n">
        <v>280</v>
      </c>
      <c r="G272" s="68"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2" t="str">
        <f aca="false">IFERROR(IF($B273="","",IF(INDEX(Einheiten!$B$4:$B$63,MATCH($B273,Einheiten!$A$4:$A$63,0))=0,"",INDEX(Einheiten!$B$4:$B$63,MATCH($B273,Einheiten!$A$4:$A$63,0)))),"")</f>
        <v/>
      </c>
      <c r="B273" s="54" t="n">
        <v>13</v>
      </c>
      <c r="C273" s="73" t="str">
        <f aca="false">IFERROR(IF($D273="","",INDEX(Übungen!$B$4:$B$23,MATCH($D273,Übungen!$A$4:$A$23,0))),"")</f>
        <v>Beine hinten</v>
      </c>
      <c r="D273" s="56" t="s">
        <v>413</v>
      </c>
      <c r="E273" s="67" t="s">
        <v>379</v>
      </c>
      <c r="F273" s="55" t="n">
        <v>70</v>
      </c>
      <c r="G273" s="68"/>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2" t="str">
        <f aca="false">IFERROR(IF($B274="","",IF(INDEX(Einheiten!$B$4:$B$63,MATCH($B274,Einheiten!$A$4:$A$63,0))=0,"",INDEX(Einheiten!$B$4:$B$63,MATCH($B274,Einheiten!$A$4:$A$63,0)))),"")</f>
        <v/>
      </c>
      <c r="B274" s="54" t="n">
        <v>13</v>
      </c>
      <c r="C274" s="73" t="str">
        <f aca="false">IFERROR(IF($D274="","",INDEX(Übungen!$B$4:$B$23,MATCH($D274,Übungen!$A$4:$A$23,0))),"")</f>
        <v>Beine hinten</v>
      </c>
      <c r="D274" s="56" t="s">
        <v>413</v>
      </c>
      <c r="E274" s="67" t="s">
        <v>379</v>
      </c>
      <c r="F274" s="55" t="n">
        <v>103</v>
      </c>
      <c r="G274" s="68"/>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2" t="str">
        <f aca="false">IFERROR(IF($B275="","",IF(INDEX(Einheiten!$B$4:$B$63,MATCH($B275,Einheiten!$A$4:$A$63,0))=0,"",INDEX(Einheiten!$B$4:$B$63,MATCH($B275,Einheiten!$A$4:$A$63,0)))),"")</f>
        <v/>
      </c>
      <c r="B275" s="54" t="n">
        <v>13</v>
      </c>
      <c r="C275" s="73" t="str">
        <f aca="false">IFERROR(IF($D275="","",INDEX(Übungen!$B$4:$B$23,MATCH($D275,Übungen!$A$4:$A$23,0))),"")</f>
        <v>Beine hinten</v>
      </c>
      <c r="D275" s="56" t="s">
        <v>413</v>
      </c>
      <c r="E275" s="67" t="s">
        <v>380</v>
      </c>
      <c r="F275" s="55" t="n">
        <v>168</v>
      </c>
      <c r="G275" s="68" t="n">
        <v>7</v>
      </c>
      <c r="H275" s="55"/>
      <c r="I275" s="49" t="n">
        <f aca="false">IF(AND(ISNUMBER($F275),ISNUMBER($G275),$E275&lt;&gt;"R"),$F275*$G275,"")</f>
        <v>1176</v>
      </c>
      <c r="J275" s="51" t="n">
        <f aca="false">IF(AND($E275="A",ISNUMBER($F275),ISNUMBER($G275)),$F275*(1+$G275/30),"")</f>
        <v>207.2</v>
      </c>
      <c r="K275" s="56"/>
      <c r="L275" s="56" t="s">
        <v>419</v>
      </c>
    </row>
    <row r="276" customFormat="false" ht="15.75" hidden="false" customHeight="true" outlineLevel="0" collapsed="false">
      <c r="A276" s="72" t="str">
        <f aca="false">IFERROR(IF($B276="","",IF(INDEX(Einheiten!$B$4:$B$63,MATCH($B276,Einheiten!$A$4:$A$63,0))=0,"",INDEX(Einheiten!$B$4:$B$63,MATCH($B276,Einheiten!$A$4:$A$63,0)))),"")</f>
        <v/>
      </c>
      <c r="B276" s="54" t="n">
        <v>13</v>
      </c>
      <c r="C276" s="73" t="str">
        <f aca="false">IFERROR(IF($D276="","",INDEX(Übungen!$B$4:$B$23,MATCH($D276,Übungen!$A$4:$A$23,0))),"")</f>
        <v>Beine hinten</v>
      </c>
      <c r="D276" s="56" t="s">
        <v>398</v>
      </c>
      <c r="E276" s="67" t="s">
        <v>379</v>
      </c>
      <c r="F276" s="55" t="n">
        <v>25</v>
      </c>
      <c r="G276" s="68"/>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2" t="str">
        <f aca="false">IFERROR(IF($B277="","",IF(INDEX(Einheiten!$B$4:$B$63,MATCH($B277,Einheiten!$A$4:$A$63,0))=0,"",INDEX(Einheiten!$B$4:$B$63,MATCH($B277,Einheiten!$A$4:$A$63,0)))),"")</f>
        <v/>
      </c>
      <c r="B277" s="54" t="n">
        <v>13</v>
      </c>
      <c r="C277" s="73" t="str">
        <f aca="false">IFERROR(IF($D277="","",INDEX(Übungen!$B$4:$B$23,MATCH($D277,Übungen!$A$4:$A$23,0))),"")</f>
        <v>Beine hinten</v>
      </c>
      <c r="D277" s="56" t="s">
        <v>398</v>
      </c>
      <c r="E277" s="67" t="s">
        <v>379</v>
      </c>
      <c r="F277" s="55" t="n">
        <v>30</v>
      </c>
      <c r="G277" s="68"/>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2" t="str">
        <f aca="false">IFERROR(IF($B278="","",IF(INDEX(Einheiten!$B$4:$B$63,MATCH($B278,Einheiten!$A$4:$A$63,0))=0,"",INDEX(Einheiten!$B$4:$B$63,MATCH($B278,Einheiten!$A$4:$A$63,0)))),"")</f>
        <v/>
      </c>
      <c r="B278" s="54" t="n">
        <v>13</v>
      </c>
      <c r="C278" s="73" t="str">
        <f aca="false">IFERROR(IF($D278="","",INDEX(Übungen!$B$4:$B$23,MATCH($D278,Übungen!$A$4:$A$23,0))),"")</f>
        <v>Beine hinten</v>
      </c>
      <c r="D278" s="56" t="s">
        <v>398</v>
      </c>
      <c r="E278" s="67" t="s">
        <v>380</v>
      </c>
      <c r="F278" s="55" t="n">
        <v>40</v>
      </c>
      <c r="G278" s="68" t="n">
        <v>8</v>
      </c>
      <c r="H278" s="55"/>
      <c r="I278" s="49" t="n">
        <f aca="false">IF(AND(ISNUMBER($F278),ISNUMBER($G278),$E278&lt;&gt;"R"),$F278*$G278,"")</f>
        <v>320</v>
      </c>
      <c r="J278" s="51" t="n">
        <f aca="false">IF(AND($E278="A",ISNUMBER($F278),ISNUMBER($G278)),$F278*(1+$G278/30),"")</f>
        <v>50.6666666666667</v>
      </c>
      <c r="K278" s="56"/>
      <c r="L278" s="56" t="s">
        <v>420</v>
      </c>
    </row>
    <row r="279" customFormat="false" ht="15.75" hidden="false" customHeight="true" outlineLevel="0" collapsed="false">
      <c r="A279" s="72" t="str">
        <f aca="false">IFERROR(IF($B279="","",IF(INDEX(Einheiten!$B$4:$B$63,MATCH($B279,Einheiten!$A$4:$A$63,0))=0,"",INDEX(Einheiten!$B$4:$B$63,MATCH($B279,Einheiten!$A$4:$A$63,0)))),"")</f>
        <v/>
      </c>
      <c r="B279" s="54" t="n">
        <v>13</v>
      </c>
      <c r="C279" s="73" t="str">
        <f aca="false">IFERROR(IF($D279="","",INDEX(Übungen!$B$4:$B$23,MATCH($D279,Übungen!$A$4:$A$23,0))),"")</f>
        <v>Beine hinten</v>
      </c>
      <c r="D279" s="56" t="s">
        <v>398</v>
      </c>
      <c r="E279" s="67" t="s">
        <v>380</v>
      </c>
      <c r="F279" s="55" t="n">
        <v>42.5</v>
      </c>
      <c r="G279" s="68"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2" t="str">
        <f aca="false">IFERROR(IF($B280="","",IF(INDEX(Einheiten!$B$4:$B$63,MATCH($B280,Einheiten!$A$4:$A$63,0))=0,"",INDEX(Einheiten!$B$4:$B$63,MATCH($B280,Einheiten!$A$4:$A$63,0)))),"")</f>
        <v/>
      </c>
      <c r="B280" s="54" t="n">
        <v>13</v>
      </c>
      <c r="C280" s="73" t="str">
        <f aca="false">IFERROR(IF($D280="","",INDEX(Übungen!$B$4:$B$23,MATCH($D280,Übungen!$A$4:$A$23,0))),"")</f>
        <v>Beine hinten</v>
      </c>
      <c r="D280" s="56" t="s">
        <v>406</v>
      </c>
      <c r="E280" s="67" t="s">
        <v>379</v>
      </c>
      <c r="F280" s="55" t="n">
        <v>70</v>
      </c>
      <c r="G280" s="68"/>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2" t="str">
        <f aca="false">IFERROR(IF($B281="","",IF(INDEX(Einheiten!$B$4:$B$63,MATCH($B281,Einheiten!$A$4:$A$63,0))=0,"",INDEX(Einheiten!$B$4:$B$63,MATCH($B281,Einheiten!$A$4:$A$63,0)))),"")</f>
        <v/>
      </c>
      <c r="B281" s="54" t="n">
        <v>13</v>
      </c>
      <c r="C281" s="73" t="str">
        <f aca="false">IFERROR(IF($D281="","",INDEX(Übungen!$B$4:$B$23,MATCH($D281,Übungen!$A$4:$A$23,0))),"")</f>
        <v>Beine hinten</v>
      </c>
      <c r="D281" s="56" t="s">
        <v>406</v>
      </c>
      <c r="E281" s="67" t="s">
        <v>379</v>
      </c>
      <c r="F281" s="55" t="n">
        <v>122.5</v>
      </c>
      <c r="G281" s="68"/>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2" t="str">
        <f aca="false">IFERROR(IF($B282="","",IF(INDEX(Einheiten!$B$4:$B$63,MATCH($B282,Einheiten!$A$4:$A$63,0))=0,"",INDEX(Einheiten!$B$4:$B$63,MATCH($B282,Einheiten!$A$4:$A$63,0)))),"")</f>
        <v/>
      </c>
      <c r="B282" s="54" t="n">
        <v>13</v>
      </c>
      <c r="C282" s="73" t="str">
        <f aca="false">IFERROR(IF($D282="","",INDEX(Übungen!$B$4:$B$23,MATCH($D282,Übungen!$A$4:$A$23,0))),"")</f>
        <v>Beine hinten</v>
      </c>
      <c r="D282" s="56" t="s">
        <v>406</v>
      </c>
      <c r="E282" s="67" t="s">
        <v>380</v>
      </c>
      <c r="F282" s="55" t="n">
        <v>175</v>
      </c>
      <c r="G282" s="68"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2" t="str">
        <f aca="false">IFERROR(IF($B283="","",IF(INDEX(Einheiten!$B$4:$B$63,MATCH($B283,Einheiten!$A$4:$A$63,0))=0,"",INDEX(Einheiten!$B$4:$B$63,MATCH($B283,Einheiten!$A$4:$A$63,0)))),"")</f>
        <v/>
      </c>
      <c r="B283" s="54" t="n">
        <v>13</v>
      </c>
      <c r="C283" s="73" t="str">
        <f aca="false">IFERROR(IF($D283="","",INDEX(Übungen!$B$4:$B$23,MATCH($D283,Übungen!$A$4:$A$23,0))),"")</f>
        <v>Beine hinten</v>
      </c>
      <c r="D283" s="56" t="s">
        <v>406</v>
      </c>
      <c r="E283" s="67" t="s">
        <v>380</v>
      </c>
      <c r="F283" s="55" t="n">
        <v>185</v>
      </c>
      <c r="G283" s="68"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2" t="str">
        <f aca="false">IFERROR(IF($B284="","",IF(INDEX(Einheiten!$B$4:$B$63,MATCH($B284,Einheiten!$A$4:$A$63,0))=0,"",INDEX(Einheiten!$B$4:$B$63,MATCH($B284,Einheiten!$A$4:$A$63,0)))),"")</f>
        <v/>
      </c>
      <c r="B284" s="54" t="n">
        <v>14</v>
      </c>
      <c r="C284" s="73" t="str">
        <f aca="false">IFERROR(IF($D284="","",INDEX(Übungen!$B$4:$B$23,MATCH($D284,Übungen!$A$4:$A$23,0))),"")</f>
        <v>Beine hinten</v>
      </c>
      <c r="D284" s="56" t="s">
        <v>417</v>
      </c>
      <c r="E284" s="67" t="s">
        <v>379</v>
      </c>
      <c r="F284" s="55" t="n">
        <v>86</v>
      </c>
      <c r="G284" s="68"/>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2" t="str">
        <f aca="false">IFERROR(IF($B285="","",IF(INDEX(Einheiten!$B$4:$B$63,MATCH($B285,Einheiten!$A$4:$A$63,0))=0,"",INDEX(Einheiten!$B$4:$B$63,MATCH($B285,Einheiten!$A$4:$A$63,0)))),"")</f>
        <v/>
      </c>
      <c r="B285" s="54" t="n">
        <v>14</v>
      </c>
      <c r="C285" s="73" t="str">
        <f aca="false">IFERROR(IF($D285="","",INDEX(Übungen!$B$4:$B$23,MATCH($D285,Übungen!$A$4:$A$23,0))),"")</f>
        <v>Beine hinten</v>
      </c>
      <c r="D285" s="56" t="s">
        <v>417</v>
      </c>
      <c r="E285" s="67" t="s">
        <v>379</v>
      </c>
      <c r="F285" s="55" t="n">
        <v>150.5</v>
      </c>
      <c r="G285" s="68"/>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2" t="str">
        <f aca="false">IFERROR(IF($B286="","",IF(INDEX(Einheiten!$B$4:$B$63,MATCH($B286,Einheiten!$A$4:$A$63,0))=0,"",INDEX(Einheiten!$B$4:$B$63,MATCH($B286,Einheiten!$A$4:$A$63,0)))),"")</f>
        <v/>
      </c>
      <c r="B286" s="54" t="n">
        <v>14</v>
      </c>
      <c r="C286" s="73" t="str">
        <f aca="false">IFERROR(IF($D286="","",INDEX(Übungen!$B$4:$B$23,MATCH($D286,Übungen!$A$4:$A$23,0))),"")</f>
        <v>Beine hinten</v>
      </c>
      <c r="D286" s="56" t="s">
        <v>417</v>
      </c>
      <c r="E286" s="67" t="s">
        <v>380</v>
      </c>
      <c r="F286" s="55" t="n">
        <v>215</v>
      </c>
      <c r="G286" s="68"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2" t="str">
        <f aca="false">IFERROR(IF($B287="","",IF(INDEX(Einheiten!$B$4:$B$63,MATCH($B287,Einheiten!$A$4:$A$63,0))=0,"",INDEX(Einheiten!$B$4:$B$63,MATCH($B287,Einheiten!$A$4:$A$63,0)))),"")</f>
        <v/>
      </c>
      <c r="B287" s="54" t="n">
        <v>14</v>
      </c>
      <c r="C287" s="73" t="str">
        <f aca="false">IFERROR(IF($D287="","",INDEX(Übungen!$B$4:$B$23,MATCH($D287,Übungen!$A$4:$A$23,0))),"")</f>
        <v>Beine hinten</v>
      </c>
      <c r="D287" s="56" t="s">
        <v>417</v>
      </c>
      <c r="E287" s="67" t="s">
        <v>380</v>
      </c>
      <c r="F287" s="55" t="n">
        <v>204.5</v>
      </c>
      <c r="G287" s="68"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2" t="str">
        <f aca="false">IFERROR(IF($B288="","",IF(INDEX(Einheiten!$B$4:$B$63,MATCH($B288,Einheiten!$A$4:$A$63,0))=0,"",INDEX(Einheiten!$B$4:$B$63,MATCH($B288,Einheiten!$A$4:$A$63,0)))),"")</f>
        <v/>
      </c>
      <c r="B288" s="54" t="n">
        <v>14</v>
      </c>
      <c r="C288" s="73" t="str">
        <f aca="false">IFERROR(IF($D288="","",INDEX(Übungen!$B$4:$B$23,MATCH($D288,Übungen!$A$4:$A$23,0))),"")</f>
        <v>Beine hinten</v>
      </c>
      <c r="D288" s="56" t="s">
        <v>417</v>
      </c>
      <c r="E288" s="67" t="s">
        <v>380</v>
      </c>
      <c r="F288" s="55" t="n">
        <v>193.5</v>
      </c>
      <c r="G288" s="68"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2" t="str">
        <f aca="false">IFERROR(IF($B289="","",IF(INDEX(Einheiten!$B$4:$B$63,MATCH($B289,Einheiten!$A$4:$A$63,0))=0,"",INDEX(Einheiten!$B$4:$B$63,MATCH($B289,Einheiten!$A$4:$A$63,0)))),"")</f>
        <v/>
      </c>
      <c r="B289" s="54" t="n">
        <v>14</v>
      </c>
      <c r="C289" s="73" t="str">
        <f aca="false">IFERROR(IF($D289="","",INDEX(Übungen!$B$4:$B$23,MATCH($D289,Übungen!$A$4:$A$23,0))),"")</f>
        <v>Beine hinten</v>
      </c>
      <c r="D289" s="56" t="s">
        <v>421</v>
      </c>
      <c r="E289" s="67" t="s">
        <v>379</v>
      </c>
      <c r="F289" s="55" t="n">
        <v>20</v>
      </c>
      <c r="G289" s="68"/>
      <c r="H289" s="55"/>
      <c r="I289" s="49" t="str">
        <f aca="false">IF(AND(ISNUMBER($F289),ISNUMBER($G289),$E289&lt;&gt;"R"),$F289*$G289,"")</f>
        <v/>
      </c>
      <c r="J289" s="51" t="str">
        <f aca="false">IF(AND($E289="A",ISNUMBER($F289),ISNUMBER($G289)),$F289*(1+$G289/30),"")</f>
        <v/>
      </c>
      <c r="K289" s="56"/>
      <c r="L289" s="56" t="s">
        <v>422</v>
      </c>
    </row>
    <row r="290" customFormat="false" ht="15.75" hidden="false" customHeight="true" outlineLevel="0" collapsed="false">
      <c r="A290" s="72" t="str">
        <f aca="false">IFERROR(IF($B290="","",IF(INDEX(Einheiten!$B$4:$B$63,MATCH($B290,Einheiten!$A$4:$A$63,0))=0,"",INDEX(Einheiten!$B$4:$B$63,MATCH($B290,Einheiten!$A$4:$A$63,0)))),"")</f>
        <v/>
      </c>
      <c r="B290" s="54" t="n">
        <v>14</v>
      </c>
      <c r="C290" s="73" t="str">
        <f aca="false">IFERROR(IF($D290="","",INDEX(Übungen!$B$4:$B$23,MATCH($D290,Übungen!$A$4:$A$23,0))),"")</f>
        <v>Beine hinten</v>
      </c>
      <c r="D290" s="56" t="s">
        <v>421</v>
      </c>
      <c r="E290" s="67" t="s">
        <v>379</v>
      </c>
      <c r="F290" s="55" t="n">
        <v>24</v>
      </c>
      <c r="G290" s="68"/>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2" t="str">
        <f aca="false">IFERROR(IF($B291="","",IF(INDEX(Einheiten!$B$4:$B$63,MATCH($B291,Einheiten!$A$4:$A$63,0))=0,"",INDEX(Einheiten!$B$4:$B$63,MATCH($B291,Einheiten!$A$4:$A$63,0)))),"")</f>
        <v/>
      </c>
      <c r="B291" s="54" t="n">
        <v>14</v>
      </c>
      <c r="C291" s="73" t="str">
        <f aca="false">IFERROR(IF($D291="","",INDEX(Übungen!$B$4:$B$23,MATCH($D291,Übungen!$A$4:$A$23,0))),"")</f>
        <v>Beine hinten</v>
      </c>
      <c r="D291" s="56" t="s">
        <v>421</v>
      </c>
      <c r="E291" s="67" t="s">
        <v>380</v>
      </c>
      <c r="F291" s="55" t="n">
        <v>30</v>
      </c>
      <c r="G291" s="68"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2" t="str">
        <f aca="false">IFERROR(IF($B292="","",IF(INDEX(Einheiten!$B$4:$B$63,MATCH($B292,Einheiten!$A$4:$A$63,0))=0,"",INDEX(Einheiten!$B$4:$B$63,MATCH($B292,Einheiten!$A$4:$A$63,0)))),"")</f>
        <v/>
      </c>
      <c r="B292" s="54" t="n">
        <v>14</v>
      </c>
      <c r="C292" s="73" t="str">
        <f aca="false">IFERROR(IF($D292="","",INDEX(Übungen!$B$4:$B$23,MATCH($D292,Übungen!$A$4:$A$23,0))),"")</f>
        <v>Beine hinten</v>
      </c>
      <c r="D292" s="56" t="s">
        <v>421</v>
      </c>
      <c r="E292" s="67" t="s">
        <v>380</v>
      </c>
      <c r="F292" s="55" t="n">
        <v>32</v>
      </c>
      <c r="G292" s="68"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2" t="str">
        <f aca="false">IFERROR(IF($B293="","",IF(INDEX(Einheiten!$B$4:$B$63,MATCH($B293,Einheiten!$A$4:$A$63,0))=0,"",INDEX(Einheiten!$B$4:$B$63,MATCH($B293,Einheiten!$A$4:$A$63,0)))),"")</f>
        <v/>
      </c>
      <c r="B293" s="54" t="n">
        <v>14</v>
      </c>
      <c r="C293" s="73" t="str">
        <f aca="false">IFERROR(IF($D293="","",INDEX(Übungen!$B$4:$B$23,MATCH($D293,Übungen!$A$4:$A$23,0))),"")</f>
        <v>Beine hinten</v>
      </c>
      <c r="D293" s="56" t="s">
        <v>421</v>
      </c>
      <c r="E293" s="67" t="s">
        <v>380</v>
      </c>
      <c r="F293" s="55" t="n">
        <v>34</v>
      </c>
      <c r="G293" s="68"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2" t="str">
        <f aca="false">IFERROR(IF($B294="","",IF(INDEX(Einheiten!$B$4:$B$63,MATCH($B294,Einheiten!$A$4:$A$63,0))=0,"",INDEX(Einheiten!$B$4:$B$63,MATCH($B294,Einheiten!$A$4:$A$63,0)))),"")</f>
        <v/>
      </c>
      <c r="B294" s="54" t="n">
        <v>14</v>
      </c>
      <c r="C294" s="73" t="str">
        <f aca="false">IFERROR(IF($D294="","",INDEX(Übungen!$B$4:$B$23,MATCH($D294,Übungen!$A$4:$A$23,0))),"")</f>
        <v>Beine hinten</v>
      </c>
      <c r="D294" s="56" t="s">
        <v>402</v>
      </c>
      <c r="E294" s="67" t="s">
        <v>379</v>
      </c>
      <c r="F294" s="55" t="n">
        <v>114</v>
      </c>
      <c r="G294" s="68"/>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2" t="str">
        <f aca="false">IFERROR(IF($B295="","",IF(INDEX(Einheiten!$B$4:$B$63,MATCH($B295,Einheiten!$A$4:$A$63,0))=0,"",INDEX(Einheiten!$B$4:$B$63,MATCH($B295,Einheiten!$A$4:$A$63,0)))),"")</f>
        <v/>
      </c>
      <c r="B295" s="54" t="n">
        <v>14</v>
      </c>
      <c r="C295" s="73" t="str">
        <f aca="false">IFERROR(IF($D295="","",INDEX(Übungen!$B$4:$B$23,MATCH($D295,Übungen!$A$4:$A$23,0))),"")</f>
        <v>Beine hinten</v>
      </c>
      <c r="D295" s="56" t="s">
        <v>402</v>
      </c>
      <c r="E295" s="67" t="s">
        <v>379</v>
      </c>
      <c r="F295" s="55" t="n">
        <v>199.5</v>
      </c>
      <c r="G295" s="68"/>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2" t="str">
        <f aca="false">IFERROR(IF($B296="","",IF(INDEX(Einheiten!$B$4:$B$63,MATCH($B296,Einheiten!$A$4:$A$63,0))=0,"",INDEX(Einheiten!$B$4:$B$63,MATCH($B296,Einheiten!$A$4:$A$63,0)))),"")</f>
        <v/>
      </c>
      <c r="B296" s="54" t="n">
        <v>14</v>
      </c>
      <c r="C296" s="73" t="str">
        <f aca="false">IFERROR(IF($D296="","",INDEX(Übungen!$B$4:$B$23,MATCH($D296,Übungen!$A$4:$A$23,0))),"")</f>
        <v>Beine hinten</v>
      </c>
      <c r="D296" s="56" t="s">
        <v>402</v>
      </c>
      <c r="E296" s="67" t="s">
        <v>380</v>
      </c>
      <c r="F296" s="55" t="n">
        <v>285</v>
      </c>
      <c r="G296" s="68"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2" t="str">
        <f aca="false">IFERROR(IF($B297="","",IF(INDEX(Einheiten!$B$4:$B$63,MATCH($B297,Einheiten!$A$4:$A$63,0))=0,"",INDEX(Einheiten!$B$4:$B$63,MATCH($B297,Einheiten!$A$4:$A$63,0)))),"")</f>
        <v/>
      </c>
      <c r="B297" s="54" t="n">
        <v>14</v>
      </c>
      <c r="C297" s="73" t="str">
        <f aca="false">IFERROR(IF($D297="","",INDEX(Übungen!$B$4:$B$23,MATCH($D297,Übungen!$A$4:$A$23,0))),"")</f>
        <v>Beine hinten</v>
      </c>
      <c r="D297" s="56" t="s">
        <v>402</v>
      </c>
      <c r="E297" s="67" t="s">
        <v>380</v>
      </c>
      <c r="F297" s="55" t="n">
        <v>271</v>
      </c>
      <c r="G297" s="68"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2" t="str">
        <f aca="false">IFERROR(IF($B298="","",IF(INDEX(Einheiten!$B$4:$B$63,MATCH($B298,Einheiten!$A$4:$A$63,0))=0,"",INDEX(Einheiten!$B$4:$B$63,MATCH($B298,Einheiten!$A$4:$A$63,0)))),"")</f>
        <v/>
      </c>
      <c r="B298" s="54" t="n">
        <v>14</v>
      </c>
      <c r="C298" s="73" t="str">
        <f aca="false">IFERROR(IF($D298="","",INDEX(Übungen!$B$4:$B$23,MATCH($D298,Übungen!$A$4:$A$23,0))),"")</f>
        <v>Beine hinten</v>
      </c>
      <c r="D298" s="56" t="s">
        <v>402</v>
      </c>
      <c r="E298" s="67" t="s">
        <v>380</v>
      </c>
      <c r="F298" s="55" t="n">
        <v>256.5</v>
      </c>
      <c r="G298" s="68"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2" t="str">
        <f aca="false">IFERROR(IF($B299="","",IF(INDEX(Einheiten!$B$4:$B$63,MATCH($B299,Einheiten!$A$4:$A$63,0))=0,"",INDEX(Einheiten!$B$4:$B$63,MATCH($B299,Einheiten!$A$4:$A$63,0)))),"")</f>
        <v/>
      </c>
      <c r="B299" s="54" t="n">
        <v>14</v>
      </c>
      <c r="C299" s="73" t="str">
        <f aca="false">IFERROR(IF($D299="","",INDEX(Übungen!$B$4:$B$23,MATCH($D299,Übungen!$A$4:$A$23,0))),"")</f>
        <v>Beine hinten</v>
      </c>
      <c r="D299" s="56" t="s">
        <v>413</v>
      </c>
      <c r="E299" s="67" t="s">
        <v>379</v>
      </c>
      <c r="F299" s="55" t="n">
        <v>68</v>
      </c>
      <c r="G299" s="68"/>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2" t="str">
        <f aca="false">IFERROR(IF($B300="","",IF(INDEX(Einheiten!$B$4:$B$63,MATCH($B300,Einheiten!$A$4:$A$63,0))=0,"",INDEX(Einheiten!$B$4:$B$63,MATCH($B300,Einheiten!$A$4:$A$63,0)))),"")</f>
        <v/>
      </c>
      <c r="B300" s="54" t="n">
        <v>14</v>
      </c>
      <c r="C300" s="73" t="str">
        <f aca="false">IFERROR(IF($D300="","",INDEX(Übungen!$B$4:$B$23,MATCH($D300,Übungen!$A$4:$A$23,0))),"")</f>
        <v>Beine hinten</v>
      </c>
      <c r="D300" s="56" t="s">
        <v>413</v>
      </c>
      <c r="E300" s="67" t="s">
        <v>379</v>
      </c>
      <c r="F300" s="55" t="n">
        <v>119</v>
      </c>
      <c r="G300" s="68"/>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2" t="str">
        <f aca="false">IFERROR(IF($B301="","",IF(INDEX(Einheiten!$B$4:$B$63,MATCH($B301,Einheiten!$A$4:$A$63,0))=0,"",INDEX(Einheiten!$B$4:$B$63,MATCH($B301,Einheiten!$A$4:$A$63,0)))),"")</f>
        <v/>
      </c>
      <c r="B301" s="54" t="n">
        <v>14</v>
      </c>
      <c r="C301" s="73" t="str">
        <f aca="false">IFERROR(IF($D301="","",INDEX(Übungen!$B$4:$B$23,MATCH($D301,Übungen!$A$4:$A$23,0))),"")</f>
        <v>Beine hinten</v>
      </c>
      <c r="D301" s="56" t="s">
        <v>413</v>
      </c>
      <c r="E301" s="67" t="s">
        <v>380</v>
      </c>
      <c r="F301" s="55" t="n">
        <v>170</v>
      </c>
      <c r="G301" s="68"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2" t="str">
        <f aca="false">IFERROR(IF($B302="","",IF(INDEX(Einheiten!$B$4:$B$63,MATCH($B302,Einheiten!$A$4:$A$63,0))=0,"",INDEX(Einheiten!$B$4:$B$63,MATCH($B302,Einheiten!$A$4:$A$63,0)))),"")</f>
        <v/>
      </c>
      <c r="B302" s="54" t="n">
        <v>14</v>
      </c>
      <c r="C302" s="73" t="str">
        <f aca="false">IFERROR(IF($D302="","",INDEX(Übungen!$B$4:$B$23,MATCH($D302,Übungen!$A$4:$A$23,0))),"")</f>
        <v>Beine hinten</v>
      </c>
      <c r="D302" s="56" t="s">
        <v>413</v>
      </c>
      <c r="E302" s="67" t="s">
        <v>380</v>
      </c>
      <c r="F302" s="55" t="n">
        <v>161.5</v>
      </c>
      <c r="G302" s="68"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2" t="str">
        <f aca="false">IFERROR(IF($B303="","",IF(INDEX(Einheiten!$B$4:$B$63,MATCH($B303,Einheiten!$A$4:$A$63,0))=0,"",INDEX(Einheiten!$B$4:$B$63,MATCH($B303,Einheiten!$A$4:$A$63,0)))),"")</f>
        <v/>
      </c>
      <c r="B303" s="54" t="n">
        <v>14</v>
      </c>
      <c r="C303" s="73" t="str">
        <f aca="false">IFERROR(IF($D303="","",INDEX(Übungen!$B$4:$B$23,MATCH($D303,Übungen!$A$4:$A$23,0))),"")</f>
        <v>Beine hinten</v>
      </c>
      <c r="D303" s="56" t="s">
        <v>413</v>
      </c>
      <c r="E303" s="67" t="s">
        <v>380</v>
      </c>
      <c r="F303" s="55" t="n">
        <v>153</v>
      </c>
      <c r="G303" s="68"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2" t="str">
        <f aca="false">IFERROR(IF($B304="","",IF(INDEX(Einheiten!$B$4:$B$63,MATCH($B304,Einheiten!$A$4:$A$63,0))=0,"",INDEX(Einheiten!$B$4:$B$63,MATCH($B304,Einheiten!$A$4:$A$63,0)))),"")</f>
        <v/>
      </c>
      <c r="B304" s="54" t="n">
        <v>14</v>
      </c>
      <c r="C304" s="73" t="str">
        <f aca="false">IFERROR(IF($D304="","",INDEX(Übungen!$B$4:$B$23,MATCH($D304,Übungen!$A$4:$A$23,0))),"")</f>
        <v>Beine hinten</v>
      </c>
      <c r="D304" s="56" t="s">
        <v>398</v>
      </c>
      <c r="E304" s="67" t="s">
        <v>379</v>
      </c>
      <c r="F304" s="55" t="n">
        <v>18</v>
      </c>
      <c r="G304" s="68"/>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2" t="str">
        <f aca="false">IFERROR(IF($B305="","",IF(INDEX(Einheiten!$B$4:$B$63,MATCH($B305,Einheiten!$A$4:$A$63,0))=0,"",INDEX(Einheiten!$B$4:$B$63,MATCH($B305,Einheiten!$A$4:$A$63,0)))),"")</f>
        <v/>
      </c>
      <c r="B305" s="54" t="n">
        <v>14</v>
      </c>
      <c r="C305" s="73" t="str">
        <f aca="false">IFERROR(IF($D305="","",INDEX(Übungen!$B$4:$B$23,MATCH($D305,Übungen!$A$4:$A$23,0))),"")</f>
        <v>Beine hinten</v>
      </c>
      <c r="D305" s="56" t="s">
        <v>398</v>
      </c>
      <c r="E305" s="67" t="s">
        <v>379</v>
      </c>
      <c r="F305" s="55" t="n">
        <v>31.5</v>
      </c>
      <c r="G305" s="68"/>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2" t="str">
        <f aca="false">IFERROR(IF($B306="","",IF(INDEX(Einheiten!$B$4:$B$63,MATCH($B306,Einheiten!$A$4:$A$63,0))=0,"",INDEX(Einheiten!$B$4:$B$63,MATCH($B306,Einheiten!$A$4:$A$63,0)))),"")</f>
        <v/>
      </c>
      <c r="B306" s="54" t="n">
        <v>14</v>
      </c>
      <c r="C306" s="73" t="str">
        <f aca="false">IFERROR(IF($D306="","",INDEX(Übungen!$B$4:$B$23,MATCH($D306,Übungen!$A$4:$A$23,0))),"")</f>
        <v>Beine hinten</v>
      </c>
      <c r="D306" s="56" t="s">
        <v>398</v>
      </c>
      <c r="E306" s="67" t="s">
        <v>380</v>
      </c>
      <c r="F306" s="55" t="n">
        <v>45</v>
      </c>
      <c r="G306" s="68"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2" t="str">
        <f aca="false">IFERROR(IF($B307="","",IF(INDEX(Einheiten!$B$4:$B$63,MATCH($B307,Einheiten!$A$4:$A$63,0))=0,"",INDEX(Einheiten!$B$4:$B$63,MATCH($B307,Einheiten!$A$4:$A$63,0)))),"")</f>
        <v/>
      </c>
      <c r="B307" s="54" t="n">
        <v>14</v>
      </c>
      <c r="C307" s="73" t="str">
        <f aca="false">IFERROR(IF($D307="","",INDEX(Übungen!$B$4:$B$23,MATCH($D307,Übungen!$A$4:$A$23,0))),"")</f>
        <v>Beine hinten</v>
      </c>
      <c r="D307" s="56" t="s">
        <v>398</v>
      </c>
      <c r="E307" s="67" t="s">
        <v>380</v>
      </c>
      <c r="F307" s="55" t="n">
        <v>43</v>
      </c>
      <c r="G307" s="68"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2" t="str">
        <f aca="false">IFERROR(IF($B308="","",IF(INDEX(Einheiten!$B$4:$B$63,MATCH($B308,Einheiten!$A$4:$A$63,0))=0,"",INDEX(Einheiten!$B$4:$B$63,MATCH($B308,Einheiten!$A$4:$A$63,0)))),"")</f>
        <v/>
      </c>
      <c r="B308" s="54" t="n">
        <v>14</v>
      </c>
      <c r="C308" s="73" t="str">
        <f aca="false">IFERROR(IF($D308="","",INDEX(Übungen!$B$4:$B$23,MATCH($D308,Übungen!$A$4:$A$23,0))),"")</f>
        <v>Beine hinten</v>
      </c>
      <c r="D308" s="56" t="s">
        <v>398</v>
      </c>
      <c r="E308" s="67" t="s">
        <v>380</v>
      </c>
      <c r="F308" s="55" t="n">
        <v>40.5</v>
      </c>
      <c r="G308" s="68"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2" t="str">
        <f aca="false">IFERROR(IF($B309="","",IF(INDEX(Einheiten!$B$4:$B$63,MATCH($B309,Einheiten!$A$4:$A$63,0))=0,"",INDEX(Einheiten!$B$4:$B$63,MATCH($B309,Einheiten!$A$4:$A$63,0)))),"")</f>
        <v/>
      </c>
      <c r="B309" s="54" t="n">
        <v>14</v>
      </c>
      <c r="C309" s="73" t="str">
        <f aca="false">IFERROR(IF($D309="","",INDEX(Übungen!$B$4:$B$23,MATCH($D309,Übungen!$A$4:$A$23,0))),"")</f>
        <v>Beine hinten</v>
      </c>
      <c r="D309" s="56" t="s">
        <v>406</v>
      </c>
      <c r="E309" s="67" t="s">
        <v>379</v>
      </c>
      <c r="F309" s="55" t="n">
        <v>76</v>
      </c>
      <c r="G309" s="68"/>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2" t="str">
        <f aca="false">IFERROR(IF($B310="","",IF(INDEX(Einheiten!$B$4:$B$63,MATCH($B310,Einheiten!$A$4:$A$63,0))=0,"",INDEX(Einheiten!$B$4:$B$63,MATCH($B310,Einheiten!$A$4:$A$63,0)))),"")</f>
        <v/>
      </c>
      <c r="B310" s="54" t="n">
        <v>14</v>
      </c>
      <c r="C310" s="73" t="str">
        <f aca="false">IFERROR(IF($D310="","",INDEX(Übungen!$B$4:$B$23,MATCH($D310,Übungen!$A$4:$A$23,0))),"")</f>
        <v>Beine hinten</v>
      </c>
      <c r="D310" s="56" t="s">
        <v>406</v>
      </c>
      <c r="E310" s="67" t="s">
        <v>379</v>
      </c>
      <c r="F310" s="55" t="n">
        <v>133</v>
      </c>
      <c r="G310" s="68"/>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2" t="str">
        <f aca="false">IFERROR(IF($B311="","",IF(INDEX(Einheiten!$B$4:$B$63,MATCH($B311,Einheiten!$A$4:$A$63,0))=0,"",INDEX(Einheiten!$B$4:$B$63,MATCH($B311,Einheiten!$A$4:$A$63,0)))),"")</f>
        <v/>
      </c>
      <c r="B311" s="54" t="n">
        <v>14</v>
      </c>
      <c r="C311" s="73" t="str">
        <f aca="false">IFERROR(IF($D311="","",INDEX(Übungen!$B$4:$B$23,MATCH($D311,Übungen!$A$4:$A$23,0))),"")</f>
        <v>Beine hinten</v>
      </c>
      <c r="D311" s="56" t="s">
        <v>406</v>
      </c>
      <c r="E311" s="67" t="s">
        <v>380</v>
      </c>
      <c r="F311" s="55" t="n">
        <v>190</v>
      </c>
      <c r="G311" s="68"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2" t="str">
        <f aca="false">IFERROR(IF($B312="","",IF(INDEX(Einheiten!$B$4:$B$63,MATCH($B312,Einheiten!$A$4:$A$63,0))=0,"",INDEX(Einheiten!$B$4:$B$63,MATCH($B312,Einheiten!$A$4:$A$63,0)))),"")</f>
        <v/>
      </c>
      <c r="B312" s="54" t="n">
        <v>14</v>
      </c>
      <c r="C312" s="73" t="str">
        <f aca="false">IFERROR(IF($D312="","",INDEX(Übungen!$B$4:$B$23,MATCH($D312,Übungen!$A$4:$A$23,0))),"")</f>
        <v>Beine hinten</v>
      </c>
      <c r="D312" s="56" t="s">
        <v>406</v>
      </c>
      <c r="E312" s="67" t="s">
        <v>380</v>
      </c>
      <c r="F312" s="55" t="n">
        <v>180.5</v>
      </c>
      <c r="G312" s="68"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2" t="str">
        <f aca="false">IFERROR(IF($B313="","",IF(INDEX(Einheiten!$B$4:$B$63,MATCH($B313,Einheiten!$A$4:$A$63,0))=0,"",INDEX(Einheiten!$B$4:$B$63,MATCH($B313,Einheiten!$A$4:$A$63,0)))),"")</f>
        <v/>
      </c>
      <c r="B313" s="54" t="n">
        <v>14</v>
      </c>
      <c r="C313" s="73" t="str">
        <f aca="false">IFERROR(IF($D313="","",INDEX(Übungen!$B$4:$B$23,MATCH($D313,Übungen!$A$4:$A$23,0))),"")</f>
        <v>Beine hinten</v>
      </c>
      <c r="D313" s="56" t="s">
        <v>406</v>
      </c>
      <c r="E313" s="67" t="s">
        <v>380</v>
      </c>
      <c r="F313" s="55" t="n">
        <v>171</v>
      </c>
      <c r="G313" s="68"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2" t="str">
        <f aca="false">IFERROR(IF($B314="","",IF(INDEX(Einheiten!$B$4:$B$63,MATCH($B314,Einheiten!$A$4:$A$63,0))=0,"",INDEX(Einheiten!$B$4:$B$63,MATCH($B314,Einheiten!$A$4:$A$63,0)))),"")</f>
        <v/>
      </c>
      <c r="B314" s="54" t="n">
        <v>15</v>
      </c>
      <c r="C314" s="73" t="str">
        <f aca="false">IFERROR(IF($D314="","",INDEX(Übungen!$B$4:$B$23,MATCH($D314,Übungen!$A$4:$A$23,0))),"")</f>
        <v>Auswärts Bülach</v>
      </c>
      <c r="D314" s="56" t="s">
        <v>423</v>
      </c>
      <c r="E314" s="67" t="s">
        <v>379</v>
      </c>
      <c r="F314" s="55" t="n">
        <v>20</v>
      </c>
      <c r="G314" s="68"/>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2" t="str">
        <f aca="false">IFERROR(IF($B315="","",IF(INDEX(Einheiten!$B$4:$B$63,MATCH($B315,Einheiten!$A$4:$A$63,0))=0,"",INDEX(Einheiten!$B$4:$B$63,MATCH($B315,Einheiten!$A$4:$A$63,0)))),"")</f>
        <v/>
      </c>
      <c r="B315" s="54" t="n">
        <v>15</v>
      </c>
      <c r="C315" s="73" t="str">
        <f aca="false">IFERROR(IF($D315="","",INDEX(Übungen!$B$4:$B$23,MATCH($D315,Übungen!$A$4:$A$23,0))),"")</f>
        <v>Auswärts Bülach</v>
      </c>
      <c r="D315" s="56" t="s">
        <v>423</v>
      </c>
      <c r="E315" s="67" t="s">
        <v>379</v>
      </c>
      <c r="F315" s="55" t="n">
        <v>60</v>
      </c>
      <c r="G315" s="68"/>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2" t="str">
        <f aca="false">IFERROR(IF($B316="","",IF(INDEX(Einheiten!$B$4:$B$63,MATCH($B316,Einheiten!$A$4:$A$63,0))=0,"",INDEX(Einheiten!$B$4:$B$63,MATCH($B316,Einheiten!$A$4:$A$63,0)))),"")</f>
        <v/>
      </c>
      <c r="B316" s="54" t="n">
        <v>15</v>
      </c>
      <c r="C316" s="73" t="str">
        <f aca="false">IFERROR(IF($D316="","",INDEX(Übungen!$B$4:$B$23,MATCH($D316,Übungen!$A$4:$A$23,0))),"")</f>
        <v>Auswärts Bülach</v>
      </c>
      <c r="D316" s="56" t="s">
        <v>423</v>
      </c>
      <c r="E316" s="67" t="s">
        <v>380</v>
      </c>
      <c r="F316" s="55" t="n">
        <v>200</v>
      </c>
      <c r="G316" s="68"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2" t="str">
        <f aca="false">IFERROR(IF($B317="","",IF(INDEX(Einheiten!$B$4:$B$63,MATCH($B317,Einheiten!$A$4:$A$63,0))=0,"",INDEX(Einheiten!$B$4:$B$63,MATCH($B317,Einheiten!$A$4:$A$63,0)))),"")</f>
        <v/>
      </c>
      <c r="B317" s="54" t="n">
        <v>15</v>
      </c>
      <c r="C317" s="73" t="str">
        <f aca="false">IFERROR(IF($D317="","",INDEX(Übungen!$B$4:$B$23,MATCH($D317,Übungen!$A$4:$A$23,0))),"")</f>
        <v>Auswärts Bülach</v>
      </c>
      <c r="D317" s="56" t="s">
        <v>423</v>
      </c>
      <c r="E317" s="67" t="s">
        <v>380</v>
      </c>
      <c r="F317" s="55" t="n">
        <v>200</v>
      </c>
      <c r="G317" s="68"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2" t="str">
        <f aca="false">IFERROR(IF($B318="","",IF(INDEX(Einheiten!$B$4:$B$63,MATCH($B318,Einheiten!$A$4:$A$63,0))=0,"",INDEX(Einheiten!$B$4:$B$63,MATCH($B318,Einheiten!$A$4:$A$63,0)))),"")</f>
        <v/>
      </c>
      <c r="B318" s="54" t="n">
        <v>15</v>
      </c>
      <c r="C318" s="73" t="str">
        <f aca="false">IFERROR(IF($D318="","",INDEX(Übungen!$B$4:$B$23,MATCH($D318,Übungen!$A$4:$A$23,0))),"")</f>
        <v>Auswärts Bülach</v>
      </c>
      <c r="D318" s="56" t="s">
        <v>423</v>
      </c>
      <c r="E318" s="67" t="s">
        <v>380</v>
      </c>
      <c r="F318" s="55" t="n">
        <v>200</v>
      </c>
      <c r="G318" s="68"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2" t="str">
        <f aca="false">IFERROR(IF($B319="","",IF(INDEX(Einheiten!$B$4:$B$63,MATCH($B319,Einheiten!$A$4:$A$63,0))=0,"",INDEX(Einheiten!$B$4:$B$63,MATCH($B319,Einheiten!$A$4:$A$63,0)))),"")</f>
        <v/>
      </c>
      <c r="B319" s="54" t="n">
        <v>15</v>
      </c>
      <c r="C319" s="73" t="str">
        <f aca="false">IFERROR(IF($D319="","",INDEX(Übungen!$B$4:$B$23,MATCH($D319,Übungen!$A$4:$A$23,0))),"")</f>
        <v>Auswärts Bülach</v>
      </c>
      <c r="D319" s="56" t="s">
        <v>424</v>
      </c>
      <c r="E319" s="67" t="s">
        <v>379</v>
      </c>
      <c r="F319" s="55" t="n">
        <v>20</v>
      </c>
      <c r="G319" s="68"/>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2" t="str">
        <f aca="false">IFERROR(IF($B320="","",IF(INDEX(Einheiten!$B$4:$B$63,MATCH($B320,Einheiten!$A$4:$A$63,0))=0,"",INDEX(Einheiten!$B$4:$B$63,MATCH($B320,Einheiten!$A$4:$A$63,0)))),"")</f>
        <v/>
      </c>
      <c r="B320" s="54" t="n">
        <v>15</v>
      </c>
      <c r="C320" s="73" t="str">
        <f aca="false">IFERROR(IF($D320="","",INDEX(Übungen!$B$4:$B$23,MATCH($D320,Übungen!$A$4:$A$23,0))),"")</f>
        <v>Auswärts Bülach</v>
      </c>
      <c r="D320" s="56" t="s">
        <v>424</v>
      </c>
      <c r="E320" s="67" t="s">
        <v>380</v>
      </c>
      <c r="F320" s="55" t="n">
        <v>40</v>
      </c>
      <c r="G320" s="68"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2" t="str">
        <f aca="false">IFERROR(IF($B321="","",IF(INDEX(Einheiten!$B$4:$B$63,MATCH($B321,Einheiten!$A$4:$A$63,0))=0,"",INDEX(Einheiten!$B$4:$B$63,MATCH($B321,Einheiten!$A$4:$A$63,0)))),"")</f>
        <v/>
      </c>
      <c r="B321" s="54" t="n">
        <v>15</v>
      </c>
      <c r="C321" s="73" t="str">
        <f aca="false">IFERROR(IF($D321="","",INDEX(Übungen!$B$4:$B$23,MATCH($D321,Übungen!$A$4:$A$23,0))),"")</f>
        <v>Auswärts Bülach</v>
      </c>
      <c r="D321" s="56" t="s">
        <v>424</v>
      </c>
      <c r="E321" s="67" t="s">
        <v>380</v>
      </c>
      <c r="F321" s="55" t="n">
        <v>80</v>
      </c>
      <c r="G321" s="68"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2" t="str">
        <f aca="false">IFERROR(IF($B322="","",IF(INDEX(Einheiten!$B$4:$B$63,MATCH($B322,Einheiten!$A$4:$A$63,0))=0,"",INDEX(Einheiten!$B$4:$B$63,MATCH($B322,Einheiten!$A$4:$A$63,0)))),"")</f>
        <v/>
      </c>
      <c r="B322" s="54" t="n">
        <v>15</v>
      </c>
      <c r="C322" s="73" t="str">
        <f aca="false">IFERROR(IF($D322="","",INDEX(Übungen!$B$4:$B$23,MATCH($D322,Übungen!$A$4:$A$23,0))),"")</f>
        <v>Auswärts Bülach</v>
      </c>
      <c r="D322" s="56" t="s">
        <v>424</v>
      </c>
      <c r="E322" s="67" t="s">
        <v>380</v>
      </c>
      <c r="F322" s="55" t="n">
        <v>120</v>
      </c>
      <c r="G322" s="68"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2" t="str">
        <f aca="false">IFERROR(IF($B323="","",IF(INDEX(Einheiten!$B$4:$B$63,MATCH($B323,Einheiten!$A$4:$A$63,0))=0,"",INDEX(Einheiten!$B$4:$B$63,MATCH($B323,Einheiten!$A$4:$A$63,0)))),"")</f>
        <v/>
      </c>
      <c r="B323" s="54" t="n">
        <v>15</v>
      </c>
      <c r="C323" s="73" t="str">
        <f aca="false">IFERROR(IF($D323="","",INDEX(Übungen!$B$4:$B$23,MATCH($D323,Übungen!$A$4:$A$23,0))),"")</f>
        <v>Auswärts Bülach</v>
      </c>
      <c r="D323" s="56" t="s">
        <v>425</v>
      </c>
      <c r="E323" s="67" t="s">
        <v>379</v>
      </c>
      <c r="F323" s="55" t="n">
        <v>27</v>
      </c>
      <c r="G323" s="68"/>
      <c r="H323" s="55"/>
      <c r="I323" s="49" t="str">
        <f aca="false">IF(AND(ISNUMBER($F323),ISNUMBER($G323),$E323&lt;&gt;"R"),$F323*$G323,"")</f>
        <v/>
      </c>
      <c r="J323" s="51" t="str">
        <f aca="false">IF(AND($E323="A",ISNUMBER($F323),ISNUMBER($G323)),$F323*(1+$G323/30),"")</f>
        <v/>
      </c>
      <c r="K323" s="56"/>
      <c r="L323" s="56" t="s">
        <v>426</v>
      </c>
    </row>
    <row r="324" customFormat="false" ht="15.75" hidden="false" customHeight="true" outlineLevel="0" collapsed="false">
      <c r="A324" s="72" t="str">
        <f aca="false">IFERROR(IF($B324="","",IF(INDEX(Einheiten!$B$4:$B$63,MATCH($B324,Einheiten!$A$4:$A$63,0))=0,"",INDEX(Einheiten!$B$4:$B$63,MATCH($B324,Einheiten!$A$4:$A$63,0)))),"")</f>
        <v/>
      </c>
      <c r="B324" s="54" t="n">
        <v>15</v>
      </c>
      <c r="C324" s="73" t="str">
        <f aca="false">IFERROR(IF($D324="","",INDEX(Übungen!$B$4:$B$23,MATCH($D324,Übungen!$A$4:$A$23,0))),"")</f>
        <v>Auswärts Bülach</v>
      </c>
      <c r="D324" s="56" t="s">
        <v>425</v>
      </c>
      <c r="E324" s="67" t="s">
        <v>379</v>
      </c>
      <c r="F324" s="55" t="n">
        <v>36</v>
      </c>
      <c r="G324" s="68"/>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2" t="str">
        <f aca="false">IFERROR(IF($B325="","",IF(INDEX(Einheiten!$B$4:$B$63,MATCH($B325,Einheiten!$A$4:$A$63,0))=0,"",INDEX(Einheiten!$B$4:$B$63,MATCH($B325,Einheiten!$A$4:$A$63,0)))),"")</f>
        <v/>
      </c>
      <c r="B325" s="54" t="n">
        <v>15</v>
      </c>
      <c r="C325" s="73" t="str">
        <f aca="false">IFERROR(IF($D325="","",INDEX(Übungen!$B$4:$B$23,MATCH($D325,Übungen!$A$4:$A$23,0))),"")</f>
        <v>Auswärts Bülach</v>
      </c>
      <c r="D325" s="56" t="s">
        <v>425</v>
      </c>
      <c r="E325" s="67" t="s">
        <v>380</v>
      </c>
      <c r="F325" s="55" t="n">
        <v>50</v>
      </c>
      <c r="G325" s="68" t="n">
        <v>10</v>
      </c>
      <c r="H325" s="55"/>
      <c r="I325" s="49" t="n">
        <f aca="false">IF(AND(ISNUMBER($F325),ISNUMBER($G325),$E325&lt;&gt;"R"),$F325*$G325,"")</f>
        <v>500</v>
      </c>
      <c r="J325" s="51" t="n">
        <f aca="false">IF(AND($E325="A",ISNUMBER($F325),ISNUMBER($G325)),$F325*(1+$G325/30),"")</f>
        <v>66.6666666666667</v>
      </c>
      <c r="K325" s="56"/>
      <c r="L325" s="56" t="s">
        <v>426</v>
      </c>
    </row>
    <row r="326" customFormat="false" ht="15.75" hidden="false" customHeight="true" outlineLevel="0" collapsed="false">
      <c r="A326" s="72" t="str">
        <f aca="false">IFERROR(IF($B326="","",IF(INDEX(Einheiten!$B$4:$B$63,MATCH($B326,Einheiten!$A$4:$A$63,0))=0,"",INDEX(Einheiten!$B$4:$B$63,MATCH($B326,Einheiten!$A$4:$A$63,0)))),"")</f>
        <v/>
      </c>
      <c r="B326" s="54" t="n">
        <v>15</v>
      </c>
      <c r="C326" s="73" t="str">
        <f aca="false">IFERROR(IF($D326="","",INDEX(Übungen!$B$4:$B$23,MATCH($D326,Übungen!$A$4:$A$23,0))),"")</f>
        <v>Auswärts Bülach</v>
      </c>
      <c r="D326" s="56" t="s">
        <v>425</v>
      </c>
      <c r="E326" s="67" t="s">
        <v>379</v>
      </c>
      <c r="F326" s="55" t="n">
        <v>27</v>
      </c>
      <c r="G326" s="68"/>
      <c r="H326" s="55"/>
      <c r="I326" s="49" t="str">
        <f aca="false">IF(AND(ISNUMBER($F326),ISNUMBER($G326),$E326&lt;&gt;"R"),$F326*$G326,"")</f>
        <v/>
      </c>
      <c r="J326" s="51" t="str">
        <f aca="false">IF(AND($E326="A",ISNUMBER($F326),ISNUMBER($G326)),$F326*(1+$G326/30),"")</f>
        <v/>
      </c>
      <c r="K326" s="56"/>
      <c r="L326" s="56" t="s">
        <v>427</v>
      </c>
    </row>
    <row r="327" customFormat="false" ht="15.75" hidden="false" customHeight="true" outlineLevel="0" collapsed="false">
      <c r="A327" s="72" t="str">
        <f aca="false">IFERROR(IF($B327="","",IF(INDEX(Einheiten!$B$4:$B$63,MATCH($B327,Einheiten!$A$4:$A$63,0))=0,"",INDEX(Einheiten!$B$4:$B$63,MATCH($B327,Einheiten!$A$4:$A$63,0)))),"")</f>
        <v/>
      </c>
      <c r="B327" s="54" t="n">
        <v>15</v>
      </c>
      <c r="C327" s="73" t="str">
        <f aca="false">IFERROR(IF($D327="","",INDEX(Übungen!$B$4:$B$23,MATCH($D327,Übungen!$A$4:$A$23,0))),"")</f>
        <v>Auswärts Bülach</v>
      </c>
      <c r="D327" s="56" t="s">
        <v>425</v>
      </c>
      <c r="E327" s="67" t="s">
        <v>379</v>
      </c>
      <c r="F327" s="55" t="n">
        <v>36</v>
      </c>
      <c r="G327" s="68"/>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2" t="str">
        <f aca="false">IFERROR(IF($B328="","",IF(INDEX(Einheiten!$B$4:$B$63,MATCH($B328,Einheiten!$A$4:$A$63,0))=0,"",INDEX(Einheiten!$B$4:$B$63,MATCH($B328,Einheiten!$A$4:$A$63,0)))),"")</f>
        <v/>
      </c>
      <c r="B328" s="54" t="n">
        <v>15</v>
      </c>
      <c r="C328" s="73" t="str">
        <f aca="false">IFERROR(IF($D328="","",INDEX(Übungen!$B$4:$B$23,MATCH($D328,Übungen!$A$4:$A$23,0))),"")</f>
        <v>Auswärts Bülach</v>
      </c>
      <c r="D328" s="56" t="s">
        <v>425</v>
      </c>
      <c r="E328" s="67" t="s">
        <v>380</v>
      </c>
      <c r="F328" s="55" t="n">
        <v>59</v>
      </c>
      <c r="G328" s="68" t="n">
        <v>6</v>
      </c>
      <c r="H328" s="55"/>
      <c r="I328" s="49" t="n">
        <f aca="false">IF(AND(ISNUMBER($F328),ISNUMBER($G328),$E328&lt;&gt;"R"),$F328*$G328,"")</f>
        <v>354</v>
      </c>
      <c r="J328" s="51" t="n">
        <f aca="false">IF(AND($E328="A",ISNUMBER($F328),ISNUMBER($G328)),$F328*(1+$G328/30),"")</f>
        <v>70.8</v>
      </c>
      <c r="K328" s="56"/>
      <c r="L328" s="56" t="s">
        <v>428</v>
      </c>
    </row>
    <row r="329" customFormat="false" ht="15.75" hidden="false" customHeight="true" outlineLevel="0" collapsed="false">
      <c r="A329" s="72" t="str">
        <f aca="false">IFERROR(IF($B329="","",IF(INDEX(Einheiten!$B$4:$B$63,MATCH($B329,Einheiten!$A$4:$A$63,0))=0,"",INDEX(Einheiten!$B$4:$B$63,MATCH($B329,Einheiten!$A$4:$A$63,0)))),"")</f>
        <v/>
      </c>
      <c r="B329" s="54" t="n">
        <v>15</v>
      </c>
      <c r="C329" s="73" t="str">
        <f aca="false">IFERROR(IF($D329="","",INDEX(Übungen!$B$4:$B$23,MATCH($D329,Übungen!$A$4:$A$23,0))),"")</f>
        <v>Auswärts Bülach</v>
      </c>
      <c r="D329" s="56" t="s">
        <v>425</v>
      </c>
      <c r="E329" s="67" t="s">
        <v>381</v>
      </c>
      <c r="F329" s="55" t="n">
        <v>54</v>
      </c>
      <c r="G329" s="68" t="n">
        <v>4</v>
      </c>
      <c r="H329" s="55"/>
      <c r="I329" s="49" t="str">
        <f aca="false">IF(AND(ISNUMBER($F329),ISNUMBER($G329),$E329&lt;&gt;"R"),$F329*$G329,"")</f>
        <v/>
      </c>
      <c r="J329" s="51" t="str">
        <f aca="false">IF(AND($E329="A",ISNUMBER($F329),ISNUMBER($G329)),$F329*(1+$G329/30),"")</f>
        <v/>
      </c>
      <c r="K329" s="56"/>
      <c r="L329" s="56" t="s">
        <v>429</v>
      </c>
    </row>
    <row r="330" customFormat="false" ht="15.75" hidden="false" customHeight="true" outlineLevel="0" collapsed="false">
      <c r="A330" s="72" t="str">
        <f aca="false">IFERROR(IF($B330="","",IF(INDEX(Einheiten!$B$4:$B$63,MATCH($B330,Einheiten!$A$4:$A$63,0))=0,"",INDEX(Einheiten!$B$4:$B$63,MATCH($B330,Einheiten!$A$4:$A$63,0)))),"")</f>
        <v/>
      </c>
      <c r="B330" s="54" t="n">
        <v>16</v>
      </c>
      <c r="C330" s="73" t="str">
        <f aca="false">IFERROR(IF($D330="","",INDEX(Übungen!$B$4:$B$23,MATCH($D330,Übungen!$A$4:$A$23,0))),"")</f>
        <v>Beine vorne</v>
      </c>
      <c r="D330" s="56" t="s">
        <v>410</v>
      </c>
      <c r="E330" s="67" t="s">
        <v>379</v>
      </c>
      <c r="F330" s="55" t="n">
        <v>105</v>
      </c>
      <c r="G330" s="68"/>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2" t="str">
        <f aca="false">IFERROR(IF($B331="","",IF(INDEX(Einheiten!$B$4:$B$63,MATCH($B331,Einheiten!$A$4:$A$63,0))=0,"",INDEX(Einheiten!$B$4:$B$63,MATCH($B331,Einheiten!$A$4:$A$63,0)))),"")</f>
        <v/>
      </c>
      <c r="B331" s="54" t="n">
        <v>16</v>
      </c>
      <c r="C331" s="73" t="str">
        <f aca="false">IFERROR(IF($D331="","",INDEX(Übungen!$B$4:$B$23,MATCH($D331,Übungen!$A$4:$A$23,0))),"")</f>
        <v>Beine vorne</v>
      </c>
      <c r="D331" s="56" t="s">
        <v>410</v>
      </c>
      <c r="E331" s="67" t="s">
        <v>379</v>
      </c>
      <c r="F331" s="55" t="n">
        <v>150</v>
      </c>
      <c r="G331" s="68"/>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2" t="str">
        <f aca="false">IFERROR(IF($B332="","",IF(INDEX(Einheiten!$B$4:$B$63,MATCH($B332,Einheiten!$A$4:$A$63,0))=0,"",INDEX(Einheiten!$B$4:$B$63,MATCH($B332,Einheiten!$A$4:$A$63,0)))),"")</f>
        <v/>
      </c>
      <c r="B332" s="54" t="n">
        <v>16</v>
      </c>
      <c r="C332" s="73" t="str">
        <f aca="false">IFERROR(IF($D332="","",INDEX(Übungen!$B$4:$B$23,MATCH($D332,Übungen!$A$4:$A$23,0))),"")</f>
        <v>Beine vorne</v>
      </c>
      <c r="D332" s="56" t="s">
        <v>410</v>
      </c>
      <c r="E332" s="67" t="s">
        <v>380</v>
      </c>
      <c r="F332" s="55" t="n">
        <v>250</v>
      </c>
      <c r="G332" s="68" t="n">
        <v>5</v>
      </c>
      <c r="H332" s="55"/>
      <c r="I332" s="49" t="n">
        <f aca="false">IF(AND(ISNUMBER($F332),ISNUMBER($G332),$E332&lt;&gt;"R"),$F332*$G332,"")</f>
        <v>1250</v>
      </c>
      <c r="J332" s="51" t="n">
        <f aca="false">IF(AND($E332="A",ISNUMBER($F332),ISNUMBER($G332)),$F332*(1+$G332/30),"")</f>
        <v>291.666666666667</v>
      </c>
      <c r="K332" s="56"/>
      <c r="L332" s="56"/>
    </row>
    <row r="333" customFormat="false" ht="15.75" hidden="false" customHeight="true" outlineLevel="0" collapsed="false">
      <c r="A333" s="72" t="str">
        <f aca="false">IFERROR(IF($B333="","",IF(INDEX(Einheiten!$B$4:$B$63,MATCH($B333,Einheiten!$A$4:$A$63,0))=0,"",INDEX(Einheiten!$B$4:$B$63,MATCH($B333,Einheiten!$A$4:$A$63,0)))),"")</f>
        <v/>
      </c>
      <c r="B333" s="54" t="n">
        <v>16</v>
      </c>
      <c r="C333" s="73" t="str">
        <f aca="false">IFERROR(IF($D333="","",INDEX(Übungen!$B$4:$B$23,MATCH($D333,Übungen!$A$4:$A$23,0))),"")</f>
        <v>Beine vorne</v>
      </c>
      <c r="D333" s="56" t="s">
        <v>410</v>
      </c>
      <c r="E333" s="67" t="s">
        <v>380</v>
      </c>
      <c r="F333" s="55" t="n">
        <v>270</v>
      </c>
      <c r="G333" s="68" t="n">
        <v>5</v>
      </c>
      <c r="H333" s="55"/>
      <c r="I333" s="49" t="n">
        <f aca="false">IF(AND(ISNUMBER($F333),ISNUMBER($G333),$E333&lt;&gt;"R"),$F333*$G333,"")</f>
        <v>1350</v>
      </c>
      <c r="J333" s="51" t="n">
        <f aca="false">IF(AND($E333="A",ISNUMBER($F333),ISNUMBER($G333)),$F333*(1+$G333/30),"")</f>
        <v>315</v>
      </c>
      <c r="K333" s="56"/>
      <c r="L333" s="56"/>
    </row>
    <row r="334" customFormat="false" ht="15.75" hidden="false" customHeight="true" outlineLevel="0" collapsed="false">
      <c r="A334" s="72" t="str">
        <f aca="false">IFERROR(IF($B334="","",IF(INDEX(Einheiten!$B$4:$B$63,MATCH($B334,Einheiten!$A$4:$A$63,0))=0,"",INDEX(Einheiten!$B$4:$B$63,MATCH($B334,Einheiten!$A$4:$A$63,0)))),"")</f>
        <v/>
      </c>
      <c r="B334" s="54" t="n">
        <v>16</v>
      </c>
      <c r="C334" s="73" t="str">
        <f aca="false">IFERROR(IF($D334="","",INDEX(Übungen!$B$4:$B$23,MATCH($D334,Übungen!$A$4:$A$23,0))),"")</f>
        <v>Beine vorne</v>
      </c>
      <c r="D334" s="56" t="s">
        <v>410</v>
      </c>
      <c r="E334" s="67" t="s">
        <v>380</v>
      </c>
      <c r="F334" s="55" t="n">
        <v>300</v>
      </c>
      <c r="G334" s="68" t="n">
        <v>5</v>
      </c>
      <c r="H334" s="55"/>
      <c r="I334" s="49" t="n">
        <f aca="false">IF(AND(ISNUMBER($F334),ISNUMBER($G334),$E334&lt;&gt;"R"),$F334*$G334,"")</f>
        <v>1500</v>
      </c>
      <c r="J334" s="51" t="n">
        <f aca="false">IF(AND($E334="A",ISNUMBER($F334),ISNUMBER($G334)),$F334*(1+$G334/30),"")</f>
        <v>350</v>
      </c>
      <c r="K334" s="56"/>
      <c r="L334" s="56"/>
    </row>
    <row r="335" customFormat="false" ht="15.75" hidden="false" customHeight="true" outlineLevel="0" collapsed="false">
      <c r="A335" s="72" t="str">
        <f aca="false">IFERROR(IF($B335="","",IF(INDEX(Einheiten!$B$4:$B$63,MATCH($B335,Einheiten!$A$4:$A$63,0))=0,"",INDEX(Einheiten!$B$4:$B$63,MATCH($B335,Einheiten!$A$4:$A$63,0)))),"")</f>
        <v/>
      </c>
      <c r="B335" s="54" t="n">
        <v>16</v>
      </c>
      <c r="C335" s="73" t="str">
        <f aca="false">IFERROR(IF($D335="","",INDEX(Übungen!$B$4:$B$23,MATCH($D335,Übungen!$A$4:$A$23,0))),"")</f>
        <v>Beine vorne</v>
      </c>
      <c r="D335" s="56" t="s">
        <v>394</v>
      </c>
      <c r="E335" s="67" t="s">
        <v>379</v>
      </c>
      <c r="F335" s="55" t="n">
        <v>40</v>
      </c>
      <c r="G335" s="68"/>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2" t="str">
        <f aca="false">IFERROR(IF($B336="","",IF(INDEX(Einheiten!$B$4:$B$63,MATCH($B336,Einheiten!$A$4:$A$63,0))=0,"",INDEX(Einheiten!$B$4:$B$63,MATCH($B336,Einheiten!$A$4:$A$63,0)))),"")</f>
        <v/>
      </c>
      <c r="B336" s="54" t="n">
        <v>16</v>
      </c>
      <c r="C336" s="73" t="str">
        <f aca="false">IFERROR(IF($D336="","",INDEX(Übungen!$B$4:$B$23,MATCH($D336,Übungen!$A$4:$A$23,0))),"")</f>
        <v>Beine vorne</v>
      </c>
      <c r="D336" s="56" t="s">
        <v>394</v>
      </c>
      <c r="E336" s="67" t="s">
        <v>379</v>
      </c>
      <c r="F336" s="55" t="n">
        <v>60</v>
      </c>
      <c r="G336" s="68"/>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2" t="str">
        <f aca="false">IFERROR(IF($B337="","",IF(INDEX(Einheiten!$B$4:$B$63,MATCH($B337,Einheiten!$A$4:$A$63,0))=0,"",INDEX(Einheiten!$B$4:$B$63,MATCH($B337,Einheiten!$A$4:$A$63,0)))),"")</f>
        <v/>
      </c>
      <c r="B337" s="54" t="n">
        <v>16</v>
      </c>
      <c r="C337" s="73" t="str">
        <f aca="false">IFERROR(IF($D337="","",INDEX(Übungen!$B$4:$B$23,MATCH($D337,Übungen!$A$4:$A$23,0))),"")</f>
        <v>Beine vorne</v>
      </c>
      <c r="D337" s="56" t="s">
        <v>394</v>
      </c>
      <c r="E337" s="67" t="s">
        <v>380</v>
      </c>
      <c r="F337" s="55" t="n">
        <v>95</v>
      </c>
      <c r="G337" s="68" t="n">
        <v>8</v>
      </c>
      <c r="H337" s="55"/>
      <c r="I337" s="49" t="n">
        <f aca="false">IF(AND(ISNUMBER($F337),ISNUMBER($G337),$E337&lt;&gt;"R"),$F337*$G337,"")</f>
        <v>760</v>
      </c>
      <c r="J337" s="51" t="n">
        <f aca="false">IF(AND($E337="A",ISNUMBER($F337),ISNUMBER($G337)),$F337*(1+$G337/30),"")</f>
        <v>120.333333333333</v>
      </c>
      <c r="K337" s="56"/>
      <c r="L337" s="56"/>
    </row>
    <row r="338" customFormat="false" ht="15.75" hidden="false" customHeight="true" outlineLevel="0" collapsed="false">
      <c r="A338" s="72" t="str">
        <f aca="false">IFERROR(IF($B338="","",IF(INDEX(Einheiten!$B$4:$B$63,MATCH($B338,Einheiten!$A$4:$A$63,0))=0,"",INDEX(Einheiten!$B$4:$B$63,MATCH($B338,Einheiten!$A$4:$A$63,0)))),"")</f>
        <v/>
      </c>
      <c r="B338" s="54" t="n">
        <v>16</v>
      </c>
      <c r="C338" s="73" t="str">
        <f aca="false">IFERROR(IF($D338="","",INDEX(Übungen!$B$4:$B$23,MATCH($D338,Übungen!$A$4:$A$23,0))),"")</f>
        <v>Beine vorne</v>
      </c>
      <c r="D338" s="56" t="s">
        <v>394</v>
      </c>
      <c r="E338" s="67" t="s">
        <v>380</v>
      </c>
      <c r="F338" s="55" t="n">
        <v>100</v>
      </c>
      <c r="G338" s="68" t="n">
        <v>5</v>
      </c>
      <c r="H338" s="55"/>
      <c r="I338" s="49" t="n">
        <f aca="false">IF(AND(ISNUMBER($F338),ISNUMBER($G338),$E338&lt;&gt;"R"),$F338*$G338,"")</f>
        <v>500</v>
      </c>
      <c r="J338" s="51" t="n">
        <f aca="false">IF(AND($E338="A",ISNUMBER($F338),ISNUMBER($G338)),$F338*(1+$G338/30),"")</f>
        <v>116.666666666667</v>
      </c>
      <c r="K338" s="56"/>
      <c r="L338" s="56"/>
    </row>
    <row r="339" customFormat="false" ht="15.75" hidden="false" customHeight="true" outlineLevel="0" collapsed="false">
      <c r="A339" s="72" t="str">
        <f aca="false">IFERROR(IF($B339="","",IF(INDEX(Einheiten!$B$4:$B$63,MATCH($B339,Einheiten!$A$4:$A$63,0))=0,"",INDEX(Einheiten!$B$4:$B$63,MATCH($B339,Einheiten!$A$4:$A$63,0)))),"")</f>
        <v/>
      </c>
      <c r="B339" s="54" t="n">
        <v>16</v>
      </c>
      <c r="C339" s="73" t="str">
        <f aca="false">IFERROR(IF($D339="","",INDEX(Übungen!$B$4:$B$23,MATCH($D339,Übungen!$A$4:$A$23,0))),"")</f>
        <v>Beine vorne</v>
      </c>
      <c r="D339" s="56" t="s">
        <v>394</v>
      </c>
      <c r="E339" s="67" t="s">
        <v>380</v>
      </c>
      <c r="F339" s="55" t="n">
        <v>100</v>
      </c>
      <c r="G339" s="68" t="n">
        <v>5</v>
      </c>
      <c r="H339" s="55"/>
      <c r="I339" s="49" t="n">
        <f aca="false">IF(AND(ISNUMBER($F339),ISNUMBER($G339),$E339&lt;&gt;"R"),$F339*$G339,"")</f>
        <v>500</v>
      </c>
      <c r="J339" s="51" t="n">
        <f aca="false">IF(AND($E339="A",ISNUMBER($F339),ISNUMBER($G339)),$F339*(1+$G339/30),"")</f>
        <v>116.666666666667</v>
      </c>
      <c r="K339" s="56"/>
      <c r="L339" s="56"/>
    </row>
    <row r="340" customFormat="false" ht="15.75" hidden="false" customHeight="true" outlineLevel="0" collapsed="false">
      <c r="A340" s="72" t="str">
        <f aca="false">IFERROR(IF($B340="","",IF(INDEX(Einheiten!$B$4:$B$63,MATCH($B340,Einheiten!$A$4:$A$63,0))=0,"",INDEX(Einheiten!$B$4:$B$63,MATCH($B340,Einheiten!$A$4:$A$63,0)))),"")</f>
        <v/>
      </c>
      <c r="B340" s="54" t="n">
        <v>16</v>
      </c>
      <c r="C340" s="73" t="str">
        <f aca="false">IFERROR(IF($D340="","",INDEX(Übungen!$B$4:$B$23,MATCH($D340,Übungen!$A$4:$A$23,0))),"")</f>
        <v>Beine vorne</v>
      </c>
      <c r="D340" s="56" t="s">
        <v>387</v>
      </c>
      <c r="E340" s="67" t="s">
        <v>379</v>
      </c>
      <c r="F340" s="55" t="n">
        <v>15</v>
      </c>
      <c r="G340" s="68"/>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2" t="str">
        <f aca="false">IFERROR(IF($B341="","",IF(INDEX(Einheiten!$B$4:$B$63,MATCH($B341,Einheiten!$A$4:$A$63,0))=0,"",INDEX(Einheiten!$B$4:$B$63,MATCH($B341,Einheiten!$A$4:$A$63,0)))),"")</f>
        <v/>
      </c>
      <c r="B341" s="54" t="n">
        <v>16</v>
      </c>
      <c r="C341" s="73" t="str">
        <f aca="false">IFERROR(IF($D341="","",INDEX(Übungen!$B$4:$B$23,MATCH($D341,Übungen!$A$4:$A$23,0))),"")</f>
        <v>Beine vorne</v>
      </c>
      <c r="D341" s="56" t="s">
        <v>387</v>
      </c>
      <c r="E341" s="67" t="s">
        <v>379</v>
      </c>
      <c r="F341" s="55" t="n">
        <v>40</v>
      </c>
      <c r="G341" s="68"/>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2" t="str">
        <f aca="false">IFERROR(IF($B342="","",IF(INDEX(Einheiten!$B$4:$B$63,MATCH($B342,Einheiten!$A$4:$A$63,0))=0,"",INDEX(Einheiten!$B$4:$B$63,MATCH($B342,Einheiten!$A$4:$A$63,0)))),"")</f>
        <v/>
      </c>
      <c r="B342" s="54" t="n">
        <v>16</v>
      </c>
      <c r="C342" s="73" t="str">
        <f aca="false">IFERROR(IF($D342="","",INDEX(Übungen!$B$4:$B$23,MATCH($D342,Übungen!$A$4:$A$23,0))),"")</f>
        <v>Beine vorne</v>
      </c>
      <c r="D342" s="56" t="s">
        <v>387</v>
      </c>
      <c r="E342" s="67" t="s">
        <v>380</v>
      </c>
      <c r="F342" s="55" t="n">
        <v>60</v>
      </c>
      <c r="G342" s="68" t="n">
        <v>9</v>
      </c>
      <c r="H342" s="55"/>
      <c r="I342" s="49" t="n">
        <f aca="false">IF(AND(ISNUMBER($F342),ISNUMBER($G342),$E342&lt;&gt;"R"),$F342*$G342,"")</f>
        <v>540</v>
      </c>
      <c r="J342" s="51" t="n">
        <f aca="false">IF(AND($E342="A",ISNUMBER($F342),ISNUMBER($G342)),$F342*(1+$G342/30),"")</f>
        <v>78</v>
      </c>
      <c r="K342" s="56"/>
      <c r="L342" s="56"/>
    </row>
    <row r="343" customFormat="false" ht="15.75" hidden="false" customHeight="true" outlineLevel="0" collapsed="false">
      <c r="A343" s="72" t="str">
        <f aca="false">IFERROR(IF($B343="","",IF(INDEX(Einheiten!$B$4:$B$63,MATCH($B343,Einheiten!$A$4:$A$63,0))=0,"",INDEX(Einheiten!$B$4:$B$63,MATCH($B343,Einheiten!$A$4:$A$63,0)))),"")</f>
        <v/>
      </c>
      <c r="B343" s="54" t="n">
        <v>16</v>
      </c>
      <c r="C343" s="73" t="str">
        <f aca="false">IFERROR(IF($D343="","",INDEX(Übungen!$B$4:$B$23,MATCH($D343,Übungen!$A$4:$A$23,0))),"")</f>
        <v>Beine vorne</v>
      </c>
      <c r="D343" s="56" t="s">
        <v>387</v>
      </c>
      <c r="E343" s="67" t="s">
        <v>380</v>
      </c>
      <c r="F343" s="55" t="n">
        <v>75</v>
      </c>
      <c r="G343" s="68" t="n">
        <v>5</v>
      </c>
      <c r="H343" s="55"/>
      <c r="I343" s="49" t="n">
        <f aca="false">IF(AND(ISNUMBER($F343),ISNUMBER($G343),$E343&lt;&gt;"R"),$F343*$G343,"")</f>
        <v>375</v>
      </c>
      <c r="J343" s="51" t="n">
        <f aca="false">IF(AND($E343="A",ISNUMBER($F343),ISNUMBER($G343)),$F343*(1+$G343/30),"")</f>
        <v>87.5</v>
      </c>
      <c r="K343" s="56"/>
      <c r="L343" s="56"/>
    </row>
    <row r="344" customFormat="false" ht="15.75" hidden="false" customHeight="true" outlineLevel="0" collapsed="false">
      <c r="A344" s="72" t="str">
        <f aca="false">IFERROR(IF($B344="","",IF(INDEX(Einheiten!$B$4:$B$63,MATCH($B344,Einheiten!$A$4:$A$63,0))=0,"",INDEX(Einheiten!$B$4:$B$63,MATCH($B344,Einheiten!$A$4:$A$63,0)))),"")</f>
        <v/>
      </c>
      <c r="B344" s="54" t="n">
        <v>16</v>
      </c>
      <c r="C344" s="73" t="str">
        <f aca="false">IFERROR(IF($D344="","",INDEX(Übungen!$B$4:$B$23,MATCH($D344,Übungen!$A$4:$A$23,0))),"")</f>
        <v>Beine vorne</v>
      </c>
      <c r="D344" s="56" t="s">
        <v>387</v>
      </c>
      <c r="E344" s="67" t="s">
        <v>380</v>
      </c>
      <c r="F344" s="55" t="n">
        <v>80</v>
      </c>
      <c r="G344" s="68" t="n">
        <v>6</v>
      </c>
      <c r="H344" s="55"/>
      <c r="I344" s="49" t="n">
        <f aca="false">IF(AND(ISNUMBER($F344),ISNUMBER($G344),$E344&lt;&gt;"R"),$F344*$G344,"")</f>
        <v>480</v>
      </c>
      <c r="J344" s="51" t="n">
        <f aca="false">IF(AND($E344="A",ISNUMBER($F344),ISNUMBER($G344)),$F344*(1+$G344/30),"")</f>
        <v>96</v>
      </c>
      <c r="K344" s="56"/>
      <c r="L344" s="56"/>
    </row>
    <row r="345" customFormat="false" ht="15.75" hidden="false" customHeight="true" outlineLevel="0" collapsed="false">
      <c r="A345" s="72" t="str">
        <f aca="false">IFERROR(IF($B345="","",IF(INDEX(Einheiten!$B$4:$B$63,MATCH($B345,Einheiten!$A$4:$A$63,0))=0,"",INDEX(Einheiten!$B$4:$B$63,MATCH($B345,Einheiten!$A$4:$A$63,0)))),"")</f>
        <v/>
      </c>
      <c r="B345" s="54" t="n">
        <v>17</v>
      </c>
      <c r="C345" s="73" t="str">
        <f aca="false">IFERROR(IF($D345="","",INDEX(Übungen!$B$4:$B$23,MATCH($D345,Übungen!$A$4:$A$23,0))),"")</f>
        <v>Beine vorne</v>
      </c>
      <c r="D345" s="56" t="s">
        <v>410</v>
      </c>
      <c r="E345" s="67" t="s">
        <v>379</v>
      </c>
      <c r="F345" s="55" t="n">
        <v>120</v>
      </c>
      <c r="G345" s="68"/>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2" t="str">
        <f aca="false">IFERROR(IF($B346="","",IF(INDEX(Einheiten!$B$4:$B$63,MATCH($B346,Einheiten!$A$4:$A$63,0))=0,"",INDEX(Einheiten!$B$4:$B$63,MATCH($B346,Einheiten!$A$4:$A$63,0)))),"")</f>
        <v/>
      </c>
      <c r="B346" s="54" t="n">
        <v>17</v>
      </c>
      <c r="C346" s="73" t="str">
        <f aca="false">IFERROR(IF($D346="","",INDEX(Übungen!$B$4:$B$23,MATCH($D346,Übungen!$A$4:$A$23,0))),"")</f>
        <v>Beine vorne</v>
      </c>
      <c r="D346" s="56" t="s">
        <v>410</v>
      </c>
      <c r="E346" s="67" t="s">
        <v>379</v>
      </c>
      <c r="F346" s="55" t="n">
        <v>210</v>
      </c>
      <c r="G346" s="68"/>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2" t="str">
        <f aca="false">IFERROR(IF($B347="","",IF(INDEX(Einheiten!$B$4:$B$63,MATCH($B347,Einheiten!$A$4:$A$63,0))=0,"",INDEX(Einheiten!$B$4:$B$63,MATCH($B347,Einheiten!$A$4:$A$63,0)))),"")</f>
        <v/>
      </c>
      <c r="B347" s="54" t="n">
        <v>17</v>
      </c>
      <c r="C347" s="73" t="str">
        <f aca="false">IFERROR(IF($D347="","",INDEX(Übungen!$B$4:$B$23,MATCH($D347,Übungen!$A$4:$A$23,0))),"")</f>
        <v>Beine vorne</v>
      </c>
      <c r="D347" s="56" t="s">
        <v>410</v>
      </c>
      <c r="E347" s="67" t="s">
        <v>380</v>
      </c>
      <c r="F347" s="55" t="n">
        <v>300</v>
      </c>
      <c r="G347" s="68" t="n">
        <v>6</v>
      </c>
      <c r="H347" s="55"/>
      <c r="I347" s="49" t="n">
        <f aca="false">IF(AND(ISNUMBER($F347),ISNUMBER($G347),$E347&lt;&gt;"R"),$F347*$G347,"")</f>
        <v>1800</v>
      </c>
      <c r="J347" s="51" t="n">
        <f aca="false">IF(AND($E347="A",ISNUMBER($F347),ISNUMBER($G347)),$F347*(1+$G347/30),"")</f>
        <v>360</v>
      </c>
      <c r="K347" s="56"/>
      <c r="L347" s="56"/>
    </row>
    <row r="348" customFormat="false" ht="15.75" hidden="false" customHeight="true" outlineLevel="0" collapsed="false">
      <c r="A348" s="72" t="str">
        <f aca="false">IFERROR(IF($B348="","",IF(INDEX(Einheiten!$B$4:$B$63,MATCH($B348,Einheiten!$A$4:$A$63,0))=0,"",INDEX(Einheiten!$B$4:$B$63,MATCH($B348,Einheiten!$A$4:$A$63,0)))),"")</f>
        <v/>
      </c>
      <c r="B348" s="54" t="n">
        <v>17</v>
      </c>
      <c r="C348" s="73" t="str">
        <f aca="false">IFERROR(IF($D348="","",INDEX(Übungen!$B$4:$B$23,MATCH($D348,Übungen!$A$4:$A$23,0))),"")</f>
        <v>Beine vorne</v>
      </c>
      <c r="D348" s="56" t="s">
        <v>410</v>
      </c>
      <c r="E348" s="67" t="s">
        <v>380</v>
      </c>
      <c r="F348" s="55" t="n">
        <v>300</v>
      </c>
      <c r="G348" s="68" t="n">
        <v>6</v>
      </c>
      <c r="H348" s="55"/>
      <c r="I348" s="49" t="n">
        <f aca="false">IF(AND(ISNUMBER($F348),ISNUMBER($G348),$E348&lt;&gt;"R"),$F348*$G348,"")</f>
        <v>1800</v>
      </c>
      <c r="J348" s="51" t="n">
        <f aca="false">IF(AND($E348="A",ISNUMBER($F348),ISNUMBER($G348)),$F348*(1+$G348/30),"")</f>
        <v>360</v>
      </c>
      <c r="K348" s="56"/>
      <c r="L348" s="56"/>
    </row>
    <row r="349" customFormat="false" ht="15.75" hidden="false" customHeight="true" outlineLevel="0" collapsed="false">
      <c r="A349" s="72" t="str">
        <f aca="false">IFERROR(IF($B349="","",IF(INDEX(Einheiten!$B$4:$B$63,MATCH($B349,Einheiten!$A$4:$A$63,0))=0,"",INDEX(Einheiten!$B$4:$B$63,MATCH($B349,Einheiten!$A$4:$A$63,0)))),"")</f>
        <v/>
      </c>
      <c r="B349" s="54" t="n">
        <v>17</v>
      </c>
      <c r="C349" s="73" t="str">
        <f aca="false">IFERROR(IF($D349="","",INDEX(Übungen!$B$4:$B$23,MATCH($D349,Übungen!$A$4:$A$23,0))),"")</f>
        <v>Beine vorne</v>
      </c>
      <c r="D349" s="56" t="s">
        <v>410</v>
      </c>
      <c r="E349" s="67" t="s">
        <v>380</v>
      </c>
      <c r="F349" s="55" t="n">
        <v>300</v>
      </c>
      <c r="G349" s="68" t="n">
        <v>6</v>
      </c>
      <c r="H349" s="55"/>
      <c r="I349" s="49" t="n">
        <f aca="false">IF(AND(ISNUMBER($F349),ISNUMBER($G349),$E349&lt;&gt;"R"),$F349*$G349,"")</f>
        <v>1800</v>
      </c>
      <c r="J349" s="51" t="n">
        <f aca="false">IF(AND($E349="A",ISNUMBER($F349),ISNUMBER($G349)),$F349*(1+$G349/30),"")</f>
        <v>360</v>
      </c>
      <c r="K349" s="56"/>
      <c r="L349" s="56"/>
    </row>
    <row r="350" customFormat="false" ht="15.75" hidden="false" customHeight="true" outlineLevel="0" collapsed="false">
      <c r="A350" s="72" t="str">
        <f aca="false">IFERROR(IF($B350="","",IF(INDEX(Einheiten!$B$4:$B$63,MATCH($B350,Einheiten!$A$4:$A$63,0))=0,"",INDEX(Einheiten!$B$4:$B$63,MATCH($B350,Einheiten!$A$4:$A$63,0)))),"")</f>
        <v/>
      </c>
      <c r="B350" s="54" t="n">
        <v>17</v>
      </c>
      <c r="C350" s="73" t="str">
        <f aca="false">IFERROR(IF($D350="","",INDEX(Übungen!$B$4:$B$23,MATCH($D350,Übungen!$A$4:$A$23,0))),"")</f>
        <v>Beine vorne</v>
      </c>
      <c r="D350" s="56" t="s">
        <v>394</v>
      </c>
      <c r="E350" s="67" t="s">
        <v>379</v>
      </c>
      <c r="F350" s="55" t="n">
        <v>40</v>
      </c>
      <c r="G350" s="68"/>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2" t="str">
        <f aca="false">IFERROR(IF($B351="","",IF(INDEX(Einheiten!$B$4:$B$63,MATCH($B351,Einheiten!$A$4:$A$63,0))=0,"",INDEX(Einheiten!$B$4:$B$63,MATCH($B351,Einheiten!$A$4:$A$63,0)))),"")</f>
        <v/>
      </c>
      <c r="B351" s="54" t="n">
        <v>17</v>
      </c>
      <c r="C351" s="73" t="str">
        <f aca="false">IFERROR(IF($D351="","",INDEX(Übungen!$B$4:$B$23,MATCH($D351,Übungen!$A$4:$A$23,0))),"")</f>
        <v>Beine vorne</v>
      </c>
      <c r="D351" s="56" t="s">
        <v>394</v>
      </c>
      <c r="E351" s="67" t="s">
        <v>379</v>
      </c>
      <c r="F351" s="55" t="n">
        <v>70</v>
      </c>
      <c r="G351" s="68"/>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2" t="str">
        <f aca="false">IFERROR(IF($B352="","",IF(INDEX(Einheiten!$B$4:$B$63,MATCH($B352,Einheiten!$A$4:$A$63,0))=0,"",INDEX(Einheiten!$B$4:$B$63,MATCH($B352,Einheiten!$A$4:$A$63,0)))),"")</f>
        <v/>
      </c>
      <c r="B352" s="54" t="n">
        <v>17</v>
      </c>
      <c r="C352" s="73" t="str">
        <f aca="false">IFERROR(IF($D352="","",INDEX(Übungen!$B$4:$B$23,MATCH($D352,Übungen!$A$4:$A$23,0))),"")</f>
        <v>Beine vorne</v>
      </c>
      <c r="D352" s="56" t="s">
        <v>394</v>
      </c>
      <c r="E352" s="67" t="s">
        <v>380</v>
      </c>
      <c r="F352" s="55" t="n">
        <v>100</v>
      </c>
      <c r="G352" s="68" t="n">
        <v>6</v>
      </c>
      <c r="H352" s="55"/>
      <c r="I352" s="49" t="n">
        <f aca="false">IF(AND(ISNUMBER($F352),ISNUMBER($G352),$E352&lt;&gt;"R"),$F352*$G352,"")</f>
        <v>600</v>
      </c>
      <c r="J352" s="51" t="n">
        <f aca="false">IF(AND($E352="A",ISNUMBER($F352),ISNUMBER($G352)),$F352*(1+$G352/30),"")</f>
        <v>120</v>
      </c>
      <c r="K352" s="56"/>
      <c r="L352" s="56"/>
    </row>
    <row r="353" customFormat="false" ht="15.75" hidden="false" customHeight="true" outlineLevel="0" collapsed="false">
      <c r="A353" s="72" t="str">
        <f aca="false">IFERROR(IF($B353="","",IF(INDEX(Einheiten!$B$4:$B$63,MATCH($B353,Einheiten!$A$4:$A$63,0))=0,"",INDEX(Einheiten!$B$4:$B$63,MATCH($B353,Einheiten!$A$4:$A$63,0)))),"")</f>
        <v/>
      </c>
      <c r="B353" s="54" t="n">
        <v>17</v>
      </c>
      <c r="C353" s="73" t="str">
        <f aca="false">IFERROR(IF($D353="","",INDEX(Übungen!$B$4:$B$23,MATCH($D353,Übungen!$A$4:$A$23,0))),"")</f>
        <v>Beine vorne</v>
      </c>
      <c r="D353" s="56" t="s">
        <v>394</v>
      </c>
      <c r="E353" s="67" t="s">
        <v>380</v>
      </c>
      <c r="F353" s="55" t="n">
        <v>110</v>
      </c>
      <c r="G353" s="68" t="n">
        <v>5</v>
      </c>
      <c r="H353" s="55"/>
      <c r="I353" s="49" t="n">
        <f aca="false">IF(AND(ISNUMBER($F353),ISNUMBER($G353),$E353&lt;&gt;"R"),$F353*$G353,"")</f>
        <v>550</v>
      </c>
      <c r="J353" s="51" t="n">
        <f aca="false">IF(AND($E353="A",ISNUMBER($F353),ISNUMBER($G353)),$F353*(1+$G353/30),"")</f>
        <v>128.333333333333</v>
      </c>
      <c r="K353" s="56"/>
      <c r="L353" s="56"/>
    </row>
    <row r="354" customFormat="false" ht="15.75" hidden="false" customHeight="true" outlineLevel="0" collapsed="false">
      <c r="A354" s="72" t="str">
        <f aca="false">IFERROR(IF($B354="","",IF(INDEX(Einheiten!$B$4:$B$63,MATCH($B354,Einheiten!$A$4:$A$63,0))=0,"",INDEX(Einheiten!$B$4:$B$63,MATCH($B354,Einheiten!$A$4:$A$63,0)))),"")</f>
        <v/>
      </c>
      <c r="B354" s="54" t="n">
        <v>17</v>
      </c>
      <c r="C354" s="73" t="str">
        <f aca="false">IFERROR(IF($D354="","",INDEX(Übungen!$B$4:$B$23,MATCH($D354,Übungen!$A$4:$A$23,0))),"")</f>
        <v>Beine vorne</v>
      </c>
      <c r="D354" s="56" t="s">
        <v>394</v>
      </c>
      <c r="E354" s="67" t="s">
        <v>380</v>
      </c>
      <c r="F354" s="55" t="n">
        <v>120</v>
      </c>
      <c r="G354" s="68" t="n">
        <v>6</v>
      </c>
      <c r="H354" s="55"/>
      <c r="I354" s="49" t="n">
        <f aca="false">IF(AND(ISNUMBER($F354),ISNUMBER($G354),$E354&lt;&gt;"R"),$F354*$G354,"")</f>
        <v>720</v>
      </c>
      <c r="J354" s="51" t="n">
        <f aca="false">IF(AND($E354="A",ISNUMBER($F354),ISNUMBER($G354)),$F354*(1+$G354/30),"")</f>
        <v>144</v>
      </c>
      <c r="K354" s="56"/>
      <c r="L354" s="56" t="s">
        <v>430</v>
      </c>
    </row>
    <row r="355" customFormat="false" ht="15.75" hidden="false" customHeight="true" outlineLevel="0" collapsed="false">
      <c r="A355" s="72" t="str">
        <f aca="false">IFERROR(IF($B355="","",IF(INDEX(Einheiten!$B$4:$B$63,MATCH($B355,Einheiten!$A$4:$A$63,0))=0,"",INDEX(Einheiten!$B$4:$B$63,MATCH($B355,Einheiten!$A$4:$A$63,0)))),"")</f>
        <v/>
      </c>
      <c r="B355" s="54" t="n">
        <v>17</v>
      </c>
      <c r="C355" s="73" t="str">
        <f aca="false">IFERROR(IF($D355="","",INDEX(Übungen!$B$4:$B$23,MATCH($D355,Übungen!$A$4:$A$23,0))),"")</f>
        <v>Beine vorne</v>
      </c>
      <c r="D355" s="56" t="s">
        <v>387</v>
      </c>
      <c r="E355" s="67" t="s">
        <v>379</v>
      </c>
      <c r="F355" s="55" t="n">
        <v>34</v>
      </c>
      <c r="G355" s="68"/>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2" t="str">
        <f aca="false">IFERROR(IF($B356="","",IF(INDEX(Einheiten!$B$4:$B$63,MATCH($B356,Einheiten!$A$4:$A$63,0))=0,"",INDEX(Einheiten!$B$4:$B$63,MATCH($B356,Einheiten!$A$4:$A$63,0)))),"")</f>
        <v/>
      </c>
      <c r="B356" s="54" t="n">
        <v>17</v>
      </c>
      <c r="C356" s="73" t="str">
        <f aca="false">IFERROR(IF($D356="","",INDEX(Übungen!$B$4:$B$23,MATCH($D356,Übungen!$A$4:$A$23,0))),"")</f>
        <v>Beine vorne</v>
      </c>
      <c r="D356" s="56" t="s">
        <v>387</v>
      </c>
      <c r="E356" s="67" t="s">
        <v>379</v>
      </c>
      <c r="F356" s="55" t="n">
        <v>59.5</v>
      </c>
      <c r="G356" s="68"/>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2" t="str">
        <f aca="false">IFERROR(IF($B357="","",IF(INDEX(Einheiten!$B$4:$B$63,MATCH($B357,Einheiten!$A$4:$A$63,0))=0,"",INDEX(Einheiten!$B$4:$B$63,MATCH($B357,Einheiten!$A$4:$A$63,0)))),"")</f>
        <v/>
      </c>
      <c r="B357" s="54" t="n">
        <v>17</v>
      </c>
      <c r="C357" s="73" t="str">
        <f aca="false">IFERROR(IF($D357="","",INDEX(Übungen!$B$4:$B$23,MATCH($D357,Übungen!$A$4:$A$23,0))),"")</f>
        <v>Beine vorne</v>
      </c>
      <c r="D357" s="56" t="s">
        <v>387</v>
      </c>
      <c r="E357" s="67" t="s">
        <v>380</v>
      </c>
      <c r="F357" s="55" t="n">
        <v>85</v>
      </c>
      <c r="G357" s="68" t="n">
        <v>6</v>
      </c>
      <c r="H357" s="55"/>
      <c r="I357" s="49" t="n">
        <f aca="false">IF(AND(ISNUMBER($F357),ISNUMBER($G357),$E357&lt;&gt;"R"),$F357*$G357,"")</f>
        <v>510</v>
      </c>
      <c r="J357" s="51" t="n">
        <f aca="false">IF(AND($E357="A",ISNUMBER($F357),ISNUMBER($G357)),$F357*(1+$G357/30),"")</f>
        <v>102</v>
      </c>
      <c r="K357" s="56"/>
      <c r="L357" s="56"/>
    </row>
    <row r="358" customFormat="false" ht="15.75" hidden="false" customHeight="true" outlineLevel="0" collapsed="false">
      <c r="A358" s="72" t="str">
        <f aca="false">IFERROR(IF($B358="","",IF(INDEX(Einheiten!$B$4:$B$63,MATCH($B358,Einheiten!$A$4:$A$63,0))=0,"",INDEX(Einheiten!$B$4:$B$63,MATCH($B358,Einheiten!$A$4:$A$63,0)))),"")</f>
        <v/>
      </c>
      <c r="B358" s="54" t="n">
        <v>17</v>
      </c>
      <c r="C358" s="73" t="str">
        <f aca="false">IFERROR(IF($D358="","",INDEX(Übungen!$B$4:$B$23,MATCH($D358,Übungen!$A$4:$A$23,0))),"")</f>
        <v>Beine vorne</v>
      </c>
      <c r="D358" s="56" t="s">
        <v>387</v>
      </c>
      <c r="E358" s="67" t="s">
        <v>380</v>
      </c>
      <c r="F358" s="55" t="n">
        <v>90</v>
      </c>
      <c r="G358" s="68" t="n">
        <v>5</v>
      </c>
      <c r="H358" s="55"/>
      <c r="I358" s="49" t="n">
        <f aca="false">IF(AND(ISNUMBER($F358),ISNUMBER($G358),$E358&lt;&gt;"R"),$F358*$G358,"")</f>
        <v>450</v>
      </c>
      <c r="J358" s="51" t="n">
        <f aca="false">IF(AND($E358="A",ISNUMBER($F358),ISNUMBER($G358)),$F358*(1+$G358/30),"")</f>
        <v>105</v>
      </c>
      <c r="K358" s="56"/>
      <c r="L358" s="56"/>
    </row>
    <row r="359" customFormat="false" ht="15.75" hidden="false" customHeight="true" outlineLevel="0" collapsed="false">
      <c r="A359" s="72" t="str">
        <f aca="false">IFERROR(IF($B359="","",IF(INDEX(Einheiten!$B$4:$B$63,MATCH($B359,Einheiten!$A$4:$A$63,0))=0,"",INDEX(Einheiten!$B$4:$B$63,MATCH($B359,Einheiten!$A$4:$A$63,0)))),"")</f>
        <v/>
      </c>
      <c r="B359" s="54" t="n">
        <v>17</v>
      </c>
      <c r="C359" s="73" t="str">
        <f aca="false">IFERROR(IF($D359="","",INDEX(Übungen!$B$4:$B$23,MATCH($D359,Übungen!$A$4:$A$23,0))),"")</f>
        <v>Beine vorne</v>
      </c>
      <c r="D359" s="56" t="s">
        <v>387</v>
      </c>
      <c r="E359" s="67" t="s">
        <v>380</v>
      </c>
      <c r="F359" s="55" t="n">
        <v>95</v>
      </c>
      <c r="G359" s="68" t="n">
        <v>5</v>
      </c>
      <c r="H359" s="55"/>
      <c r="I359" s="49" t="n">
        <f aca="false">IF(AND(ISNUMBER($F359),ISNUMBER($G359),$E359&lt;&gt;"R"),$F359*$G359,"")</f>
        <v>475</v>
      </c>
      <c r="J359" s="51" t="n">
        <f aca="false">IF(AND($E359="A",ISNUMBER($F359),ISNUMBER($G359)),$F359*(1+$G359/30),"")</f>
        <v>110.833333333333</v>
      </c>
      <c r="K359" s="56"/>
      <c r="L359" s="56"/>
    </row>
    <row r="360" customFormat="false" ht="15.75" hidden="false" customHeight="true" outlineLevel="0" collapsed="false">
      <c r="A360" s="72" t="str">
        <f aca="false">IFERROR(IF($B360="","",IF(INDEX(Einheiten!$B$4:$B$63,MATCH($B360,Einheiten!$A$4:$A$63,0))=0,"",INDEX(Einheiten!$B$4:$B$63,MATCH($B360,Einheiten!$A$4:$A$63,0)))),"")</f>
        <v/>
      </c>
      <c r="B360" s="54"/>
      <c r="C360" s="73" t="str">
        <f aca="false">IFERROR(IF($D360="","",INDEX(Übungen!$B$4:$B$23,MATCH($D360,Übungen!$A$4:$A$23,0))),"")</f>
        <v/>
      </c>
      <c r="D360" s="56"/>
      <c r="E360" s="67"/>
      <c r="F360" s="55"/>
      <c r="G360" s="68"/>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2" t="str">
        <f aca="false">IFERROR(IF($B361="","",IF(INDEX(Einheiten!$B$4:$B$63,MATCH($B361,Einheiten!$A$4:$A$63,0))=0,"",INDEX(Einheiten!$B$4:$B$63,MATCH($B361,Einheiten!$A$4:$A$63,0)))),"")</f>
        <v/>
      </c>
      <c r="B361" s="54"/>
      <c r="C361" s="73" t="str">
        <f aca="false">IFERROR(IF($D361="","",INDEX(Übungen!$B$4:$B$23,MATCH($D361,Übungen!$A$4:$A$23,0))),"")</f>
        <v/>
      </c>
      <c r="D361" s="56"/>
      <c r="E361" s="67"/>
      <c r="F361" s="55"/>
      <c r="G361" s="68"/>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2" t="str">
        <f aca="false">IFERROR(IF($B362="","",IF(INDEX(Einheiten!$B$4:$B$63,MATCH($B362,Einheiten!$A$4:$A$63,0))=0,"",INDEX(Einheiten!$B$4:$B$63,MATCH($B362,Einheiten!$A$4:$A$63,0)))),"")</f>
        <v/>
      </c>
      <c r="B362" s="54"/>
      <c r="C362" s="73" t="str">
        <f aca="false">IFERROR(IF($D362="","",INDEX(Übungen!$B$4:$B$23,MATCH($D362,Übungen!$A$4:$A$23,0))),"")</f>
        <v/>
      </c>
      <c r="D362" s="56"/>
      <c r="E362" s="67"/>
      <c r="F362" s="55"/>
      <c r="G362" s="68"/>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2" t="str">
        <f aca="false">IFERROR(IF($B363="","",IF(INDEX(Einheiten!$B$4:$B$63,MATCH($B363,Einheiten!$A$4:$A$63,0))=0,"",INDEX(Einheiten!$B$4:$B$63,MATCH($B363,Einheiten!$A$4:$A$63,0)))),"")</f>
        <v/>
      </c>
      <c r="B363" s="54"/>
      <c r="C363" s="73" t="str">
        <f aca="false">IFERROR(IF($D363="","",INDEX(Übungen!$B$4:$B$23,MATCH($D363,Übungen!$A$4:$A$23,0))),"")</f>
        <v/>
      </c>
      <c r="D363" s="56"/>
      <c r="E363" s="67"/>
      <c r="F363" s="55"/>
      <c r="G363" s="68"/>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2" t="str">
        <f aca="false">IFERROR(IF($B364="","",IF(INDEX(Einheiten!$B$4:$B$63,MATCH($B364,Einheiten!$A$4:$A$63,0))=0,"",INDEX(Einheiten!$B$4:$B$63,MATCH($B364,Einheiten!$A$4:$A$63,0)))),"")</f>
        <v/>
      </c>
      <c r="B364" s="54"/>
      <c r="C364" s="73" t="str">
        <f aca="false">IFERROR(IF($D364="","",INDEX(Übungen!$B$4:$B$23,MATCH($D364,Übungen!$A$4:$A$23,0))),"")</f>
        <v/>
      </c>
      <c r="D364" s="56"/>
      <c r="E364" s="67"/>
      <c r="F364" s="55"/>
      <c r="G364" s="68"/>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2" t="str">
        <f aca="false">IFERROR(IF($B365="","",IF(INDEX(Einheiten!$B$4:$B$63,MATCH($B365,Einheiten!$A$4:$A$63,0))=0,"",INDEX(Einheiten!$B$4:$B$63,MATCH($B365,Einheiten!$A$4:$A$63,0)))),"")</f>
        <v/>
      </c>
      <c r="B365" s="54"/>
      <c r="C365" s="73" t="str">
        <f aca="false">IFERROR(IF($D365="","",INDEX(Übungen!$B$4:$B$23,MATCH($D365,Übungen!$A$4:$A$23,0))),"")</f>
        <v/>
      </c>
      <c r="D365" s="56"/>
      <c r="E365" s="67"/>
      <c r="F365" s="55"/>
      <c r="G365" s="68"/>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2" t="str">
        <f aca="false">IFERROR(IF($B366="","",IF(INDEX(Einheiten!$B$4:$B$63,MATCH($B366,Einheiten!$A$4:$A$63,0))=0,"",INDEX(Einheiten!$B$4:$B$63,MATCH($B366,Einheiten!$A$4:$A$63,0)))),"")</f>
        <v/>
      </c>
      <c r="B366" s="54"/>
      <c r="C366" s="73" t="str">
        <f aca="false">IFERROR(IF($D366="","",INDEX(Übungen!$B$4:$B$23,MATCH($D366,Übungen!$A$4:$A$23,0))),"")</f>
        <v/>
      </c>
      <c r="D366" s="56"/>
      <c r="E366" s="67"/>
      <c r="F366" s="55"/>
      <c r="G366" s="68"/>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2" t="str">
        <f aca="false">IFERROR(IF($B367="","",IF(INDEX(Einheiten!$B$4:$B$63,MATCH($B367,Einheiten!$A$4:$A$63,0))=0,"",INDEX(Einheiten!$B$4:$B$63,MATCH($B367,Einheiten!$A$4:$A$63,0)))),"")</f>
        <v/>
      </c>
      <c r="B367" s="54"/>
      <c r="C367" s="73" t="str">
        <f aca="false">IFERROR(IF($D367="","",INDEX(Übungen!$B$4:$B$23,MATCH($D367,Übungen!$A$4:$A$23,0))),"")</f>
        <v/>
      </c>
      <c r="D367" s="56"/>
      <c r="E367" s="67"/>
      <c r="F367" s="55"/>
      <c r="G367" s="68"/>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2" t="str">
        <f aca="false">IFERROR(IF($B368="","",IF(INDEX(Einheiten!$B$4:$B$63,MATCH($B368,Einheiten!$A$4:$A$63,0))=0,"",INDEX(Einheiten!$B$4:$B$63,MATCH($B368,Einheiten!$A$4:$A$63,0)))),"")</f>
        <v/>
      </c>
      <c r="B368" s="54"/>
      <c r="C368" s="73" t="str">
        <f aca="false">IFERROR(IF($D368="","",INDEX(Übungen!$B$4:$B$23,MATCH($D368,Übungen!$A$4:$A$23,0))),"")</f>
        <v/>
      </c>
      <c r="D368" s="56"/>
      <c r="E368" s="67"/>
      <c r="F368" s="55"/>
      <c r="G368" s="68"/>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2" t="str">
        <f aca="false">IFERROR(IF($B369="","",IF(INDEX(Einheiten!$B$4:$B$63,MATCH($B369,Einheiten!$A$4:$A$63,0))=0,"",INDEX(Einheiten!$B$4:$B$63,MATCH($B369,Einheiten!$A$4:$A$63,0)))),"")</f>
        <v/>
      </c>
      <c r="B369" s="54"/>
      <c r="C369" s="73" t="str">
        <f aca="false">IFERROR(IF($D369="","",INDEX(Übungen!$B$4:$B$23,MATCH($D369,Übungen!$A$4:$A$23,0))),"")</f>
        <v/>
      </c>
      <c r="D369" s="56"/>
      <c r="E369" s="67"/>
      <c r="F369" s="55"/>
      <c r="G369" s="68"/>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2" t="str">
        <f aca="false">IFERROR(IF($B370="","",IF(INDEX(Einheiten!$B$4:$B$63,MATCH($B370,Einheiten!$A$4:$A$63,0))=0,"",INDEX(Einheiten!$B$4:$B$63,MATCH($B370,Einheiten!$A$4:$A$63,0)))),"")</f>
        <v/>
      </c>
      <c r="B370" s="54"/>
      <c r="C370" s="73" t="str">
        <f aca="false">IFERROR(IF($D370="","",INDEX(Übungen!$B$4:$B$23,MATCH($D370,Übungen!$A$4:$A$23,0))),"")</f>
        <v/>
      </c>
      <c r="D370" s="56"/>
      <c r="E370" s="67"/>
      <c r="F370" s="55"/>
      <c r="G370" s="68"/>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2" t="str">
        <f aca="false">IFERROR(IF($B371="","",IF(INDEX(Einheiten!$B$4:$B$63,MATCH($B371,Einheiten!$A$4:$A$63,0))=0,"",INDEX(Einheiten!$B$4:$B$63,MATCH($B371,Einheiten!$A$4:$A$63,0)))),"")</f>
        <v/>
      </c>
      <c r="B371" s="54"/>
      <c r="C371" s="73" t="str">
        <f aca="false">IFERROR(IF($D371="","",INDEX(Übungen!$B$4:$B$23,MATCH($D371,Übungen!$A$4:$A$23,0))),"")</f>
        <v/>
      </c>
      <c r="D371" s="56"/>
      <c r="E371" s="67"/>
      <c r="F371" s="55"/>
      <c r="G371" s="68"/>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2" t="str">
        <f aca="false">IFERROR(IF($B372="","",IF(INDEX(Einheiten!$B$4:$B$63,MATCH($B372,Einheiten!$A$4:$A$63,0))=0,"",INDEX(Einheiten!$B$4:$B$63,MATCH($B372,Einheiten!$A$4:$A$63,0)))),"")</f>
        <v/>
      </c>
      <c r="B372" s="54"/>
      <c r="C372" s="73" t="str">
        <f aca="false">IFERROR(IF($D372="","",INDEX(Übungen!$B$4:$B$23,MATCH($D372,Übungen!$A$4:$A$23,0))),"")</f>
        <v/>
      </c>
      <c r="D372" s="56"/>
      <c r="E372" s="67"/>
      <c r="F372" s="55"/>
      <c r="G372" s="68"/>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2" t="str">
        <f aca="false">IFERROR(IF($B373="","",IF(INDEX(Einheiten!$B$4:$B$63,MATCH($B373,Einheiten!$A$4:$A$63,0))=0,"",INDEX(Einheiten!$B$4:$B$63,MATCH($B373,Einheiten!$A$4:$A$63,0)))),"")</f>
        <v/>
      </c>
      <c r="B373" s="54"/>
      <c r="C373" s="73" t="str">
        <f aca="false">IFERROR(IF($D373="","",INDEX(Übungen!$B$4:$B$23,MATCH($D373,Übungen!$A$4:$A$23,0))),"")</f>
        <v/>
      </c>
      <c r="D373" s="56"/>
      <c r="E373" s="67"/>
      <c r="F373" s="55"/>
      <c r="G373" s="68"/>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2" t="str">
        <f aca="false">IFERROR(IF($B374="","",IF(INDEX(Einheiten!$B$4:$B$63,MATCH($B374,Einheiten!$A$4:$A$63,0))=0,"",INDEX(Einheiten!$B$4:$B$63,MATCH($B374,Einheiten!$A$4:$A$63,0)))),"")</f>
        <v/>
      </c>
      <c r="B374" s="54"/>
      <c r="C374" s="73" t="str">
        <f aca="false">IFERROR(IF($D374="","",INDEX(Übungen!$B$4:$B$23,MATCH($D374,Übungen!$A$4:$A$23,0))),"")</f>
        <v/>
      </c>
      <c r="D374" s="56"/>
      <c r="E374" s="67"/>
      <c r="F374" s="55"/>
      <c r="G374" s="68"/>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2" t="str">
        <f aca="false">IFERROR(IF($B375="","",IF(INDEX(Einheiten!$B$4:$B$63,MATCH($B375,Einheiten!$A$4:$A$63,0))=0,"",INDEX(Einheiten!$B$4:$B$63,MATCH($B375,Einheiten!$A$4:$A$63,0)))),"")</f>
        <v/>
      </c>
      <c r="B375" s="54"/>
      <c r="C375" s="73" t="str">
        <f aca="false">IFERROR(IF($D375="","",INDEX(Übungen!$B$4:$B$23,MATCH($D375,Übungen!$A$4:$A$23,0))),"")</f>
        <v/>
      </c>
      <c r="D375" s="56"/>
      <c r="E375" s="67"/>
      <c r="F375" s="55"/>
      <c r="G375" s="68"/>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2" t="str">
        <f aca="false">IFERROR(IF($B376="","",IF(INDEX(Einheiten!$B$4:$B$63,MATCH($B376,Einheiten!$A$4:$A$63,0))=0,"",INDEX(Einheiten!$B$4:$B$63,MATCH($B376,Einheiten!$A$4:$A$63,0)))),"")</f>
        <v/>
      </c>
      <c r="B376" s="54"/>
      <c r="C376" s="73" t="str">
        <f aca="false">IFERROR(IF($D376="","",INDEX(Übungen!$B$4:$B$23,MATCH($D376,Übungen!$A$4:$A$23,0))),"")</f>
        <v/>
      </c>
      <c r="D376" s="56"/>
      <c r="E376" s="67"/>
      <c r="F376" s="55"/>
      <c r="G376" s="68"/>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2" t="str">
        <f aca="false">IFERROR(IF($B377="","",IF(INDEX(Einheiten!$B$4:$B$63,MATCH($B377,Einheiten!$A$4:$A$63,0))=0,"",INDEX(Einheiten!$B$4:$B$63,MATCH($B377,Einheiten!$A$4:$A$63,0)))),"")</f>
        <v/>
      </c>
      <c r="B377" s="54"/>
      <c r="C377" s="73" t="str">
        <f aca="false">IFERROR(IF($D377="","",INDEX(Übungen!$B$4:$B$23,MATCH($D377,Übungen!$A$4:$A$23,0))),"")</f>
        <v/>
      </c>
      <c r="D377" s="56"/>
      <c r="E377" s="67"/>
      <c r="F377" s="55"/>
      <c r="G377" s="68"/>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2" t="str">
        <f aca="false">IFERROR(IF($B378="","",IF(INDEX(Einheiten!$B$4:$B$63,MATCH($B378,Einheiten!$A$4:$A$63,0))=0,"",INDEX(Einheiten!$B$4:$B$63,MATCH($B378,Einheiten!$A$4:$A$63,0)))),"")</f>
        <v/>
      </c>
      <c r="B378" s="54"/>
      <c r="C378" s="73" t="str">
        <f aca="false">IFERROR(IF($D378="","",INDEX(Übungen!$B$4:$B$23,MATCH($D378,Übungen!$A$4:$A$23,0))),"")</f>
        <v/>
      </c>
      <c r="D378" s="56"/>
      <c r="E378" s="67"/>
      <c r="F378" s="55"/>
      <c r="G378" s="68"/>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2" t="str">
        <f aca="false">IFERROR(IF($B379="","",IF(INDEX(Einheiten!$B$4:$B$63,MATCH($B379,Einheiten!$A$4:$A$63,0))=0,"",INDEX(Einheiten!$B$4:$B$63,MATCH($B379,Einheiten!$A$4:$A$63,0)))),"")</f>
        <v/>
      </c>
      <c r="B379" s="54"/>
      <c r="C379" s="73" t="str">
        <f aca="false">IFERROR(IF($D379="","",INDEX(Übungen!$B$4:$B$23,MATCH($D379,Übungen!$A$4:$A$23,0))),"")</f>
        <v/>
      </c>
      <c r="D379" s="56"/>
      <c r="E379" s="67"/>
      <c r="F379" s="55"/>
      <c r="G379" s="68"/>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2" t="str">
        <f aca="false">IFERROR(IF($B380="","",IF(INDEX(Einheiten!$B$4:$B$63,MATCH($B380,Einheiten!$A$4:$A$63,0))=0,"",INDEX(Einheiten!$B$4:$B$63,MATCH($B380,Einheiten!$A$4:$A$63,0)))),"")</f>
        <v/>
      </c>
      <c r="B380" s="54"/>
      <c r="C380" s="73" t="str">
        <f aca="false">IFERROR(IF($D380="","",INDEX(Übungen!$B$4:$B$23,MATCH($D380,Übungen!$A$4:$A$23,0))),"")</f>
        <v/>
      </c>
      <c r="D380" s="56"/>
      <c r="E380" s="67"/>
      <c r="F380" s="55"/>
      <c r="G380" s="68"/>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2" t="str">
        <f aca="false">IFERROR(IF($B381="","",IF(INDEX(Einheiten!$B$4:$B$63,MATCH($B381,Einheiten!$A$4:$A$63,0))=0,"",INDEX(Einheiten!$B$4:$B$63,MATCH($B381,Einheiten!$A$4:$A$63,0)))),"")</f>
        <v/>
      </c>
      <c r="B381" s="54"/>
      <c r="C381" s="73" t="str">
        <f aca="false">IFERROR(IF($D381="","",INDEX(Übungen!$B$4:$B$23,MATCH($D381,Übungen!$A$4:$A$23,0))),"")</f>
        <v/>
      </c>
      <c r="D381" s="56"/>
      <c r="E381" s="67"/>
      <c r="F381" s="55"/>
      <c r="G381" s="68"/>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2" t="str">
        <f aca="false">IFERROR(IF($B382="","",IF(INDEX(Einheiten!$B$4:$B$63,MATCH($B382,Einheiten!$A$4:$A$63,0))=0,"",INDEX(Einheiten!$B$4:$B$63,MATCH($B382,Einheiten!$A$4:$A$63,0)))),"")</f>
        <v/>
      </c>
      <c r="B382" s="54"/>
      <c r="C382" s="73" t="str">
        <f aca="false">IFERROR(IF($D382="","",INDEX(Übungen!$B$4:$B$23,MATCH($D382,Übungen!$A$4:$A$23,0))),"")</f>
        <v/>
      </c>
      <c r="D382" s="56"/>
      <c r="E382" s="67"/>
      <c r="F382" s="55"/>
      <c r="G382" s="68"/>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2" t="str">
        <f aca="false">IFERROR(IF($B383="","",IF(INDEX(Einheiten!$B$4:$B$63,MATCH($B383,Einheiten!$A$4:$A$63,0))=0,"",INDEX(Einheiten!$B$4:$B$63,MATCH($B383,Einheiten!$A$4:$A$63,0)))),"")</f>
        <v/>
      </c>
      <c r="B383" s="54"/>
      <c r="C383" s="73" t="str">
        <f aca="false">IFERROR(IF($D383="","",INDEX(Übungen!$B$4:$B$23,MATCH($D383,Übungen!$A$4:$A$23,0))),"")</f>
        <v/>
      </c>
      <c r="D383" s="56"/>
      <c r="E383" s="67"/>
      <c r="F383" s="55"/>
      <c r="G383" s="68"/>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2" t="str">
        <f aca="false">IFERROR(IF($B384="","",IF(INDEX(Einheiten!$B$4:$B$63,MATCH($B384,Einheiten!$A$4:$A$63,0))=0,"",INDEX(Einheiten!$B$4:$B$63,MATCH($B384,Einheiten!$A$4:$A$63,0)))),"")</f>
        <v/>
      </c>
      <c r="B384" s="54"/>
      <c r="C384" s="73" t="str">
        <f aca="false">IFERROR(IF($D384="","",INDEX(Übungen!$B$4:$B$23,MATCH($D384,Übungen!$A$4:$A$23,0))),"")</f>
        <v/>
      </c>
      <c r="D384" s="56"/>
      <c r="E384" s="67"/>
      <c r="F384" s="55"/>
      <c r="G384" s="68"/>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2" t="str">
        <f aca="false">IFERROR(IF($B385="","",IF(INDEX(Einheiten!$B$4:$B$63,MATCH($B385,Einheiten!$A$4:$A$63,0))=0,"",INDEX(Einheiten!$B$4:$B$63,MATCH($B385,Einheiten!$A$4:$A$63,0)))),"")</f>
        <v/>
      </c>
      <c r="B385" s="54"/>
      <c r="C385" s="73" t="str">
        <f aca="false">IFERROR(IF($D385="","",INDEX(Übungen!$B$4:$B$23,MATCH($D385,Übungen!$A$4:$A$23,0))),"")</f>
        <v/>
      </c>
      <c r="D385" s="56"/>
      <c r="E385" s="67"/>
      <c r="F385" s="55"/>
      <c r="G385" s="68"/>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2" t="str">
        <f aca="false">IFERROR(IF($B386="","",IF(INDEX(Einheiten!$B$4:$B$63,MATCH($B386,Einheiten!$A$4:$A$63,0))=0,"",INDEX(Einheiten!$B$4:$B$63,MATCH($B386,Einheiten!$A$4:$A$63,0)))),"")</f>
        <v/>
      </c>
      <c r="B386" s="54"/>
      <c r="C386" s="73" t="str">
        <f aca="false">IFERROR(IF($D386="","",INDEX(Übungen!$B$4:$B$23,MATCH($D386,Übungen!$A$4:$A$23,0))),"")</f>
        <v/>
      </c>
      <c r="D386" s="56"/>
      <c r="E386" s="67"/>
      <c r="F386" s="55"/>
      <c r="G386" s="68"/>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2" t="str">
        <f aca="false">IFERROR(IF($B387="","",IF(INDEX(Einheiten!$B$4:$B$63,MATCH($B387,Einheiten!$A$4:$A$63,0))=0,"",INDEX(Einheiten!$B$4:$B$63,MATCH($B387,Einheiten!$A$4:$A$63,0)))),"")</f>
        <v/>
      </c>
      <c r="B387" s="54"/>
      <c r="C387" s="73" t="str">
        <f aca="false">IFERROR(IF($D387="","",INDEX(Übungen!$B$4:$B$23,MATCH($D387,Übungen!$A$4:$A$23,0))),"")</f>
        <v/>
      </c>
      <c r="D387" s="56"/>
      <c r="E387" s="67"/>
      <c r="F387" s="55"/>
      <c r="G387" s="68"/>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2" t="str">
        <f aca="false">IFERROR(IF($B388="","",IF(INDEX(Einheiten!$B$4:$B$63,MATCH($B388,Einheiten!$A$4:$A$63,0))=0,"",INDEX(Einheiten!$B$4:$B$63,MATCH($B388,Einheiten!$A$4:$A$63,0)))),"")</f>
        <v/>
      </c>
      <c r="B388" s="54"/>
      <c r="C388" s="73" t="str">
        <f aca="false">IFERROR(IF($D388="","",INDEX(Übungen!$B$4:$B$23,MATCH($D388,Übungen!$A$4:$A$23,0))),"")</f>
        <v/>
      </c>
      <c r="D388" s="56"/>
      <c r="E388" s="67"/>
      <c r="F388" s="55"/>
      <c r="G388" s="68"/>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2" t="str">
        <f aca="false">IFERROR(IF($B389="","",IF(INDEX(Einheiten!$B$4:$B$63,MATCH($B389,Einheiten!$A$4:$A$63,0))=0,"",INDEX(Einheiten!$B$4:$B$63,MATCH($B389,Einheiten!$A$4:$A$63,0)))),"")</f>
        <v/>
      </c>
      <c r="B389" s="54"/>
      <c r="C389" s="73" t="str">
        <f aca="false">IFERROR(IF($D389="","",INDEX(Übungen!$B$4:$B$23,MATCH($D389,Übungen!$A$4:$A$23,0))),"")</f>
        <v/>
      </c>
      <c r="D389" s="56"/>
      <c r="E389" s="67"/>
      <c r="F389" s="55"/>
      <c r="G389" s="68"/>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2" t="str">
        <f aca="false">IFERROR(IF($B390="","",IF(INDEX(Einheiten!$B$4:$B$63,MATCH($B390,Einheiten!$A$4:$A$63,0))=0,"",INDEX(Einheiten!$B$4:$B$63,MATCH($B390,Einheiten!$A$4:$A$63,0)))),"")</f>
        <v/>
      </c>
      <c r="B390" s="54"/>
      <c r="C390" s="73" t="str">
        <f aca="false">IFERROR(IF($D390="","",INDEX(Übungen!$B$4:$B$23,MATCH($D390,Übungen!$A$4:$A$23,0))),"")</f>
        <v/>
      </c>
      <c r="D390" s="56"/>
      <c r="E390" s="67"/>
      <c r="F390" s="55"/>
      <c r="G390" s="68"/>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2" t="str">
        <f aca="false">IFERROR(IF($B391="","",IF(INDEX(Einheiten!$B$4:$B$63,MATCH($B391,Einheiten!$A$4:$A$63,0))=0,"",INDEX(Einheiten!$B$4:$B$63,MATCH($B391,Einheiten!$A$4:$A$63,0)))),"")</f>
        <v/>
      </c>
      <c r="B391" s="54"/>
      <c r="C391" s="73" t="str">
        <f aca="false">IFERROR(IF($D391="","",INDEX(Übungen!$B$4:$B$23,MATCH($D391,Übungen!$A$4:$A$23,0))),"")</f>
        <v/>
      </c>
      <c r="D391" s="56"/>
      <c r="E391" s="67"/>
      <c r="F391" s="55"/>
      <c r="G391" s="68"/>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2" t="str">
        <f aca="false">IFERROR(IF($B392="","",IF(INDEX(Einheiten!$B$4:$B$63,MATCH($B392,Einheiten!$A$4:$A$63,0))=0,"",INDEX(Einheiten!$B$4:$B$63,MATCH($B392,Einheiten!$A$4:$A$63,0)))),"")</f>
        <v/>
      </c>
      <c r="B392" s="54"/>
      <c r="C392" s="73" t="str">
        <f aca="false">IFERROR(IF($D392="","",INDEX(Übungen!$B$4:$B$23,MATCH($D392,Übungen!$A$4:$A$23,0))),"")</f>
        <v/>
      </c>
      <c r="D392" s="56"/>
      <c r="E392" s="67"/>
      <c r="F392" s="55"/>
      <c r="G392" s="68"/>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2" t="str">
        <f aca="false">IFERROR(IF($B393="","",IF(INDEX(Einheiten!$B$4:$B$63,MATCH($B393,Einheiten!$A$4:$A$63,0))=0,"",INDEX(Einheiten!$B$4:$B$63,MATCH($B393,Einheiten!$A$4:$A$63,0)))),"")</f>
        <v/>
      </c>
      <c r="B393" s="54"/>
      <c r="C393" s="73" t="str">
        <f aca="false">IFERROR(IF($D393="","",INDEX(Übungen!$B$4:$B$23,MATCH($D393,Übungen!$A$4:$A$23,0))),"")</f>
        <v/>
      </c>
      <c r="D393" s="56"/>
      <c r="E393" s="67"/>
      <c r="F393" s="55"/>
      <c r="G393" s="68"/>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2" t="str">
        <f aca="false">IFERROR(IF($B394="","",IF(INDEX(Einheiten!$B$4:$B$63,MATCH($B394,Einheiten!$A$4:$A$63,0))=0,"",INDEX(Einheiten!$B$4:$B$63,MATCH($B394,Einheiten!$A$4:$A$63,0)))),"")</f>
        <v/>
      </c>
      <c r="B394" s="54"/>
      <c r="C394" s="73" t="str">
        <f aca="false">IFERROR(IF($D394="","",INDEX(Übungen!$B$4:$B$23,MATCH($D394,Übungen!$A$4:$A$23,0))),"")</f>
        <v/>
      </c>
      <c r="D394" s="56"/>
      <c r="E394" s="67"/>
      <c r="F394" s="55"/>
      <c r="G394" s="68"/>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2" t="str">
        <f aca="false">IFERROR(IF($B395="","",IF(INDEX(Einheiten!$B$4:$B$63,MATCH($B395,Einheiten!$A$4:$A$63,0))=0,"",INDEX(Einheiten!$B$4:$B$63,MATCH($B395,Einheiten!$A$4:$A$63,0)))),"")</f>
        <v/>
      </c>
      <c r="B395" s="54"/>
      <c r="C395" s="73" t="str">
        <f aca="false">IFERROR(IF($D395="","",INDEX(Übungen!$B$4:$B$23,MATCH($D395,Übungen!$A$4:$A$23,0))),"")</f>
        <v/>
      </c>
      <c r="D395" s="56"/>
      <c r="E395" s="67"/>
      <c r="F395" s="55"/>
      <c r="G395" s="68"/>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2" t="str">
        <f aca="false">IFERROR(IF($B396="","",IF(INDEX(Einheiten!$B$4:$B$63,MATCH($B396,Einheiten!$A$4:$A$63,0))=0,"",INDEX(Einheiten!$B$4:$B$63,MATCH($B396,Einheiten!$A$4:$A$63,0)))),"")</f>
        <v/>
      </c>
      <c r="B396" s="54"/>
      <c r="C396" s="73" t="str">
        <f aca="false">IFERROR(IF($D396="","",INDEX(Übungen!$B$4:$B$23,MATCH($D396,Übungen!$A$4:$A$23,0))),"")</f>
        <v/>
      </c>
      <c r="D396" s="56"/>
      <c r="E396" s="67"/>
      <c r="F396" s="55"/>
      <c r="G396" s="68"/>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2" t="str">
        <f aca="false">IFERROR(IF($B397="","",IF(INDEX(Einheiten!$B$4:$B$63,MATCH($B397,Einheiten!$A$4:$A$63,0))=0,"",INDEX(Einheiten!$B$4:$B$63,MATCH($B397,Einheiten!$A$4:$A$63,0)))),"")</f>
        <v/>
      </c>
      <c r="B397" s="54"/>
      <c r="C397" s="73" t="str">
        <f aca="false">IFERROR(IF($D397="","",INDEX(Übungen!$B$4:$B$23,MATCH($D397,Übungen!$A$4:$A$23,0))),"")</f>
        <v/>
      </c>
      <c r="D397" s="56"/>
      <c r="E397" s="67"/>
      <c r="F397" s="55"/>
      <c r="G397" s="68"/>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2" t="str">
        <f aca="false">IFERROR(IF($B398="","",IF(INDEX(Einheiten!$B$4:$B$63,MATCH($B398,Einheiten!$A$4:$A$63,0))=0,"",INDEX(Einheiten!$B$4:$B$63,MATCH($B398,Einheiten!$A$4:$A$63,0)))),"")</f>
        <v/>
      </c>
      <c r="B398" s="54"/>
      <c r="C398" s="73" t="str">
        <f aca="false">IFERROR(IF($D398="","",INDEX(Übungen!$B$4:$B$23,MATCH($D398,Übungen!$A$4:$A$23,0))),"")</f>
        <v/>
      </c>
      <c r="D398" s="56"/>
      <c r="E398" s="67"/>
      <c r="F398" s="55"/>
      <c r="G398" s="68"/>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2" t="str">
        <f aca="false">IFERROR(IF($B399="","",IF(INDEX(Einheiten!$B$4:$B$63,MATCH($B399,Einheiten!$A$4:$A$63,0))=0,"",INDEX(Einheiten!$B$4:$B$63,MATCH($B399,Einheiten!$A$4:$A$63,0)))),"")</f>
        <v/>
      </c>
      <c r="B399" s="54"/>
      <c r="C399" s="73" t="str">
        <f aca="false">IFERROR(IF($D399="","",INDEX(Übungen!$B$4:$B$23,MATCH($D399,Übungen!$A$4:$A$23,0))),"")</f>
        <v/>
      </c>
      <c r="D399" s="56"/>
      <c r="E399" s="67"/>
      <c r="F399" s="55"/>
      <c r="G399" s="68"/>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2" t="str">
        <f aca="false">IFERROR(IF($B400="","",IF(INDEX(Einheiten!$B$4:$B$63,MATCH($B400,Einheiten!$A$4:$A$63,0))=0,"",INDEX(Einheiten!$B$4:$B$63,MATCH($B400,Einheiten!$A$4:$A$63,0)))),"")</f>
        <v/>
      </c>
      <c r="B400" s="54"/>
      <c r="C400" s="73" t="str">
        <f aca="false">IFERROR(IF($D400="","",INDEX(Übungen!$B$4:$B$23,MATCH($D400,Übungen!$A$4:$A$23,0))),"")</f>
        <v/>
      </c>
      <c r="D400" s="56"/>
      <c r="E400" s="67"/>
      <c r="F400" s="55"/>
      <c r="G400" s="68"/>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2" t="str">
        <f aca="false">IFERROR(IF($B401="","",IF(INDEX(Einheiten!$B$4:$B$63,MATCH($B401,Einheiten!$A$4:$A$63,0))=0,"",INDEX(Einheiten!$B$4:$B$63,MATCH($B401,Einheiten!$A$4:$A$63,0)))),"")</f>
        <v/>
      </c>
      <c r="B401" s="54"/>
      <c r="C401" s="73" t="str">
        <f aca="false">IFERROR(IF($D401="","",INDEX(Übungen!$B$4:$B$23,MATCH($D401,Übungen!$A$4:$A$23,0))),"")</f>
        <v/>
      </c>
      <c r="D401" s="56"/>
      <c r="E401" s="67"/>
      <c r="F401" s="55"/>
      <c r="G401" s="68"/>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2" t="str">
        <f aca="false">IFERROR(IF($B402="","",IF(INDEX(Einheiten!$B$4:$B$63,MATCH($B402,Einheiten!$A$4:$A$63,0))=0,"",INDEX(Einheiten!$B$4:$B$63,MATCH($B402,Einheiten!$A$4:$A$63,0)))),"")</f>
        <v/>
      </c>
      <c r="B402" s="54"/>
      <c r="C402" s="73" t="str">
        <f aca="false">IFERROR(IF($D402="","",INDEX(Übungen!$B$4:$B$23,MATCH($D402,Übungen!$A$4:$A$23,0))),"")</f>
        <v/>
      </c>
      <c r="D402" s="56"/>
      <c r="E402" s="67"/>
      <c r="F402" s="55"/>
      <c r="G402" s="68"/>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2" t="str">
        <f aca="false">IFERROR(IF($B403="","",IF(INDEX(Einheiten!$B$4:$B$63,MATCH($B403,Einheiten!$A$4:$A$63,0))=0,"",INDEX(Einheiten!$B$4:$B$63,MATCH($B403,Einheiten!$A$4:$A$63,0)))),"")</f>
        <v/>
      </c>
      <c r="B403" s="54"/>
      <c r="C403" s="73" t="str">
        <f aca="false">IFERROR(IF($D403="","",INDEX(Übungen!$B$4:$B$23,MATCH($D403,Übungen!$A$4:$A$23,0))),"")</f>
        <v/>
      </c>
      <c r="D403" s="56"/>
      <c r="E403" s="67"/>
      <c r="F403" s="55"/>
      <c r="G403" s="68"/>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2" t="str">
        <f aca="false">IFERROR(IF($B404="","",IF(INDEX(Einheiten!$B$4:$B$63,MATCH($B404,Einheiten!$A$4:$A$63,0))=0,"",INDEX(Einheiten!$B$4:$B$63,MATCH($B404,Einheiten!$A$4:$A$63,0)))),"")</f>
        <v/>
      </c>
      <c r="B404" s="54"/>
      <c r="C404" s="73" t="str">
        <f aca="false">IFERROR(IF($D404="","",INDEX(Übungen!$B$4:$B$23,MATCH($D404,Übungen!$A$4:$A$23,0))),"")</f>
        <v/>
      </c>
      <c r="D404" s="56"/>
      <c r="E404" s="67"/>
      <c r="F404" s="55"/>
      <c r="G404" s="68"/>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2" t="str">
        <f aca="false">IFERROR(IF($B405="","",IF(INDEX(Einheiten!$B$4:$B$63,MATCH($B405,Einheiten!$A$4:$A$63,0))=0,"",INDEX(Einheiten!$B$4:$B$63,MATCH($B405,Einheiten!$A$4:$A$63,0)))),"")</f>
        <v/>
      </c>
      <c r="B405" s="54"/>
      <c r="C405" s="73" t="str">
        <f aca="false">IFERROR(IF($D405="","",INDEX(Übungen!$B$4:$B$23,MATCH($D405,Übungen!$A$4:$A$23,0))),"")</f>
        <v/>
      </c>
      <c r="D405" s="56"/>
      <c r="E405" s="67"/>
      <c r="F405" s="55"/>
      <c r="G405" s="68"/>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2" t="str">
        <f aca="false">IFERROR(IF($B406="","",IF(INDEX(Einheiten!$B$4:$B$63,MATCH($B406,Einheiten!$A$4:$A$63,0))=0,"",INDEX(Einheiten!$B$4:$B$63,MATCH($B406,Einheiten!$A$4:$A$63,0)))),"")</f>
        <v/>
      </c>
      <c r="B406" s="54"/>
      <c r="C406" s="73" t="str">
        <f aca="false">IFERROR(IF($D406="","",INDEX(Übungen!$B$4:$B$23,MATCH($D406,Übungen!$A$4:$A$23,0))),"")</f>
        <v/>
      </c>
      <c r="D406" s="56"/>
      <c r="E406" s="67"/>
      <c r="F406" s="55"/>
      <c r="G406" s="68"/>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2" t="str">
        <f aca="false">IFERROR(IF($B407="","",IF(INDEX(Einheiten!$B$4:$B$63,MATCH($B407,Einheiten!$A$4:$A$63,0))=0,"",INDEX(Einheiten!$B$4:$B$63,MATCH($B407,Einheiten!$A$4:$A$63,0)))),"")</f>
        <v/>
      </c>
      <c r="B407" s="54"/>
      <c r="C407" s="73" t="str">
        <f aca="false">IFERROR(IF($D407="","",INDEX(Übungen!$B$4:$B$23,MATCH($D407,Übungen!$A$4:$A$23,0))),"")</f>
        <v/>
      </c>
      <c r="D407" s="56"/>
      <c r="E407" s="67"/>
      <c r="F407" s="55"/>
      <c r="G407" s="68"/>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2" t="str">
        <f aca="false">IFERROR(IF($B408="","",IF(INDEX(Einheiten!$B$4:$B$63,MATCH($B408,Einheiten!$A$4:$A$63,0))=0,"",INDEX(Einheiten!$B$4:$B$63,MATCH($B408,Einheiten!$A$4:$A$63,0)))),"")</f>
        <v/>
      </c>
      <c r="B408" s="54"/>
      <c r="C408" s="73" t="str">
        <f aca="false">IFERROR(IF($D408="","",INDEX(Übungen!$B$4:$B$23,MATCH($D408,Übungen!$A$4:$A$23,0))),"")</f>
        <v/>
      </c>
      <c r="D408" s="56"/>
      <c r="E408" s="67"/>
      <c r="F408" s="55"/>
      <c r="G408" s="68"/>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2" t="str">
        <f aca="false">IFERROR(IF($B409="","",IF(INDEX(Einheiten!$B$4:$B$63,MATCH($B409,Einheiten!$A$4:$A$63,0))=0,"",INDEX(Einheiten!$B$4:$B$63,MATCH($B409,Einheiten!$A$4:$A$63,0)))),"")</f>
        <v/>
      </c>
      <c r="B409" s="54"/>
      <c r="C409" s="73" t="str">
        <f aca="false">IFERROR(IF($D409="","",INDEX(Übungen!$B$4:$B$23,MATCH($D409,Übungen!$A$4:$A$23,0))),"")</f>
        <v/>
      </c>
      <c r="D409" s="56"/>
      <c r="E409" s="67"/>
      <c r="F409" s="55"/>
      <c r="G409" s="68"/>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2" t="str">
        <f aca="false">IFERROR(IF($B410="","",IF(INDEX(Einheiten!$B$4:$B$63,MATCH($B410,Einheiten!$A$4:$A$63,0))=0,"",INDEX(Einheiten!$B$4:$B$63,MATCH($B410,Einheiten!$A$4:$A$63,0)))),"")</f>
        <v/>
      </c>
      <c r="B410" s="54"/>
      <c r="C410" s="73" t="str">
        <f aca="false">IFERROR(IF($D410="","",INDEX(Übungen!$B$4:$B$23,MATCH($D410,Übungen!$A$4:$A$23,0))),"")</f>
        <v/>
      </c>
      <c r="D410" s="56"/>
      <c r="E410" s="67"/>
      <c r="F410" s="55"/>
      <c r="G410" s="68"/>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2" t="str">
        <f aca="false">IFERROR(IF($B411="","",IF(INDEX(Einheiten!$B$4:$B$63,MATCH($B411,Einheiten!$A$4:$A$63,0))=0,"",INDEX(Einheiten!$B$4:$B$63,MATCH($B411,Einheiten!$A$4:$A$63,0)))),"")</f>
        <v/>
      </c>
      <c r="B411" s="54"/>
      <c r="C411" s="73" t="str">
        <f aca="false">IFERROR(IF($D411="","",INDEX(Übungen!$B$4:$B$23,MATCH($D411,Übungen!$A$4:$A$23,0))),"")</f>
        <v/>
      </c>
      <c r="D411" s="56"/>
      <c r="E411" s="67"/>
      <c r="F411" s="55"/>
      <c r="G411" s="68"/>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2" t="str">
        <f aca="false">IFERROR(IF($B412="","",IF(INDEX(Einheiten!$B$4:$B$63,MATCH($B412,Einheiten!$A$4:$A$63,0))=0,"",INDEX(Einheiten!$B$4:$B$63,MATCH($B412,Einheiten!$A$4:$A$63,0)))),"")</f>
        <v/>
      </c>
      <c r="B412" s="54"/>
      <c r="C412" s="73" t="str">
        <f aca="false">IFERROR(IF($D412="","",INDEX(Übungen!$B$4:$B$23,MATCH($D412,Übungen!$A$4:$A$23,0))),"")</f>
        <v/>
      </c>
      <c r="D412" s="56"/>
      <c r="E412" s="67"/>
      <c r="F412" s="55"/>
      <c r="G412" s="68"/>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2" t="str">
        <f aca="false">IFERROR(IF($B413="","",IF(INDEX(Einheiten!$B$4:$B$63,MATCH($B413,Einheiten!$A$4:$A$63,0))=0,"",INDEX(Einheiten!$B$4:$B$63,MATCH($B413,Einheiten!$A$4:$A$63,0)))),"")</f>
        <v/>
      </c>
      <c r="B413" s="54"/>
      <c r="C413" s="73" t="str">
        <f aca="false">IFERROR(IF($D413="","",INDEX(Übungen!$B$4:$B$23,MATCH($D413,Übungen!$A$4:$A$23,0))),"")</f>
        <v/>
      </c>
      <c r="D413" s="56"/>
      <c r="E413" s="67"/>
      <c r="F413" s="55"/>
      <c r="G413" s="68"/>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2" t="str">
        <f aca="false">IFERROR(IF($B414="","",IF(INDEX(Einheiten!$B$4:$B$63,MATCH($B414,Einheiten!$A$4:$A$63,0))=0,"",INDEX(Einheiten!$B$4:$B$63,MATCH($B414,Einheiten!$A$4:$A$63,0)))),"")</f>
        <v/>
      </c>
      <c r="B414" s="54"/>
      <c r="C414" s="73" t="str">
        <f aca="false">IFERROR(IF($D414="","",INDEX(Übungen!$B$4:$B$23,MATCH($D414,Übungen!$A$4:$A$23,0))),"")</f>
        <v/>
      </c>
      <c r="D414" s="56"/>
      <c r="E414" s="67"/>
      <c r="F414" s="55"/>
      <c r="G414" s="68"/>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2" t="str">
        <f aca="false">IFERROR(IF($B415="","",IF(INDEX(Einheiten!$B$4:$B$63,MATCH($B415,Einheiten!$A$4:$A$63,0))=0,"",INDEX(Einheiten!$B$4:$B$63,MATCH($B415,Einheiten!$A$4:$A$63,0)))),"")</f>
        <v/>
      </c>
      <c r="B415" s="54"/>
      <c r="C415" s="73" t="str">
        <f aca="false">IFERROR(IF($D415="","",INDEX(Übungen!$B$4:$B$23,MATCH($D415,Übungen!$A$4:$A$23,0))),"")</f>
        <v/>
      </c>
      <c r="D415" s="56"/>
      <c r="E415" s="67"/>
      <c r="F415" s="55"/>
      <c r="G415" s="68"/>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2" t="str">
        <f aca="false">IFERROR(IF($B416="","",IF(INDEX(Einheiten!$B$4:$B$63,MATCH($B416,Einheiten!$A$4:$A$63,0))=0,"",INDEX(Einheiten!$B$4:$B$63,MATCH($B416,Einheiten!$A$4:$A$63,0)))),"")</f>
        <v/>
      </c>
      <c r="B416" s="54"/>
      <c r="C416" s="73" t="str">
        <f aca="false">IFERROR(IF($D416="","",INDEX(Übungen!$B$4:$B$23,MATCH($D416,Übungen!$A$4:$A$23,0))),"")</f>
        <v/>
      </c>
      <c r="D416" s="56"/>
      <c r="E416" s="67"/>
      <c r="F416" s="55"/>
      <c r="G416" s="68"/>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2" t="str">
        <f aca="false">IFERROR(IF($B417="","",IF(INDEX(Einheiten!$B$4:$B$63,MATCH($B417,Einheiten!$A$4:$A$63,0))=0,"",INDEX(Einheiten!$B$4:$B$63,MATCH($B417,Einheiten!$A$4:$A$63,0)))),"")</f>
        <v/>
      </c>
      <c r="B417" s="54"/>
      <c r="C417" s="73" t="str">
        <f aca="false">IFERROR(IF($D417="","",INDEX(Übungen!$B$4:$B$23,MATCH($D417,Übungen!$A$4:$A$23,0))),"")</f>
        <v/>
      </c>
      <c r="D417" s="56"/>
      <c r="E417" s="67"/>
      <c r="F417" s="55"/>
      <c r="G417" s="68"/>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2" t="str">
        <f aca="false">IFERROR(IF($B418="","",IF(INDEX(Einheiten!$B$4:$B$63,MATCH($B418,Einheiten!$A$4:$A$63,0))=0,"",INDEX(Einheiten!$B$4:$B$63,MATCH($B418,Einheiten!$A$4:$A$63,0)))),"")</f>
        <v/>
      </c>
      <c r="B418" s="54"/>
      <c r="C418" s="73" t="str">
        <f aca="false">IFERROR(IF($D418="","",INDEX(Übungen!$B$4:$B$23,MATCH($D418,Übungen!$A$4:$A$23,0))),"")</f>
        <v/>
      </c>
      <c r="D418" s="56"/>
      <c r="E418" s="67"/>
      <c r="F418" s="55"/>
      <c r="G418" s="68"/>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2" t="str">
        <f aca="false">IFERROR(IF($B419="","",IF(INDEX(Einheiten!$B$4:$B$63,MATCH($B419,Einheiten!$A$4:$A$63,0))=0,"",INDEX(Einheiten!$B$4:$B$63,MATCH($B419,Einheiten!$A$4:$A$63,0)))),"")</f>
        <v/>
      </c>
      <c r="B419" s="54"/>
      <c r="C419" s="73" t="str">
        <f aca="false">IFERROR(IF($D419="","",INDEX(Übungen!$B$4:$B$23,MATCH($D419,Übungen!$A$4:$A$23,0))),"")</f>
        <v/>
      </c>
      <c r="D419" s="56"/>
      <c r="E419" s="67"/>
      <c r="F419" s="55"/>
      <c r="G419" s="68"/>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2" t="str">
        <f aca="false">IFERROR(IF($B420="","",IF(INDEX(Einheiten!$B$4:$B$63,MATCH($B420,Einheiten!$A$4:$A$63,0))=0,"",INDEX(Einheiten!$B$4:$B$63,MATCH($B420,Einheiten!$A$4:$A$63,0)))),"")</f>
        <v/>
      </c>
      <c r="B420" s="54"/>
      <c r="C420" s="73" t="str">
        <f aca="false">IFERROR(IF($D420="","",INDEX(Übungen!$B$4:$B$23,MATCH($D420,Übungen!$A$4:$A$23,0))),"")</f>
        <v/>
      </c>
      <c r="D420" s="56"/>
      <c r="E420" s="67"/>
      <c r="F420" s="55"/>
      <c r="G420" s="68"/>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2" t="str">
        <f aca="false">IFERROR(IF($B421="","",IF(INDEX(Einheiten!$B$4:$B$63,MATCH($B421,Einheiten!$A$4:$A$63,0))=0,"",INDEX(Einheiten!$B$4:$B$63,MATCH($B421,Einheiten!$A$4:$A$63,0)))),"")</f>
        <v/>
      </c>
      <c r="B421" s="54"/>
      <c r="C421" s="73" t="str">
        <f aca="false">IFERROR(IF($D421="","",INDEX(Übungen!$B$4:$B$23,MATCH($D421,Übungen!$A$4:$A$23,0))),"")</f>
        <v/>
      </c>
      <c r="D421" s="56"/>
      <c r="E421" s="67"/>
      <c r="F421" s="55"/>
      <c r="G421" s="68"/>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2" t="str">
        <f aca="false">IFERROR(IF($B422="","",IF(INDEX(Einheiten!$B$4:$B$63,MATCH($B422,Einheiten!$A$4:$A$63,0))=0,"",INDEX(Einheiten!$B$4:$B$63,MATCH($B422,Einheiten!$A$4:$A$63,0)))),"")</f>
        <v/>
      </c>
      <c r="B422" s="54"/>
      <c r="C422" s="73" t="str">
        <f aca="false">IFERROR(IF($D422="","",INDEX(Übungen!$B$4:$B$23,MATCH($D422,Übungen!$A$4:$A$23,0))),"")</f>
        <v/>
      </c>
      <c r="D422" s="56"/>
      <c r="E422" s="67"/>
      <c r="F422" s="55"/>
      <c r="G422" s="68"/>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2" t="str">
        <f aca="false">IFERROR(IF($B423="","",IF(INDEX(Einheiten!$B$4:$B$63,MATCH($B423,Einheiten!$A$4:$A$63,0))=0,"",INDEX(Einheiten!$B$4:$B$63,MATCH($B423,Einheiten!$A$4:$A$63,0)))),"")</f>
        <v/>
      </c>
      <c r="B423" s="54"/>
      <c r="C423" s="73" t="str">
        <f aca="false">IFERROR(IF($D423="","",INDEX(Übungen!$B$4:$B$23,MATCH($D423,Übungen!$A$4:$A$23,0))),"")</f>
        <v/>
      </c>
      <c r="D423" s="56"/>
      <c r="E423" s="67"/>
      <c r="F423" s="55"/>
      <c r="G423" s="68"/>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2" t="str">
        <f aca="false">IFERROR(IF($B424="","",IF(INDEX(Einheiten!$B$4:$B$63,MATCH($B424,Einheiten!$A$4:$A$63,0))=0,"",INDEX(Einheiten!$B$4:$B$63,MATCH($B424,Einheiten!$A$4:$A$63,0)))),"")</f>
        <v/>
      </c>
      <c r="B424" s="54"/>
      <c r="C424" s="73" t="str">
        <f aca="false">IFERROR(IF($D424="","",INDEX(Übungen!$B$4:$B$23,MATCH($D424,Übungen!$A$4:$A$23,0))),"")</f>
        <v/>
      </c>
      <c r="D424" s="56"/>
      <c r="E424" s="67"/>
      <c r="F424" s="55"/>
      <c r="G424" s="68"/>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2" t="str">
        <f aca="false">IFERROR(IF($B425="","",IF(INDEX(Einheiten!$B$4:$B$63,MATCH($B425,Einheiten!$A$4:$A$63,0))=0,"",INDEX(Einheiten!$B$4:$B$63,MATCH($B425,Einheiten!$A$4:$A$63,0)))),"")</f>
        <v/>
      </c>
      <c r="B425" s="54"/>
      <c r="C425" s="73" t="str">
        <f aca="false">IFERROR(IF($D425="","",INDEX(Übungen!$B$4:$B$23,MATCH($D425,Übungen!$A$4:$A$23,0))),"")</f>
        <v/>
      </c>
      <c r="D425" s="56"/>
      <c r="E425" s="67"/>
      <c r="F425" s="55"/>
      <c r="G425" s="68"/>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2" t="str">
        <f aca="false">IFERROR(IF($B426="","",IF(INDEX(Einheiten!$B$4:$B$63,MATCH($B426,Einheiten!$A$4:$A$63,0))=0,"",INDEX(Einheiten!$B$4:$B$63,MATCH($B426,Einheiten!$A$4:$A$63,0)))),"")</f>
        <v/>
      </c>
      <c r="B426" s="54"/>
      <c r="C426" s="73" t="str">
        <f aca="false">IFERROR(IF($D426="","",INDEX(Übungen!$B$4:$B$23,MATCH($D426,Übungen!$A$4:$A$23,0))),"")</f>
        <v/>
      </c>
      <c r="D426" s="56"/>
      <c r="E426" s="67"/>
      <c r="F426" s="55"/>
      <c r="G426" s="68"/>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2" t="str">
        <f aca="false">IFERROR(IF($B427="","",IF(INDEX(Einheiten!$B$4:$B$63,MATCH($B427,Einheiten!$A$4:$A$63,0))=0,"",INDEX(Einheiten!$B$4:$B$63,MATCH($B427,Einheiten!$A$4:$A$63,0)))),"")</f>
        <v/>
      </c>
      <c r="B427" s="54"/>
      <c r="C427" s="73" t="str">
        <f aca="false">IFERROR(IF($D427="","",INDEX(Übungen!$B$4:$B$23,MATCH($D427,Übungen!$A$4:$A$23,0))),"")</f>
        <v/>
      </c>
      <c r="D427" s="56"/>
      <c r="E427" s="67"/>
      <c r="F427" s="55"/>
      <c r="G427" s="68"/>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2" t="str">
        <f aca="false">IFERROR(IF($B428="","",IF(INDEX(Einheiten!$B$4:$B$63,MATCH($B428,Einheiten!$A$4:$A$63,0))=0,"",INDEX(Einheiten!$B$4:$B$63,MATCH($B428,Einheiten!$A$4:$A$63,0)))),"")</f>
        <v/>
      </c>
      <c r="B428" s="54"/>
      <c r="C428" s="73" t="str">
        <f aca="false">IFERROR(IF($D428="","",INDEX(Übungen!$B$4:$B$23,MATCH($D428,Übungen!$A$4:$A$23,0))),"")</f>
        <v/>
      </c>
      <c r="D428" s="56"/>
      <c r="E428" s="67"/>
      <c r="F428" s="55"/>
      <c r="G428" s="68"/>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2" t="str">
        <f aca="false">IFERROR(IF($B429="","",IF(INDEX(Einheiten!$B$4:$B$63,MATCH($B429,Einheiten!$A$4:$A$63,0))=0,"",INDEX(Einheiten!$B$4:$B$63,MATCH($B429,Einheiten!$A$4:$A$63,0)))),"")</f>
        <v/>
      </c>
      <c r="B429" s="54"/>
      <c r="C429" s="73" t="str">
        <f aca="false">IFERROR(IF($D429="","",INDEX(Übungen!$B$4:$B$23,MATCH($D429,Übungen!$A$4:$A$23,0))),"")</f>
        <v/>
      </c>
      <c r="D429" s="56"/>
      <c r="E429" s="67"/>
      <c r="F429" s="55"/>
      <c r="G429" s="68"/>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2" t="str">
        <f aca="false">IFERROR(IF($B430="","",IF(INDEX(Einheiten!$B$4:$B$63,MATCH($B430,Einheiten!$A$4:$A$63,0))=0,"",INDEX(Einheiten!$B$4:$B$63,MATCH($B430,Einheiten!$A$4:$A$63,0)))),"")</f>
        <v/>
      </c>
      <c r="B430" s="54"/>
      <c r="C430" s="73" t="str">
        <f aca="false">IFERROR(IF($D430="","",INDEX(Übungen!$B$4:$B$23,MATCH($D430,Übungen!$A$4:$A$23,0))),"")</f>
        <v/>
      </c>
      <c r="D430" s="56"/>
      <c r="E430" s="67"/>
      <c r="F430" s="55"/>
      <c r="G430" s="68"/>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2" t="str">
        <f aca="false">IFERROR(IF($B431="","",IF(INDEX(Einheiten!$B$4:$B$63,MATCH($B431,Einheiten!$A$4:$A$63,0))=0,"",INDEX(Einheiten!$B$4:$B$63,MATCH($B431,Einheiten!$A$4:$A$63,0)))),"")</f>
        <v/>
      </c>
      <c r="B431" s="54"/>
      <c r="C431" s="73" t="str">
        <f aca="false">IFERROR(IF($D431="","",INDEX(Übungen!$B$4:$B$23,MATCH($D431,Übungen!$A$4:$A$23,0))),"")</f>
        <v/>
      </c>
      <c r="D431" s="56"/>
      <c r="E431" s="67"/>
      <c r="F431" s="55"/>
      <c r="G431" s="68"/>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2" t="str">
        <f aca="false">IFERROR(IF($B432="","",IF(INDEX(Einheiten!$B$4:$B$63,MATCH($B432,Einheiten!$A$4:$A$63,0))=0,"",INDEX(Einheiten!$B$4:$B$63,MATCH($B432,Einheiten!$A$4:$A$63,0)))),"")</f>
        <v/>
      </c>
      <c r="B432" s="54"/>
      <c r="C432" s="73" t="str">
        <f aca="false">IFERROR(IF($D432="","",INDEX(Übungen!$B$4:$B$23,MATCH($D432,Übungen!$A$4:$A$23,0))),"")</f>
        <v/>
      </c>
      <c r="D432" s="56"/>
      <c r="E432" s="67"/>
      <c r="F432" s="55"/>
      <c r="G432" s="68"/>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2" t="str">
        <f aca="false">IFERROR(IF($B433="","",IF(INDEX(Einheiten!$B$4:$B$63,MATCH($B433,Einheiten!$A$4:$A$63,0))=0,"",INDEX(Einheiten!$B$4:$B$63,MATCH($B433,Einheiten!$A$4:$A$63,0)))),"")</f>
        <v/>
      </c>
      <c r="B433" s="54"/>
      <c r="C433" s="73" t="str">
        <f aca="false">IFERROR(IF($D433="","",INDEX(Übungen!$B$4:$B$23,MATCH($D433,Übungen!$A$4:$A$23,0))),"")</f>
        <v/>
      </c>
      <c r="D433" s="56"/>
      <c r="E433" s="67"/>
      <c r="F433" s="55"/>
      <c r="G433" s="68"/>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2" t="str">
        <f aca="false">IFERROR(IF($B434="","",IF(INDEX(Einheiten!$B$4:$B$63,MATCH($B434,Einheiten!$A$4:$A$63,0))=0,"",INDEX(Einheiten!$B$4:$B$63,MATCH($B434,Einheiten!$A$4:$A$63,0)))),"")</f>
        <v/>
      </c>
      <c r="B434" s="54"/>
      <c r="C434" s="73" t="str">
        <f aca="false">IFERROR(IF($D434="","",INDEX(Übungen!$B$4:$B$23,MATCH($D434,Übungen!$A$4:$A$23,0))),"")</f>
        <v/>
      </c>
      <c r="D434" s="56"/>
      <c r="E434" s="67"/>
      <c r="F434" s="55"/>
      <c r="G434" s="68"/>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2" t="str">
        <f aca="false">IFERROR(IF($B435="","",IF(INDEX(Einheiten!$B$4:$B$63,MATCH($B435,Einheiten!$A$4:$A$63,0))=0,"",INDEX(Einheiten!$B$4:$B$63,MATCH($B435,Einheiten!$A$4:$A$63,0)))),"")</f>
        <v/>
      </c>
      <c r="B435" s="54"/>
      <c r="C435" s="73" t="str">
        <f aca="false">IFERROR(IF($D435="","",INDEX(Übungen!$B$4:$B$23,MATCH($D435,Übungen!$A$4:$A$23,0))),"")</f>
        <v/>
      </c>
      <c r="D435" s="56"/>
      <c r="E435" s="67"/>
      <c r="F435" s="55"/>
      <c r="G435" s="68"/>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2" t="str">
        <f aca="false">IFERROR(IF($B436="","",IF(INDEX(Einheiten!$B$4:$B$63,MATCH($B436,Einheiten!$A$4:$A$63,0))=0,"",INDEX(Einheiten!$B$4:$B$63,MATCH($B436,Einheiten!$A$4:$A$63,0)))),"")</f>
        <v/>
      </c>
      <c r="B436" s="54"/>
      <c r="C436" s="73" t="str">
        <f aca="false">IFERROR(IF($D436="","",INDEX(Übungen!$B$4:$B$23,MATCH($D436,Übungen!$A$4:$A$23,0))),"")</f>
        <v/>
      </c>
      <c r="D436" s="56"/>
      <c r="E436" s="67"/>
      <c r="F436" s="55"/>
      <c r="G436" s="68"/>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2" t="str">
        <f aca="false">IFERROR(IF($B437="","",IF(INDEX(Einheiten!$B$4:$B$63,MATCH($B437,Einheiten!$A$4:$A$63,0))=0,"",INDEX(Einheiten!$B$4:$B$63,MATCH($B437,Einheiten!$A$4:$A$63,0)))),"")</f>
        <v/>
      </c>
      <c r="B437" s="54"/>
      <c r="C437" s="73" t="str">
        <f aca="false">IFERROR(IF($D437="","",INDEX(Übungen!$B$4:$B$23,MATCH($D437,Übungen!$A$4:$A$23,0))),"")</f>
        <v/>
      </c>
      <c r="D437" s="56"/>
      <c r="E437" s="67"/>
      <c r="F437" s="55"/>
      <c r="G437" s="68"/>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2" t="str">
        <f aca="false">IFERROR(IF($B438="","",IF(INDEX(Einheiten!$B$4:$B$63,MATCH($B438,Einheiten!$A$4:$A$63,0))=0,"",INDEX(Einheiten!$B$4:$B$63,MATCH($B438,Einheiten!$A$4:$A$63,0)))),"")</f>
        <v/>
      </c>
      <c r="B438" s="54"/>
      <c r="C438" s="73" t="str">
        <f aca="false">IFERROR(IF($D438="","",INDEX(Übungen!$B$4:$B$23,MATCH($D438,Übungen!$A$4:$A$23,0))),"")</f>
        <v/>
      </c>
      <c r="D438" s="56"/>
      <c r="E438" s="67"/>
      <c r="F438" s="55"/>
      <c r="G438" s="68"/>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2" t="str">
        <f aca="false">IFERROR(IF($B439="","",IF(INDEX(Einheiten!$B$4:$B$63,MATCH($B439,Einheiten!$A$4:$A$63,0))=0,"",INDEX(Einheiten!$B$4:$B$63,MATCH($B439,Einheiten!$A$4:$A$63,0)))),"")</f>
        <v/>
      </c>
      <c r="B439" s="54"/>
      <c r="C439" s="73" t="str">
        <f aca="false">IFERROR(IF($D439="","",INDEX(Übungen!$B$4:$B$23,MATCH($D439,Übungen!$A$4:$A$23,0))),"")</f>
        <v/>
      </c>
      <c r="D439" s="56"/>
      <c r="E439" s="67"/>
      <c r="F439" s="55"/>
      <c r="G439" s="68"/>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2" t="str">
        <f aca="false">IFERROR(IF($B440="","",IF(INDEX(Einheiten!$B$4:$B$63,MATCH($B440,Einheiten!$A$4:$A$63,0))=0,"",INDEX(Einheiten!$B$4:$B$63,MATCH($B440,Einheiten!$A$4:$A$63,0)))),"")</f>
        <v/>
      </c>
      <c r="B440" s="54"/>
      <c r="C440" s="73" t="str">
        <f aca="false">IFERROR(IF($D440="","",INDEX(Übungen!$B$4:$B$23,MATCH($D440,Übungen!$A$4:$A$23,0))),"")</f>
        <v/>
      </c>
      <c r="D440" s="56"/>
      <c r="E440" s="67"/>
      <c r="F440" s="55"/>
      <c r="G440" s="68"/>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2" t="str">
        <f aca="false">IFERROR(IF($B441="","",IF(INDEX(Einheiten!$B$4:$B$63,MATCH($B441,Einheiten!$A$4:$A$63,0))=0,"",INDEX(Einheiten!$B$4:$B$63,MATCH($B441,Einheiten!$A$4:$A$63,0)))),"")</f>
        <v/>
      </c>
      <c r="B441" s="54"/>
      <c r="C441" s="73" t="str">
        <f aca="false">IFERROR(IF($D441="","",INDEX(Übungen!$B$4:$B$23,MATCH($D441,Übungen!$A$4:$A$23,0))),"")</f>
        <v/>
      </c>
      <c r="D441" s="56"/>
      <c r="E441" s="67"/>
      <c r="F441" s="55"/>
      <c r="G441" s="68"/>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2" t="str">
        <f aca="false">IFERROR(IF($B442="","",IF(INDEX(Einheiten!$B$4:$B$63,MATCH($B442,Einheiten!$A$4:$A$63,0))=0,"",INDEX(Einheiten!$B$4:$B$63,MATCH($B442,Einheiten!$A$4:$A$63,0)))),"")</f>
        <v/>
      </c>
      <c r="B442" s="54"/>
      <c r="C442" s="73" t="str">
        <f aca="false">IFERROR(IF($D442="","",INDEX(Übungen!$B$4:$B$23,MATCH($D442,Übungen!$A$4:$A$23,0))),"")</f>
        <v/>
      </c>
      <c r="D442" s="56"/>
      <c r="E442" s="67"/>
      <c r="F442" s="55"/>
      <c r="G442" s="68"/>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2" t="str">
        <f aca="false">IFERROR(IF($B443="","",IF(INDEX(Einheiten!$B$4:$B$63,MATCH($B443,Einheiten!$A$4:$A$63,0))=0,"",INDEX(Einheiten!$B$4:$B$63,MATCH($B443,Einheiten!$A$4:$A$63,0)))),"")</f>
        <v/>
      </c>
      <c r="B443" s="54"/>
      <c r="C443" s="73" t="str">
        <f aca="false">IFERROR(IF($D443="","",INDEX(Übungen!$B$4:$B$23,MATCH($D443,Übungen!$A$4:$A$23,0))),"")</f>
        <v/>
      </c>
      <c r="D443" s="56"/>
      <c r="E443" s="67"/>
      <c r="F443" s="55"/>
      <c r="G443" s="68"/>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2" t="str">
        <f aca="false">IFERROR(IF($B444="","",IF(INDEX(Einheiten!$B$4:$B$63,MATCH($B444,Einheiten!$A$4:$A$63,0))=0,"",INDEX(Einheiten!$B$4:$B$63,MATCH($B444,Einheiten!$A$4:$A$63,0)))),"")</f>
        <v/>
      </c>
      <c r="B444" s="54"/>
      <c r="C444" s="73" t="str">
        <f aca="false">IFERROR(IF($D444="","",INDEX(Übungen!$B$4:$B$23,MATCH($D444,Übungen!$A$4:$A$23,0))),"")</f>
        <v/>
      </c>
      <c r="D444" s="56"/>
      <c r="E444" s="67"/>
      <c r="F444" s="55"/>
      <c r="G444" s="68"/>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2" t="str">
        <f aca="false">IFERROR(IF($B445="","",IF(INDEX(Einheiten!$B$4:$B$63,MATCH($B445,Einheiten!$A$4:$A$63,0))=0,"",INDEX(Einheiten!$B$4:$B$63,MATCH($B445,Einheiten!$A$4:$A$63,0)))),"")</f>
        <v/>
      </c>
      <c r="B445" s="54"/>
      <c r="C445" s="73" t="str">
        <f aca="false">IFERROR(IF($D445="","",INDEX(Übungen!$B$4:$B$23,MATCH($D445,Übungen!$A$4:$A$23,0))),"")</f>
        <v/>
      </c>
      <c r="D445" s="56"/>
      <c r="E445" s="67"/>
      <c r="F445" s="55"/>
      <c r="G445" s="68"/>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2" t="str">
        <f aca="false">IFERROR(IF($B446="","",IF(INDEX(Einheiten!$B$4:$B$63,MATCH($B446,Einheiten!$A$4:$A$63,0))=0,"",INDEX(Einheiten!$B$4:$B$63,MATCH($B446,Einheiten!$A$4:$A$63,0)))),"")</f>
        <v/>
      </c>
      <c r="B446" s="54"/>
      <c r="C446" s="73" t="str">
        <f aca="false">IFERROR(IF($D446="","",INDEX(Übungen!$B$4:$B$23,MATCH($D446,Übungen!$A$4:$A$23,0))),"")</f>
        <v/>
      </c>
      <c r="D446" s="56"/>
      <c r="E446" s="67"/>
      <c r="F446" s="55"/>
      <c r="G446" s="68"/>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2" t="str">
        <f aca="false">IFERROR(IF($B447="","",IF(INDEX(Einheiten!$B$4:$B$63,MATCH($B447,Einheiten!$A$4:$A$63,0))=0,"",INDEX(Einheiten!$B$4:$B$63,MATCH($B447,Einheiten!$A$4:$A$63,0)))),"")</f>
        <v/>
      </c>
      <c r="B447" s="54"/>
      <c r="C447" s="73" t="str">
        <f aca="false">IFERROR(IF($D447="","",INDEX(Übungen!$B$4:$B$23,MATCH($D447,Übungen!$A$4:$A$23,0))),"")</f>
        <v/>
      </c>
      <c r="D447" s="56"/>
      <c r="E447" s="67"/>
      <c r="F447" s="55"/>
      <c r="G447" s="68"/>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2" t="str">
        <f aca="false">IFERROR(IF($B448="","",IF(INDEX(Einheiten!$B$4:$B$63,MATCH($B448,Einheiten!$A$4:$A$63,0))=0,"",INDEX(Einheiten!$B$4:$B$63,MATCH($B448,Einheiten!$A$4:$A$63,0)))),"")</f>
        <v/>
      </c>
      <c r="B448" s="54"/>
      <c r="C448" s="73" t="str">
        <f aca="false">IFERROR(IF($D448="","",INDEX(Übungen!$B$4:$B$23,MATCH($D448,Übungen!$A$4:$A$23,0))),"")</f>
        <v/>
      </c>
      <c r="D448" s="56"/>
      <c r="E448" s="67"/>
      <c r="F448" s="55"/>
      <c r="G448" s="68"/>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2" t="str">
        <f aca="false">IFERROR(IF($B449="","",IF(INDEX(Einheiten!$B$4:$B$63,MATCH($B449,Einheiten!$A$4:$A$63,0))=0,"",INDEX(Einheiten!$B$4:$B$63,MATCH($B449,Einheiten!$A$4:$A$63,0)))),"")</f>
        <v/>
      </c>
      <c r="B449" s="54"/>
      <c r="C449" s="73" t="str">
        <f aca="false">IFERROR(IF($D449="","",INDEX(Übungen!$B$4:$B$23,MATCH($D449,Übungen!$A$4:$A$23,0))),"")</f>
        <v/>
      </c>
      <c r="D449" s="56"/>
      <c r="E449" s="67"/>
      <c r="F449" s="55"/>
      <c r="G449" s="68"/>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2" t="str">
        <f aca="false">IFERROR(IF($B450="","",IF(INDEX(Einheiten!$B$4:$B$63,MATCH($B450,Einheiten!$A$4:$A$63,0))=0,"",INDEX(Einheiten!$B$4:$B$63,MATCH($B450,Einheiten!$A$4:$A$63,0)))),"")</f>
        <v/>
      </c>
      <c r="B450" s="54"/>
      <c r="C450" s="73" t="str">
        <f aca="false">IFERROR(IF($D450="","",INDEX(Übungen!$B$4:$B$23,MATCH($D450,Übungen!$A$4:$A$23,0))),"")</f>
        <v/>
      </c>
      <c r="D450" s="56"/>
      <c r="E450" s="67"/>
      <c r="F450" s="55"/>
      <c r="G450" s="68"/>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2" t="str">
        <f aca="false">IFERROR(IF($B451="","",IF(INDEX(Einheiten!$B$4:$B$63,MATCH($B451,Einheiten!$A$4:$A$63,0))=0,"",INDEX(Einheiten!$B$4:$B$63,MATCH($B451,Einheiten!$A$4:$A$63,0)))),"")</f>
        <v/>
      </c>
      <c r="B451" s="54"/>
      <c r="C451" s="73" t="str">
        <f aca="false">IFERROR(IF($D451="","",INDEX(Übungen!$B$4:$B$23,MATCH($D451,Übungen!$A$4:$A$23,0))),"")</f>
        <v/>
      </c>
      <c r="D451" s="56"/>
      <c r="E451" s="67"/>
      <c r="F451" s="55"/>
      <c r="G451" s="68"/>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2" t="str">
        <f aca="false">IFERROR(IF($B452="","",IF(INDEX(Einheiten!$B$4:$B$63,MATCH($B452,Einheiten!$A$4:$A$63,0))=0,"",INDEX(Einheiten!$B$4:$B$63,MATCH($B452,Einheiten!$A$4:$A$63,0)))),"")</f>
        <v/>
      </c>
      <c r="B452" s="54"/>
      <c r="C452" s="73" t="str">
        <f aca="false">IFERROR(IF($D452="","",INDEX(Übungen!$B$4:$B$23,MATCH($D452,Übungen!$A$4:$A$23,0))),"")</f>
        <v/>
      </c>
      <c r="D452" s="56"/>
      <c r="E452" s="67"/>
      <c r="F452" s="55"/>
      <c r="G452" s="68"/>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2" t="str">
        <f aca="false">IFERROR(IF($B453="","",IF(INDEX(Einheiten!$B$4:$B$63,MATCH($B453,Einheiten!$A$4:$A$63,0))=0,"",INDEX(Einheiten!$B$4:$B$63,MATCH($B453,Einheiten!$A$4:$A$63,0)))),"")</f>
        <v/>
      </c>
      <c r="B453" s="54"/>
      <c r="C453" s="73" t="str">
        <f aca="false">IFERROR(IF($D453="","",INDEX(Übungen!$B$4:$B$23,MATCH($D453,Übungen!$A$4:$A$23,0))),"")</f>
        <v/>
      </c>
      <c r="D453" s="56"/>
      <c r="E453" s="67"/>
      <c r="F453" s="55"/>
      <c r="G453" s="68"/>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2" t="str">
        <f aca="false">IFERROR(IF($B454="","",IF(INDEX(Einheiten!$B$4:$B$63,MATCH($B454,Einheiten!$A$4:$A$63,0))=0,"",INDEX(Einheiten!$B$4:$B$63,MATCH($B454,Einheiten!$A$4:$A$63,0)))),"")</f>
        <v/>
      </c>
      <c r="B454" s="54"/>
      <c r="C454" s="73" t="str">
        <f aca="false">IFERROR(IF($D454="","",INDEX(Übungen!$B$4:$B$23,MATCH($D454,Übungen!$A$4:$A$23,0))),"")</f>
        <v/>
      </c>
      <c r="D454" s="56"/>
      <c r="E454" s="67"/>
      <c r="F454" s="55"/>
      <c r="G454" s="68"/>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2" t="str">
        <f aca="false">IFERROR(IF($B455="","",IF(INDEX(Einheiten!$B$4:$B$63,MATCH($B455,Einheiten!$A$4:$A$63,0))=0,"",INDEX(Einheiten!$B$4:$B$63,MATCH($B455,Einheiten!$A$4:$A$63,0)))),"")</f>
        <v/>
      </c>
      <c r="B455" s="54"/>
      <c r="C455" s="73" t="str">
        <f aca="false">IFERROR(IF($D455="","",INDEX(Übungen!$B$4:$B$23,MATCH($D455,Übungen!$A$4:$A$23,0))),"")</f>
        <v/>
      </c>
      <c r="D455" s="56"/>
      <c r="E455" s="67"/>
      <c r="F455" s="55"/>
      <c r="G455" s="68"/>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2" t="str">
        <f aca="false">IFERROR(IF($B456="","",IF(INDEX(Einheiten!$B$4:$B$63,MATCH($B456,Einheiten!$A$4:$A$63,0))=0,"",INDEX(Einheiten!$B$4:$B$63,MATCH($B456,Einheiten!$A$4:$A$63,0)))),"")</f>
        <v/>
      </c>
      <c r="B456" s="54"/>
      <c r="C456" s="73" t="str">
        <f aca="false">IFERROR(IF($D456="","",INDEX(Übungen!$B$4:$B$23,MATCH($D456,Übungen!$A$4:$A$23,0))),"")</f>
        <v/>
      </c>
      <c r="D456" s="56"/>
      <c r="E456" s="67"/>
      <c r="F456" s="55"/>
      <c r="G456" s="68"/>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2" t="str">
        <f aca="false">IFERROR(IF($B457="","",IF(INDEX(Einheiten!$B$4:$B$63,MATCH($B457,Einheiten!$A$4:$A$63,0))=0,"",INDEX(Einheiten!$B$4:$B$63,MATCH($B457,Einheiten!$A$4:$A$63,0)))),"")</f>
        <v/>
      </c>
      <c r="B457" s="54"/>
      <c r="C457" s="73" t="str">
        <f aca="false">IFERROR(IF($D457="","",INDEX(Übungen!$B$4:$B$23,MATCH($D457,Übungen!$A$4:$A$23,0))),"")</f>
        <v/>
      </c>
      <c r="D457" s="56"/>
      <c r="E457" s="67"/>
      <c r="F457" s="55"/>
      <c r="G457" s="68"/>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2" t="str">
        <f aca="false">IFERROR(IF($B458="","",IF(INDEX(Einheiten!$B$4:$B$63,MATCH($B458,Einheiten!$A$4:$A$63,0))=0,"",INDEX(Einheiten!$B$4:$B$63,MATCH($B458,Einheiten!$A$4:$A$63,0)))),"")</f>
        <v/>
      </c>
      <c r="B458" s="54"/>
      <c r="C458" s="73" t="str">
        <f aca="false">IFERROR(IF($D458="","",INDEX(Übungen!$B$4:$B$23,MATCH($D458,Übungen!$A$4:$A$23,0))),"")</f>
        <v/>
      </c>
      <c r="D458" s="56"/>
      <c r="E458" s="67"/>
      <c r="F458" s="55"/>
      <c r="G458" s="68"/>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2" t="str">
        <f aca="false">IFERROR(IF($B459="","",IF(INDEX(Einheiten!$B$4:$B$63,MATCH($B459,Einheiten!$A$4:$A$63,0))=0,"",INDEX(Einheiten!$B$4:$B$63,MATCH($B459,Einheiten!$A$4:$A$63,0)))),"")</f>
        <v/>
      </c>
      <c r="B459" s="54"/>
      <c r="C459" s="73" t="str">
        <f aca="false">IFERROR(IF($D459="","",INDEX(Übungen!$B$4:$B$23,MATCH($D459,Übungen!$A$4:$A$23,0))),"")</f>
        <v/>
      </c>
      <c r="D459" s="56"/>
      <c r="E459" s="67"/>
      <c r="F459" s="55"/>
      <c r="G459" s="68"/>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2" t="str">
        <f aca="false">IFERROR(IF($B460="","",IF(INDEX(Einheiten!$B$4:$B$63,MATCH($B460,Einheiten!$A$4:$A$63,0))=0,"",INDEX(Einheiten!$B$4:$B$63,MATCH($B460,Einheiten!$A$4:$A$63,0)))),"")</f>
        <v/>
      </c>
      <c r="B460" s="54"/>
      <c r="C460" s="73" t="str">
        <f aca="false">IFERROR(IF($D460="","",INDEX(Übungen!$B$4:$B$23,MATCH($D460,Übungen!$A$4:$A$23,0))),"")</f>
        <v/>
      </c>
      <c r="D460" s="56"/>
      <c r="E460" s="67"/>
      <c r="F460" s="55"/>
      <c r="G460" s="68"/>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2" t="str">
        <f aca="false">IFERROR(IF($B461="","",IF(INDEX(Einheiten!$B$4:$B$63,MATCH($B461,Einheiten!$A$4:$A$63,0))=0,"",INDEX(Einheiten!$B$4:$B$63,MATCH($B461,Einheiten!$A$4:$A$63,0)))),"")</f>
        <v/>
      </c>
      <c r="B461" s="54"/>
      <c r="C461" s="73" t="str">
        <f aca="false">IFERROR(IF($D461="","",INDEX(Übungen!$B$4:$B$23,MATCH($D461,Übungen!$A$4:$A$23,0))),"")</f>
        <v/>
      </c>
      <c r="D461" s="56"/>
      <c r="E461" s="67"/>
      <c r="F461" s="55"/>
      <c r="G461" s="68"/>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2" t="str">
        <f aca="false">IFERROR(IF($B462="","",IF(INDEX(Einheiten!$B$4:$B$63,MATCH($B462,Einheiten!$A$4:$A$63,0))=0,"",INDEX(Einheiten!$B$4:$B$63,MATCH($B462,Einheiten!$A$4:$A$63,0)))),"")</f>
        <v/>
      </c>
      <c r="B462" s="54"/>
      <c r="C462" s="73" t="str">
        <f aca="false">IFERROR(IF($D462="","",INDEX(Übungen!$B$4:$B$23,MATCH($D462,Übungen!$A$4:$A$23,0))),"")</f>
        <v/>
      </c>
      <c r="D462" s="56"/>
      <c r="E462" s="67"/>
      <c r="F462" s="55"/>
      <c r="G462" s="68"/>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2" t="str">
        <f aca="false">IFERROR(IF($B463="","",IF(INDEX(Einheiten!$B$4:$B$63,MATCH($B463,Einheiten!$A$4:$A$63,0))=0,"",INDEX(Einheiten!$B$4:$B$63,MATCH($B463,Einheiten!$A$4:$A$63,0)))),"")</f>
        <v/>
      </c>
      <c r="B463" s="54"/>
      <c r="C463" s="73" t="str">
        <f aca="false">IFERROR(IF($D463="","",INDEX(Übungen!$B$4:$B$23,MATCH($D463,Übungen!$A$4:$A$23,0))),"")</f>
        <v/>
      </c>
      <c r="D463" s="56"/>
      <c r="E463" s="67"/>
      <c r="F463" s="55"/>
      <c r="G463" s="68"/>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2" t="str">
        <f aca="false">IFERROR(IF($B464="","",IF(INDEX(Einheiten!$B$4:$B$63,MATCH($B464,Einheiten!$A$4:$A$63,0))=0,"",INDEX(Einheiten!$B$4:$B$63,MATCH($B464,Einheiten!$A$4:$A$63,0)))),"")</f>
        <v/>
      </c>
      <c r="B464" s="54"/>
      <c r="C464" s="73" t="str">
        <f aca="false">IFERROR(IF($D464="","",INDEX(Übungen!$B$4:$B$23,MATCH($D464,Übungen!$A$4:$A$23,0))),"")</f>
        <v/>
      </c>
      <c r="D464" s="56"/>
      <c r="E464" s="67"/>
      <c r="F464" s="55"/>
      <c r="G464" s="68"/>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2" t="str">
        <f aca="false">IFERROR(IF($B465="","",IF(INDEX(Einheiten!$B$4:$B$63,MATCH($B465,Einheiten!$A$4:$A$63,0))=0,"",INDEX(Einheiten!$B$4:$B$63,MATCH($B465,Einheiten!$A$4:$A$63,0)))),"")</f>
        <v/>
      </c>
      <c r="B465" s="54"/>
      <c r="C465" s="73" t="str">
        <f aca="false">IFERROR(IF($D465="","",INDEX(Übungen!$B$4:$B$23,MATCH($D465,Übungen!$A$4:$A$23,0))),"")</f>
        <v/>
      </c>
      <c r="D465" s="56"/>
      <c r="E465" s="67"/>
      <c r="F465" s="55"/>
      <c r="G465" s="68"/>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2" t="str">
        <f aca="false">IFERROR(IF($B466="","",IF(INDEX(Einheiten!$B$4:$B$63,MATCH($B466,Einheiten!$A$4:$A$63,0))=0,"",INDEX(Einheiten!$B$4:$B$63,MATCH($B466,Einheiten!$A$4:$A$63,0)))),"")</f>
        <v/>
      </c>
      <c r="B466" s="54"/>
      <c r="C466" s="73" t="str">
        <f aca="false">IFERROR(IF($D466="","",INDEX(Übungen!$B$4:$B$23,MATCH($D466,Übungen!$A$4:$A$23,0))),"")</f>
        <v/>
      </c>
      <c r="D466" s="56"/>
      <c r="E466" s="67"/>
      <c r="F466" s="55"/>
      <c r="G466" s="68"/>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2" t="str">
        <f aca="false">IFERROR(IF($B467="","",IF(INDEX(Einheiten!$B$4:$B$63,MATCH($B467,Einheiten!$A$4:$A$63,0))=0,"",INDEX(Einheiten!$B$4:$B$63,MATCH($B467,Einheiten!$A$4:$A$63,0)))),"")</f>
        <v/>
      </c>
      <c r="B467" s="54"/>
      <c r="C467" s="73" t="str">
        <f aca="false">IFERROR(IF($D467="","",INDEX(Übungen!$B$4:$B$23,MATCH($D467,Übungen!$A$4:$A$23,0))),"")</f>
        <v/>
      </c>
      <c r="D467" s="56"/>
      <c r="E467" s="67"/>
      <c r="F467" s="55"/>
      <c r="G467" s="68"/>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2" t="str">
        <f aca="false">IFERROR(IF($B468="","",IF(INDEX(Einheiten!$B$4:$B$63,MATCH($B468,Einheiten!$A$4:$A$63,0))=0,"",INDEX(Einheiten!$B$4:$B$63,MATCH($B468,Einheiten!$A$4:$A$63,0)))),"")</f>
        <v/>
      </c>
      <c r="B468" s="54"/>
      <c r="C468" s="73" t="str">
        <f aca="false">IFERROR(IF($D468="","",INDEX(Übungen!$B$4:$B$23,MATCH($D468,Übungen!$A$4:$A$23,0))),"")</f>
        <v/>
      </c>
      <c r="D468" s="56"/>
      <c r="E468" s="67"/>
      <c r="F468" s="55"/>
      <c r="G468" s="68"/>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2" t="str">
        <f aca="false">IFERROR(IF($B469="","",IF(INDEX(Einheiten!$B$4:$B$63,MATCH($B469,Einheiten!$A$4:$A$63,0))=0,"",INDEX(Einheiten!$B$4:$B$63,MATCH($B469,Einheiten!$A$4:$A$63,0)))),"")</f>
        <v/>
      </c>
      <c r="B469" s="54"/>
      <c r="C469" s="73" t="str">
        <f aca="false">IFERROR(IF($D469="","",INDEX(Übungen!$B$4:$B$23,MATCH($D469,Übungen!$A$4:$A$23,0))),"")</f>
        <v/>
      </c>
      <c r="D469" s="56"/>
      <c r="E469" s="67"/>
      <c r="F469" s="55"/>
      <c r="G469" s="68"/>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2" t="str">
        <f aca="false">IFERROR(IF($B470="","",IF(INDEX(Einheiten!$B$4:$B$63,MATCH($B470,Einheiten!$A$4:$A$63,0))=0,"",INDEX(Einheiten!$B$4:$B$63,MATCH($B470,Einheiten!$A$4:$A$63,0)))),"")</f>
        <v/>
      </c>
      <c r="B470" s="54"/>
      <c r="C470" s="73" t="str">
        <f aca="false">IFERROR(IF($D470="","",INDEX(Übungen!$B$4:$B$23,MATCH($D470,Übungen!$A$4:$A$23,0))),"")</f>
        <v/>
      </c>
      <c r="D470" s="56"/>
      <c r="E470" s="67"/>
      <c r="F470" s="55"/>
      <c r="G470" s="68"/>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2" t="str">
        <f aca="false">IFERROR(IF($B471="","",IF(INDEX(Einheiten!$B$4:$B$63,MATCH($B471,Einheiten!$A$4:$A$63,0))=0,"",INDEX(Einheiten!$B$4:$B$63,MATCH($B471,Einheiten!$A$4:$A$63,0)))),"")</f>
        <v/>
      </c>
      <c r="B471" s="54"/>
      <c r="C471" s="73" t="str">
        <f aca="false">IFERROR(IF($D471="","",INDEX(Übungen!$B$4:$B$23,MATCH($D471,Übungen!$A$4:$A$23,0))),"")</f>
        <v/>
      </c>
      <c r="D471" s="56"/>
      <c r="E471" s="67"/>
      <c r="F471" s="55"/>
      <c r="G471" s="68"/>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2" t="str">
        <f aca="false">IFERROR(IF($B472="","",IF(INDEX(Einheiten!$B$4:$B$63,MATCH($B472,Einheiten!$A$4:$A$63,0))=0,"",INDEX(Einheiten!$B$4:$B$63,MATCH($B472,Einheiten!$A$4:$A$63,0)))),"")</f>
        <v/>
      </c>
      <c r="B472" s="54"/>
      <c r="C472" s="73" t="str">
        <f aca="false">IFERROR(IF($D472="","",INDEX(Übungen!$B$4:$B$23,MATCH($D472,Übungen!$A$4:$A$23,0))),"")</f>
        <v/>
      </c>
      <c r="D472" s="56"/>
      <c r="E472" s="67"/>
      <c r="F472" s="55"/>
      <c r="G472" s="68"/>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2" t="str">
        <f aca="false">IFERROR(IF($B473="","",IF(INDEX(Einheiten!$B$4:$B$63,MATCH($B473,Einheiten!$A$4:$A$63,0))=0,"",INDEX(Einheiten!$B$4:$B$63,MATCH($B473,Einheiten!$A$4:$A$63,0)))),"")</f>
        <v/>
      </c>
      <c r="B473" s="54"/>
      <c r="C473" s="73" t="str">
        <f aca="false">IFERROR(IF($D473="","",INDEX(Übungen!$B$4:$B$23,MATCH($D473,Übungen!$A$4:$A$23,0))),"")</f>
        <v/>
      </c>
      <c r="D473" s="56"/>
      <c r="E473" s="67"/>
      <c r="F473" s="55"/>
      <c r="G473" s="68"/>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2" t="str">
        <f aca="false">IFERROR(IF($B474="","",IF(INDEX(Einheiten!$B$4:$B$63,MATCH($B474,Einheiten!$A$4:$A$63,0))=0,"",INDEX(Einheiten!$B$4:$B$63,MATCH($B474,Einheiten!$A$4:$A$63,0)))),"")</f>
        <v/>
      </c>
      <c r="B474" s="54"/>
      <c r="C474" s="73" t="str">
        <f aca="false">IFERROR(IF($D474="","",INDEX(Übungen!$B$4:$B$23,MATCH($D474,Übungen!$A$4:$A$23,0))),"")</f>
        <v/>
      </c>
      <c r="D474" s="56"/>
      <c r="E474" s="67"/>
      <c r="F474" s="55"/>
      <c r="G474" s="68"/>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2" t="str">
        <f aca="false">IFERROR(IF($B475="","",IF(INDEX(Einheiten!$B$4:$B$63,MATCH($B475,Einheiten!$A$4:$A$63,0))=0,"",INDEX(Einheiten!$B$4:$B$63,MATCH($B475,Einheiten!$A$4:$A$63,0)))),"")</f>
        <v/>
      </c>
      <c r="B475" s="54"/>
      <c r="C475" s="73" t="str">
        <f aca="false">IFERROR(IF($D475="","",INDEX(Übungen!$B$4:$B$23,MATCH($D475,Übungen!$A$4:$A$23,0))),"")</f>
        <v/>
      </c>
      <c r="D475" s="56"/>
      <c r="E475" s="67"/>
      <c r="F475" s="55"/>
      <c r="G475" s="68"/>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2" t="str">
        <f aca="false">IFERROR(IF($B476="","",IF(INDEX(Einheiten!$B$4:$B$63,MATCH($B476,Einheiten!$A$4:$A$63,0))=0,"",INDEX(Einheiten!$B$4:$B$63,MATCH($B476,Einheiten!$A$4:$A$63,0)))),"")</f>
        <v/>
      </c>
      <c r="B476" s="54"/>
      <c r="C476" s="73" t="str">
        <f aca="false">IFERROR(IF($D476="","",INDEX(Übungen!$B$4:$B$23,MATCH($D476,Übungen!$A$4:$A$23,0))),"")</f>
        <v/>
      </c>
      <c r="D476" s="56"/>
      <c r="E476" s="67"/>
      <c r="F476" s="55"/>
      <c r="G476" s="68"/>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2" t="str">
        <f aca="false">IFERROR(IF($B477="","",IF(INDEX(Einheiten!$B$4:$B$63,MATCH($B477,Einheiten!$A$4:$A$63,0))=0,"",INDEX(Einheiten!$B$4:$B$63,MATCH($B477,Einheiten!$A$4:$A$63,0)))),"")</f>
        <v/>
      </c>
      <c r="B477" s="54"/>
      <c r="C477" s="73" t="str">
        <f aca="false">IFERROR(IF($D477="","",INDEX(Übungen!$B$4:$B$23,MATCH($D477,Übungen!$A$4:$A$23,0))),"")</f>
        <v/>
      </c>
      <c r="D477" s="56"/>
      <c r="E477" s="67"/>
      <c r="F477" s="55"/>
      <c r="G477" s="68"/>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2" t="str">
        <f aca="false">IFERROR(IF($B478="","",IF(INDEX(Einheiten!$B$4:$B$63,MATCH($B478,Einheiten!$A$4:$A$63,0))=0,"",INDEX(Einheiten!$B$4:$B$63,MATCH($B478,Einheiten!$A$4:$A$63,0)))),"")</f>
        <v/>
      </c>
      <c r="B478" s="54"/>
      <c r="C478" s="73" t="str">
        <f aca="false">IFERROR(IF($D478="","",INDEX(Übungen!$B$4:$B$23,MATCH($D478,Übungen!$A$4:$A$23,0))),"")</f>
        <v/>
      </c>
      <c r="D478" s="56"/>
      <c r="E478" s="67"/>
      <c r="F478" s="55"/>
      <c r="G478" s="68"/>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2" t="str">
        <f aca="false">IFERROR(IF($B479="","",IF(INDEX(Einheiten!$B$4:$B$63,MATCH($B479,Einheiten!$A$4:$A$63,0))=0,"",INDEX(Einheiten!$B$4:$B$63,MATCH($B479,Einheiten!$A$4:$A$63,0)))),"")</f>
        <v/>
      </c>
      <c r="B479" s="54"/>
      <c r="C479" s="73" t="str">
        <f aca="false">IFERROR(IF($D479="","",INDEX(Übungen!$B$4:$B$23,MATCH($D479,Übungen!$A$4:$A$23,0))),"")</f>
        <v/>
      </c>
      <c r="D479" s="56"/>
      <c r="E479" s="67"/>
      <c r="F479" s="55"/>
      <c r="G479" s="68"/>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2" t="str">
        <f aca="false">IFERROR(IF($B480="","",IF(INDEX(Einheiten!$B$4:$B$63,MATCH($B480,Einheiten!$A$4:$A$63,0))=0,"",INDEX(Einheiten!$B$4:$B$63,MATCH($B480,Einheiten!$A$4:$A$63,0)))),"")</f>
        <v/>
      </c>
      <c r="B480" s="54"/>
      <c r="C480" s="73" t="str">
        <f aca="false">IFERROR(IF($D480="","",INDEX(Übungen!$B$4:$B$23,MATCH($D480,Übungen!$A$4:$A$23,0))),"")</f>
        <v/>
      </c>
      <c r="D480" s="56"/>
      <c r="E480" s="67"/>
      <c r="F480" s="55"/>
      <c r="G480" s="68"/>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2" t="str">
        <f aca="false">IFERROR(IF($B481="","",IF(INDEX(Einheiten!$B$4:$B$63,MATCH($B481,Einheiten!$A$4:$A$63,0))=0,"",INDEX(Einheiten!$B$4:$B$63,MATCH($B481,Einheiten!$A$4:$A$63,0)))),"")</f>
        <v/>
      </c>
      <c r="B481" s="54"/>
      <c r="C481" s="73" t="str">
        <f aca="false">IFERROR(IF($D481="","",INDEX(Übungen!$B$4:$B$23,MATCH($D481,Übungen!$A$4:$A$23,0))),"")</f>
        <v/>
      </c>
      <c r="D481" s="56"/>
      <c r="E481" s="67"/>
      <c r="F481" s="55"/>
      <c r="G481" s="68"/>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2" t="str">
        <f aca="false">IFERROR(IF($B482="","",IF(INDEX(Einheiten!$B$4:$B$63,MATCH($B482,Einheiten!$A$4:$A$63,0))=0,"",INDEX(Einheiten!$B$4:$B$63,MATCH($B482,Einheiten!$A$4:$A$63,0)))),"")</f>
        <v/>
      </c>
      <c r="B482" s="54"/>
      <c r="C482" s="73" t="str">
        <f aca="false">IFERROR(IF($D482="","",INDEX(Übungen!$B$4:$B$23,MATCH($D482,Übungen!$A$4:$A$23,0))),"")</f>
        <v/>
      </c>
      <c r="D482" s="56"/>
      <c r="E482" s="67"/>
      <c r="F482" s="55"/>
      <c r="G482" s="68"/>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2" t="str">
        <f aca="false">IFERROR(IF($B483="","",IF(INDEX(Einheiten!$B$4:$B$63,MATCH($B483,Einheiten!$A$4:$A$63,0))=0,"",INDEX(Einheiten!$B$4:$B$63,MATCH($B483,Einheiten!$A$4:$A$63,0)))),"")</f>
        <v/>
      </c>
      <c r="B483" s="54"/>
      <c r="C483" s="73" t="str">
        <f aca="false">IFERROR(IF($D483="","",INDEX(Übungen!$B$4:$B$23,MATCH($D483,Übungen!$A$4:$A$23,0))),"")</f>
        <v/>
      </c>
      <c r="D483" s="56"/>
      <c r="E483" s="67"/>
      <c r="F483" s="55"/>
      <c r="G483" s="68"/>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2" t="str">
        <f aca="false">IFERROR(IF($B484="","",IF(INDEX(Einheiten!$B$4:$B$63,MATCH($B484,Einheiten!$A$4:$A$63,0))=0,"",INDEX(Einheiten!$B$4:$B$63,MATCH($B484,Einheiten!$A$4:$A$63,0)))),"")</f>
        <v/>
      </c>
      <c r="B484" s="54"/>
      <c r="C484" s="73" t="str">
        <f aca="false">IFERROR(IF($D484="","",INDEX(Übungen!$B$4:$B$23,MATCH($D484,Übungen!$A$4:$A$23,0))),"")</f>
        <v/>
      </c>
      <c r="D484" s="56"/>
      <c r="E484" s="67"/>
      <c r="F484" s="55"/>
      <c r="G484" s="68"/>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2" t="str">
        <f aca="false">IFERROR(IF($B485="","",IF(INDEX(Einheiten!$B$4:$B$63,MATCH($B485,Einheiten!$A$4:$A$63,0))=0,"",INDEX(Einheiten!$B$4:$B$63,MATCH($B485,Einheiten!$A$4:$A$63,0)))),"")</f>
        <v/>
      </c>
      <c r="B485" s="54"/>
      <c r="C485" s="73" t="str">
        <f aca="false">IFERROR(IF($D485="","",INDEX(Übungen!$B$4:$B$23,MATCH($D485,Übungen!$A$4:$A$23,0))),"")</f>
        <v/>
      </c>
      <c r="D485" s="56"/>
      <c r="E485" s="67"/>
      <c r="F485" s="55"/>
      <c r="G485" s="68"/>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2" t="str">
        <f aca="false">IFERROR(IF($B486="","",IF(INDEX(Einheiten!$B$4:$B$63,MATCH($B486,Einheiten!$A$4:$A$63,0))=0,"",INDEX(Einheiten!$B$4:$B$63,MATCH($B486,Einheiten!$A$4:$A$63,0)))),"")</f>
        <v/>
      </c>
      <c r="B486" s="54"/>
      <c r="C486" s="73" t="str">
        <f aca="false">IFERROR(IF($D486="","",INDEX(Übungen!$B$4:$B$23,MATCH($D486,Übungen!$A$4:$A$23,0))),"")</f>
        <v/>
      </c>
      <c r="D486" s="56"/>
      <c r="E486" s="67"/>
      <c r="F486" s="55"/>
      <c r="G486" s="68"/>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2" t="str">
        <f aca="false">IFERROR(IF($B487="","",IF(INDEX(Einheiten!$B$4:$B$63,MATCH($B487,Einheiten!$A$4:$A$63,0))=0,"",INDEX(Einheiten!$B$4:$B$63,MATCH($B487,Einheiten!$A$4:$A$63,0)))),"")</f>
        <v/>
      </c>
      <c r="B487" s="54"/>
      <c r="C487" s="73" t="str">
        <f aca="false">IFERROR(IF($D487="","",INDEX(Übungen!$B$4:$B$23,MATCH($D487,Übungen!$A$4:$A$23,0))),"")</f>
        <v/>
      </c>
      <c r="D487" s="56"/>
      <c r="E487" s="67"/>
      <c r="F487" s="55"/>
      <c r="G487" s="68"/>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2" t="str">
        <f aca="false">IFERROR(IF($B488="","",IF(INDEX(Einheiten!$B$4:$B$63,MATCH($B488,Einheiten!$A$4:$A$63,0))=0,"",INDEX(Einheiten!$B$4:$B$63,MATCH($B488,Einheiten!$A$4:$A$63,0)))),"")</f>
        <v/>
      </c>
      <c r="B488" s="54"/>
      <c r="C488" s="73" t="str">
        <f aca="false">IFERROR(IF($D488="","",INDEX(Übungen!$B$4:$B$23,MATCH($D488,Übungen!$A$4:$A$23,0))),"")</f>
        <v/>
      </c>
      <c r="D488" s="56"/>
      <c r="E488" s="67"/>
      <c r="F488" s="55"/>
      <c r="G488" s="68"/>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2" t="str">
        <f aca="false">IFERROR(IF($B489="","",IF(INDEX(Einheiten!$B$4:$B$63,MATCH($B489,Einheiten!$A$4:$A$63,0))=0,"",INDEX(Einheiten!$B$4:$B$63,MATCH($B489,Einheiten!$A$4:$A$63,0)))),"")</f>
        <v/>
      </c>
      <c r="B489" s="54"/>
      <c r="C489" s="73" t="str">
        <f aca="false">IFERROR(IF($D489="","",INDEX(Übungen!$B$4:$B$23,MATCH($D489,Übungen!$A$4:$A$23,0))),"")</f>
        <v/>
      </c>
      <c r="D489" s="56"/>
      <c r="E489" s="67"/>
      <c r="F489" s="55"/>
      <c r="G489" s="68"/>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2" t="str">
        <f aca="false">IFERROR(IF($B490="","",IF(INDEX(Einheiten!$B$4:$B$63,MATCH($B490,Einheiten!$A$4:$A$63,0))=0,"",INDEX(Einheiten!$B$4:$B$63,MATCH($B490,Einheiten!$A$4:$A$63,0)))),"")</f>
        <v/>
      </c>
      <c r="B490" s="54"/>
      <c r="C490" s="73" t="str">
        <f aca="false">IFERROR(IF($D490="","",INDEX(Übungen!$B$4:$B$23,MATCH($D490,Übungen!$A$4:$A$23,0))),"")</f>
        <v/>
      </c>
      <c r="D490" s="56"/>
      <c r="E490" s="67"/>
      <c r="F490" s="55"/>
      <c r="G490" s="68"/>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2" t="str">
        <f aca="false">IFERROR(IF($B491="","",IF(INDEX(Einheiten!$B$4:$B$63,MATCH($B491,Einheiten!$A$4:$A$63,0))=0,"",INDEX(Einheiten!$B$4:$B$63,MATCH($B491,Einheiten!$A$4:$A$63,0)))),"")</f>
        <v/>
      </c>
      <c r="B491" s="54"/>
      <c r="C491" s="73" t="str">
        <f aca="false">IFERROR(IF($D491="","",INDEX(Übungen!$B$4:$B$23,MATCH($D491,Übungen!$A$4:$A$23,0))),"")</f>
        <v/>
      </c>
      <c r="D491" s="56"/>
      <c r="E491" s="67"/>
      <c r="F491" s="55"/>
      <c r="G491" s="68"/>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2" t="str">
        <f aca="false">IFERROR(IF($B492="","",IF(INDEX(Einheiten!$B$4:$B$63,MATCH($B492,Einheiten!$A$4:$A$63,0))=0,"",INDEX(Einheiten!$B$4:$B$63,MATCH($B492,Einheiten!$A$4:$A$63,0)))),"")</f>
        <v/>
      </c>
      <c r="B492" s="54"/>
      <c r="C492" s="73" t="str">
        <f aca="false">IFERROR(IF($D492="","",INDEX(Übungen!$B$4:$B$23,MATCH($D492,Übungen!$A$4:$A$23,0))),"")</f>
        <v/>
      </c>
      <c r="D492" s="56"/>
      <c r="E492" s="67"/>
      <c r="F492" s="55"/>
      <c r="G492" s="68"/>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2" t="str">
        <f aca="false">IFERROR(IF($B493="","",IF(INDEX(Einheiten!$B$4:$B$63,MATCH($B493,Einheiten!$A$4:$A$63,0))=0,"",INDEX(Einheiten!$B$4:$B$63,MATCH($B493,Einheiten!$A$4:$A$63,0)))),"")</f>
        <v/>
      </c>
      <c r="B493" s="54"/>
      <c r="C493" s="73" t="str">
        <f aca="false">IFERROR(IF($D493="","",INDEX(Übungen!$B$4:$B$23,MATCH($D493,Übungen!$A$4:$A$23,0))),"")</f>
        <v/>
      </c>
      <c r="D493" s="56"/>
      <c r="E493" s="67"/>
      <c r="F493" s="55"/>
      <c r="G493" s="68"/>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2" t="str">
        <f aca="false">IFERROR(IF($B494="","",IF(INDEX(Einheiten!$B$4:$B$63,MATCH($B494,Einheiten!$A$4:$A$63,0))=0,"",INDEX(Einheiten!$B$4:$B$63,MATCH($B494,Einheiten!$A$4:$A$63,0)))),"")</f>
        <v/>
      </c>
      <c r="B494" s="54"/>
      <c r="C494" s="73" t="str">
        <f aca="false">IFERROR(IF($D494="","",INDEX(Übungen!$B$4:$B$23,MATCH($D494,Übungen!$A$4:$A$23,0))),"")</f>
        <v/>
      </c>
      <c r="D494" s="56"/>
      <c r="E494" s="67"/>
      <c r="F494" s="55"/>
      <c r="G494" s="68"/>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2" t="str">
        <f aca="false">IFERROR(IF($B495="","",IF(INDEX(Einheiten!$B$4:$B$63,MATCH($B495,Einheiten!$A$4:$A$63,0))=0,"",INDEX(Einheiten!$B$4:$B$63,MATCH($B495,Einheiten!$A$4:$A$63,0)))),"")</f>
        <v/>
      </c>
      <c r="B495" s="54"/>
      <c r="C495" s="73" t="str">
        <f aca="false">IFERROR(IF($D495="","",INDEX(Übungen!$B$4:$B$23,MATCH($D495,Übungen!$A$4:$A$23,0))),"")</f>
        <v/>
      </c>
      <c r="D495" s="56"/>
      <c r="E495" s="67"/>
      <c r="F495" s="55"/>
      <c r="G495" s="68"/>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2" t="str">
        <f aca="false">IFERROR(IF($B496="","",IF(INDEX(Einheiten!$B$4:$B$63,MATCH($B496,Einheiten!$A$4:$A$63,0))=0,"",INDEX(Einheiten!$B$4:$B$63,MATCH($B496,Einheiten!$A$4:$A$63,0)))),"")</f>
        <v/>
      </c>
      <c r="B496" s="54"/>
      <c r="C496" s="73" t="str">
        <f aca="false">IFERROR(IF($D496="","",INDEX(Übungen!$B$4:$B$23,MATCH($D496,Übungen!$A$4:$A$23,0))),"")</f>
        <v/>
      </c>
      <c r="D496" s="56"/>
      <c r="E496" s="67"/>
      <c r="F496" s="55"/>
      <c r="G496" s="68"/>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2" t="str">
        <f aca="false">IFERROR(IF($B497="","",IF(INDEX(Einheiten!$B$4:$B$63,MATCH($B497,Einheiten!$A$4:$A$63,0))=0,"",INDEX(Einheiten!$B$4:$B$63,MATCH($B497,Einheiten!$A$4:$A$63,0)))),"")</f>
        <v/>
      </c>
      <c r="B497" s="54"/>
      <c r="C497" s="73" t="str">
        <f aca="false">IFERROR(IF($D497="","",INDEX(Übungen!$B$4:$B$23,MATCH($D497,Übungen!$A$4:$A$23,0))),"")</f>
        <v/>
      </c>
      <c r="D497" s="56"/>
      <c r="E497" s="67"/>
      <c r="F497" s="55"/>
      <c r="G497" s="68"/>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2" t="str">
        <f aca="false">IFERROR(IF($B498="","",IF(INDEX(Einheiten!$B$4:$B$63,MATCH($B498,Einheiten!$A$4:$A$63,0))=0,"",INDEX(Einheiten!$B$4:$B$63,MATCH($B498,Einheiten!$A$4:$A$63,0)))),"")</f>
        <v/>
      </c>
      <c r="B498" s="54"/>
      <c r="C498" s="73" t="str">
        <f aca="false">IFERROR(IF($D498="","",INDEX(Übungen!$B$4:$B$23,MATCH($D498,Übungen!$A$4:$A$23,0))),"")</f>
        <v/>
      </c>
      <c r="D498" s="56"/>
      <c r="E498" s="67"/>
      <c r="F498" s="55"/>
      <c r="G498" s="68"/>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2" t="str">
        <f aca="false">IFERROR(IF($B499="","",IF(INDEX(Einheiten!$B$4:$B$63,MATCH($B499,Einheiten!$A$4:$A$63,0))=0,"",INDEX(Einheiten!$B$4:$B$63,MATCH($B499,Einheiten!$A$4:$A$63,0)))),"")</f>
        <v/>
      </c>
      <c r="B499" s="54"/>
      <c r="C499" s="73" t="str">
        <f aca="false">IFERROR(IF($D499="","",INDEX(Übungen!$B$4:$B$23,MATCH($D499,Übungen!$A$4:$A$23,0))),"")</f>
        <v/>
      </c>
      <c r="D499" s="56"/>
      <c r="E499" s="67"/>
      <c r="F499" s="55"/>
      <c r="G499" s="68"/>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2" t="str">
        <f aca="false">IFERROR(IF($B500="","",IF(INDEX(Einheiten!$B$4:$B$63,MATCH($B500,Einheiten!$A$4:$A$63,0))=0,"",INDEX(Einheiten!$B$4:$B$63,MATCH($B500,Einheiten!$A$4:$A$63,0)))),"")</f>
        <v/>
      </c>
      <c r="B500" s="54"/>
      <c r="C500" s="73" t="str">
        <f aca="false">IFERROR(IF($D500="","",INDEX(Übungen!$B$4:$B$23,MATCH($D500,Übungen!$A$4:$A$23,0))),"")</f>
        <v/>
      </c>
      <c r="D500" s="56"/>
      <c r="E500" s="67"/>
      <c r="F500" s="55"/>
      <c r="G500" s="68"/>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2" t="str">
        <f aca="false">IFERROR(IF($B501="","",IF(INDEX(Einheiten!$B$4:$B$63,MATCH($B501,Einheiten!$A$4:$A$63,0))=0,"",INDEX(Einheiten!$B$4:$B$63,MATCH($B501,Einheiten!$A$4:$A$63,0)))),"")</f>
        <v/>
      </c>
      <c r="B501" s="54"/>
      <c r="C501" s="73" t="str">
        <f aca="false">IFERROR(IF($D501="","",INDEX(Übungen!$B$4:$B$23,MATCH($D501,Übungen!$A$4:$A$23,0))),"")</f>
        <v/>
      </c>
      <c r="D501" s="56"/>
      <c r="E501" s="67"/>
      <c r="F501" s="55"/>
      <c r="G501" s="68"/>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2" t="str">
        <f aca="false">IFERROR(IF($B502="","",IF(INDEX(Einheiten!$B$4:$B$63,MATCH($B502,Einheiten!$A$4:$A$63,0))=0,"",INDEX(Einheiten!$B$4:$B$63,MATCH($B502,Einheiten!$A$4:$A$63,0)))),"")</f>
        <v/>
      </c>
      <c r="B502" s="54"/>
      <c r="C502" s="73" t="str">
        <f aca="false">IFERROR(IF($D502="","",INDEX(Übungen!$B$4:$B$23,MATCH($D502,Übungen!$A$4:$A$23,0))),"")</f>
        <v/>
      </c>
      <c r="D502" s="56"/>
      <c r="E502" s="67"/>
      <c r="F502" s="55"/>
      <c r="G502" s="68"/>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2" t="str">
        <f aca="false">IFERROR(IF($B503="","",IF(INDEX(Einheiten!$B$4:$B$63,MATCH($B503,Einheiten!$A$4:$A$63,0))=0,"",INDEX(Einheiten!$B$4:$B$63,MATCH($B503,Einheiten!$A$4:$A$63,0)))),"")</f>
        <v/>
      </c>
      <c r="B503" s="54"/>
      <c r="C503" s="73" t="str">
        <f aca="false">IFERROR(IF($D503="","",INDEX(Übungen!$B$4:$B$23,MATCH($D503,Übungen!$A$4:$A$23,0))),"")</f>
        <v/>
      </c>
      <c r="D503" s="56"/>
      <c r="E503" s="67"/>
      <c r="F503" s="55"/>
      <c r="G503" s="68"/>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2" t="str">
        <f aca="false">IFERROR(IF($B504="","",IF(INDEX(Einheiten!$B$4:$B$63,MATCH($B504,Einheiten!$A$4:$A$63,0))=0,"",INDEX(Einheiten!$B$4:$B$63,MATCH($B504,Einheiten!$A$4:$A$63,0)))),"")</f>
        <v/>
      </c>
      <c r="B504" s="54"/>
      <c r="C504" s="73" t="str">
        <f aca="false">IFERROR(IF($D504="","",INDEX(Übungen!$B$4:$B$23,MATCH($D504,Übungen!$A$4:$A$23,0))),"")</f>
        <v/>
      </c>
      <c r="D504" s="56"/>
      <c r="E504" s="67"/>
      <c r="F504" s="55"/>
      <c r="G504" s="68"/>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2" t="str">
        <f aca="false">IFERROR(IF($B505="","",IF(INDEX(Einheiten!$B$4:$B$63,MATCH($B505,Einheiten!$A$4:$A$63,0))=0,"",INDEX(Einheiten!$B$4:$B$63,MATCH($B505,Einheiten!$A$4:$A$63,0)))),"")</f>
        <v/>
      </c>
      <c r="B505" s="54"/>
      <c r="C505" s="73" t="str">
        <f aca="false">IFERROR(IF($D505="","",INDEX(Übungen!$B$4:$B$23,MATCH($D505,Übungen!$A$4:$A$23,0))),"")</f>
        <v/>
      </c>
      <c r="D505" s="56"/>
      <c r="E505" s="67"/>
      <c r="F505" s="55"/>
      <c r="G505" s="68"/>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2" t="str">
        <f aca="false">IFERROR(IF($B506="","",IF(INDEX(Einheiten!$B$4:$B$63,MATCH($B506,Einheiten!$A$4:$A$63,0))=0,"",INDEX(Einheiten!$B$4:$B$63,MATCH($B506,Einheiten!$A$4:$A$63,0)))),"")</f>
        <v/>
      </c>
      <c r="B506" s="54"/>
      <c r="C506" s="73" t="str">
        <f aca="false">IFERROR(IF($D506="","",INDEX(Übungen!$B$4:$B$23,MATCH($D506,Übungen!$A$4:$A$23,0))),"")</f>
        <v/>
      </c>
      <c r="D506" s="56"/>
      <c r="E506" s="67"/>
      <c r="F506" s="55"/>
      <c r="G506" s="68"/>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2" t="str">
        <f aca="false">IFERROR(IF($B507="","",IF(INDEX(Einheiten!$B$4:$B$63,MATCH($B507,Einheiten!$A$4:$A$63,0))=0,"",INDEX(Einheiten!$B$4:$B$63,MATCH($B507,Einheiten!$A$4:$A$63,0)))),"")</f>
        <v/>
      </c>
      <c r="B507" s="54"/>
      <c r="C507" s="73" t="str">
        <f aca="false">IFERROR(IF($D507="","",INDEX(Übungen!$B$4:$B$23,MATCH($D507,Übungen!$A$4:$A$23,0))),"")</f>
        <v/>
      </c>
      <c r="D507" s="56"/>
      <c r="E507" s="67"/>
      <c r="F507" s="55"/>
      <c r="G507" s="68"/>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2" t="str">
        <f aca="false">IFERROR(IF($B508="","",IF(INDEX(Einheiten!$B$4:$B$63,MATCH($B508,Einheiten!$A$4:$A$63,0))=0,"",INDEX(Einheiten!$B$4:$B$63,MATCH($B508,Einheiten!$A$4:$A$63,0)))),"")</f>
        <v/>
      </c>
      <c r="B508" s="54"/>
      <c r="C508" s="73" t="str">
        <f aca="false">IFERROR(IF($D508="","",INDEX(Übungen!$B$4:$B$23,MATCH($D508,Übungen!$A$4:$A$23,0))),"")</f>
        <v/>
      </c>
      <c r="D508" s="56"/>
      <c r="E508" s="67"/>
      <c r="F508" s="55"/>
      <c r="G508" s="68"/>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2" t="str">
        <f aca="false">IFERROR(IF($B509="","",IF(INDEX(Einheiten!$B$4:$B$63,MATCH($B509,Einheiten!$A$4:$A$63,0))=0,"",INDEX(Einheiten!$B$4:$B$63,MATCH($B509,Einheiten!$A$4:$A$63,0)))),"")</f>
        <v/>
      </c>
      <c r="B509" s="54"/>
      <c r="C509" s="73" t="str">
        <f aca="false">IFERROR(IF($D509="","",INDEX(Übungen!$B$4:$B$23,MATCH($D509,Übungen!$A$4:$A$23,0))),"")</f>
        <v/>
      </c>
      <c r="D509" s="56"/>
      <c r="E509" s="67"/>
      <c r="F509" s="55"/>
      <c r="G509" s="68"/>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2" t="str">
        <f aca="false">IFERROR(IF($B510="","",IF(INDEX(Einheiten!$B$4:$B$63,MATCH($B510,Einheiten!$A$4:$A$63,0))=0,"",INDEX(Einheiten!$B$4:$B$63,MATCH($B510,Einheiten!$A$4:$A$63,0)))),"")</f>
        <v/>
      </c>
      <c r="B510" s="54"/>
      <c r="C510" s="73" t="str">
        <f aca="false">IFERROR(IF($D510="","",INDEX(Übungen!$B$4:$B$23,MATCH($D510,Übungen!$A$4:$A$23,0))),"")</f>
        <v/>
      </c>
      <c r="D510" s="56"/>
      <c r="E510" s="67"/>
      <c r="F510" s="55"/>
      <c r="G510" s="68"/>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2" t="str">
        <f aca="false">IFERROR(IF($B511="","",IF(INDEX(Einheiten!$B$4:$B$63,MATCH($B511,Einheiten!$A$4:$A$63,0))=0,"",INDEX(Einheiten!$B$4:$B$63,MATCH($B511,Einheiten!$A$4:$A$63,0)))),"")</f>
        <v/>
      </c>
      <c r="B511" s="54"/>
      <c r="C511" s="73" t="str">
        <f aca="false">IFERROR(IF($D511="","",INDEX(Übungen!$B$4:$B$23,MATCH($D511,Übungen!$A$4:$A$23,0))),"")</f>
        <v/>
      </c>
      <c r="D511" s="56"/>
      <c r="E511" s="67"/>
      <c r="F511" s="55"/>
      <c r="G511" s="68"/>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2" t="str">
        <f aca="false">IFERROR(IF($B512="","",IF(INDEX(Einheiten!$B$4:$B$63,MATCH($B512,Einheiten!$A$4:$A$63,0))=0,"",INDEX(Einheiten!$B$4:$B$63,MATCH($B512,Einheiten!$A$4:$A$63,0)))),"")</f>
        <v/>
      </c>
      <c r="B512" s="54"/>
      <c r="C512" s="73" t="str">
        <f aca="false">IFERROR(IF($D512="","",INDEX(Übungen!$B$4:$B$23,MATCH($D512,Übungen!$A$4:$A$23,0))),"")</f>
        <v/>
      </c>
      <c r="D512" s="56"/>
      <c r="E512" s="67"/>
      <c r="F512" s="55"/>
      <c r="G512" s="68"/>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2" t="str">
        <f aca="false">IFERROR(IF($B513="","",IF(INDEX(Einheiten!$B$4:$B$63,MATCH($B513,Einheiten!$A$4:$A$63,0))=0,"",INDEX(Einheiten!$B$4:$B$63,MATCH($B513,Einheiten!$A$4:$A$63,0)))),"")</f>
        <v/>
      </c>
      <c r="B513" s="54"/>
      <c r="C513" s="73" t="str">
        <f aca="false">IFERROR(IF($D513="","",INDEX(Übungen!$B$4:$B$23,MATCH($D513,Übungen!$A$4:$A$23,0))),"")</f>
        <v/>
      </c>
      <c r="D513" s="56"/>
      <c r="E513" s="67"/>
      <c r="F513" s="55"/>
      <c r="G513" s="68"/>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2" t="str">
        <f aca="false">IFERROR(IF($B514="","",IF(INDEX(Einheiten!$B$4:$B$63,MATCH($B514,Einheiten!$A$4:$A$63,0))=0,"",INDEX(Einheiten!$B$4:$B$63,MATCH($B514,Einheiten!$A$4:$A$63,0)))),"")</f>
        <v/>
      </c>
      <c r="B514" s="54"/>
      <c r="C514" s="73" t="str">
        <f aca="false">IFERROR(IF($D514="","",INDEX(Übungen!$B$4:$B$23,MATCH($D514,Übungen!$A$4:$A$23,0))),"")</f>
        <v/>
      </c>
      <c r="D514" s="56"/>
      <c r="E514" s="67"/>
      <c r="F514" s="55"/>
      <c r="G514" s="68"/>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2" t="str">
        <f aca="false">IFERROR(IF($B515="","",IF(INDEX(Einheiten!$B$4:$B$63,MATCH($B515,Einheiten!$A$4:$A$63,0))=0,"",INDEX(Einheiten!$B$4:$B$63,MATCH($B515,Einheiten!$A$4:$A$63,0)))),"")</f>
        <v/>
      </c>
      <c r="B515" s="54"/>
      <c r="C515" s="73" t="str">
        <f aca="false">IFERROR(IF($D515="","",INDEX(Übungen!$B$4:$B$23,MATCH($D515,Übungen!$A$4:$A$23,0))),"")</f>
        <v/>
      </c>
      <c r="D515" s="56"/>
      <c r="E515" s="67"/>
      <c r="F515" s="55"/>
      <c r="G515" s="68"/>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2" t="str">
        <f aca="false">IFERROR(IF($B516="","",IF(INDEX(Einheiten!$B$4:$B$63,MATCH($B516,Einheiten!$A$4:$A$63,0))=0,"",INDEX(Einheiten!$B$4:$B$63,MATCH($B516,Einheiten!$A$4:$A$63,0)))),"")</f>
        <v/>
      </c>
      <c r="B516" s="54"/>
      <c r="C516" s="73" t="str">
        <f aca="false">IFERROR(IF($D516="","",INDEX(Übungen!$B$4:$B$23,MATCH($D516,Übungen!$A$4:$A$23,0))),"")</f>
        <v/>
      </c>
      <c r="D516" s="56"/>
      <c r="E516" s="67"/>
      <c r="F516" s="55"/>
      <c r="G516" s="68"/>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2" t="str">
        <f aca="false">IFERROR(IF($B517="","",IF(INDEX(Einheiten!$B$4:$B$63,MATCH($B517,Einheiten!$A$4:$A$63,0))=0,"",INDEX(Einheiten!$B$4:$B$63,MATCH($B517,Einheiten!$A$4:$A$63,0)))),"")</f>
        <v/>
      </c>
      <c r="B517" s="54"/>
      <c r="C517" s="73" t="str">
        <f aca="false">IFERROR(IF($D517="","",INDEX(Übungen!$B$4:$B$23,MATCH($D517,Übungen!$A$4:$A$23,0))),"")</f>
        <v/>
      </c>
      <c r="D517" s="56"/>
      <c r="E517" s="67"/>
      <c r="F517" s="55"/>
      <c r="G517" s="68"/>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2" t="str">
        <f aca="false">IFERROR(IF($B518="","",IF(INDEX(Einheiten!$B$4:$B$63,MATCH($B518,Einheiten!$A$4:$A$63,0))=0,"",INDEX(Einheiten!$B$4:$B$63,MATCH($B518,Einheiten!$A$4:$A$63,0)))),"")</f>
        <v/>
      </c>
      <c r="B518" s="54"/>
      <c r="C518" s="73" t="str">
        <f aca="false">IFERROR(IF($D518="","",INDEX(Übungen!$B$4:$B$23,MATCH($D518,Übungen!$A$4:$A$23,0))),"")</f>
        <v/>
      </c>
      <c r="D518" s="56"/>
      <c r="E518" s="67"/>
      <c r="F518" s="55"/>
      <c r="G518" s="68"/>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2" t="str">
        <f aca="false">IFERROR(IF($B519="","",IF(INDEX(Einheiten!$B$4:$B$63,MATCH($B519,Einheiten!$A$4:$A$63,0))=0,"",INDEX(Einheiten!$B$4:$B$63,MATCH($B519,Einheiten!$A$4:$A$63,0)))),"")</f>
        <v/>
      </c>
      <c r="B519" s="54"/>
      <c r="C519" s="73" t="str">
        <f aca="false">IFERROR(IF($D519="","",INDEX(Übungen!$B$4:$B$23,MATCH($D519,Übungen!$A$4:$A$23,0))),"")</f>
        <v/>
      </c>
      <c r="D519" s="56"/>
      <c r="E519" s="67"/>
      <c r="F519" s="55"/>
      <c r="G519" s="68"/>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2" t="str">
        <f aca="false">IFERROR(IF($B520="","",IF(INDEX(Einheiten!$B$4:$B$63,MATCH($B520,Einheiten!$A$4:$A$63,0))=0,"",INDEX(Einheiten!$B$4:$B$63,MATCH($B520,Einheiten!$A$4:$A$63,0)))),"")</f>
        <v/>
      </c>
      <c r="B520" s="54"/>
      <c r="C520" s="73" t="str">
        <f aca="false">IFERROR(IF($D520="","",INDEX(Übungen!$B$4:$B$23,MATCH($D520,Übungen!$A$4:$A$23,0))),"")</f>
        <v/>
      </c>
      <c r="D520" s="56"/>
      <c r="E520" s="67"/>
      <c r="F520" s="55"/>
      <c r="G520" s="68"/>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2" t="str">
        <f aca="false">IFERROR(IF($B521="","",IF(INDEX(Einheiten!$B$4:$B$63,MATCH($B521,Einheiten!$A$4:$A$63,0))=0,"",INDEX(Einheiten!$B$4:$B$63,MATCH($B521,Einheiten!$A$4:$A$63,0)))),"")</f>
        <v/>
      </c>
      <c r="B521" s="54"/>
      <c r="C521" s="73" t="str">
        <f aca="false">IFERROR(IF($D521="","",INDEX(Übungen!$B$4:$B$23,MATCH($D521,Übungen!$A$4:$A$23,0))),"")</f>
        <v/>
      </c>
      <c r="D521" s="56"/>
      <c r="E521" s="67"/>
      <c r="F521" s="55"/>
      <c r="G521" s="68"/>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2" t="str">
        <f aca="false">IFERROR(IF($B522="","",IF(INDEX(Einheiten!$B$4:$B$63,MATCH($B522,Einheiten!$A$4:$A$63,0))=0,"",INDEX(Einheiten!$B$4:$B$63,MATCH($B522,Einheiten!$A$4:$A$63,0)))),"")</f>
        <v/>
      </c>
      <c r="B522" s="54"/>
      <c r="C522" s="73" t="str">
        <f aca="false">IFERROR(IF($D522="","",INDEX(Übungen!$B$4:$B$23,MATCH($D522,Übungen!$A$4:$A$23,0))),"")</f>
        <v/>
      </c>
      <c r="D522" s="56"/>
      <c r="E522" s="67"/>
      <c r="F522" s="55"/>
      <c r="G522" s="68"/>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2" t="str">
        <f aca="false">IFERROR(IF($B523="","",IF(INDEX(Einheiten!$B$4:$B$63,MATCH($B523,Einheiten!$A$4:$A$63,0))=0,"",INDEX(Einheiten!$B$4:$B$63,MATCH($B523,Einheiten!$A$4:$A$63,0)))),"")</f>
        <v/>
      </c>
      <c r="B523" s="54"/>
      <c r="C523" s="73" t="str">
        <f aca="false">IFERROR(IF($D523="","",INDEX(Übungen!$B$4:$B$23,MATCH($D523,Übungen!$A$4:$A$23,0))),"")</f>
        <v/>
      </c>
      <c r="D523" s="56"/>
      <c r="E523" s="67"/>
      <c r="F523" s="55"/>
      <c r="G523" s="68"/>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2" t="str">
        <f aca="false">IFERROR(IF($B524="","",IF(INDEX(Einheiten!$B$4:$B$63,MATCH($B524,Einheiten!$A$4:$A$63,0))=0,"",INDEX(Einheiten!$B$4:$B$63,MATCH($B524,Einheiten!$A$4:$A$63,0)))),"")</f>
        <v/>
      </c>
      <c r="B524" s="54"/>
      <c r="C524" s="73" t="str">
        <f aca="false">IFERROR(IF($D524="","",INDEX(Übungen!$B$4:$B$23,MATCH($D524,Übungen!$A$4:$A$23,0))),"")</f>
        <v/>
      </c>
      <c r="D524" s="56"/>
      <c r="E524" s="67"/>
      <c r="F524" s="55"/>
      <c r="G524" s="68"/>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2" t="str">
        <f aca="false">IFERROR(IF($B525="","",IF(INDEX(Einheiten!$B$4:$B$63,MATCH($B525,Einheiten!$A$4:$A$63,0))=0,"",INDEX(Einheiten!$B$4:$B$63,MATCH($B525,Einheiten!$A$4:$A$63,0)))),"")</f>
        <v/>
      </c>
      <c r="B525" s="54"/>
      <c r="C525" s="73" t="str">
        <f aca="false">IFERROR(IF($D525="","",INDEX(Übungen!$B$4:$B$23,MATCH($D525,Übungen!$A$4:$A$23,0))),"")</f>
        <v/>
      </c>
      <c r="D525" s="56"/>
      <c r="E525" s="67"/>
      <c r="F525" s="55"/>
      <c r="G525" s="68"/>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2" t="str">
        <f aca="false">IFERROR(IF($B526="","",IF(INDEX(Einheiten!$B$4:$B$63,MATCH($B526,Einheiten!$A$4:$A$63,0))=0,"",INDEX(Einheiten!$B$4:$B$63,MATCH($B526,Einheiten!$A$4:$A$63,0)))),"")</f>
        <v/>
      </c>
      <c r="B526" s="54"/>
      <c r="C526" s="73" t="str">
        <f aca="false">IFERROR(IF($D526="","",INDEX(Übungen!$B$4:$B$23,MATCH($D526,Übungen!$A$4:$A$23,0))),"")</f>
        <v/>
      </c>
      <c r="D526" s="56"/>
      <c r="E526" s="67"/>
      <c r="F526" s="55"/>
      <c r="G526" s="68"/>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2" t="str">
        <f aca="false">IFERROR(IF($B527="","",IF(INDEX(Einheiten!$B$4:$B$63,MATCH($B527,Einheiten!$A$4:$A$63,0))=0,"",INDEX(Einheiten!$B$4:$B$63,MATCH($B527,Einheiten!$A$4:$A$63,0)))),"")</f>
        <v/>
      </c>
      <c r="B527" s="54"/>
      <c r="C527" s="73" t="str">
        <f aca="false">IFERROR(IF($D527="","",INDEX(Übungen!$B$4:$B$23,MATCH($D527,Übungen!$A$4:$A$23,0))),"")</f>
        <v/>
      </c>
      <c r="D527" s="56"/>
      <c r="E527" s="67"/>
      <c r="F527" s="55"/>
      <c r="G527" s="68"/>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2" t="str">
        <f aca="false">IFERROR(IF($B528="","",IF(INDEX(Einheiten!$B$4:$B$63,MATCH($B528,Einheiten!$A$4:$A$63,0))=0,"",INDEX(Einheiten!$B$4:$B$63,MATCH($B528,Einheiten!$A$4:$A$63,0)))),"")</f>
        <v/>
      </c>
      <c r="B528" s="54"/>
      <c r="C528" s="73" t="str">
        <f aca="false">IFERROR(IF($D528="","",INDEX(Übungen!$B$4:$B$23,MATCH($D528,Übungen!$A$4:$A$23,0))),"")</f>
        <v/>
      </c>
      <c r="D528" s="56"/>
      <c r="E528" s="67"/>
      <c r="F528" s="55"/>
      <c r="G528" s="68"/>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2" t="str">
        <f aca="false">IFERROR(IF($B529="","",IF(INDEX(Einheiten!$B$4:$B$63,MATCH($B529,Einheiten!$A$4:$A$63,0))=0,"",INDEX(Einheiten!$B$4:$B$63,MATCH($B529,Einheiten!$A$4:$A$63,0)))),"")</f>
        <v/>
      </c>
      <c r="B529" s="54"/>
      <c r="C529" s="73" t="str">
        <f aca="false">IFERROR(IF($D529="","",INDEX(Übungen!$B$4:$B$23,MATCH($D529,Übungen!$A$4:$A$23,0))),"")</f>
        <v/>
      </c>
      <c r="D529" s="56"/>
      <c r="E529" s="67"/>
      <c r="F529" s="55"/>
      <c r="G529" s="68"/>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2" t="str">
        <f aca="false">IFERROR(IF($B530="","",IF(INDEX(Einheiten!$B$4:$B$63,MATCH($B530,Einheiten!$A$4:$A$63,0))=0,"",INDEX(Einheiten!$B$4:$B$63,MATCH($B530,Einheiten!$A$4:$A$63,0)))),"")</f>
        <v/>
      </c>
      <c r="B530" s="54"/>
      <c r="C530" s="73" t="str">
        <f aca="false">IFERROR(IF($D530="","",INDEX(Übungen!$B$4:$B$23,MATCH($D530,Übungen!$A$4:$A$23,0))),"")</f>
        <v/>
      </c>
      <c r="D530" s="56"/>
      <c r="E530" s="67"/>
      <c r="F530" s="55"/>
      <c r="G530" s="68"/>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2" t="str">
        <f aca="false">IFERROR(IF($B531="","",IF(INDEX(Einheiten!$B$4:$B$63,MATCH($B531,Einheiten!$A$4:$A$63,0))=0,"",INDEX(Einheiten!$B$4:$B$63,MATCH($B531,Einheiten!$A$4:$A$63,0)))),"")</f>
        <v/>
      </c>
      <c r="B531" s="54"/>
      <c r="C531" s="73" t="str">
        <f aca="false">IFERROR(IF($D531="","",INDEX(Übungen!$B$4:$B$23,MATCH($D531,Übungen!$A$4:$A$23,0))),"")</f>
        <v/>
      </c>
      <c r="D531" s="56"/>
      <c r="E531" s="67"/>
      <c r="F531" s="55"/>
      <c r="G531" s="68"/>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2" t="str">
        <f aca="false">IFERROR(IF($B532="","",IF(INDEX(Einheiten!$B$4:$B$63,MATCH($B532,Einheiten!$A$4:$A$63,0))=0,"",INDEX(Einheiten!$B$4:$B$63,MATCH($B532,Einheiten!$A$4:$A$63,0)))),"")</f>
        <v/>
      </c>
      <c r="B532" s="54"/>
      <c r="C532" s="73" t="str">
        <f aca="false">IFERROR(IF($D532="","",INDEX(Übungen!$B$4:$B$23,MATCH($D532,Übungen!$A$4:$A$23,0))),"")</f>
        <v/>
      </c>
      <c r="D532" s="56"/>
      <c r="E532" s="67"/>
      <c r="F532" s="55"/>
      <c r="G532" s="68"/>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2" t="str">
        <f aca="false">IFERROR(IF($B533="","",IF(INDEX(Einheiten!$B$4:$B$63,MATCH($B533,Einheiten!$A$4:$A$63,0))=0,"",INDEX(Einheiten!$B$4:$B$63,MATCH($B533,Einheiten!$A$4:$A$63,0)))),"")</f>
        <v/>
      </c>
      <c r="B533" s="54"/>
      <c r="C533" s="73" t="str">
        <f aca="false">IFERROR(IF($D533="","",INDEX(Übungen!$B$4:$B$23,MATCH($D533,Übungen!$A$4:$A$23,0))),"")</f>
        <v/>
      </c>
      <c r="D533" s="56"/>
      <c r="E533" s="67"/>
      <c r="F533" s="55"/>
      <c r="G533" s="68"/>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2" t="str">
        <f aca="false">IFERROR(IF($B534="","",IF(INDEX(Einheiten!$B$4:$B$63,MATCH($B534,Einheiten!$A$4:$A$63,0))=0,"",INDEX(Einheiten!$B$4:$B$63,MATCH($B534,Einheiten!$A$4:$A$63,0)))),"")</f>
        <v/>
      </c>
      <c r="B534" s="54"/>
      <c r="C534" s="73" t="str">
        <f aca="false">IFERROR(IF($D534="","",INDEX(Übungen!$B$4:$B$23,MATCH($D534,Übungen!$A$4:$A$23,0))),"")</f>
        <v/>
      </c>
      <c r="D534" s="56"/>
      <c r="E534" s="67"/>
      <c r="F534" s="55"/>
      <c r="G534" s="68"/>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2" t="str">
        <f aca="false">IFERROR(IF($B535="","",IF(INDEX(Einheiten!$B$4:$B$63,MATCH($B535,Einheiten!$A$4:$A$63,0))=0,"",INDEX(Einheiten!$B$4:$B$63,MATCH($B535,Einheiten!$A$4:$A$63,0)))),"")</f>
        <v/>
      </c>
      <c r="B535" s="54"/>
      <c r="C535" s="73" t="str">
        <f aca="false">IFERROR(IF($D535="","",INDEX(Übungen!$B$4:$B$23,MATCH($D535,Übungen!$A$4:$A$23,0))),"")</f>
        <v/>
      </c>
      <c r="D535" s="56"/>
      <c r="E535" s="67"/>
      <c r="F535" s="55"/>
      <c r="G535" s="68"/>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2" t="str">
        <f aca="false">IFERROR(IF($B536="","",IF(INDEX(Einheiten!$B$4:$B$63,MATCH($B536,Einheiten!$A$4:$A$63,0))=0,"",INDEX(Einheiten!$B$4:$B$63,MATCH($B536,Einheiten!$A$4:$A$63,0)))),"")</f>
        <v/>
      </c>
      <c r="B536" s="54"/>
      <c r="C536" s="73" t="str">
        <f aca="false">IFERROR(IF($D536="","",INDEX(Übungen!$B$4:$B$23,MATCH($D536,Übungen!$A$4:$A$23,0))),"")</f>
        <v/>
      </c>
      <c r="D536" s="56"/>
      <c r="E536" s="67"/>
      <c r="F536" s="55"/>
      <c r="G536" s="68"/>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2" t="str">
        <f aca="false">IFERROR(IF($B537="","",IF(INDEX(Einheiten!$B$4:$B$63,MATCH($B537,Einheiten!$A$4:$A$63,0))=0,"",INDEX(Einheiten!$B$4:$B$63,MATCH($B537,Einheiten!$A$4:$A$63,0)))),"")</f>
        <v/>
      </c>
      <c r="B537" s="54"/>
      <c r="C537" s="73" t="str">
        <f aca="false">IFERROR(IF($D537="","",INDEX(Übungen!$B$4:$B$23,MATCH($D537,Übungen!$A$4:$A$23,0))),"")</f>
        <v/>
      </c>
      <c r="D537" s="56"/>
      <c r="E537" s="67"/>
      <c r="F537" s="55"/>
      <c r="G537" s="68"/>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2" t="str">
        <f aca="false">IFERROR(IF($B538="","",IF(INDEX(Einheiten!$B$4:$B$63,MATCH($B538,Einheiten!$A$4:$A$63,0))=0,"",INDEX(Einheiten!$B$4:$B$63,MATCH($B538,Einheiten!$A$4:$A$63,0)))),"")</f>
        <v/>
      </c>
      <c r="B538" s="54"/>
      <c r="C538" s="73" t="str">
        <f aca="false">IFERROR(IF($D538="","",INDEX(Übungen!$B$4:$B$23,MATCH($D538,Übungen!$A$4:$A$23,0))),"")</f>
        <v/>
      </c>
      <c r="D538" s="56"/>
      <c r="E538" s="67"/>
      <c r="F538" s="55"/>
      <c r="G538" s="68"/>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2" t="str">
        <f aca="false">IFERROR(IF($B539="","",IF(INDEX(Einheiten!$B$4:$B$63,MATCH($B539,Einheiten!$A$4:$A$63,0))=0,"",INDEX(Einheiten!$B$4:$B$63,MATCH($B539,Einheiten!$A$4:$A$63,0)))),"")</f>
        <v/>
      </c>
      <c r="B539" s="54"/>
      <c r="C539" s="73" t="str">
        <f aca="false">IFERROR(IF($D539="","",INDEX(Übungen!$B$4:$B$23,MATCH($D539,Übungen!$A$4:$A$23,0))),"")</f>
        <v/>
      </c>
      <c r="D539" s="56"/>
      <c r="E539" s="67"/>
      <c r="F539" s="55"/>
      <c r="G539" s="68"/>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2" t="str">
        <f aca="false">IFERROR(IF($B540="","",IF(INDEX(Einheiten!$B$4:$B$63,MATCH($B540,Einheiten!$A$4:$A$63,0))=0,"",INDEX(Einheiten!$B$4:$B$63,MATCH($B540,Einheiten!$A$4:$A$63,0)))),"")</f>
        <v/>
      </c>
      <c r="B540" s="54"/>
      <c r="C540" s="73" t="str">
        <f aca="false">IFERROR(IF($D540="","",INDEX(Übungen!$B$4:$B$23,MATCH($D540,Übungen!$A$4:$A$23,0))),"")</f>
        <v/>
      </c>
      <c r="D540" s="56"/>
      <c r="E540" s="67"/>
      <c r="F540" s="55"/>
      <c r="G540" s="68"/>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2" t="str">
        <f aca="false">IFERROR(IF($B541="","",IF(INDEX(Einheiten!$B$4:$B$63,MATCH($B541,Einheiten!$A$4:$A$63,0))=0,"",INDEX(Einheiten!$B$4:$B$63,MATCH($B541,Einheiten!$A$4:$A$63,0)))),"")</f>
        <v/>
      </c>
      <c r="B541" s="54"/>
      <c r="C541" s="73" t="str">
        <f aca="false">IFERROR(IF($D541="","",INDEX(Übungen!$B$4:$B$23,MATCH($D541,Übungen!$A$4:$A$23,0))),"")</f>
        <v/>
      </c>
      <c r="D541" s="56"/>
      <c r="E541" s="67"/>
      <c r="F541" s="55"/>
      <c r="G541" s="68"/>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2" t="str">
        <f aca="false">IFERROR(IF($B542="","",IF(INDEX(Einheiten!$B$4:$B$63,MATCH($B542,Einheiten!$A$4:$A$63,0))=0,"",INDEX(Einheiten!$B$4:$B$63,MATCH($B542,Einheiten!$A$4:$A$63,0)))),"")</f>
        <v/>
      </c>
      <c r="B542" s="54"/>
      <c r="C542" s="73" t="str">
        <f aca="false">IFERROR(IF($D542="","",INDEX(Übungen!$B$4:$B$23,MATCH($D542,Übungen!$A$4:$A$23,0))),"")</f>
        <v/>
      </c>
      <c r="D542" s="56"/>
      <c r="E542" s="67"/>
      <c r="F542" s="55"/>
      <c r="G542" s="68"/>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2" t="str">
        <f aca="false">IFERROR(IF($B543="","",IF(INDEX(Einheiten!$B$4:$B$63,MATCH($B543,Einheiten!$A$4:$A$63,0))=0,"",INDEX(Einheiten!$B$4:$B$63,MATCH($B543,Einheiten!$A$4:$A$63,0)))),"")</f>
        <v/>
      </c>
      <c r="B543" s="54"/>
      <c r="C543" s="73" t="str">
        <f aca="false">IFERROR(IF($D543="","",INDEX(Übungen!$B$4:$B$23,MATCH($D543,Übungen!$A$4:$A$23,0))),"")</f>
        <v/>
      </c>
      <c r="D543" s="56"/>
      <c r="E543" s="67"/>
      <c r="F543" s="55"/>
      <c r="G543" s="68"/>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2" t="str">
        <f aca="false">IFERROR(IF($B544="","",IF(INDEX(Einheiten!$B$4:$B$63,MATCH($B544,Einheiten!$A$4:$A$63,0))=0,"",INDEX(Einheiten!$B$4:$B$63,MATCH($B544,Einheiten!$A$4:$A$63,0)))),"")</f>
        <v/>
      </c>
      <c r="B544" s="54"/>
      <c r="C544" s="73" t="str">
        <f aca="false">IFERROR(IF($D544="","",INDEX(Übungen!$B$4:$B$23,MATCH($D544,Übungen!$A$4:$A$23,0))),"")</f>
        <v/>
      </c>
      <c r="D544" s="56"/>
      <c r="E544" s="67"/>
      <c r="F544" s="55"/>
      <c r="G544" s="68"/>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2" t="str">
        <f aca="false">IFERROR(IF($B545="","",IF(INDEX(Einheiten!$B$4:$B$63,MATCH($B545,Einheiten!$A$4:$A$63,0))=0,"",INDEX(Einheiten!$B$4:$B$63,MATCH($B545,Einheiten!$A$4:$A$63,0)))),"")</f>
        <v/>
      </c>
      <c r="B545" s="54"/>
      <c r="C545" s="73" t="str">
        <f aca="false">IFERROR(IF($D545="","",INDEX(Übungen!$B$4:$B$23,MATCH($D545,Übungen!$A$4:$A$23,0))),"")</f>
        <v/>
      </c>
      <c r="D545" s="56"/>
      <c r="E545" s="67"/>
      <c r="F545" s="55"/>
      <c r="G545" s="68"/>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2" t="str">
        <f aca="false">IFERROR(IF($B546="","",IF(INDEX(Einheiten!$B$4:$B$63,MATCH($B546,Einheiten!$A$4:$A$63,0))=0,"",INDEX(Einheiten!$B$4:$B$63,MATCH($B546,Einheiten!$A$4:$A$63,0)))),"")</f>
        <v/>
      </c>
      <c r="B546" s="54"/>
      <c r="C546" s="73" t="str">
        <f aca="false">IFERROR(IF($D546="","",INDEX(Übungen!$B$4:$B$23,MATCH($D546,Übungen!$A$4:$A$23,0))),"")</f>
        <v/>
      </c>
      <c r="D546" s="56"/>
      <c r="E546" s="67"/>
      <c r="F546" s="55"/>
      <c r="G546" s="68"/>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2" t="str">
        <f aca="false">IFERROR(IF($B547="","",IF(INDEX(Einheiten!$B$4:$B$63,MATCH($B547,Einheiten!$A$4:$A$63,0))=0,"",INDEX(Einheiten!$B$4:$B$63,MATCH($B547,Einheiten!$A$4:$A$63,0)))),"")</f>
        <v/>
      </c>
      <c r="B547" s="54"/>
      <c r="C547" s="73" t="str">
        <f aca="false">IFERROR(IF($D547="","",INDEX(Übungen!$B$4:$B$23,MATCH($D547,Übungen!$A$4:$A$23,0))),"")</f>
        <v/>
      </c>
      <c r="D547" s="56"/>
      <c r="E547" s="67"/>
      <c r="F547" s="55"/>
      <c r="G547" s="68"/>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2" t="str">
        <f aca="false">IFERROR(IF($B548="","",IF(INDEX(Einheiten!$B$4:$B$63,MATCH($B548,Einheiten!$A$4:$A$63,0))=0,"",INDEX(Einheiten!$B$4:$B$63,MATCH($B548,Einheiten!$A$4:$A$63,0)))),"")</f>
        <v/>
      </c>
      <c r="B548" s="54"/>
      <c r="C548" s="73" t="str">
        <f aca="false">IFERROR(IF($D548="","",INDEX(Übungen!$B$4:$B$23,MATCH($D548,Übungen!$A$4:$A$23,0))),"")</f>
        <v/>
      </c>
      <c r="D548" s="56"/>
      <c r="E548" s="67"/>
      <c r="F548" s="55"/>
      <c r="G548" s="68"/>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2" t="str">
        <f aca="false">IFERROR(IF($B549="","",IF(INDEX(Einheiten!$B$4:$B$63,MATCH($B549,Einheiten!$A$4:$A$63,0))=0,"",INDEX(Einheiten!$B$4:$B$63,MATCH($B549,Einheiten!$A$4:$A$63,0)))),"")</f>
        <v/>
      </c>
      <c r="B549" s="54"/>
      <c r="C549" s="73" t="str">
        <f aca="false">IFERROR(IF($D549="","",INDEX(Übungen!$B$4:$B$23,MATCH($D549,Übungen!$A$4:$A$23,0))),"")</f>
        <v/>
      </c>
      <c r="D549" s="56"/>
      <c r="E549" s="67"/>
      <c r="F549" s="55"/>
      <c r="G549" s="68"/>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2" t="str">
        <f aca="false">IFERROR(IF($B550="","",IF(INDEX(Einheiten!$B$4:$B$63,MATCH($B550,Einheiten!$A$4:$A$63,0))=0,"",INDEX(Einheiten!$B$4:$B$63,MATCH($B550,Einheiten!$A$4:$A$63,0)))),"")</f>
        <v/>
      </c>
      <c r="B550" s="54"/>
      <c r="C550" s="73" t="str">
        <f aca="false">IFERROR(IF($D550="","",INDEX(Übungen!$B$4:$B$23,MATCH($D550,Übungen!$A$4:$A$23,0))),"")</f>
        <v/>
      </c>
      <c r="D550" s="56"/>
      <c r="E550" s="67"/>
      <c r="F550" s="55"/>
      <c r="G550" s="68"/>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2" t="str">
        <f aca="false">IFERROR(IF($B551="","",IF(INDEX(Einheiten!$B$4:$B$63,MATCH($B551,Einheiten!$A$4:$A$63,0))=0,"",INDEX(Einheiten!$B$4:$B$63,MATCH($B551,Einheiten!$A$4:$A$63,0)))),"")</f>
        <v/>
      </c>
      <c r="B551" s="54"/>
      <c r="C551" s="73" t="str">
        <f aca="false">IFERROR(IF($D551="","",INDEX(Übungen!$B$4:$B$23,MATCH($D551,Übungen!$A$4:$A$23,0))),"")</f>
        <v/>
      </c>
      <c r="D551" s="56"/>
      <c r="E551" s="67"/>
      <c r="F551" s="55"/>
      <c r="G551" s="68"/>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2" t="str">
        <f aca="false">IFERROR(IF($B552="","",IF(INDEX(Einheiten!$B$4:$B$63,MATCH($B552,Einheiten!$A$4:$A$63,0))=0,"",INDEX(Einheiten!$B$4:$B$63,MATCH($B552,Einheiten!$A$4:$A$63,0)))),"")</f>
        <v/>
      </c>
      <c r="B552" s="54"/>
      <c r="C552" s="73" t="str">
        <f aca="false">IFERROR(IF($D552="","",INDEX(Übungen!$B$4:$B$23,MATCH($D552,Übungen!$A$4:$A$23,0))),"")</f>
        <v/>
      </c>
      <c r="D552" s="56"/>
      <c r="E552" s="67"/>
      <c r="F552" s="55"/>
      <c r="G552" s="68"/>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2" t="str">
        <f aca="false">IFERROR(IF($B553="","",IF(INDEX(Einheiten!$B$4:$B$63,MATCH($B553,Einheiten!$A$4:$A$63,0))=0,"",INDEX(Einheiten!$B$4:$B$63,MATCH($B553,Einheiten!$A$4:$A$63,0)))),"")</f>
        <v/>
      </c>
      <c r="B553" s="54"/>
      <c r="C553" s="73" t="str">
        <f aca="false">IFERROR(IF($D553="","",INDEX(Übungen!$B$4:$B$23,MATCH($D553,Übungen!$A$4:$A$23,0))),"")</f>
        <v/>
      </c>
      <c r="D553" s="56"/>
      <c r="E553" s="67"/>
      <c r="F553" s="55"/>
      <c r="G553" s="68"/>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2" t="str">
        <f aca="false">IFERROR(IF($B554="","",IF(INDEX(Einheiten!$B$4:$B$63,MATCH($B554,Einheiten!$A$4:$A$63,0))=0,"",INDEX(Einheiten!$B$4:$B$63,MATCH($B554,Einheiten!$A$4:$A$63,0)))),"")</f>
        <v/>
      </c>
      <c r="B554" s="54"/>
      <c r="C554" s="73" t="str">
        <f aca="false">IFERROR(IF($D554="","",INDEX(Übungen!$B$4:$B$23,MATCH($D554,Übungen!$A$4:$A$23,0))),"")</f>
        <v/>
      </c>
      <c r="D554" s="56"/>
      <c r="E554" s="67"/>
      <c r="F554" s="55"/>
      <c r="G554" s="68"/>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2" t="str">
        <f aca="false">IFERROR(IF($B555="","",IF(INDEX(Einheiten!$B$4:$B$63,MATCH($B555,Einheiten!$A$4:$A$63,0))=0,"",INDEX(Einheiten!$B$4:$B$63,MATCH($B555,Einheiten!$A$4:$A$63,0)))),"")</f>
        <v/>
      </c>
      <c r="B555" s="54"/>
      <c r="C555" s="73" t="str">
        <f aca="false">IFERROR(IF($D555="","",INDEX(Übungen!$B$4:$B$23,MATCH($D555,Übungen!$A$4:$A$23,0))),"")</f>
        <v/>
      </c>
      <c r="D555" s="56"/>
      <c r="E555" s="67"/>
      <c r="F555" s="55"/>
      <c r="G555" s="68"/>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2" t="str">
        <f aca="false">IFERROR(IF($B556="","",IF(INDEX(Einheiten!$B$4:$B$63,MATCH($B556,Einheiten!$A$4:$A$63,0))=0,"",INDEX(Einheiten!$B$4:$B$63,MATCH($B556,Einheiten!$A$4:$A$63,0)))),"")</f>
        <v/>
      </c>
      <c r="B556" s="54"/>
      <c r="C556" s="73" t="str">
        <f aca="false">IFERROR(IF($D556="","",INDEX(Übungen!$B$4:$B$23,MATCH($D556,Übungen!$A$4:$A$23,0))),"")</f>
        <v/>
      </c>
      <c r="D556" s="56"/>
      <c r="E556" s="67"/>
      <c r="F556" s="55"/>
      <c r="G556" s="68"/>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2" t="str">
        <f aca="false">IFERROR(IF($B557="","",IF(INDEX(Einheiten!$B$4:$B$63,MATCH($B557,Einheiten!$A$4:$A$63,0))=0,"",INDEX(Einheiten!$B$4:$B$63,MATCH($B557,Einheiten!$A$4:$A$63,0)))),"")</f>
        <v/>
      </c>
      <c r="B557" s="54"/>
      <c r="C557" s="73" t="str">
        <f aca="false">IFERROR(IF($D557="","",INDEX(Übungen!$B$4:$B$23,MATCH($D557,Übungen!$A$4:$A$23,0))),"")</f>
        <v/>
      </c>
      <c r="D557" s="56"/>
      <c r="E557" s="67"/>
      <c r="F557" s="55"/>
      <c r="G557" s="68"/>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2" t="str">
        <f aca="false">IFERROR(IF($B558="","",IF(INDEX(Einheiten!$B$4:$B$63,MATCH($B558,Einheiten!$A$4:$A$63,0))=0,"",INDEX(Einheiten!$B$4:$B$63,MATCH($B558,Einheiten!$A$4:$A$63,0)))),"")</f>
        <v/>
      </c>
      <c r="B558" s="54"/>
      <c r="C558" s="73" t="str">
        <f aca="false">IFERROR(IF($D558="","",INDEX(Übungen!$B$4:$B$23,MATCH($D558,Übungen!$A$4:$A$23,0))),"")</f>
        <v/>
      </c>
      <c r="D558" s="56"/>
      <c r="E558" s="67"/>
      <c r="F558" s="55"/>
      <c r="G558" s="68"/>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2" t="str">
        <f aca="false">IFERROR(IF($B559="","",IF(INDEX(Einheiten!$B$4:$B$63,MATCH($B559,Einheiten!$A$4:$A$63,0))=0,"",INDEX(Einheiten!$B$4:$B$63,MATCH($B559,Einheiten!$A$4:$A$63,0)))),"")</f>
        <v/>
      </c>
      <c r="B559" s="54"/>
      <c r="C559" s="73" t="str">
        <f aca="false">IFERROR(IF($D559="","",INDEX(Übungen!$B$4:$B$23,MATCH($D559,Übungen!$A$4:$A$23,0))),"")</f>
        <v/>
      </c>
      <c r="D559" s="56"/>
      <c r="E559" s="67"/>
      <c r="F559" s="55"/>
      <c r="G559" s="68"/>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2" t="str">
        <f aca="false">IFERROR(IF($B560="","",IF(INDEX(Einheiten!$B$4:$B$63,MATCH($B560,Einheiten!$A$4:$A$63,0))=0,"",INDEX(Einheiten!$B$4:$B$63,MATCH($B560,Einheiten!$A$4:$A$63,0)))),"")</f>
        <v/>
      </c>
      <c r="B560" s="54"/>
      <c r="C560" s="73" t="str">
        <f aca="false">IFERROR(IF($D560="","",INDEX(Übungen!$B$4:$B$23,MATCH($D560,Übungen!$A$4:$A$23,0))),"")</f>
        <v/>
      </c>
      <c r="D560" s="56"/>
      <c r="E560" s="67"/>
      <c r="F560" s="55"/>
      <c r="G560" s="68"/>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2" t="str">
        <f aca="false">IFERROR(IF($B561="","",IF(INDEX(Einheiten!$B$4:$B$63,MATCH($B561,Einheiten!$A$4:$A$63,0))=0,"",INDEX(Einheiten!$B$4:$B$63,MATCH($B561,Einheiten!$A$4:$A$63,0)))),"")</f>
        <v/>
      </c>
      <c r="B561" s="54"/>
      <c r="C561" s="73" t="str">
        <f aca="false">IFERROR(IF($D561="","",INDEX(Übungen!$B$4:$B$23,MATCH($D561,Übungen!$A$4:$A$23,0))),"")</f>
        <v/>
      </c>
      <c r="D561" s="56"/>
      <c r="E561" s="67"/>
      <c r="F561" s="55"/>
      <c r="G561" s="68"/>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2" t="str">
        <f aca="false">IFERROR(IF($B562="","",IF(INDEX(Einheiten!$B$4:$B$63,MATCH($B562,Einheiten!$A$4:$A$63,0))=0,"",INDEX(Einheiten!$B$4:$B$63,MATCH($B562,Einheiten!$A$4:$A$63,0)))),"")</f>
        <v/>
      </c>
      <c r="B562" s="54"/>
      <c r="C562" s="73" t="str">
        <f aca="false">IFERROR(IF($D562="","",INDEX(Übungen!$B$4:$B$23,MATCH($D562,Übungen!$A$4:$A$23,0))),"")</f>
        <v/>
      </c>
      <c r="D562" s="56"/>
      <c r="E562" s="67"/>
      <c r="F562" s="55"/>
      <c r="G562" s="68"/>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2" t="str">
        <f aca="false">IFERROR(IF($B563="","",IF(INDEX(Einheiten!$B$4:$B$63,MATCH($B563,Einheiten!$A$4:$A$63,0))=0,"",INDEX(Einheiten!$B$4:$B$63,MATCH($B563,Einheiten!$A$4:$A$63,0)))),"")</f>
        <v/>
      </c>
      <c r="B563" s="54"/>
      <c r="C563" s="73" t="str">
        <f aca="false">IFERROR(IF($D563="","",INDEX(Übungen!$B$4:$B$23,MATCH($D563,Übungen!$A$4:$A$23,0))),"")</f>
        <v/>
      </c>
      <c r="D563" s="56"/>
      <c r="E563" s="67"/>
      <c r="F563" s="55"/>
      <c r="G563" s="68"/>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2" t="str">
        <f aca="false">IFERROR(IF($B564="","",IF(INDEX(Einheiten!$B$4:$B$63,MATCH($B564,Einheiten!$A$4:$A$63,0))=0,"",INDEX(Einheiten!$B$4:$B$63,MATCH($B564,Einheiten!$A$4:$A$63,0)))),"")</f>
        <v/>
      </c>
      <c r="B564" s="54"/>
      <c r="C564" s="73" t="str">
        <f aca="false">IFERROR(IF($D564="","",INDEX(Übungen!$B$4:$B$23,MATCH($D564,Übungen!$A$4:$A$23,0))),"")</f>
        <v/>
      </c>
      <c r="D564" s="56"/>
      <c r="E564" s="67"/>
      <c r="F564" s="55"/>
      <c r="G564" s="68"/>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2" t="str">
        <f aca="false">IFERROR(IF($B565="","",IF(INDEX(Einheiten!$B$4:$B$63,MATCH($B565,Einheiten!$A$4:$A$63,0))=0,"",INDEX(Einheiten!$B$4:$B$63,MATCH($B565,Einheiten!$A$4:$A$63,0)))),"")</f>
        <v/>
      </c>
      <c r="B565" s="54"/>
      <c r="C565" s="73" t="str">
        <f aca="false">IFERROR(IF($D565="","",INDEX(Übungen!$B$4:$B$23,MATCH($D565,Übungen!$A$4:$A$23,0))),"")</f>
        <v/>
      </c>
      <c r="D565" s="56"/>
      <c r="E565" s="67"/>
      <c r="F565" s="55"/>
      <c r="G565" s="68"/>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2" t="str">
        <f aca="false">IFERROR(IF($B566="","",IF(INDEX(Einheiten!$B$4:$B$63,MATCH($B566,Einheiten!$A$4:$A$63,0))=0,"",INDEX(Einheiten!$B$4:$B$63,MATCH($B566,Einheiten!$A$4:$A$63,0)))),"")</f>
        <v/>
      </c>
      <c r="B566" s="54"/>
      <c r="C566" s="73" t="str">
        <f aca="false">IFERROR(IF($D566="","",INDEX(Übungen!$B$4:$B$23,MATCH($D566,Übungen!$A$4:$A$23,0))),"")</f>
        <v/>
      </c>
      <c r="D566" s="56"/>
      <c r="E566" s="67"/>
      <c r="F566" s="55"/>
      <c r="G566" s="68"/>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2" t="str">
        <f aca="false">IFERROR(IF($B567="","",IF(INDEX(Einheiten!$B$4:$B$63,MATCH($B567,Einheiten!$A$4:$A$63,0))=0,"",INDEX(Einheiten!$B$4:$B$63,MATCH($B567,Einheiten!$A$4:$A$63,0)))),"")</f>
        <v/>
      </c>
      <c r="B567" s="54"/>
      <c r="C567" s="73" t="str">
        <f aca="false">IFERROR(IF($D567="","",INDEX(Übungen!$B$4:$B$23,MATCH($D567,Übungen!$A$4:$A$23,0))),"")</f>
        <v/>
      </c>
      <c r="D567" s="56"/>
      <c r="E567" s="67"/>
      <c r="F567" s="55"/>
      <c r="G567" s="68"/>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2" t="str">
        <f aca="false">IFERROR(IF($B568="","",IF(INDEX(Einheiten!$B$4:$B$63,MATCH($B568,Einheiten!$A$4:$A$63,0))=0,"",INDEX(Einheiten!$B$4:$B$63,MATCH($B568,Einheiten!$A$4:$A$63,0)))),"")</f>
        <v/>
      </c>
      <c r="B568" s="54"/>
      <c r="C568" s="73" t="str">
        <f aca="false">IFERROR(IF($D568="","",INDEX(Übungen!$B$4:$B$23,MATCH($D568,Übungen!$A$4:$A$23,0))),"")</f>
        <v/>
      </c>
      <c r="D568" s="56"/>
      <c r="E568" s="67"/>
      <c r="F568" s="55"/>
      <c r="G568" s="68"/>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2" t="str">
        <f aca="false">IFERROR(IF($B569="","",IF(INDEX(Einheiten!$B$4:$B$63,MATCH($B569,Einheiten!$A$4:$A$63,0))=0,"",INDEX(Einheiten!$B$4:$B$63,MATCH($B569,Einheiten!$A$4:$A$63,0)))),"")</f>
        <v/>
      </c>
      <c r="B569" s="54"/>
      <c r="C569" s="73" t="str">
        <f aca="false">IFERROR(IF($D569="","",INDEX(Übungen!$B$4:$B$23,MATCH($D569,Übungen!$A$4:$A$23,0))),"")</f>
        <v/>
      </c>
      <c r="D569" s="56"/>
      <c r="E569" s="67"/>
      <c r="F569" s="55"/>
      <c r="G569" s="68"/>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2" t="str">
        <f aca="false">IFERROR(IF($B570="","",IF(INDEX(Einheiten!$B$4:$B$63,MATCH($B570,Einheiten!$A$4:$A$63,0))=0,"",INDEX(Einheiten!$B$4:$B$63,MATCH($B570,Einheiten!$A$4:$A$63,0)))),"")</f>
        <v/>
      </c>
      <c r="B570" s="54"/>
      <c r="C570" s="73" t="str">
        <f aca="false">IFERROR(IF($D570="","",INDEX(Übungen!$B$4:$B$23,MATCH($D570,Übungen!$A$4:$A$23,0))),"")</f>
        <v/>
      </c>
      <c r="D570" s="56"/>
      <c r="E570" s="67"/>
      <c r="F570" s="55"/>
      <c r="G570" s="68"/>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2" t="str">
        <f aca="false">IFERROR(IF($B571="","",IF(INDEX(Einheiten!$B$4:$B$63,MATCH($B571,Einheiten!$A$4:$A$63,0))=0,"",INDEX(Einheiten!$B$4:$B$63,MATCH($B571,Einheiten!$A$4:$A$63,0)))),"")</f>
        <v/>
      </c>
      <c r="B571" s="54"/>
      <c r="C571" s="73" t="str">
        <f aca="false">IFERROR(IF($D571="","",INDEX(Übungen!$B$4:$B$23,MATCH($D571,Übungen!$A$4:$A$23,0))),"")</f>
        <v/>
      </c>
      <c r="D571" s="56"/>
      <c r="E571" s="67"/>
      <c r="F571" s="55"/>
      <c r="G571" s="68"/>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2" t="str">
        <f aca="false">IFERROR(IF($B572="","",IF(INDEX(Einheiten!$B$4:$B$63,MATCH($B572,Einheiten!$A$4:$A$63,0))=0,"",INDEX(Einheiten!$B$4:$B$63,MATCH($B572,Einheiten!$A$4:$A$63,0)))),"")</f>
        <v/>
      </c>
      <c r="B572" s="54"/>
      <c r="C572" s="73" t="str">
        <f aca="false">IFERROR(IF($D572="","",INDEX(Übungen!$B$4:$B$23,MATCH($D572,Übungen!$A$4:$A$23,0))),"")</f>
        <v/>
      </c>
      <c r="D572" s="56"/>
      <c r="E572" s="67"/>
      <c r="F572" s="55"/>
      <c r="G572" s="68"/>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2" t="str">
        <f aca="false">IFERROR(IF($B573="","",IF(INDEX(Einheiten!$B$4:$B$63,MATCH($B573,Einheiten!$A$4:$A$63,0))=0,"",INDEX(Einheiten!$B$4:$B$63,MATCH($B573,Einheiten!$A$4:$A$63,0)))),"")</f>
        <v/>
      </c>
      <c r="B573" s="54"/>
      <c r="C573" s="73" t="str">
        <f aca="false">IFERROR(IF($D573="","",INDEX(Übungen!$B$4:$B$23,MATCH($D573,Übungen!$A$4:$A$23,0))),"")</f>
        <v/>
      </c>
      <c r="D573" s="56"/>
      <c r="E573" s="67"/>
      <c r="F573" s="55"/>
      <c r="G573" s="68"/>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2" t="str">
        <f aca="false">IFERROR(IF($B574="","",IF(INDEX(Einheiten!$B$4:$B$63,MATCH($B574,Einheiten!$A$4:$A$63,0))=0,"",INDEX(Einheiten!$B$4:$B$63,MATCH($B574,Einheiten!$A$4:$A$63,0)))),"")</f>
        <v/>
      </c>
      <c r="B574" s="54"/>
      <c r="C574" s="73" t="str">
        <f aca="false">IFERROR(IF($D574="","",INDEX(Übungen!$B$4:$B$23,MATCH($D574,Übungen!$A$4:$A$23,0))),"")</f>
        <v/>
      </c>
      <c r="D574" s="56"/>
      <c r="E574" s="67"/>
      <c r="F574" s="55"/>
      <c r="G574" s="68"/>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2" t="str">
        <f aca="false">IFERROR(IF($B575="","",IF(INDEX(Einheiten!$B$4:$B$63,MATCH($B575,Einheiten!$A$4:$A$63,0))=0,"",INDEX(Einheiten!$B$4:$B$63,MATCH($B575,Einheiten!$A$4:$A$63,0)))),"")</f>
        <v/>
      </c>
      <c r="B575" s="54"/>
      <c r="C575" s="73" t="str">
        <f aca="false">IFERROR(IF($D575="","",INDEX(Übungen!$B$4:$B$23,MATCH($D575,Übungen!$A$4:$A$23,0))),"")</f>
        <v/>
      </c>
      <c r="D575" s="56"/>
      <c r="E575" s="67"/>
      <c r="F575" s="55"/>
      <c r="G575" s="68"/>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2" t="str">
        <f aca="false">IFERROR(IF($B576="","",IF(INDEX(Einheiten!$B$4:$B$63,MATCH($B576,Einheiten!$A$4:$A$63,0))=0,"",INDEX(Einheiten!$B$4:$B$63,MATCH($B576,Einheiten!$A$4:$A$63,0)))),"")</f>
        <v/>
      </c>
      <c r="B576" s="54"/>
      <c r="C576" s="73" t="str">
        <f aca="false">IFERROR(IF($D576="","",INDEX(Übungen!$B$4:$B$23,MATCH($D576,Übungen!$A$4:$A$23,0))),"")</f>
        <v/>
      </c>
      <c r="D576" s="56"/>
      <c r="E576" s="67"/>
      <c r="F576" s="55"/>
      <c r="G576" s="68"/>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2" t="str">
        <f aca="false">IFERROR(IF($B577="","",IF(INDEX(Einheiten!$B$4:$B$63,MATCH($B577,Einheiten!$A$4:$A$63,0))=0,"",INDEX(Einheiten!$B$4:$B$63,MATCH($B577,Einheiten!$A$4:$A$63,0)))),"")</f>
        <v/>
      </c>
      <c r="B577" s="54"/>
      <c r="C577" s="73" t="str">
        <f aca="false">IFERROR(IF($D577="","",INDEX(Übungen!$B$4:$B$23,MATCH($D577,Übungen!$A$4:$A$23,0))),"")</f>
        <v/>
      </c>
      <c r="D577" s="56"/>
      <c r="E577" s="67"/>
      <c r="F577" s="55"/>
      <c r="G577" s="68"/>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2" t="str">
        <f aca="false">IFERROR(IF($B578="","",IF(INDEX(Einheiten!$B$4:$B$63,MATCH($B578,Einheiten!$A$4:$A$63,0))=0,"",INDEX(Einheiten!$B$4:$B$63,MATCH($B578,Einheiten!$A$4:$A$63,0)))),"")</f>
        <v/>
      </c>
      <c r="B578" s="54"/>
      <c r="C578" s="73" t="str">
        <f aca="false">IFERROR(IF($D578="","",INDEX(Übungen!$B$4:$B$23,MATCH($D578,Übungen!$A$4:$A$23,0))),"")</f>
        <v/>
      </c>
      <c r="D578" s="56"/>
      <c r="E578" s="67"/>
      <c r="F578" s="55"/>
      <c r="G578" s="68"/>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2" t="str">
        <f aca="false">IFERROR(IF($B579="","",IF(INDEX(Einheiten!$B$4:$B$63,MATCH($B579,Einheiten!$A$4:$A$63,0))=0,"",INDEX(Einheiten!$B$4:$B$63,MATCH($B579,Einheiten!$A$4:$A$63,0)))),"")</f>
        <v/>
      </c>
      <c r="B579" s="54"/>
      <c r="C579" s="73" t="str">
        <f aca="false">IFERROR(IF($D579="","",INDEX(Übungen!$B$4:$B$23,MATCH($D579,Übungen!$A$4:$A$23,0))),"")</f>
        <v/>
      </c>
      <c r="D579" s="56"/>
      <c r="E579" s="67"/>
      <c r="F579" s="55"/>
      <c r="G579" s="68"/>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2" t="str">
        <f aca="false">IFERROR(IF($B580="","",IF(INDEX(Einheiten!$B$4:$B$63,MATCH($B580,Einheiten!$A$4:$A$63,0))=0,"",INDEX(Einheiten!$B$4:$B$63,MATCH($B580,Einheiten!$A$4:$A$63,0)))),"")</f>
        <v/>
      </c>
      <c r="B580" s="54"/>
      <c r="C580" s="73" t="str">
        <f aca="false">IFERROR(IF($D580="","",INDEX(Übungen!$B$4:$B$23,MATCH($D580,Übungen!$A$4:$A$23,0))),"")</f>
        <v/>
      </c>
      <c r="D580" s="56"/>
      <c r="E580" s="67"/>
      <c r="F580" s="55"/>
      <c r="G580" s="68"/>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2" t="str">
        <f aca="false">IFERROR(IF($B581="","",IF(INDEX(Einheiten!$B$4:$B$63,MATCH($B581,Einheiten!$A$4:$A$63,0))=0,"",INDEX(Einheiten!$B$4:$B$63,MATCH($B581,Einheiten!$A$4:$A$63,0)))),"")</f>
        <v/>
      </c>
      <c r="B581" s="54"/>
      <c r="C581" s="73" t="str">
        <f aca="false">IFERROR(IF($D581="","",INDEX(Übungen!$B$4:$B$23,MATCH($D581,Übungen!$A$4:$A$23,0))),"")</f>
        <v/>
      </c>
      <c r="D581" s="56"/>
      <c r="E581" s="67"/>
      <c r="F581" s="55"/>
      <c r="G581" s="68"/>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2" t="str">
        <f aca="false">IFERROR(IF($B582="","",IF(INDEX(Einheiten!$B$4:$B$63,MATCH($B582,Einheiten!$A$4:$A$63,0))=0,"",INDEX(Einheiten!$B$4:$B$63,MATCH($B582,Einheiten!$A$4:$A$63,0)))),"")</f>
        <v/>
      </c>
      <c r="B582" s="54"/>
      <c r="C582" s="73" t="str">
        <f aca="false">IFERROR(IF($D582="","",INDEX(Übungen!$B$4:$B$23,MATCH($D582,Übungen!$A$4:$A$23,0))),"")</f>
        <v/>
      </c>
      <c r="D582" s="56"/>
      <c r="E582" s="67"/>
      <c r="F582" s="55"/>
      <c r="G582" s="68"/>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2" t="str">
        <f aca="false">IFERROR(IF($B583="","",IF(INDEX(Einheiten!$B$4:$B$63,MATCH($B583,Einheiten!$A$4:$A$63,0))=0,"",INDEX(Einheiten!$B$4:$B$63,MATCH($B583,Einheiten!$A$4:$A$63,0)))),"")</f>
        <v/>
      </c>
      <c r="B583" s="54"/>
      <c r="C583" s="73" t="str">
        <f aca="false">IFERROR(IF($D583="","",INDEX(Übungen!$B$4:$B$23,MATCH($D583,Übungen!$A$4:$A$23,0))),"")</f>
        <v/>
      </c>
      <c r="D583" s="56"/>
      <c r="E583" s="67"/>
      <c r="F583" s="55"/>
      <c r="G583" s="68"/>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2" t="str">
        <f aca="false">IFERROR(IF($B584="","",IF(INDEX(Einheiten!$B$4:$B$63,MATCH($B584,Einheiten!$A$4:$A$63,0))=0,"",INDEX(Einheiten!$B$4:$B$63,MATCH($B584,Einheiten!$A$4:$A$63,0)))),"")</f>
        <v/>
      </c>
      <c r="B584" s="54"/>
      <c r="C584" s="73" t="str">
        <f aca="false">IFERROR(IF($D584="","",INDEX(Übungen!$B$4:$B$23,MATCH($D584,Übungen!$A$4:$A$23,0))),"")</f>
        <v/>
      </c>
      <c r="D584" s="56"/>
      <c r="E584" s="67"/>
      <c r="F584" s="55"/>
      <c r="G584" s="68"/>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2" t="str">
        <f aca="false">IFERROR(IF($B585="","",IF(INDEX(Einheiten!$B$4:$B$63,MATCH($B585,Einheiten!$A$4:$A$63,0))=0,"",INDEX(Einheiten!$B$4:$B$63,MATCH($B585,Einheiten!$A$4:$A$63,0)))),"")</f>
        <v/>
      </c>
      <c r="B585" s="54"/>
      <c r="C585" s="73" t="str">
        <f aca="false">IFERROR(IF($D585="","",INDEX(Übungen!$B$4:$B$23,MATCH($D585,Übungen!$A$4:$A$23,0))),"")</f>
        <v/>
      </c>
      <c r="D585" s="56"/>
      <c r="E585" s="67"/>
      <c r="F585" s="55"/>
      <c r="G585" s="68"/>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2" t="str">
        <f aca="false">IFERROR(IF($B586="","",IF(INDEX(Einheiten!$B$4:$B$63,MATCH($B586,Einheiten!$A$4:$A$63,0))=0,"",INDEX(Einheiten!$B$4:$B$63,MATCH($B586,Einheiten!$A$4:$A$63,0)))),"")</f>
        <v/>
      </c>
      <c r="B586" s="54"/>
      <c r="C586" s="73" t="str">
        <f aca="false">IFERROR(IF($D586="","",INDEX(Übungen!$B$4:$B$23,MATCH($D586,Übungen!$A$4:$A$23,0))),"")</f>
        <v/>
      </c>
      <c r="D586" s="56"/>
      <c r="E586" s="67"/>
      <c r="F586" s="55"/>
      <c r="G586" s="68"/>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2" t="str">
        <f aca="false">IFERROR(IF($B587="","",IF(INDEX(Einheiten!$B$4:$B$63,MATCH($B587,Einheiten!$A$4:$A$63,0))=0,"",INDEX(Einheiten!$B$4:$B$63,MATCH($B587,Einheiten!$A$4:$A$63,0)))),"")</f>
        <v/>
      </c>
      <c r="B587" s="54"/>
      <c r="C587" s="73" t="str">
        <f aca="false">IFERROR(IF($D587="","",INDEX(Übungen!$B$4:$B$23,MATCH($D587,Übungen!$A$4:$A$23,0))),"")</f>
        <v/>
      </c>
      <c r="D587" s="56"/>
      <c r="E587" s="67"/>
      <c r="F587" s="55"/>
      <c r="G587" s="68"/>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2" t="str">
        <f aca="false">IFERROR(IF($B588="","",IF(INDEX(Einheiten!$B$4:$B$63,MATCH($B588,Einheiten!$A$4:$A$63,0))=0,"",INDEX(Einheiten!$B$4:$B$63,MATCH($B588,Einheiten!$A$4:$A$63,0)))),"")</f>
        <v/>
      </c>
      <c r="B588" s="54"/>
      <c r="C588" s="73" t="str">
        <f aca="false">IFERROR(IF($D588="","",INDEX(Übungen!$B$4:$B$23,MATCH($D588,Übungen!$A$4:$A$23,0))),"")</f>
        <v/>
      </c>
      <c r="D588" s="56"/>
      <c r="E588" s="67"/>
      <c r="F588" s="55"/>
      <c r="G588" s="68"/>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2" t="str">
        <f aca="false">IFERROR(IF($B589="","",IF(INDEX(Einheiten!$B$4:$B$63,MATCH($B589,Einheiten!$A$4:$A$63,0))=0,"",INDEX(Einheiten!$B$4:$B$63,MATCH($B589,Einheiten!$A$4:$A$63,0)))),"")</f>
        <v/>
      </c>
      <c r="B589" s="54"/>
      <c r="C589" s="73" t="str">
        <f aca="false">IFERROR(IF($D589="","",INDEX(Übungen!$B$4:$B$23,MATCH($D589,Übungen!$A$4:$A$23,0))),"")</f>
        <v/>
      </c>
      <c r="D589" s="56"/>
      <c r="E589" s="67"/>
      <c r="F589" s="55"/>
      <c r="G589" s="68"/>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2" t="str">
        <f aca="false">IFERROR(IF($B590="","",IF(INDEX(Einheiten!$B$4:$B$63,MATCH($B590,Einheiten!$A$4:$A$63,0))=0,"",INDEX(Einheiten!$B$4:$B$63,MATCH($B590,Einheiten!$A$4:$A$63,0)))),"")</f>
        <v/>
      </c>
      <c r="B590" s="54"/>
      <c r="C590" s="73" t="str">
        <f aca="false">IFERROR(IF($D590="","",INDEX(Übungen!$B$4:$B$23,MATCH($D590,Übungen!$A$4:$A$23,0))),"")</f>
        <v/>
      </c>
      <c r="D590" s="56"/>
      <c r="E590" s="67"/>
      <c r="F590" s="55"/>
      <c r="G590" s="68"/>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2" t="str">
        <f aca="false">IFERROR(IF($B591="","",IF(INDEX(Einheiten!$B$4:$B$63,MATCH($B591,Einheiten!$A$4:$A$63,0))=0,"",INDEX(Einheiten!$B$4:$B$63,MATCH($B591,Einheiten!$A$4:$A$63,0)))),"")</f>
        <v/>
      </c>
      <c r="B591" s="54"/>
      <c r="C591" s="73" t="str">
        <f aca="false">IFERROR(IF($D591="","",INDEX(Übungen!$B$4:$B$23,MATCH($D591,Übungen!$A$4:$A$23,0))),"")</f>
        <v/>
      </c>
      <c r="D591" s="56"/>
      <c r="E591" s="67"/>
      <c r="F591" s="55"/>
      <c r="G591" s="68"/>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2" t="str">
        <f aca="false">IFERROR(IF($B592="","",IF(INDEX(Einheiten!$B$4:$B$63,MATCH($B592,Einheiten!$A$4:$A$63,0))=0,"",INDEX(Einheiten!$B$4:$B$63,MATCH($B592,Einheiten!$A$4:$A$63,0)))),"")</f>
        <v/>
      </c>
      <c r="B592" s="54"/>
      <c r="C592" s="73" t="str">
        <f aca="false">IFERROR(IF($D592="","",INDEX(Übungen!$B$4:$B$23,MATCH($D592,Übungen!$A$4:$A$23,0))),"")</f>
        <v/>
      </c>
      <c r="D592" s="56"/>
      <c r="E592" s="67"/>
      <c r="F592" s="55"/>
      <c r="G592" s="68"/>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2" t="str">
        <f aca="false">IFERROR(IF($B593="","",IF(INDEX(Einheiten!$B$4:$B$63,MATCH($B593,Einheiten!$A$4:$A$63,0))=0,"",INDEX(Einheiten!$B$4:$B$63,MATCH($B593,Einheiten!$A$4:$A$63,0)))),"")</f>
        <v/>
      </c>
      <c r="B593" s="54"/>
      <c r="C593" s="73" t="str">
        <f aca="false">IFERROR(IF($D593="","",INDEX(Übungen!$B$4:$B$23,MATCH($D593,Übungen!$A$4:$A$23,0))),"")</f>
        <v/>
      </c>
      <c r="D593" s="56"/>
      <c r="E593" s="67"/>
      <c r="F593" s="55"/>
      <c r="G593" s="68"/>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2" t="str">
        <f aca="false">IFERROR(IF($B594="","",IF(INDEX(Einheiten!$B$4:$B$63,MATCH($B594,Einheiten!$A$4:$A$63,0))=0,"",INDEX(Einheiten!$B$4:$B$63,MATCH($B594,Einheiten!$A$4:$A$63,0)))),"")</f>
        <v/>
      </c>
      <c r="B594" s="54"/>
      <c r="C594" s="73" t="str">
        <f aca="false">IFERROR(IF($D594="","",INDEX(Übungen!$B$4:$B$23,MATCH($D594,Übungen!$A$4:$A$23,0))),"")</f>
        <v/>
      </c>
      <c r="D594" s="56"/>
      <c r="E594" s="67"/>
      <c r="F594" s="55"/>
      <c r="G594" s="68"/>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2" t="str">
        <f aca="false">IFERROR(IF($B595="","",IF(INDEX(Einheiten!$B$4:$B$63,MATCH($B595,Einheiten!$A$4:$A$63,0))=0,"",INDEX(Einheiten!$B$4:$B$63,MATCH($B595,Einheiten!$A$4:$A$63,0)))),"")</f>
        <v/>
      </c>
      <c r="B595" s="54"/>
      <c r="C595" s="73" t="str">
        <f aca="false">IFERROR(IF($D595="","",INDEX(Übungen!$B$4:$B$23,MATCH($D595,Übungen!$A$4:$A$23,0))),"")</f>
        <v/>
      </c>
      <c r="D595" s="56"/>
      <c r="E595" s="67"/>
      <c r="F595" s="55"/>
      <c r="G595" s="68"/>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2" t="str">
        <f aca="false">IFERROR(IF($B596="","",IF(INDEX(Einheiten!$B$4:$B$63,MATCH($B596,Einheiten!$A$4:$A$63,0))=0,"",INDEX(Einheiten!$B$4:$B$63,MATCH($B596,Einheiten!$A$4:$A$63,0)))),"")</f>
        <v/>
      </c>
      <c r="B596" s="54"/>
      <c r="C596" s="73" t="str">
        <f aca="false">IFERROR(IF($D596="","",INDEX(Übungen!$B$4:$B$23,MATCH($D596,Übungen!$A$4:$A$23,0))),"")</f>
        <v/>
      </c>
      <c r="D596" s="56"/>
      <c r="E596" s="67"/>
      <c r="F596" s="55"/>
      <c r="G596" s="68"/>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2" t="str">
        <f aca="false">IFERROR(IF($B597="","",IF(INDEX(Einheiten!$B$4:$B$63,MATCH($B597,Einheiten!$A$4:$A$63,0))=0,"",INDEX(Einheiten!$B$4:$B$63,MATCH($B597,Einheiten!$A$4:$A$63,0)))),"")</f>
        <v/>
      </c>
      <c r="B597" s="54"/>
      <c r="C597" s="73" t="str">
        <f aca="false">IFERROR(IF($D597="","",INDEX(Übungen!$B$4:$B$23,MATCH($D597,Übungen!$A$4:$A$23,0))),"")</f>
        <v/>
      </c>
      <c r="D597" s="56"/>
      <c r="E597" s="67"/>
      <c r="F597" s="55"/>
      <c r="G597" s="68"/>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2" t="str">
        <f aca="false">IFERROR(IF($B598="","",IF(INDEX(Einheiten!$B$4:$B$63,MATCH($B598,Einheiten!$A$4:$A$63,0))=0,"",INDEX(Einheiten!$B$4:$B$63,MATCH($B598,Einheiten!$A$4:$A$63,0)))),"")</f>
        <v/>
      </c>
      <c r="B598" s="54"/>
      <c r="C598" s="73" t="str">
        <f aca="false">IFERROR(IF($D598="","",INDEX(Übungen!$B$4:$B$23,MATCH($D598,Übungen!$A$4:$A$23,0))),"")</f>
        <v/>
      </c>
      <c r="D598" s="56"/>
      <c r="E598" s="67"/>
      <c r="F598" s="55"/>
      <c r="G598" s="68"/>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2" t="str">
        <f aca="false">IFERROR(IF($B599="","",IF(INDEX(Einheiten!$B$4:$B$63,MATCH($B599,Einheiten!$A$4:$A$63,0))=0,"",INDEX(Einheiten!$B$4:$B$63,MATCH($B599,Einheiten!$A$4:$A$63,0)))),"")</f>
        <v/>
      </c>
      <c r="B599" s="54"/>
      <c r="C599" s="73" t="str">
        <f aca="false">IFERROR(IF($D599="","",INDEX(Übungen!$B$4:$B$23,MATCH($D599,Übungen!$A$4:$A$23,0))),"")</f>
        <v/>
      </c>
      <c r="D599" s="56"/>
      <c r="E599" s="67"/>
      <c r="F599" s="55"/>
      <c r="G599" s="68"/>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2" t="str">
        <f aca="false">IFERROR(IF($B600="","",IF(INDEX(Einheiten!$B$4:$B$63,MATCH($B600,Einheiten!$A$4:$A$63,0))=0,"",INDEX(Einheiten!$B$4:$B$63,MATCH($B600,Einheiten!$A$4:$A$63,0)))),"")</f>
        <v/>
      </c>
      <c r="B600" s="54"/>
      <c r="C600" s="73" t="str">
        <f aca="false">IFERROR(IF($D600="","",INDEX(Übungen!$B$4:$B$23,MATCH($D600,Übungen!$A$4:$A$23,0))),"")</f>
        <v/>
      </c>
      <c r="D600" s="56"/>
      <c r="E600" s="67"/>
      <c r="F600" s="55"/>
      <c r="G600" s="68"/>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2" t="str">
        <f aca="false">IFERROR(IF($B601="","",IF(INDEX(Einheiten!$B$4:$B$63,MATCH($B601,Einheiten!$A$4:$A$63,0))=0,"",INDEX(Einheiten!$B$4:$B$63,MATCH($B601,Einheiten!$A$4:$A$63,0)))),"")</f>
        <v/>
      </c>
      <c r="B601" s="54"/>
      <c r="C601" s="73" t="str">
        <f aca="false">IFERROR(IF($D601="","",INDEX(Übungen!$B$4:$B$23,MATCH($D601,Übungen!$A$4:$A$23,0))),"")</f>
        <v/>
      </c>
      <c r="D601" s="56"/>
      <c r="E601" s="67"/>
      <c r="F601" s="55"/>
      <c r="G601" s="68"/>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2" t="str">
        <f aca="false">IFERROR(IF($B602="","",IF(INDEX(Einheiten!$B$4:$B$63,MATCH($B602,Einheiten!$A$4:$A$63,0))=0,"",INDEX(Einheiten!$B$4:$B$63,MATCH($B602,Einheiten!$A$4:$A$63,0)))),"")</f>
        <v/>
      </c>
      <c r="B602" s="54"/>
      <c r="C602" s="73" t="str">
        <f aca="false">IFERROR(IF($D602="","",INDEX(Übungen!$B$4:$B$23,MATCH($D602,Übungen!$A$4:$A$23,0))),"")</f>
        <v/>
      </c>
      <c r="D602" s="56"/>
      <c r="E602" s="67"/>
      <c r="F602" s="55"/>
      <c r="G602" s="68"/>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2" t="str">
        <f aca="false">IFERROR(IF($B603="","",IF(INDEX(Einheiten!$B$4:$B$63,MATCH($B603,Einheiten!$A$4:$A$63,0))=0,"",INDEX(Einheiten!$B$4:$B$63,MATCH($B603,Einheiten!$A$4:$A$63,0)))),"")</f>
        <v/>
      </c>
      <c r="B603" s="54"/>
      <c r="C603" s="73" t="str">
        <f aca="false">IFERROR(IF($D603="","",INDEX(Übungen!$B$4:$B$23,MATCH($D603,Übungen!$A$4:$A$23,0))),"")</f>
        <v/>
      </c>
      <c r="D603" s="56"/>
      <c r="E603" s="67"/>
      <c r="F603" s="55"/>
      <c r="G603" s="68"/>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2" t="str">
        <f aca="false">IFERROR(IF($B604="","",IF(INDEX(Einheiten!$B$4:$B$63,MATCH($B604,Einheiten!$A$4:$A$63,0))=0,"",INDEX(Einheiten!$B$4:$B$63,MATCH($B604,Einheiten!$A$4:$A$63,0)))),"")</f>
        <v/>
      </c>
      <c r="B604" s="54"/>
      <c r="C604" s="73" t="str">
        <f aca="false">IFERROR(IF($D604="","",INDEX(Übungen!$B$4:$B$23,MATCH($D604,Übungen!$A$4:$A$23,0))),"")</f>
        <v/>
      </c>
      <c r="D604" s="56"/>
      <c r="E604" s="67"/>
      <c r="F604" s="55"/>
      <c r="G604" s="68"/>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2" t="str">
        <f aca="false">IFERROR(IF($B605="","",IF(INDEX(Einheiten!$B$4:$B$63,MATCH($B605,Einheiten!$A$4:$A$63,0))=0,"",INDEX(Einheiten!$B$4:$B$63,MATCH($B605,Einheiten!$A$4:$A$63,0)))),"")</f>
        <v/>
      </c>
      <c r="B605" s="54"/>
      <c r="C605" s="73" t="str">
        <f aca="false">IFERROR(IF($D605="","",INDEX(Übungen!$B$4:$B$23,MATCH($D605,Übungen!$A$4:$A$23,0))),"")</f>
        <v/>
      </c>
      <c r="D605" s="56"/>
      <c r="E605" s="67"/>
      <c r="F605" s="55"/>
      <c r="G605" s="68"/>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2" t="str">
        <f aca="false">IFERROR(IF($B606="","",IF(INDEX(Einheiten!$B$4:$B$63,MATCH($B606,Einheiten!$A$4:$A$63,0))=0,"",INDEX(Einheiten!$B$4:$B$63,MATCH($B606,Einheiten!$A$4:$A$63,0)))),"")</f>
        <v/>
      </c>
      <c r="B606" s="54"/>
      <c r="C606" s="73" t="str">
        <f aca="false">IFERROR(IF($D606="","",INDEX(Übungen!$B$4:$B$23,MATCH($D606,Übungen!$A$4:$A$23,0))),"")</f>
        <v/>
      </c>
      <c r="D606" s="56"/>
      <c r="E606" s="67"/>
      <c r="F606" s="55"/>
      <c r="G606" s="68"/>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2" t="str">
        <f aca="false">IFERROR(IF($B607="","",IF(INDEX(Einheiten!$B$4:$B$63,MATCH($B607,Einheiten!$A$4:$A$63,0))=0,"",INDEX(Einheiten!$B$4:$B$63,MATCH($B607,Einheiten!$A$4:$A$63,0)))),"")</f>
        <v/>
      </c>
      <c r="B607" s="54"/>
      <c r="C607" s="73" t="str">
        <f aca="false">IFERROR(IF($D607="","",INDEX(Übungen!$B$4:$B$23,MATCH($D607,Übungen!$A$4:$A$23,0))),"")</f>
        <v/>
      </c>
      <c r="D607" s="56"/>
      <c r="E607" s="67"/>
      <c r="F607" s="55"/>
      <c r="G607" s="68"/>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2" t="str">
        <f aca="false">IFERROR(IF($B608="","",IF(INDEX(Einheiten!$B$4:$B$63,MATCH($B608,Einheiten!$A$4:$A$63,0))=0,"",INDEX(Einheiten!$B$4:$B$63,MATCH($B608,Einheiten!$A$4:$A$63,0)))),"")</f>
        <v/>
      </c>
      <c r="B608" s="54"/>
      <c r="C608" s="73" t="str">
        <f aca="false">IFERROR(IF($D608="","",INDEX(Übungen!$B$4:$B$23,MATCH($D608,Übungen!$A$4:$A$23,0))),"")</f>
        <v/>
      </c>
      <c r="D608" s="56"/>
      <c r="E608" s="67"/>
      <c r="F608" s="55"/>
      <c r="G608" s="68"/>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2" t="str">
        <f aca="false">IFERROR(IF($B609="","",IF(INDEX(Einheiten!$B$4:$B$63,MATCH($B609,Einheiten!$A$4:$A$63,0))=0,"",INDEX(Einheiten!$B$4:$B$63,MATCH($B609,Einheiten!$A$4:$A$63,0)))),"")</f>
        <v/>
      </c>
      <c r="B609" s="54"/>
      <c r="C609" s="73" t="str">
        <f aca="false">IFERROR(IF($D609="","",INDEX(Übungen!$B$4:$B$23,MATCH($D609,Übungen!$A$4:$A$23,0))),"")</f>
        <v/>
      </c>
      <c r="D609" s="56"/>
      <c r="E609" s="67"/>
      <c r="F609" s="55"/>
      <c r="G609" s="68"/>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2" t="str">
        <f aca="false">IFERROR(IF($B610="","",IF(INDEX(Einheiten!$B$4:$B$63,MATCH($B610,Einheiten!$A$4:$A$63,0))=0,"",INDEX(Einheiten!$B$4:$B$63,MATCH($B610,Einheiten!$A$4:$A$63,0)))),"")</f>
        <v/>
      </c>
      <c r="B610" s="54"/>
      <c r="C610" s="73" t="str">
        <f aca="false">IFERROR(IF($D610="","",INDEX(Übungen!$B$4:$B$23,MATCH($D610,Übungen!$A$4:$A$23,0))),"")</f>
        <v/>
      </c>
      <c r="D610" s="56"/>
      <c r="E610" s="67"/>
      <c r="F610" s="55"/>
      <c r="G610" s="68"/>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2" t="str">
        <f aca="false">IFERROR(IF($B611="","",IF(INDEX(Einheiten!$B$4:$B$63,MATCH($B611,Einheiten!$A$4:$A$63,0))=0,"",INDEX(Einheiten!$B$4:$B$63,MATCH($B611,Einheiten!$A$4:$A$63,0)))),"")</f>
        <v/>
      </c>
      <c r="B611" s="54"/>
      <c r="C611" s="73" t="str">
        <f aca="false">IFERROR(IF($D611="","",INDEX(Übungen!$B$4:$B$23,MATCH($D611,Übungen!$A$4:$A$23,0))),"")</f>
        <v/>
      </c>
      <c r="D611" s="56"/>
      <c r="E611" s="67"/>
      <c r="F611" s="55"/>
      <c r="G611" s="68"/>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2" t="str">
        <f aca="false">IFERROR(IF($B612="","",IF(INDEX(Einheiten!$B$4:$B$63,MATCH($B612,Einheiten!$A$4:$A$63,0))=0,"",INDEX(Einheiten!$B$4:$B$63,MATCH($B612,Einheiten!$A$4:$A$63,0)))),"")</f>
        <v/>
      </c>
      <c r="B612" s="54"/>
      <c r="C612" s="73" t="str">
        <f aca="false">IFERROR(IF($D612="","",INDEX(Übungen!$B$4:$B$23,MATCH($D612,Übungen!$A$4:$A$23,0))),"")</f>
        <v/>
      </c>
      <c r="D612" s="56"/>
      <c r="E612" s="67"/>
      <c r="F612" s="55"/>
      <c r="G612" s="68"/>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2" t="str">
        <f aca="false">IFERROR(IF($B613="","",IF(INDEX(Einheiten!$B$4:$B$63,MATCH($B613,Einheiten!$A$4:$A$63,0))=0,"",INDEX(Einheiten!$B$4:$B$63,MATCH($B613,Einheiten!$A$4:$A$63,0)))),"")</f>
        <v/>
      </c>
      <c r="B613" s="54"/>
      <c r="C613" s="73" t="str">
        <f aca="false">IFERROR(IF($D613="","",INDEX(Übungen!$B$4:$B$23,MATCH($D613,Übungen!$A$4:$A$23,0))),"")</f>
        <v/>
      </c>
      <c r="D613" s="56"/>
      <c r="E613" s="67"/>
      <c r="F613" s="55"/>
      <c r="G613" s="68"/>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2" t="str">
        <f aca="false">IFERROR(IF($B614="","",IF(INDEX(Einheiten!$B$4:$B$63,MATCH($B614,Einheiten!$A$4:$A$63,0))=0,"",INDEX(Einheiten!$B$4:$B$63,MATCH($B614,Einheiten!$A$4:$A$63,0)))),"")</f>
        <v/>
      </c>
      <c r="B614" s="54"/>
      <c r="C614" s="73" t="str">
        <f aca="false">IFERROR(IF($D614="","",INDEX(Übungen!$B$4:$B$23,MATCH($D614,Übungen!$A$4:$A$23,0))),"")</f>
        <v/>
      </c>
      <c r="D614" s="56"/>
      <c r="E614" s="67"/>
      <c r="F614" s="55"/>
      <c r="G614" s="68"/>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2" t="str">
        <f aca="false">IFERROR(IF($B615="","",IF(INDEX(Einheiten!$B$4:$B$63,MATCH($B615,Einheiten!$A$4:$A$63,0))=0,"",INDEX(Einheiten!$B$4:$B$63,MATCH($B615,Einheiten!$A$4:$A$63,0)))),"")</f>
        <v/>
      </c>
      <c r="B615" s="54"/>
      <c r="C615" s="73" t="str">
        <f aca="false">IFERROR(IF($D615="","",INDEX(Übungen!$B$4:$B$23,MATCH($D615,Übungen!$A$4:$A$23,0))),"")</f>
        <v/>
      </c>
      <c r="D615" s="56"/>
      <c r="E615" s="67"/>
      <c r="F615" s="55"/>
      <c r="G615" s="68"/>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2" t="str">
        <f aca="false">IFERROR(IF($B616="","",IF(INDEX(Einheiten!$B$4:$B$63,MATCH($B616,Einheiten!$A$4:$A$63,0))=0,"",INDEX(Einheiten!$B$4:$B$63,MATCH($B616,Einheiten!$A$4:$A$63,0)))),"")</f>
        <v/>
      </c>
      <c r="B616" s="54"/>
      <c r="C616" s="73" t="str">
        <f aca="false">IFERROR(IF($D616="","",INDEX(Übungen!$B$4:$B$23,MATCH($D616,Übungen!$A$4:$A$23,0))),"")</f>
        <v/>
      </c>
      <c r="D616" s="56"/>
      <c r="E616" s="67"/>
      <c r="F616" s="55"/>
      <c r="G616" s="68"/>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2" t="str">
        <f aca="false">IFERROR(IF($B617="","",IF(INDEX(Einheiten!$B$4:$B$63,MATCH($B617,Einheiten!$A$4:$A$63,0))=0,"",INDEX(Einheiten!$B$4:$B$63,MATCH($B617,Einheiten!$A$4:$A$63,0)))),"")</f>
        <v/>
      </c>
      <c r="B617" s="54"/>
      <c r="C617" s="73" t="str">
        <f aca="false">IFERROR(IF($D617="","",INDEX(Übungen!$B$4:$B$23,MATCH($D617,Übungen!$A$4:$A$23,0))),"")</f>
        <v/>
      </c>
      <c r="D617" s="56"/>
      <c r="E617" s="67"/>
      <c r="F617" s="55"/>
      <c r="G617" s="68"/>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2" t="str">
        <f aca="false">IFERROR(IF($B618="","",IF(INDEX(Einheiten!$B$4:$B$63,MATCH($B618,Einheiten!$A$4:$A$63,0))=0,"",INDEX(Einheiten!$B$4:$B$63,MATCH($B618,Einheiten!$A$4:$A$63,0)))),"")</f>
        <v/>
      </c>
      <c r="B618" s="54"/>
      <c r="C618" s="73" t="str">
        <f aca="false">IFERROR(IF($D618="","",INDEX(Übungen!$B$4:$B$23,MATCH($D618,Übungen!$A$4:$A$23,0))),"")</f>
        <v/>
      </c>
      <c r="D618" s="56"/>
      <c r="E618" s="67"/>
      <c r="F618" s="55"/>
      <c r="G618" s="68"/>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2" t="str">
        <f aca="false">IFERROR(IF($B619="","",IF(INDEX(Einheiten!$B$4:$B$63,MATCH($B619,Einheiten!$A$4:$A$63,0))=0,"",INDEX(Einheiten!$B$4:$B$63,MATCH($B619,Einheiten!$A$4:$A$63,0)))),"")</f>
        <v/>
      </c>
      <c r="B619" s="54"/>
      <c r="C619" s="73" t="str">
        <f aca="false">IFERROR(IF($D619="","",INDEX(Übungen!$B$4:$B$23,MATCH($D619,Übungen!$A$4:$A$23,0))),"")</f>
        <v/>
      </c>
      <c r="D619" s="56"/>
      <c r="E619" s="67"/>
      <c r="F619" s="55"/>
      <c r="G619" s="68"/>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2" t="str">
        <f aca="false">IFERROR(IF($B620="","",IF(INDEX(Einheiten!$B$4:$B$63,MATCH($B620,Einheiten!$A$4:$A$63,0))=0,"",INDEX(Einheiten!$B$4:$B$63,MATCH($B620,Einheiten!$A$4:$A$63,0)))),"")</f>
        <v/>
      </c>
      <c r="B620" s="54"/>
      <c r="C620" s="73" t="str">
        <f aca="false">IFERROR(IF($D620="","",INDEX(Übungen!$B$4:$B$23,MATCH($D620,Übungen!$A$4:$A$23,0))),"")</f>
        <v/>
      </c>
      <c r="D620" s="56"/>
      <c r="E620" s="67"/>
      <c r="F620" s="55"/>
      <c r="G620" s="68"/>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2" t="str">
        <f aca="false">IFERROR(IF($B621="","",IF(INDEX(Einheiten!$B$4:$B$63,MATCH($B621,Einheiten!$A$4:$A$63,0))=0,"",INDEX(Einheiten!$B$4:$B$63,MATCH($B621,Einheiten!$A$4:$A$63,0)))),"")</f>
        <v/>
      </c>
      <c r="B621" s="54"/>
      <c r="C621" s="73" t="str">
        <f aca="false">IFERROR(IF($D621="","",INDEX(Übungen!$B$4:$B$23,MATCH($D621,Übungen!$A$4:$A$23,0))),"")</f>
        <v/>
      </c>
      <c r="D621" s="56"/>
      <c r="E621" s="67"/>
      <c r="F621" s="55"/>
      <c r="G621" s="68"/>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2" t="str">
        <f aca="false">IFERROR(IF($B622="","",IF(INDEX(Einheiten!$B$4:$B$63,MATCH($B622,Einheiten!$A$4:$A$63,0))=0,"",INDEX(Einheiten!$B$4:$B$63,MATCH($B622,Einheiten!$A$4:$A$63,0)))),"")</f>
        <v/>
      </c>
      <c r="B622" s="54"/>
      <c r="C622" s="73" t="str">
        <f aca="false">IFERROR(IF($D622="","",INDEX(Übungen!$B$4:$B$23,MATCH($D622,Übungen!$A$4:$A$23,0))),"")</f>
        <v/>
      </c>
      <c r="D622" s="56"/>
      <c r="E622" s="67"/>
      <c r="F622" s="55"/>
      <c r="G622" s="68"/>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2" t="str">
        <f aca="false">IFERROR(IF($B623="","",IF(INDEX(Einheiten!$B$4:$B$63,MATCH($B623,Einheiten!$A$4:$A$63,0))=0,"",INDEX(Einheiten!$B$4:$B$63,MATCH($B623,Einheiten!$A$4:$A$63,0)))),"")</f>
        <v/>
      </c>
      <c r="B623" s="54"/>
      <c r="C623" s="73" t="str">
        <f aca="false">IFERROR(IF($D623="","",INDEX(Übungen!$B$4:$B$23,MATCH($D623,Übungen!$A$4:$A$23,0))),"")</f>
        <v/>
      </c>
      <c r="D623" s="56"/>
      <c r="E623" s="67"/>
      <c r="F623" s="55"/>
      <c r="G623" s="68"/>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2" t="str">
        <f aca="false">IFERROR(IF($B624="","",IF(INDEX(Einheiten!$B$4:$B$63,MATCH($B624,Einheiten!$A$4:$A$63,0))=0,"",INDEX(Einheiten!$B$4:$B$63,MATCH($B624,Einheiten!$A$4:$A$63,0)))),"")</f>
        <v/>
      </c>
      <c r="B624" s="54"/>
      <c r="C624" s="73" t="str">
        <f aca="false">IFERROR(IF($D624="","",INDEX(Übungen!$B$4:$B$23,MATCH($D624,Übungen!$A$4:$A$23,0))),"")</f>
        <v/>
      </c>
      <c r="D624" s="56"/>
      <c r="E624" s="67"/>
      <c r="F624" s="55"/>
      <c r="G624" s="68"/>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2" t="str">
        <f aca="false">IFERROR(IF($B625="","",IF(INDEX(Einheiten!$B$4:$B$63,MATCH($B625,Einheiten!$A$4:$A$63,0))=0,"",INDEX(Einheiten!$B$4:$B$63,MATCH($B625,Einheiten!$A$4:$A$63,0)))),"")</f>
        <v/>
      </c>
      <c r="B625" s="54"/>
      <c r="C625" s="73" t="str">
        <f aca="false">IFERROR(IF($D625="","",INDEX(Übungen!$B$4:$B$23,MATCH($D625,Übungen!$A$4:$A$23,0))),"")</f>
        <v/>
      </c>
      <c r="D625" s="56"/>
      <c r="E625" s="67"/>
      <c r="F625" s="55"/>
      <c r="G625" s="68"/>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2" t="str">
        <f aca="false">IFERROR(IF($B626="","",IF(INDEX(Einheiten!$B$4:$B$63,MATCH($B626,Einheiten!$A$4:$A$63,0))=0,"",INDEX(Einheiten!$B$4:$B$63,MATCH($B626,Einheiten!$A$4:$A$63,0)))),"")</f>
        <v/>
      </c>
      <c r="B626" s="54"/>
      <c r="C626" s="73" t="str">
        <f aca="false">IFERROR(IF($D626="","",INDEX(Übungen!$B$4:$B$23,MATCH($D626,Übungen!$A$4:$A$23,0))),"")</f>
        <v/>
      </c>
      <c r="D626" s="56"/>
      <c r="E626" s="67"/>
      <c r="F626" s="55"/>
      <c r="G626" s="68"/>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2" t="str">
        <f aca="false">IFERROR(IF($B627="","",IF(INDEX(Einheiten!$B$4:$B$63,MATCH($B627,Einheiten!$A$4:$A$63,0))=0,"",INDEX(Einheiten!$B$4:$B$63,MATCH($B627,Einheiten!$A$4:$A$63,0)))),"")</f>
        <v/>
      </c>
      <c r="B627" s="54"/>
      <c r="C627" s="73" t="str">
        <f aca="false">IFERROR(IF($D627="","",INDEX(Übungen!$B$4:$B$23,MATCH($D627,Übungen!$A$4:$A$23,0))),"")</f>
        <v/>
      </c>
      <c r="D627" s="56"/>
      <c r="E627" s="67"/>
      <c r="F627" s="55"/>
      <c r="G627" s="68"/>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2" t="str">
        <f aca="false">IFERROR(IF($B628="","",IF(INDEX(Einheiten!$B$4:$B$63,MATCH($B628,Einheiten!$A$4:$A$63,0))=0,"",INDEX(Einheiten!$B$4:$B$63,MATCH($B628,Einheiten!$A$4:$A$63,0)))),"")</f>
        <v/>
      </c>
      <c r="B628" s="54"/>
      <c r="C628" s="73" t="str">
        <f aca="false">IFERROR(IF($D628="","",INDEX(Übungen!$B$4:$B$23,MATCH($D628,Übungen!$A$4:$A$23,0))),"")</f>
        <v/>
      </c>
      <c r="D628" s="56"/>
      <c r="E628" s="67"/>
      <c r="F628" s="55"/>
      <c r="G628" s="68"/>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2" t="str">
        <f aca="false">IFERROR(IF($B629="","",IF(INDEX(Einheiten!$B$4:$B$63,MATCH($B629,Einheiten!$A$4:$A$63,0))=0,"",INDEX(Einheiten!$B$4:$B$63,MATCH($B629,Einheiten!$A$4:$A$63,0)))),"")</f>
        <v/>
      </c>
      <c r="B629" s="54"/>
      <c r="C629" s="73" t="str">
        <f aca="false">IFERROR(IF($D629="","",INDEX(Übungen!$B$4:$B$23,MATCH($D629,Übungen!$A$4:$A$23,0))),"")</f>
        <v/>
      </c>
      <c r="D629" s="56"/>
      <c r="E629" s="67"/>
      <c r="F629" s="55"/>
      <c r="G629" s="68"/>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2" t="str">
        <f aca="false">IFERROR(IF($B630="","",IF(INDEX(Einheiten!$B$4:$B$63,MATCH($B630,Einheiten!$A$4:$A$63,0))=0,"",INDEX(Einheiten!$B$4:$B$63,MATCH($B630,Einheiten!$A$4:$A$63,0)))),"")</f>
        <v/>
      </c>
      <c r="B630" s="54"/>
      <c r="C630" s="73" t="str">
        <f aca="false">IFERROR(IF($D630="","",INDEX(Übungen!$B$4:$B$23,MATCH($D630,Übungen!$A$4:$A$23,0))),"")</f>
        <v/>
      </c>
      <c r="D630" s="56"/>
      <c r="E630" s="67"/>
      <c r="F630" s="55"/>
      <c r="G630" s="68"/>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2" t="str">
        <f aca="false">IFERROR(IF($B631="","",IF(INDEX(Einheiten!$B$4:$B$63,MATCH($B631,Einheiten!$A$4:$A$63,0))=0,"",INDEX(Einheiten!$B$4:$B$63,MATCH($B631,Einheiten!$A$4:$A$63,0)))),"")</f>
        <v/>
      </c>
      <c r="B631" s="54"/>
      <c r="C631" s="73" t="str">
        <f aca="false">IFERROR(IF($D631="","",INDEX(Übungen!$B$4:$B$23,MATCH($D631,Übungen!$A$4:$A$23,0))),"")</f>
        <v/>
      </c>
      <c r="D631" s="56"/>
      <c r="E631" s="67"/>
      <c r="F631" s="55"/>
      <c r="G631" s="68"/>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2" t="str">
        <f aca="false">IFERROR(IF($B632="","",IF(INDEX(Einheiten!$B$4:$B$63,MATCH($B632,Einheiten!$A$4:$A$63,0))=0,"",INDEX(Einheiten!$B$4:$B$63,MATCH($B632,Einheiten!$A$4:$A$63,0)))),"")</f>
        <v/>
      </c>
      <c r="B632" s="54"/>
      <c r="C632" s="73" t="str">
        <f aca="false">IFERROR(IF($D632="","",INDEX(Übungen!$B$4:$B$23,MATCH($D632,Übungen!$A$4:$A$23,0))),"")</f>
        <v/>
      </c>
      <c r="D632" s="56"/>
      <c r="E632" s="67"/>
      <c r="F632" s="55"/>
      <c r="G632" s="68"/>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2" t="str">
        <f aca="false">IFERROR(IF($B633="","",IF(INDEX(Einheiten!$B$4:$B$63,MATCH($B633,Einheiten!$A$4:$A$63,0))=0,"",INDEX(Einheiten!$B$4:$B$63,MATCH($B633,Einheiten!$A$4:$A$63,0)))),"")</f>
        <v/>
      </c>
      <c r="B633" s="54"/>
      <c r="C633" s="73" t="str">
        <f aca="false">IFERROR(IF($D633="","",INDEX(Übungen!$B$4:$B$23,MATCH($D633,Übungen!$A$4:$A$23,0))),"")</f>
        <v/>
      </c>
      <c r="D633" s="56"/>
      <c r="E633" s="67"/>
      <c r="F633" s="55"/>
      <c r="G633" s="68"/>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2" t="str">
        <f aca="false">IFERROR(IF($B634="","",IF(INDEX(Einheiten!$B$4:$B$63,MATCH($B634,Einheiten!$A$4:$A$63,0))=0,"",INDEX(Einheiten!$B$4:$B$63,MATCH($B634,Einheiten!$A$4:$A$63,0)))),"")</f>
        <v/>
      </c>
      <c r="B634" s="54"/>
      <c r="C634" s="73" t="str">
        <f aca="false">IFERROR(IF($D634="","",INDEX(Übungen!$B$4:$B$23,MATCH($D634,Übungen!$A$4:$A$23,0))),"")</f>
        <v/>
      </c>
      <c r="D634" s="56"/>
      <c r="E634" s="67"/>
      <c r="F634" s="55"/>
      <c r="G634" s="68"/>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2" t="str">
        <f aca="false">IFERROR(IF($B635="","",IF(INDEX(Einheiten!$B$4:$B$63,MATCH($B635,Einheiten!$A$4:$A$63,0))=0,"",INDEX(Einheiten!$B$4:$B$63,MATCH($B635,Einheiten!$A$4:$A$63,0)))),"")</f>
        <v/>
      </c>
      <c r="B635" s="54"/>
      <c r="C635" s="73" t="str">
        <f aca="false">IFERROR(IF($D635="","",INDEX(Übungen!$B$4:$B$23,MATCH($D635,Übungen!$A$4:$A$23,0))),"")</f>
        <v/>
      </c>
      <c r="D635" s="56"/>
      <c r="E635" s="67"/>
      <c r="F635" s="55"/>
      <c r="G635" s="68"/>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2" t="str">
        <f aca="false">IFERROR(IF($B636="","",IF(INDEX(Einheiten!$B$4:$B$63,MATCH($B636,Einheiten!$A$4:$A$63,0))=0,"",INDEX(Einheiten!$B$4:$B$63,MATCH($B636,Einheiten!$A$4:$A$63,0)))),"")</f>
        <v/>
      </c>
      <c r="B636" s="54"/>
      <c r="C636" s="73" t="str">
        <f aca="false">IFERROR(IF($D636="","",INDEX(Übungen!$B$4:$B$23,MATCH($D636,Übungen!$A$4:$A$23,0))),"")</f>
        <v/>
      </c>
      <c r="D636" s="56"/>
      <c r="E636" s="67"/>
      <c r="F636" s="55"/>
      <c r="G636" s="68"/>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2" t="str">
        <f aca="false">IFERROR(IF($B637="","",IF(INDEX(Einheiten!$B$4:$B$63,MATCH($B637,Einheiten!$A$4:$A$63,0))=0,"",INDEX(Einheiten!$B$4:$B$63,MATCH($B637,Einheiten!$A$4:$A$63,0)))),"")</f>
        <v/>
      </c>
      <c r="B637" s="54"/>
      <c r="C637" s="73" t="str">
        <f aca="false">IFERROR(IF($D637="","",INDEX(Übungen!$B$4:$B$23,MATCH($D637,Übungen!$A$4:$A$23,0))),"")</f>
        <v/>
      </c>
      <c r="D637" s="56"/>
      <c r="E637" s="67"/>
      <c r="F637" s="55"/>
      <c r="G637" s="68"/>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2" t="str">
        <f aca="false">IFERROR(IF($B638="","",IF(INDEX(Einheiten!$B$4:$B$63,MATCH($B638,Einheiten!$A$4:$A$63,0))=0,"",INDEX(Einheiten!$B$4:$B$63,MATCH($B638,Einheiten!$A$4:$A$63,0)))),"")</f>
        <v/>
      </c>
      <c r="B638" s="54"/>
      <c r="C638" s="73" t="str">
        <f aca="false">IFERROR(IF($D638="","",INDEX(Übungen!$B$4:$B$23,MATCH($D638,Übungen!$A$4:$A$23,0))),"")</f>
        <v/>
      </c>
      <c r="D638" s="56"/>
      <c r="E638" s="67"/>
      <c r="F638" s="55"/>
      <c r="G638" s="68"/>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2" t="str">
        <f aca="false">IFERROR(IF($B639="","",IF(INDEX(Einheiten!$B$4:$B$63,MATCH($B639,Einheiten!$A$4:$A$63,0))=0,"",INDEX(Einheiten!$B$4:$B$63,MATCH($B639,Einheiten!$A$4:$A$63,0)))),"")</f>
        <v/>
      </c>
      <c r="B639" s="54"/>
      <c r="C639" s="73" t="str">
        <f aca="false">IFERROR(IF($D639="","",INDEX(Übungen!$B$4:$B$23,MATCH($D639,Übungen!$A$4:$A$23,0))),"")</f>
        <v/>
      </c>
      <c r="D639" s="56"/>
      <c r="E639" s="67"/>
      <c r="F639" s="55"/>
      <c r="G639" s="68"/>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2" t="str">
        <f aca="false">IFERROR(IF($B640="","",IF(INDEX(Einheiten!$B$4:$B$63,MATCH($B640,Einheiten!$A$4:$A$63,0))=0,"",INDEX(Einheiten!$B$4:$B$63,MATCH($B640,Einheiten!$A$4:$A$63,0)))),"")</f>
        <v/>
      </c>
      <c r="B640" s="54"/>
      <c r="C640" s="73" t="str">
        <f aca="false">IFERROR(IF($D640="","",INDEX(Übungen!$B$4:$B$23,MATCH($D640,Übungen!$A$4:$A$23,0))),"")</f>
        <v/>
      </c>
      <c r="D640" s="56"/>
      <c r="E640" s="67"/>
      <c r="F640" s="55"/>
      <c r="G640" s="68"/>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2" t="str">
        <f aca="false">IFERROR(IF($B641="","",IF(INDEX(Einheiten!$B$4:$B$63,MATCH($B641,Einheiten!$A$4:$A$63,0))=0,"",INDEX(Einheiten!$B$4:$B$63,MATCH($B641,Einheiten!$A$4:$A$63,0)))),"")</f>
        <v/>
      </c>
      <c r="B641" s="54"/>
      <c r="C641" s="73" t="str">
        <f aca="false">IFERROR(IF($D641="","",INDEX(Übungen!$B$4:$B$23,MATCH($D641,Übungen!$A$4:$A$23,0))),"")</f>
        <v/>
      </c>
      <c r="D641" s="56"/>
      <c r="E641" s="67"/>
      <c r="F641" s="55"/>
      <c r="G641" s="68"/>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2" t="str">
        <f aca="false">IFERROR(IF($B642="","",IF(INDEX(Einheiten!$B$4:$B$63,MATCH($B642,Einheiten!$A$4:$A$63,0))=0,"",INDEX(Einheiten!$B$4:$B$63,MATCH($B642,Einheiten!$A$4:$A$63,0)))),"")</f>
        <v/>
      </c>
      <c r="B642" s="54"/>
      <c r="C642" s="73" t="str">
        <f aca="false">IFERROR(IF($D642="","",INDEX(Übungen!$B$4:$B$23,MATCH($D642,Übungen!$A$4:$A$23,0))),"")</f>
        <v/>
      </c>
      <c r="D642" s="56"/>
      <c r="E642" s="67"/>
      <c r="F642" s="55"/>
      <c r="G642" s="68"/>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2" t="str">
        <f aca="false">IFERROR(IF($B643="","",IF(INDEX(Einheiten!$B$4:$B$63,MATCH($B643,Einheiten!$A$4:$A$63,0))=0,"",INDEX(Einheiten!$B$4:$B$63,MATCH($B643,Einheiten!$A$4:$A$63,0)))),"")</f>
        <v/>
      </c>
      <c r="B643" s="54"/>
      <c r="C643" s="73" t="str">
        <f aca="false">IFERROR(IF($D643="","",INDEX(Übungen!$B$4:$B$23,MATCH($D643,Übungen!$A$4:$A$23,0))),"")</f>
        <v/>
      </c>
      <c r="D643" s="56"/>
      <c r="E643" s="67"/>
      <c r="F643" s="55"/>
      <c r="G643" s="68"/>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2" t="str">
        <f aca="false">IFERROR(IF($B644="","",IF(INDEX(Einheiten!$B$4:$B$63,MATCH($B644,Einheiten!$A$4:$A$63,0))=0,"",INDEX(Einheiten!$B$4:$B$63,MATCH($B644,Einheiten!$A$4:$A$63,0)))),"")</f>
        <v/>
      </c>
      <c r="B644" s="54"/>
      <c r="C644" s="73" t="str">
        <f aca="false">IFERROR(IF($D644="","",INDEX(Übungen!$B$4:$B$23,MATCH($D644,Übungen!$A$4:$A$23,0))),"")</f>
        <v/>
      </c>
      <c r="D644" s="56"/>
      <c r="E644" s="67"/>
      <c r="F644" s="55"/>
      <c r="G644" s="68"/>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2" t="str">
        <f aca="false">IFERROR(IF($B645="","",IF(INDEX(Einheiten!$B$4:$B$63,MATCH($B645,Einheiten!$A$4:$A$63,0))=0,"",INDEX(Einheiten!$B$4:$B$63,MATCH($B645,Einheiten!$A$4:$A$63,0)))),"")</f>
        <v/>
      </c>
      <c r="B645" s="54"/>
      <c r="C645" s="73" t="str">
        <f aca="false">IFERROR(IF($D645="","",INDEX(Übungen!$B$4:$B$23,MATCH($D645,Übungen!$A$4:$A$23,0))),"")</f>
        <v/>
      </c>
      <c r="D645" s="56"/>
      <c r="E645" s="67"/>
      <c r="F645" s="55"/>
      <c r="G645" s="68"/>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2" t="str">
        <f aca="false">IFERROR(IF($B646="","",IF(INDEX(Einheiten!$B$4:$B$63,MATCH($B646,Einheiten!$A$4:$A$63,0))=0,"",INDEX(Einheiten!$B$4:$B$63,MATCH($B646,Einheiten!$A$4:$A$63,0)))),"")</f>
        <v/>
      </c>
      <c r="B646" s="54"/>
      <c r="C646" s="73" t="str">
        <f aca="false">IFERROR(IF($D646="","",INDEX(Übungen!$B$4:$B$23,MATCH($D646,Übungen!$A$4:$A$23,0))),"")</f>
        <v/>
      </c>
      <c r="D646" s="56"/>
      <c r="E646" s="67"/>
      <c r="F646" s="55"/>
      <c r="G646" s="68"/>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2" t="str">
        <f aca="false">IFERROR(IF($B647="","",IF(INDEX(Einheiten!$B$4:$B$63,MATCH($B647,Einheiten!$A$4:$A$63,0))=0,"",INDEX(Einheiten!$B$4:$B$63,MATCH($B647,Einheiten!$A$4:$A$63,0)))),"")</f>
        <v/>
      </c>
      <c r="B647" s="54"/>
      <c r="C647" s="73" t="str">
        <f aca="false">IFERROR(IF($D647="","",INDEX(Übungen!$B$4:$B$23,MATCH($D647,Übungen!$A$4:$A$23,0))),"")</f>
        <v/>
      </c>
      <c r="D647" s="56"/>
      <c r="E647" s="67"/>
      <c r="F647" s="55"/>
      <c r="G647" s="68"/>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2" t="str">
        <f aca="false">IFERROR(IF($B648="","",IF(INDEX(Einheiten!$B$4:$B$63,MATCH($B648,Einheiten!$A$4:$A$63,0))=0,"",INDEX(Einheiten!$B$4:$B$63,MATCH($B648,Einheiten!$A$4:$A$63,0)))),"")</f>
        <v/>
      </c>
      <c r="B648" s="54"/>
      <c r="C648" s="73" t="str">
        <f aca="false">IFERROR(IF($D648="","",INDEX(Übungen!$B$4:$B$23,MATCH($D648,Übungen!$A$4:$A$23,0))),"")</f>
        <v/>
      </c>
      <c r="D648" s="56"/>
      <c r="E648" s="67"/>
      <c r="F648" s="55"/>
      <c r="G648" s="68"/>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2" t="str">
        <f aca="false">IFERROR(IF($B649="","",IF(INDEX(Einheiten!$B$4:$B$63,MATCH($B649,Einheiten!$A$4:$A$63,0))=0,"",INDEX(Einheiten!$B$4:$B$63,MATCH($B649,Einheiten!$A$4:$A$63,0)))),"")</f>
        <v/>
      </c>
      <c r="B649" s="54"/>
      <c r="C649" s="73" t="str">
        <f aca="false">IFERROR(IF($D649="","",INDEX(Übungen!$B$4:$B$23,MATCH($D649,Übungen!$A$4:$A$23,0))),"")</f>
        <v/>
      </c>
      <c r="D649" s="56"/>
      <c r="E649" s="67"/>
      <c r="F649" s="55"/>
      <c r="G649" s="68"/>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2" t="str">
        <f aca="false">IFERROR(IF($B650="","",IF(INDEX(Einheiten!$B$4:$B$63,MATCH($B650,Einheiten!$A$4:$A$63,0))=0,"",INDEX(Einheiten!$B$4:$B$63,MATCH($B650,Einheiten!$A$4:$A$63,0)))),"")</f>
        <v/>
      </c>
      <c r="B650" s="54"/>
      <c r="C650" s="73" t="str">
        <f aca="false">IFERROR(IF($D650="","",INDEX(Übungen!$B$4:$B$23,MATCH($D650,Übungen!$A$4:$A$23,0))),"")</f>
        <v/>
      </c>
      <c r="D650" s="56"/>
      <c r="E650" s="67"/>
      <c r="F650" s="55"/>
      <c r="G650" s="68"/>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2" t="str">
        <f aca="false">IFERROR(IF($B651="","",IF(INDEX(Einheiten!$B$4:$B$63,MATCH($B651,Einheiten!$A$4:$A$63,0))=0,"",INDEX(Einheiten!$B$4:$B$63,MATCH($B651,Einheiten!$A$4:$A$63,0)))),"")</f>
        <v/>
      </c>
      <c r="B651" s="54"/>
      <c r="C651" s="73" t="str">
        <f aca="false">IFERROR(IF($D651="","",INDEX(Übungen!$B$4:$B$23,MATCH($D651,Übungen!$A$4:$A$23,0))),"")</f>
        <v/>
      </c>
      <c r="D651" s="56"/>
      <c r="E651" s="67"/>
      <c r="F651" s="55"/>
      <c r="G651" s="68"/>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2" t="str">
        <f aca="false">IFERROR(IF($B652="","",IF(INDEX(Einheiten!$B$4:$B$63,MATCH($B652,Einheiten!$A$4:$A$63,0))=0,"",INDEX(Einheiten!$B$4:$B$63,MATCH($B652,Einheiten!$A$4:$A$63,0)))),"")</f>
        <v/>
      </c>
      <c r="B652" s="54"/>
      <c r="C652" s="73" t="str">
        <f aca="false">IFERROR(IF($D652="","",INDEX(Übungen!$B$4:$B$23,MATCH($D652,Übungen!$A$4:$A$23,0))),"")</f>
        <v/>
      </c>
      <c r="D652" s="56"/>
      <c r="E652" s="67"/>
      <c r="F652" s="55"/>
      <c r="G652" s="68"/>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2" t="str">
        <f aca="false">IFERROR(IF($B653="","",IF(INDEX(Einheiten!$B$4:$B$63,MATCH($B653,Einheiten!$A$4:$A$63,0))=0,"",INDEX(Einheiten!$B$4:$B$63,MATCH($B653,Einheiten!$A$4:$A$63,0)))),"")</f>
        <v/>
      </c>
      <c r="B653" s="54"/>
      <c r="C653" s="73" t="str">
        <f aca="false">IFERROR(IF($D653="","",INDEX(Übungen!$B$4:$B$23,MATCH($D653,Übungen!$A$4:$A$23,0))),"")</f>
        <v/>
      </c>
      <c r="D653" s="56"/>
      <c r="E653" s="67"/>
      <c r="F653" s="55"/>
      <c r="G653" s="68"/>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2" t="str">
        <f aca="false">IFERROR(IF($B654="","",IF(INDEX(Einheiten!$B$4:$B$63,MATCH($B654,Einheiten!$A$4:$A$63,0))=0,"",INDEX(Einheiten!$B$4:$B$63,MATCH($B654,Einheiten!$A$4:$A$63,0)))),"")</f>
        <v/>
      </c>
      <c r="B654" s="54"/>
      <c r="C654" s="73" t="str">
        <f aca="false">IFERROR(IF($D654="","",INDEX(Übungen!$B$4:$B$23,MATCH($D654,Übungen!$A$4:$A$23,0))),"")</f>
        <v/>
      </c>
      <c r="D654" s="56"/>
      <c r="E654" s="67"/>
      <c r="F654" s="55"/>
      <c r="G654" s="68"/>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2" t="str">
        <f aca="false">IFERROR(IF($B655="","",IF(INDEX(Einheiten!$B$4:$B$63,MATCH($B655,Einheiten!$A$4:$A$63,0))=0,"",INDEX(Einheiten!$B$4:$B$63,MATCH($B655,Einheiten!$A$4:$A$63,0)))),"")</f>
        <v/>
      </c>
      <c r="B655" s="54"/>
      <c r="C655" s="73" t="str">
        <f aca="false">IFERROR(IF($D655="","",INDEX(Übungen!$B$4:$B$23,MATCH($D655,Übungen!$A$4:$A$23,0))),"")</f>
        <v/>
      </c>
      <c r="D655" s="56"/>
      <c r="E655" s="67"/>
      <c r="F655" s="55"/>
      <c r="G655" s="68"/>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2" t="str">
        <f aca="false">IFERROR(IF($B656="","",IF(INDEX(Einheiten!$B$4:$B$63,MATCH($B656,Einheiten!$A$4:$A$63,0))=0,"",INDEX(Einheiten!$B$4:$B$63,MATCH($B656,Einheiten!$A$4:$A$63,0)))),"")</f>
        <v/>
      </c>
      <c r="B656" s="54"/>
      <c r="C656" s="73" t="str">
        <f aca="false">IFERROR(IF($D656="","",INDEX(Übungen!$B$4:$B$23,MATCH($D656,Übungen!$A$4:$A$23,0))),"")</f>
        <v/>
      </c>
      <c r="D656" s="56"/>
      <c r="E656" s="67"/>
      <c r="F656" s="55"/>
      <c r="G656" s="68"/>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2" t="str">
        <f aca="false">IFERROR(IF($B657="","",IF(INDEX(Einheiten!$B$4:$B$63,MATCH($B657,Einheiten!$A$4:$A$63,0))=0,"",INDEX(Einheiten!$B$4:$B$63,MATCH($B657,Einheiten!$A$4:$A$63,0)))),"")</f>
        <v/>
      </c>
      <c r="B657" s="54"/>
      <c r="C657" s="73" t="str">
        <f aca="false">IFERROR(IF($D657="","",INDEX(Übungen!$B$4:$B$23,MATCH($D657,Übungen!$A$4:$A$23,0))),"")</f>
        <v/>
      </c>
      <c r="D657" s="56"/>
      <c r="E657" s="67"/>
      <c r="F657" s="55"/>
      <c r="G657" s="68"/>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2" t="str">
        <f aca="false">IFERROR(IF($B658="","",IF(INDEX(Einheiten!$B$4:$B$63,MATCH($B658,Einheiten!$A$4:$A$63,0))=0,"",INDEX(Einheiten!$B$4:$B$63,MATCH($B658,Einheiten!$A$4:$A$63,0)))),"")</f>
        <v/>
      </c>
      <c r="B658" s="54"/>
      <c r="C658" s="73" t="str">
        <f aca="false">IFERROR(IF($D658="","",INDEX(Übungen!$B$4:$B$23,MATCH($D658,Übungen!$A$4:$A$23,0))),"")</f>
        <v/>
      </c>
      <c r="D658" s="56"/>
      <c r="E658" s="67"/>
      <c r="F658" s="55"/>
      <c r="G658" s="68"/>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2" t="str">
        <f aca="false">IFERROR(IF($B659="","",IF(INDEX(Einheiten!$B$4:$B$63,MATCH($B659,Einheiten!$A$4:$A$63,0))=0,"",INDEX(Einheiten!$B$4:$B$63,MATCH($B659,Einheiten!$A$4:$A$63,0)))),"")</f>
        <v/>
      </c>
      <c r="B659" s="54"/>
      <c r="C659" s="73" t="str">
        <f aca="false">IFERROR(IF($D659="","",INDEX(Übungen!$B$4:$B$23,MATCH($D659,Übungen!$A$4:$A$23,0))),"")</f>
        <v/>
      </c>
      <c r="D659" s="56"/>
      <c r="E659" s="67"/>
      <c r="F659" s="55"/>
      <c r="G659" s="68"/>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2" t="str">
        <f aca="false">IFERROR(IF($B660="","",IF(INDEX(Einheiten!$B$4:$B$63,MATCH($B660,Einheiten!$A$4:$A$63,0))=0,"",INDEX(Einheiten!$B$4:$B$63,MATCH($B660,Einheiten!$A$4:$A$63,0)))),"")</f>
        <v/>
      </c>
      <c r="B660" s="54"/>
      <c r="C660" s="73" t="str">
        <f aca="false">IFERROR(IF($D660="","",INDEX(Übungen!$B$4:$B$23,MATCH($D660,Übungen!$A$4:$A$23,0))),"")</f>
        <v/>
      </c>
      <c r="D660" s="56"/>
      <c r="E660" s="67"/>
      <c r="F660" s="55"/>
      <c r="G660" s="68"/>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2" t="str">
        <f aca="false">IFERROR(IF($B661="","",IF(INDEX(Einheiten!$B$4:$B$63,MATCH($B661,Einheiten!$A$4:$A$63,0))=0,"",INDEX(Einheiten!$B$4:$B$63,MATCH($B661,Einheiten!$A$4:$A$63,0)))),"")</f>
        <v/>
      </c>
      <c r="B661" s="54"/>
      <c r="C661" s="73" t="str">
        <f aca="false">IFERROR(IF($D661="","",INDEX(Übungen!$B$4:$B$23,MATCH($D661,Übungen!$A$4:$A$23,0))),"")</f>
        <v/>
      </c>
      <c r="D661" s="56"/>
      <c r="E661" s="67"/>
      <c r="F661" s="55"/>
      <c r="G661" s="68"/>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2" t="str">
        <f aca="false">IFERROR(IF($B662="","",IF(INDEX(Einheiten!$B$4:$B$63,MATCH($B662,Einheiten!$A$4:$A$63,0))=0,"",INDEX(Einheiten!$B$4:$B$63,MATCH($B662,Einheiten!$A$4:$A$63,0)))),"")</f>
        <v/>
      </c>
      <c r="B662" s="54"/>
      <c r="C662" s="73" t="str">
        <f aca="false">IFERROR(IF($D662="","",INDEX(Übungen!$B$4:$B$23,MATCH($D662,Übungen!$A$4:$A$23,0))),"")</f>
        <v/>
      </c>
      <c r="D662" s="56"/>
      <c r="E662" s="67"/>
      <c r="F662" s="55"/>
      <c r="G662" s="68"/>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2" t="str">
        <f aca="false">IFERROR(IF($B663="","",IF(INDEX(Einheiten!$B$4:$B$63,MATCH($B663,Einheiten!$A$4:$A$63,0))=0,"",INDEX(Einheiten!$B$4:$B$63,MATCH($B663,Einheiten!$A$4:$A$63,0)))),"")</f>
        <v/>
      </c>
      <c r="B663" s="54"/>
      <c r="C663" s="73" t="str">
        <f aca="false">IFERROR(IF($D663="","",INDEX(Übungen!$B$4:$B$23,MATCH($D663,Übungen!$A$4:$A$23,0))),"")</f>
        <v/>
      </c>
      <c r="D663" s="56"/>
      <c r="E663" s="67"/>
      <c r="F663" s="55"/>
      <c r="G663" s="68"/>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2" t="str">
        <f aca="false">IFERROR(IF($B664="","",IF(INDEX(Einheiten!$B$4:$B$63,MATCH($B664,Einheiten!$A$4:$A$63,0))=0,"",INDEX(Einheiten!$B$4:$B$63,MATCH($B664,Einheiten!$A$4:$A$63,0)))),"")</f>
        <v/>
      </c>
      <c r="B664" s="54"/>
      <c r="C664" s="73" t="str">
        <f aca="false">IFERROR(IF($D664="","",INDEX(Übungen!$B$4:$B$23,MATCH($D664,Übungen!$A$4:$A$23,0))),"")</f>
        <v/>
      </c>
      <c r="D664" s="56"/>
      <c r="E664" s="67"/>
      <c r="F664" s="55"/>
      <c r="G664" s="68"/>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2" t="str">
        <f aca="false">IFERROR(IF($B665="","",IF(INDEX(Einheiten!$B$4:$B$63,MATCH($B665,Einheiten!$A$4:$A$63,0))=0,"",INDEX(Einheiten!$B$4:$B$63,MATCH($B665,Einheiten!$A$4:$A$63,0)))),"")</f>
        <v/>
      </c>
      <c r="B665" s="54"/>
      <c r="C665" s="73" t="str">
        <f aca="false">IFERROR(IF($D665="","",INDEX(Übungen!$B$4:$B$23,MATCH($D665,Übungen!$A$4:$A$23,0))),"")</f>
        <v/>
      </c>
      <c r="D665" s="56"/>
      <c r="E665" s="67"/>
      <c r="F665" s="55"/>
      <c r="G665" s="68"/>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2" t="str">
        <f aca="false">IFERROR(IF($B666="","",IF(INDEX(Einheiten!$B$4:$B$63,MATCH($B666,Einheiten!$A$4:$A$63,0))=0,"",INDEX(Einheiten!$B$4:$B$63,MATCH($B666,Einheiten!$A$4:$A$63,0)))),"")</f>
        <v/>
      </c>
      <c r="B666" s="54"/>
      <c r="C666" s="73" t="str">
        <f aca="false">IFERROR(IF($D666="","",INDEX(Übungen!$B$4:$B$23,MATCH($D666,Übungen!$A$4:$A$23,0))),"")</f>
        <v/>
      </c>
      <c r="D666" s="56"/>
      <c r="E666" s="67"/>
      <c r="F666" s="55"/>
      <c r="G666" s="68"/>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2" t="str">
        <f aca="false">IFERROR(IF($B667="","",IF(INDEX(Einheiten!$B$4:$B$63,MATCH($B667,Einheiten!$A$4:$A$63,0))=0,"",INDEX(Einheiten!$B$4:$B$63,MATCH($B667,Einheiten!$A$4:$A$63,0)))),"")</f>
        <v/>
      </c>
      <c r="B667" s="54"/>
      <c r="C667" s="73" t="str">
        <f aca="false">IFERROR(IF($D667="","",INDEX(Übungen!$B$4:$B$23,MATCH($D667,Übungen!$A$4:$A$23,0))),"")</f>
        <v/>
      </c>
      <c r="D667" s="56"/>
      <c r="E667" s="67"/>
      <c r="F667" s="55"/>
      <c r="G667" s="68"/>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2" t="str">
        <f aca="false">IFERROR(IF($B668="","",IF(INDEX(Einheiten!$B$4:$B$63,MATCH($B668,Einheiten!$A$4:$A$63,0))=0,"",INDEX(Einheiten!$B$4:$B$63,MATCH($B668,Einheiten!$A$4:$A$63,0)))),"")</f>
        <v/>
      </c>
      <c r="B668" s="54"/>
      <c r="C668" s="73" t="str">
        <f aca="false">IFERROR(IF($D668="","",INDEX(Übungen!$B$4:$B$23,MATCH($D668,Übungen!$A$4:$A$23,0))),"")</f>
        <v/>
      </c>
      <c r="D668" s="56"/>
      <c r="E668" s="67"/>
      <c r="F668" s="55"/>
      <c r="G668" s="68"/>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2" t="str">
        <f aca="false">IFERROR(IF($B669="","",IF(INDEX(Einheiten!$B$4:$B$63,MATCH($B669,Einheiten!$A$4:$A$63,0))=0,"",INDEX(Einheiten!$B$4:$B$63,MATCH($B669,Einheiten!$A$4:$A$63,0)))),"")</f>
        <v/>
      </c>
      <c r="B669" s="54"/>
      <c r="C669" s="73" t="str">
        <f aca="false">IFERROR(IF($D669="","",INDEX(Übungen!$B$4:$B$23,MATCH($D669,Übungen!$A$4:$A$23,0))),"")</f>
        <v/>
      </c>
      <c r="D669" s="56"/>
      <c r="E669" s="67"/>
      <c r="F669" s="55"/>
      <c r="G669" s="68"/>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2" t="str">
        <f aca="false">IFERROR(IF($B670="","",IF(INDEX(Einheiten!$B$4:$B$63,MATCH($B670,Einheiten!$A$4:$A$63,0))=0,"",INDEX(Einheiten!$B$4:$B$63,MATCH($B670,Einheiten!$A$4:$A$63,0)))),"")</f>
        <v/>
      </c>
      <c r="B670" s="54"/>
      <c r="C670" s="73" t="str">
        <f aca="false">IFERROR(IF($D670="","",INDEX(Übungen!$B$4:$B$23,MATCH($D670,Übungen!$A$4:$A$23,0))),"")</f>
        <v/>
      </c>
      <c r="D670" s="56"/>
      <c r="E670" s="67"/>
      <c r="F670" s="55"/>
      <c r="G670" s="68"/>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2" t="str">
        <f aca="false">IFERROR(IF($B671="","",IF(INDEX(Einheiten!$B$4:$B$63,MATCH($B671,Einheiten!$A$4:$A$63,0))=0,"",INDEX(Einheiten!$B$4:$B$63,MATCH($B671,Einheiten!$A$4:$A$63,0)))),"")</f>
        <v/>
      </c>
      <c r="B671" s="54"/>
      <c r="C671" s="73" t="str">
        <f aca="false">IFERROR(IF($D671="","",INDEX(Übungen!$B$4:$B$23,MATCH($D671,Übungen!$A$4:$A$23,0))),"")</f>
        <v/>
      </c>
      <c r="D671" s="56"/>
      <c r="E671" s="67"/>
      <c r="F671" s="55"/>
      <c r="G671" s="68"/>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2" t="str">
        <f aca="false">IFERROR(IF($B672="","",IF(INDEX(Einheiten!$B$4:$B$63,MATCH($B672,Einheiten!$A$4:$A$63,0))=0,"",INDEX(Einheiten!$B$4:$B$63,MATCH($B672,Einheiten!$A$4:$A$63,0)))),"")</f>
        <v/>
      </c>
      <c r="B672" s="54"/>
      <c r="C672" s="73" t="str">
        <f aca="false">IFERROR(IF($D672="","",INDEX(Übungen!$B$4:$B$23,MATCH($D672,Übungen!$A$4:$A$23,0))),"")</f>
        <v/>
      </c>
      <c r="D672" s="56"/>
      <c r="E672" s="67"/>
      <c r="F672" s="55"/>
      <c r="G672" s="68"/>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2" t="str">
        <f aca="false">IFERROR(IF($B673="","",IF(INDEX(Einheiten!$B$4:$B$63,MATCH($B673,Einheiten!$A$4:$A$63,0))=0,"",INDEX(Einheiten!$B$4:$B$63,MATCH($B673,Einheiten!$A$4:$A$63,0)))),"")</f>
        <v/>
      </c>
      <c r="B673" s="54"/>
      <c r="C673" s="73" t="str">
        <f aca="false">IFERROR(IF($D673="","",INDEX(Übungen!$B$4:$B$23,MATCH($D673,Übungen!$A$4:$A$23,0))),"")</f>
        <v/>
      </c>
      <c r="D673" s="56"/>
      <c r="E673" s="67"/>
      <c r="F673" s="55"/>
      <c r="G673" s="68"/>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2" t="str">
        <f aca="false">IFERROR(IF($B674="","",IF(INDEX(Einheiten!$B$4:$B$63,MATCH($B674,Einheiten!$A$4:$A$63,0))=0,"",INDEX(Einheiten!$B$4:$B$63,MATCH($B674,Einheiten!$A$4:$A$63,0)))),"")</f>
        <v/>
      </c>
      <c r="B674" s="54"/>
      <c r="C674" s="73" t="str">
        <f aca="false">IFERROR(IF($D674="","",INDEX(Übungen!$B$4:$B$23,MATCH($D674,Übungen!$A$4:$A$23,0))),"")</f>
        <v/>
      </c>
      <c r="D674" s="56"/>
      <c r="E674" s="67"/>
      <c r="F674" s="55"/>
      <c r="G674" s="68"/>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2" t="str">
        <f aca="false">IFERROR(IF($B675="","",IF(INDEX(Einheiten!$B$4:$B$63,MATCH($B675,Einheiten!$A$4:$A$63,0))=0,"",INDEX(Einheiten!$B$4:$B$63,MATCH($B675,Einheiten!$A$4:$A$63,0)))),"")</f>
        <v/>
      </c>
      <c r="B675" s="54"/>
      <c r="C675" s="73" t="str">
        <f aca="false">IFERROR(IF($D675="","",INDEX(Übungen!$B$4:$B$23,MATCH($D675,Übungen!$A$4:$A$23,0))),"")</f>
        <v/>
      </c>
      <c r="D675" s="56"/>
      <c r="E675" s="67"/>
      <c r="F675" s="55"/>
      <c r="G675" s="68"/>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2" t="str">
        <f aca="false">IFERROR(IF($B676="","",IF(INDEX(Einheiten!$B$4:$B$63,MATCH($B676,Einheiten!$A$4:$A$63,0))=0,"",INDEX(Einheiten!$B$4:$B$63,MATCH($B676,Einheiten!$A$4:$A$63,0)))),"")</f>
        <v/>
      </c>
      <c r="B676" s="54"/>
      <c r="C676" s="73" t="str">
        <f aca="false">IFERROR(IF($D676="","",INDEX(Übungen!$B$4:$B$23,MATCH($D676,Übungen!$A$4:$A$23,0))),"")</f>
        <v/>
      </c>
      <c r="D676" s="56"/>
      <c r="E676" s="67"/>
      <c r="F676" s="55"/>
      <c r="G676" s="68"/>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2" t="str">
        <f aca="false">IFERROR(IF($B677="","",IF(INDEX(Einheiten!$B$4:$B$63,MATCH($B677,Einheiten!$A$4:$A$63,0))=0,"",INDEX(Einheiten!$B$4:$B$63,MATCH($B677,Einheiten!$A$4:$A$63,0)))),"")</f>
        <v/>
      </c>
      <c r="B677" s="54"/>
      <c r="C677" s="73" t="str">
        <f aca="false">IFERROR(IF($D677="","",INDEX(Übungen!$B$4:$B$23,MATCH($D677,Übungen!$A$4:$A$23,0))),"")</f>
        <v/>
      </c>
      <c r="D677" s="56"/>
      <c r="E677" s="67"/>
      <c r="F677" s="55"/>
      <c r="G677" s="68"/>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2" t="str">
        <f aca="false">IFERROR(IF($B678="","",IF(INDEX(Einheiten!$B$4:$B$63,MATCH($B678,Einheiten!$A$4:$A$63,0))=0,"",INDEX(Einheiten!$B$4:$B$63,MATCH($B678,Einheiten!$A$4:$A$63,0)))),"")</f>
        <v/>
      </c>
      <c r="B678" s="54"/>
      <c r="C678" s="73" t="str">
        <f aca="false">IFERROR(IF($D678="","",INDEX(Übungen!$B$4:$B$23,MATCH($D678,Übungen!$A$4:$A$23,0))),"")</f>
        <v/>
      </c>
      <c r="D678" s="56"/>
      <c r="E678" s="67"/>
      <c r="F678" s="55"/>
      <c r="G678" s="68"/>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2" t="str">
        <f aca="false">IFERROR(IF($B679="","",IF(INDEX(Einheiten!$B$4:$B$63,MATCH($B679,Einheiten!$A$4:$A$63,0))=0,"",INDEX(Einheiten!$B$4:$B$63,MATCH($B679,Einheiten!$A$4:$A$63,0)))),"")</f>
        <v/>
      </c>
      <c r="B679" s="54"/>
      <c r="C679" s="73" t="str">
        <f aca="false">IFERROR(IF($D679="","",INDEX(Übungen!$B$4:$B$23,MATCH($D679,Übungen!$A$4:$A$23,0))),"")</f>
        <v/>
      </c>
      <c r="D679" s="56"/>
      <c r="E679" s="67"/>
      <c r="F679" s="55"/>
      <c r="G679" s="68"/>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2" t="str">
        <f aca="false">IFERROR(IF($B680="","",IF(INDEX(Einheiten!$B$4:$B$63,MATCH($B680,Einheiten!$A$4:$A$63,0))=0,"",INDEX(Einheiten!$B$4:$B$63,MATCH($B680,Einheiten!$A$4:$A$63,0)))),"")</f>
        <v/>
      </c>
      <c r="B680" s="54"/>
      <c r="C680" s="73" t="str">
        <f aca="false">IFERROR(IF($D680="","",INDEX(Übungen!$B$4:$B$23,MATCH($D680,Übungen!$A$4:$A$23,0))),"")</f>
        <v/>
      </c>
      <c r="D680" s="56"/>
      <c r="E680" s="67"/>
      <c r="F680" s="55"/>
      <c r="G680" s="68"/>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2" t="str">
        <f aca="false">IFERROR(IF($B681="","",IF(INDEX(Einheiten!$B$4:$B$63,MATCH($B681,Einheiten!$A$4:$A$63,0))=0,"",INDEX(Einheiten!$B$4:$B$63,MATCH($B681,Einheiten!$A$4:$A$63,0)))),"")</f>
        <v/>
      </c>
      <c r="B681" s="54"/>
      <c r="C681" s="73" t="str">
        <f aca="false">IFERROR(IF($D681="","",INDEX(Übungen!$B$4:$B$23,MATCH($D681,Übungen!$A$4:$A$23,0))),"")</f>
        <v/>
      </c>
      <c r="D681" s="56"/>
      <c r="E681" s="67"/>
      <c r="F681" s="55"/>
      <c r="G681" s="68"/>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2" t="str">
        <f aca="false">IFERROR(IF($B682="","",IF(INDEX(Einheiten!$B$4:$B$63,MATCH($B682,Einheiten!$A$4:$A$63,0))=0,"",INDEX(Einheiten!$B$4:$B$63,MATCH($B682,Einheiten!$A$4:$A$63,0)))),"")</f>
        <v/>
      </c>
      <c r="B682" s="54"/>
      <c r="C682" s="73" t="str">
        <f aca="false">IFERROR(IF($D682="","",INDEX(Übungen!$B$4:$B$23,MATCH($D682,Übungen!$A$4:$A$23,0))),"")</f>
        <v/>
      </c>
      <c r="D682" s="56"/>
      <c r="E682" s="67"/>
      <c r="F682" s="55"/>
      <c r="G682" s="68"/>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2" t="str">
        <f aca="false">IFERROR(IF($B683="","",IF(INDEX(Einheiten!$B$4:$B$63,MATCH($B683,Einheiten!$A$4:$A$63,0))=0,"",INDEX(Einheiten!$B$4:$B$63,MATCH($B683,Einheiten!$A$4:$A$63,0)))),"")</f>
        <v/>
      </c>
      <c r="B683" s="54"/>
      <c r="C683" s="73" t="str">
        <f aca="false">IFERROR(IF($D683="","",INDEX(Übungen!$B$4:$B$23,MATCH($D683,Übungen!$A$4:$A$23,0))),"")</f>
        <v/>
      </c>
      <c r="D683" s="56"/>
      <c r="E683" s="67"/>
      <c r="F683" s="55"/>
      <c r="G683" s="68"/>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2" t="str">
        <f aca="false">IFERROR(IF($B684="","",IF(INDEX(Einheiten!$B$4:$B$63,MATCH($B684,Einheiten!$A$4:$A$63,0))=0,"",INDEX(Einheiten!$B$4:$B$63,MATCH($B684,Einheiten!$A$4:$A$63,0)))),"")</f>
        <v/>
      </c>
      <c r="B684" s="54"/>
      <c r="C684" s="73" t="str">
        <f aca="false">IFERROR(IF($D684="","",INDEX(Übungen!$B$4:$B$23,MATCH($D684,Übungen!$A$4:$A$23,0))),"")</f>
        <v/>
      </c>
      <c r="D684" s="56"/>
      <c r="E684" s="67"/>
      <c r="F684" s="55"/>
      <c r="G684" s="68"/>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2" t="str">
        <f aca="false">IFERROR(IF($B685="","",IF(INDEX(Einheiten!$B$4:$B$63,MATCH($B685,Einheiten!$A$4:$A$63,0))=0,"",INDEX(Einheiten!$B$4:$B$63,MATCH($B685,Einheiten!$A$4:$A$63,0)))),"")</f>
        <v/>
      </c>
      <c r="B685" s="54"/>
      <c r="C685" s="73" t="str">
        <f aca="false">IFERROR(IF($D685="","",INDEX(Übungen!$B$4:$B$23,MATCH($D685,Übungen!$A$4:$A$23,0))),"")</f>
        <v/>
      </c>
      <c r="D685" s="56"/>
      <c r="E685" s="67"/>
      <c r="F685" s="55"/>
      <c r="G685" s="68"/>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2" t="str">
        <f aca="false">IFERROR(IF($B686="","",IF(INDEX(Einheiten!$B$4:$B$63,MATCH($B686,Einheiten!$A$4:$A$63,0))=0,"",INDEX(Einheiten!$B$4:$B$63,MATCH($B686,Einheiten!$A$4:$A$63,0)))),"")</f>
        <v/>
      </c>
      <c r="B686" s="54"/>
      <c r="C686" s="73" t="str">
        <f aca="false">IFERROR(IF($D686="","",INDEX(Übungen!$B$4:$B$23,MATCH($D686,Übungen!$A$4:$A$23,0))),"")</f>
        <v/>
      </c>
      <c r="D686" s="56"/>
      <c r="E686" s="67"/>
      <c r="F686" s="55"/>
      <c r="G686" s="68"/>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2" t="str">
        <f aca="false">IFERROR(IF($B687="","",IF(INDEX(Einheiten!$B$4:$B$63,MATCH($B687,Einheiten!$A$4:$A$63,0))=0,"",INDEX(Einheiten!$B$4:$B$63,MATCH($B687,Einheiten!$A$4:$A$63,0)))),"")</f>
        <v/>
      </c>
      <c r="B687" s="54"/>
      <c r="C687" s="73" t="str">
        <f aca="false">IFERROR(IF($D687="","",INDEX(Übungen!$B$4:$B$23,MATCH($D687,Übungen!$A$4:$A$23,0))),"")</f>
        <v/>
      </c>
      <c r="D687" s="56"/>
      <c r="E687" s="67"/>
      <c r="F687" s="55"/>
      <c r="G687" s="68"/>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2" t="str">
        <f aca="false">IFERROR(IF($B688="","",IF(INDEX(Einheiten!$B$4:$B$63,MATCH($B688,Einheiten!$A$4:$A$63,0))=0,"",INDEX(Einheiten!$B$4:$B$63,MATCH($B688,Einheiten!$A$4:$A$63,0)))),"")</f>
        <v/>
      </c>
      <c r="B688" s="54"/>
      <c r="C688" s="73" t="str">
        <f aca="false">IFERROR(IF($D688="","",INDEX(Übungen!$B$4:$B$23,MATCH($D688,Übungen!$A$4:$A$23,0))),"")</f>
        <v/>
      </c>
      <c r="D688" s="56"/>
      <c r="E688" s="67"/>
      <c r="F688" s="55"/>
      <c r="G688" s="68"/>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2" t="str">
        <f aca="false">IFERROR(IF($B689="","",IF(INDEX(Einheiten!$B$4:$B$63,MATCH($B689,Einheiten!$A$4:$A$63,0))=0,"",INDEX(Einheiten!$B$4:$B$63,MATCH($B689,Einheiten!$A$4:$A$63,0)))),"")</f>
        <v/>
      </c>
      <c r="B689" s="54"/>
      <c r="C689" s="73" t="str">
        <f aca="false">IFERROR(IF($D689="","",INDEX(Übungen!$B$4:$B$23,MATCH($D689,Übungen!$A$4:$A$23,0))),"")</f>
        <v/>
      </c>
      <c r="D689" s="56"/>
      <c r="E689" s="67"/>
      <c r="F689" s="55"/>
      <c r="G689" s="68"/>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2" t="str">
        <f aca="false">IFERROR(IF($B690="","",IF(INDEX(Einheiten!$B$4:$B$63,MATCH($B690,Einheiten!$A$4:$A$63,0))=0,"",INDEX(Einheiten!$B$4:$B$63,MATCH($B690,Einheiten!$A$4:$A$63,0)))),"")</f>
        <v/>
      </c>
      <c r="B690" s="54"/>
      <c r="C690" s="73" t="str">
        <f aca="false">IFERROR(IF($D690="","",INDEX(Übungen!$B$4:$B$23,MATCH($D690,Übungen!$A$4:$A$23,0))),"")</f>
        <v/>
      </c>
      <c r="D690" s="56"/>
      <c r="E690" s="67"/>
      <c r="F690" s="55"/>
      <c r="G690" s="68"/>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2" t="str">
        <f aca="false">IFERROR(IF($B691="","",IF(INDEX(Einheiten!$B$4:$B$63,MATCH($B691,Einheiten!$A$4:$A$63,0))=0,"",INDEX(Einheiten!$B$4:$B$63,MATCH($B691,Einheiten!$A$4:$A$63,0)))),"")</f>
        <v/>
      </c>
      <c r="B691" s="54"/>
      <c r="C691" s="73" t="str">
        <f aca="false">IFERROR(IF($D691="","",INDEX(Übungen!$B$4:$B$23,MATCH($D691,Übungen!$A$4:$A$23,0))),"")</f>
        <v/>
      </c>
      <c r="D691" s="56"/>
      <c r="E691" s="67"/>
      <c r="F691" s="55"/>
      <c r="G691" s="68"/>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2" t="str">
        <f aca="false">IFERROR(IF($B692="","",IF(INDEX(Einheiten!$B$4:$B$63,MATCH($B692,Einheiten!$A$4:$A$63,0))=0,"",INDEX(Einheiten!$B$4:$B$63,MATCH($B692,Einheiten!$A$4:$A$63,0)))),"")</f>
        <v/>
      </c>
      <c r="B692" s="54"/>
      <c r="C692" s="73" t="str">
        <f aca="false">IFERROR(IF($D692="","",INDEX(Übungen!$B$4:$B$23,MATCH($D692,Übungen!$A$4:$A$23,0))),"")</f>
        <v/>
      </c>
      <c r="D692" s="56"/>
      <c r="E692" s="67"/>
      <c r="F692" s="55"/>
      <c r="G692" s="68"/>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2" t="str">
        <f aca="false">IFERROR(IF($B693="","",IF(INDEX(Einheiten!$B$4:$B$63,MATCH($B693,Einheiten!$A$4:$A$63,0))=0,"",INDEX(Einheiten!$B$4:$B$63,MATCH($B693,Einheiten!$A$4:$A$63,0)))),"")</f>
        <v/>
      </c>
      <c r="B693" s="54"/>
      <c r="C693" s="73" t="str">
        <f aca="false">IFERROR(IF($D693="","",INDEX(Übungen!$B$4:$B$23,MATCH($D693,Übungen!$A$4:$A$23,0))),"")</f>
        <v/>
      </c>
      <c r="D693" s="56"/>
      <c r="E693" s="67"/>
      <c r="F693" s="55"/>
      <c r="G693" s="68"/>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2" t="str">
        <f aca="false">IFERROR(IF($B694="","",IF(INDEX(Einheiten!$B$4:$B$63,MATCH($B694,Einheiten!$A$4:$A$63,0))=0,"",INDEX(Einheiten!$B$4:$B$63,MATCH($B694,Einheiten!$A$4:$A$63,0)))),"")</f>
        <v/>
      </c>
      <c r="B694" s="54"/>
      <c r="C694" s="73" t="str">
        <f aca="false">IFERROR(IF($D694="","",INDEX(Übungen!$B$4:$B$23,MATCH($D694,Übungen!$A$4:$A$23,0))),"")</f>
        <v/>
      </c>
      <c r="D694" s="56"/>
      <c r="E694" s="67"/>
      <c r="F694" s="55"/>
      <c r="G694" s="68"/>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2" t="str">
        <f aca="false">IFERROR(IF($B695="","",IF(INDEX(Einheiten!$B$4:$B$63,MATCH($B695,Einheiten!$A$4:$A$63,0))=0,"",INDEX(Einheiten!$B$4:$B$63,MATCH($B695,Einheiten!$A$4:$A$63,0)))),"")</f>
        <v/>
      </c>
      <c r="B695" s="54"/>
      <c r="C695" s="73" t="str">
        <f aca="false">IFERROR(IF($D695="","",INDEX(Übungen!$B$4:$B$23,MATCH($D695,Übungen!$A$4:$A$23,0))),"")</f>
        <v/>
      </c>
      <c r="D695" s="56"/>
      <c r="E695" s="67"/>
      <c r="F695" s="55"/>
      <c r="G695" s="68"/>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2" t="str">
        <f aca="false">IFERROR(IF($B696="","",IF(INDEX(Einheiten!$B$4:$B$63,MATCH($B696,Einheiten!$A$4:$A$63,0))=0,"",INDEX(Einheiten!$B$4:$B$63,MATCH($B696,Einheiten!$A$4:$A$63,0)))),"")</f>
        <v/>
      </c>
      <c r="B696" s="54"/>
      <c r="C696" s="73" t="str">
        <f aca="false">IFERROR(IF($D696="","",INDEX(Übungen!$B$4:$B$23,MATCH($D696,Übungen!$A$4:$A$23,0))),"")</f>
        <v/>
      </c>
      <c r="D696" s="56"/>
      <c r="E696" s="67"/>
      <c r="F696" s="55"/>
      <c r="G696" s="68"/>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2" t="str">
        <f aca="false">IFERROR(IF($B697="","",IF(INDEX(Einheiten!$B$4:$B$63,MATCH($B697,Einheiten!$A$4:$A$63,0))=0,"",INDEX(Einheiten!$B$4:$B$63,MATCH($B697,Einheiten!$A$4:$A$63,0)))),"")</f>
        <v/>
      </c>
      <c r="B697" s="54"/>
      <c r="C697" s="73" t="str">
        <f aca="false">IFERROR(IF($D697="","",INDEX(Übungen!$B$4:$B$23,MATCH($D697,Übungen!$A$4:$A$23,0))),"")</f>
        <v/>
      </c>
      <c r="D697" s="56"/>
      <c r="E697" s="67"/>
      <c r="F697" s="55"/>
      <c r="G697" s="68"/>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2" t="str">
        <f aca="false">IFERROR(IF($B698="","",IF(INDEX(Einheiten!$B$4:$B$63,MATCH($B698,Einheiten!$A$4:$A$63,0))=0,"",INDEX(Einheiten!$B$4:$B$63,MATCH($B698,Einheiten!$A$4:$A$63,0)))),"")</f>
        <v/>
      </c>
      <c r="B698" s="54"/>
      <c r="C698" s="73" t="str">
        <f aca="false">IFERROR(IF($D698="","",INDEX(Übungen!$B$4:$B$23,MATCH($D698,Übungen!$A$4:$A$23,0))),"")</f>
        <v/>
      </c>
      <c r="D698" s="56"/>
      <c r="E698" s="67"/>
      <c r="F698" s="55"/>
      <c r="G698" s="68"/>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2" t="str">
        <f aca="false">IFERROR(IF($B699="","",IF(INDEX(Einheiten!$B$4:$B$63,MATCH($B699,Einheiten!$A$4:$A$63,0))=0,"",INDEX(Einheiten!$B$4:$B$63,MATCH($B699,Einheiten!$A$4:$A$63,0)))),"")</f>
        <v/>
      </c>
      <c r="B699" s="54"/>
      <c r="C699" s="73" t="str">
        <f aca="false">IFERROR(IF($D699="","",INDEX(Übungen!$B$4:$B$23,MATCH($D699,Übungen!$A$4:$A$23,0))),"")</f>
        <v/>
      </c>
      <c r="D699" s="56"/>
      <c r="E699" s="67"/>
      <c r="F699" s="55"/>
      <c r="G699" s="68"/>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2" t="str">
        <f aca="false">IFERROR(IF($B700="","",IF(INDEX(Einheiten!$B$4:$B$63,MATCH($B700,Einheiten!$A$4:$A$63,0))=0,"",INDEX(Einheiten!$B$4:$B$63,MATCH($B700,Einheiten!$A$4:$A$63,0)))),"")</f>
        <v/>
      </c>
      <c r="B700" s="54"/>
      <c r="C700" s="73" t="str">
        <f aca="false">IFERROR(IF($D700="","",INDEX(Übungen!$B$4:$B$23,MATCH($D700,Übungen!$A$4:$A$23,0))),"")</f>
        <v/>
      </c>
      <c r="D700" s="56"/>
      <c r="E700" s="67"/>
      <c r="F700" s="55"/>
      <c r="G700" s="68"/>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2" t="str">
        <f aca="false">IFERROR(IF($B701="","",IF(INDEX(Einheiten!$B$4:$B$63,MATCH($B701,Einheiten!$A$4:$A$63,0))=0,"",INDEX(Einheiten!$B$4:$B$63,MATCH($B701,Einheiten!$A$4:$A$63,0)))),"")</f>
        <v/>
      </c>
      <c r="B701" s="54"/>
      <c r="C701" s="73" t="str">
        <f aca="false">IFERROR(IF($D701="","",INDEX(Übungen!$B$4:$B$23,MATCH($D701,Übungen!$A$4:$A$23,0))),"")</f>
        <v/>
      </c>
      <c r="D701" s="56"/>
      <c r="E701" s="67"/>
      <c r="F701" s="55"/>
      <c r="G701" s="68"/>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2" t="str">
        <f aca="false">IFERROR(IF($B702="","",IF(INDEX(Einheiten!$B$4:$B$63,MATCH($B702,Einheiten!$A$4:$A$63,0))=0,"",INDEX(Einheiten!$B$4:$B$63,MATCH($B702,Einheiten!$A$4:$A$63,0)))),"")</f>
        <v/>
      </c>
      <c r="B702" s="54"/>
      <c r="C702" s="73" t="str">
        <f aca="false">IFERROR(IF($D702="","",INDEX(Übungen!$B$4:$B$23,MATCH($D702,Übungen!$A$4:$A$23,0))),"")</f>
        <v/>
      </c>
      <c r="D702" s="56"/>
      <c r="E702" s="67"/>
      <c r="F702" s="55"/>
      <c r="G702" s="68"/>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2" t="str">
        <f aca="false">IFERROR(IF($B703="","",IF(INDEX(Einheiten!$B$4:$B$63,MATCH($B703,Einheiten!$A$4:$A$63,0))=0,"",INDEX(Einheiten!$B$4:$B$63,MATCH($B703,Einheiten!$A$4:$A$63,0)))),"")</f>
        <v/>
      </c>
      <c r="B703" s="54"/>
      <c r="C703" s="73" t="str">
        <f aca="false">IFERROR(IF($D703="","",INDEX(Übungen!$B$4:$B$23,MATCH($D703,Übungen!$A$4:$A$23,0))),"")</f>
        <v/>
      </c>
      <c r="D703" s="56"/>
      <c r="E703" s="67"/>
      <c r="F703" s="55"/>
      <c r="G703" s="68"/>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2" t="str">
        <f aca="false">IFERROR(IF($B704="","",IF(INDEX(Einheiten!$B$4:$B$63,MATCH($B704,Einheiten!$A$4:$A$63,0))=0,"",INDEX(Einheiten!$B$4:$B$63,MATCH($B704,Einheiten!$A$4:$A$63,0)))),"")</f>
        <v/>
      </c>
      <c r="B704" s="54"/>
      <c r="C704" s="73" t="str">
        <f aca="false">IFERROR(IF($D704="","",INDEX(Übungen!$B$4:$B$23,MATCH($D704,Übungen!$A$4:$A$23,0))),"")</f>
        <v/>
      </c>
      <c r="D704" s="56"/>
      <c r="E704" s="67"/>
      <c r="F704" s="55"/>
      <c r="G704" s="68"/>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2" t="str">
        <f aca="false">IFERROR(IF($B705="","",IF(INDEX(Einheiten!$B$4:$B$63,MATCH($B705,Einheiten!$A$4:$A$63,0))=0,"",INDEX(Einheiten!$B$4:$B$63,MATCH($B705,Einheiten!$A$4:$A$63,0)))),"")</f>
        <v/>
      </c>
      <c r="B705" s="54"/>
      <c r="C705" s="73" t="str">
        <f aca="false">IFERROR(IF($D705="","",INDEX(Übungen!$B$4:$B$23,MATCH($D705,Übungen!$A$4:$A$23,0))),"")</f>
        <v/>
      </c>
      <c r="D705" s="56"/>
      <c r="E705" s="67"/>
      <c r="F705" s="55"/>
      <c r="G705" s="68"/>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2" t="str">
        <f aca="false">IFERROR(IF($B706="","",IF(INDEX(Einheiten!$B$4:$B$63,MATCH($B706,Einheiten!$A$4:$A$63,0))=0,"",INDEX(Einheiten!$B$4:$B$63,MATCH($B706,Einheiten!$A$4:$A$63,0)))),"")</f>
        <v/>
      </c>
      <c r="B706" s="54"/>
      <c r="C706" s="73" t="str">
        <f aca="false">IFERROR(IF($D706="","",INDEX(Übungen!$B$4:$B$23,MATCH($D706,Übungen!$A$4:$A$23,0))),"")</f>
        <v/>
      </c>
      <c r="D706" s="56"/>
      <c r="E706" s="67"/>
      <c r="F706" s="55"/>
      <c r="G706" s="68"/>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2" t="str">
        <f aca="false">IFERROR(IF($B707="","",IF(INDEX(Einheiten!$B$4:$B$63,MATCH($B707,Einheiten!$A$4:$A$63,0))=0,"",INDEX(Einheiten!$B$4:$B$63,MATCH($B707,Einheiten!$A$4:$A$63,0)))),"")</f>
        <v/>
      </c>
      <c r="B707" s="54"/>
      <c r="C707" s="73" t="str">
        <f aca="false">IFERROR(IF($D707="","",INDEX(Übungen!$B$4:$B$23,MATCH($D707,Übungen!$A$4:$A$23,0))),"")</f>
        <v/>
      </c>
      <c r="D707" s="56"/>
      <c r="E707" s="67"/>
      <c r="F707" s="55"/>
      <c r="G707" s="68"/>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2" t="str">
        <f aca="false">IFERROR(IF($B708="","",IF(INDEX(Einheiten!$B$4:$B$63,MATCH($B708,Einheiten!$A$4:$A$63,0))=0,"",INDEX(Einheiten!$B$4:$B$63,MATCH($B708,Einheiten!$A$4:$A$63,0)))),"")</f>
        <v/>
      </c>
      <c r="B708" s="54"/>
      <c r="C708" s="73" t="str">
        <f aca="false">IFERROR(IF($D708="","",INDEX(Übungen!$B$4:$B$23,MATCH($D708,Übungen!$A$4:$A$23,0))),"")</f>
        <v/>
      </c>
      <c r="D708" s="56"/>
      <c r="E708" s="67"/>
      <c r="F708" s="55"/>
      <c r="G708" s="68"/>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2" t="str">
        <f aca="false">IFERROR(IF($B709="","",IF(INDEX(Einheiten!$B$4:$B$63,MATCH($B709,Einheiten!$A$4:$A$63,0))=0,"",INDEX(Einheiten!$B$4:$B$63,MATCH($B709,Einheiten!$A$4:$A$63,0)))),"")</f>
        <v/>
      </c>
      <c r="B709" s="54"/>
      <c r="C709" s="73" t="str">
        <f aca="false">IFERROR(IF($D709="","",INDEX(Übungen!$B$4:$B$23,MATCH($D709,Übungen!$A$4:$A$23,0))),"")</f>
        <v/>
      </c>
      <c r="D709" s="56"/>
      <c r="E709" s="67"/>
      <c r="F709" s="55"/>
      <c r="G709" s="68"/>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2" t="str">
        <f aca="false">IFERROR(IF($B710="","",IF(INDEX(Einheiten!$B$4:$B$63,MATCH($B710,Einheiten!$A$4:$A$63,0))=0,"",INDEX(Einheiten!$B$4:$B$63,MATCH($B710,Einheiten!$A$4:$A$63,0)))),"")</f>
        <v/>
      </c>
      <c r="B710" s="54"/>
      <c r="C710" s="73" t="str">
        <f aca="false">IFERROR(IF($D710="","",INDEX(Übungen!$B$4:$B$23,MATCH($D710,Übungen!$A$4:$A$23,0))),"")</f>
        <v/>
      </c>
      <c r="D710" s="56"/>
      <c r="E710" s="67"/>
      <c r="F710" s="55"/>
      <c r="G710" s="68"/>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2" t="str">
        <f aca="false">IFERROR(IF($B711="","",IF(INDEX(Einheiten!$B$4:$B$63,MATCH($B711,Einheiten!$A$4:$A$63,0))=0,"",INDEX(Einheiten!$B$4:$B$63,MATCH($B711,Einheiten!$A$4:$A$63,0)))),"")</f>
        <v/>
      </c>
      <c r="B711" s="54"/>
      <c r="C711" s="73" t="str">
        <f aca="false">IFERROR(IF($D711="","",INDEX(Übungen!$B$4:$B$23,MATCH($D711,Übungen!$A$4:$A$23,0))),"")</f>
        <v/>
      </c>
      <c r="D711" s="56"/>
      <c r="E711" s="67"/>
      <c r="F711" s="55"/>
      <c r="G711" s="68"/>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2" t="str">
        <f aca="false">IFERROR(IF($B712="","",IF(INDEX(Einheiten!$B$4:$B$63,MATCH($B712,Einheiten!$A$4:$A$63,0))=0,"",INDEX(Einheiten!$B$4:$B$63,MATCH($B712,Einheiten!$A$4:$A$63,0)))),"")</f>
        <v/>
      </c>
      <c r="B712" s="54"/>
      <c r="C712" s="73" t="str">
        <f aca="false">IFERROR(IF($D712="","",INDEX(Übungen!$B$4:$B$23,MATCH($D712,Übungen!$A$4:$A$23,0))),"")</f>
        <v/>
      </c>
      <c r="D712" s="56"/>
      <c r="E712" s="67"/>
      <c r="F712" s="55"/>
      <c r="G712" s="68"/>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2" t="str">
        <f aca="false">IFERROR(IF($B713="","",IF(INDEX(Einheiten!$B$4:$B$63,MATCH($B713,Einheiten!$A$4:$A$63,0))=0,"",INDEX(Einheiten!$B$4:$B$63,MATCH($B713,Einheiten!$A$4:$A$63,0)))),"")</f>
        <v/>
      </c>
      <c r="B713" s="54"/>
      <c r="C713" s="73" t="str">
        <f aca="false">IFERROR(IF($D713="","",INDEX(Übungen!$B$4:$B$23,MATCH($D713,Übungen!$A$4:$A$23,0))),"")</f>
        <v/>
      </c>
      <c r="D713" s="56"/>
      <c r="E713" s="67"/>
      <c r="F713" s="55"/>
      <c r="G713" s="68"/>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2" t="str">
        <f aca="false">IFERROR(IF($B714="","",IF(INDEX(Einheiten!$B$4:$B$63,MATCH($B714,Einheiten!$A$4:$A$63,0))=0,"",INDEX(Einheiten!$B$4:$B$63,MATCH($B714,Einheiten!$A$4:$A$63,0)))),"")</f>
        <v/>
      </c>
      <c r="B714" s="54"/>
      <c r="C714" s="73" t="str">
        <f aca="false">IFERROR(IF($D714="","",INDEX(Übungen!$B$4:$B$23,MATCH($D714,Übungen!$A$4:$A$23,0))),"")</f>
        <v/>
      </c>
      <c r="D714" s="56"/>
      <c r="E714" s="67"/>
      <c r="F714" s="55"/>
      <c r="G714" s="68"/>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2" t="str">
        <f aca="false">IFERROR(IF($B715="","",IF(INDEX(Einheiten!$B$4:$B$63,MATCH($B715,Einheiten!$A$4:$A$63,0))=0,"",INDEX(Einheiten!$B$4:$B$63,MATCH($B715,Einheiten!$A$4:$A$63,0)))),"")</f>
        <v/>
      </c>
      <c r="B715" s="54"/>
      <c r="C715" s="73" t="str">
        <f aca="false">IFERROR(IF($D715="","",INDEX(Übungen!$B$4:$B$23,MATCH($D715,Übungen!$A$4:$A$23,0))),"")</f>
        <v/>
      </c>
      <c r="D715" s="56"/>
      <c r="E715" s="67"/>
      <c r="F715" s="55"/>
      <c r="G715" s="68"/>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2" t="str">
        <f aca="false">IFERROR(IF($B716="","",IF(INDEX(Einheiten!$B$4:$B$63,MATCH($B716,Einheiten!$A$4:$A$63,0))=0,"",INDEX(Einheiten!$B$4:$B$63,MATCH($B716,Einheiten!$A$4:$A$63,0)))),"")</f>
        <v/>
      </c>
      <c r="B716" s="54"/>
      <c r="C716" s="73" t="str">
        <f aca="false">IFERROR(IF($D716="","",INDEX(Übungen!$B$4:$B$23,MATCH($D716,Übungen!$A$4:$A$23,0))),"")</f>
        <v/>
      </c>
      <c r="D716" s="56"/>
      <c r="E716" s="67"/>
      <c r="F716" s="55"/>
      <c r="G716" s="68"/>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2" t="str">
        <f aca="false">IFERROR(IF($B717="","",IF(INDEX(Einheiten!$B$4:$B$63,MATCH($B717,Einheiten!$A$4:$A$63,0))=0,"",INDEX(Einheiten!$B$4:$B$63,MATCH($B717,Einheiten!$A$4:$A$63,0)))),"")</f>
        <v/>
      </c>
      <c r="B717" s="54"/>
      <c r="C717" s="73" t="str">
        <f aca="false">IFERROR(IF($D717="","",INDEX(Übungen!$B$4:$B$23,MATCH($D717,Übungen!$A$4:$A$23,0))),"")</f>
        <v/>
      </c>
      <c r="D717" s="56"/>
      <c r="E717" s="67"/>
      <c r="F717" s="55"/>
      <c r="G717" s="68"/>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2" t="str">
        <f aca="false">IFERROR(IF($B718="","",IF(INDEX(Einheiten!$B$4:$B$63,MATCH($B718,Einheiten!$A$4:$A$63,0))=0,"",INDEX(Einheiten!$B$4:$B$63,MATCH($B718,Einheiten!$A$4:$A$63,0)))),"")</f>
        <v/>
      </c>
      <c r="B718" s="54"/>
      <c r="C718" s="73" t="str">
        <f aca="false">IFERROR(IF($D718="","",INDEX(Übungen!$B$4:$B$23,MATCH($D718,Übungen!$A$4:$A$23,0))),"")</f>
        <v/>
      </c>
      <c r="D718" s="56"/>
      <c r="E718" s="67"/>
      <c r="F718" s="55"/>
      <c r="G718" s="68"/>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2" t="str">
        <f aca="false">IFERROR(IF($B719="","",IF(INDEX(Einheiten!$B$4:$B$63,MATCH($B719,Einheiten!$A$4:$A$63,0))=0,"",INDEX(Einheiten!$B$4:$B$63,MATCH($B719,Einheiten!$A$4:$A$63,0)))),"")</f>
        <v/>
      </c>
      <c r="B719" s="54"/>
      <c r="C719" s="73" t="str">
        <f aca="false">IFERROR(IF($D719="","",INDEX(Übungen!$B$4:$B$23,MATCH($D719,Übungen!$A$4:$A$23,0))),"")</f>
        <v/>
      </c>
      <c r="D719" s="56"/>
      <c r="E719" s="67"/>
      <c r="F719" s="55"/>
      <c r="G719" s="68"/>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2" t="str">
        <f aca="false">IFERROR(IF($B720="","",IF(INDEX(Einheiten!$B$4:$B$63,MATCH($B720,Einheiten!$A$4:$A$63,0))=0,"",INDEX(Einheiten!$B$4:$B$63,MATCH($B720,Einheiten!$A$4:$A$63,0)))),"")</f>
        <v/>
      </c>
      <c r="B720" s="54"/>
      <c r="C720" s="73" t="str">
        <f aca="false">IFERROR(IF($D720="","",INDEX(Übungen!$B$4:$B$23,MATCH($D720,Übungen!$A$4:$A$23,0))),"")</f>
        <v/>
      </c>
      <c r="D720" s="56"/>
      <c r="E720" s="67"/>
      <c r="F720" s="55"/>
      <c r="G720" s="68"/>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2" t="str">
        <f aca="false">IFERROR(IF($B721="","",IF(INDEX(Einheiten!$B$4:$B$63,MATCH($B721,Einheiten!$A$4:$A$63,0))=0,"",INDEX(Einheiten!$B$4:$B$63,MATCH($B721,Einheiten!$A$4:$A$63,0)))),"")</f>
        <v/>
      </c>
      <c r="B721" s="54"/>
      <c r="C721" s="73" t="str">
        <f aca="false">IFERROR(IF($D721="","",INDEX(Übungen!$B$4:$B$23,MATCH($D721,Übungen!$A$4:$A$23,0))),"")</f>
        <v/>
      </c>
      <c r="D721" s="56"/>
      <c r="E721" s="67"/>
      <c r="F721" s="55"/>
      <c r="G721" s="68"/>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2" t="str">
        <f aca="false">IFERROR(IF($B722="","",IF(INDEX(Einheiten!$B$4:$B$63,MATCH($B722,Einheiten!$A$4:$A$63,0))=0,"",INDEX(Einheiten!$B$4:$B$63,MATCH($B722,Einheiten!$A$4:$A$63,0)))),"")</f>
        <v/>
      </c>
      <c r="B722" s="54"/>
      <c r="C722" s="73" t="str">
        <f aca="false">IFERROR(IF($D722="","",INDEX(Übungen!$B$4:$B$23,MATCH($D722,Übungen!$A$4:$A$23,0))),"")</f>
        <v/>
      </c>
      <c r="D722" s="56"/>
      <c r="E722" s="67"/>
      <c r="F722" s="55"/>
      <c r="G722" s="68"/>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2" t="str">
        <f aca="false">IFERROR(IF($B723="","",IF(INDEX(Einheiten!$B$4:$B$63,MATCH($B723,Einheiten!$A$4:$A$63,0))=0,"",INDEX(Einheiten!$B$4:$B$63,MATCH($B723,Einheiten!$A$4:$A$63,0)))),"")</f>
        <v/>
      </c>
      <c r="B723" s="54"/>
      <c r="C723" s="73" t="str">
        <f aca="false">IFERROR(IF($D723="","",INDEX(Übungen!$B$4:$B$23,MATCH($D723,Übungen!$A$4:$A$23,0))),"")</f>
        <v/>
      </c>
      <c r="D723" s="56"/>
      <c r="E723" s="67"/>
      <c r="F723" s="55"/>
      <c r="G723" s="68"/>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2" t="str">
        <f aca="false">IFERROR(IF($B724="","",IF(INDEX(Einheiten!$B$4:$B$63,MATCH($B724,Einheiten!$A$4:$A$63,0))=0,"",INDEX(Einheiten!$B$4:$B$63,MATCH($B724,Einheiten!$A$4:$A$63,0)))),"")</f>
        <v/>
      </c>
      <c r="B724" s="54"/>
      <c r="C724" s="73" t="str">
        <f aca="false">IFERROR(IF($D724="","",INDEX(Übungen!$B$4:$B$23,MATCH($D724,Übungen!$A$4:$A$23,0))),"")</f>
        <v/>
      </c>
      <c r="D724" s="56"/>
      <c r="E724" s="67"/>
      <c r="F724" s="55"/>
      <c r="G724" s="68"/>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2" t="str">
        <f aca="false">IFERROR(IF($B725="","",IF(INDEX(Einheiten!$B$4:$B$63,MATCH($B725,Einheiten!$A$4:$A$63,0))=0,"",INDEX(Einheiten!$B$4:$B$63,MATCH($B725,Einheiten!$A$4:$A$63,0)))),"")</f>
        <v/>
      </c>
      <c r="B725" s="54"/>
      <c r="C725" s="73" t="str">
        <f aca="false">IFERROR(IF($D725="","",INDEX(Übungen!$B$4:$B$23,MATCH($D725,Übungen!$A$4:$A$23,0))),"")</f>
        <v/>
      </c>
      <c r="D725" s="56"/>
      <c r="E725" s="67"/>
      <c r="F725" s="55"/>
      <c r="G725" s="68"/>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2" t="str">
        <f aca="false">IFERROR(IF($B726="","",IF(INDEX(Einheiten!$B$4:$B$63,MATCH($B726,Einheiten!$A$4:$A$63,0))=0,"",INDEX(Einheiten!$B$4:$B$63,MATCH($B726,Einheiten!$A$4:$A$63,0)))),"")</f>
        <v/>
      </c>
      <c r="B726" s="54"/>
      <c r="C726" s="73" t="str">
        <f aca="false">IFERROR(IF($D726="","",INDEX(Übungen!$B$4:$B$23,MATCH($D726,Übungen!$A$4:$A$23,0))),"")</f>
        <v/>
      </c>
      <c r="D726" s="56"/>
      <c r="E726" s="67"/>
      <c r="F726" s="55"/>
      <c r="G726" s="68"/>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2" t="str">
        <f aca="false">IFERROR(IF($B727="","",IF(INDEX(Einheiten!$B$4:$B$63,MATCH($B727,Einheiten!$A$4:$A$63,0))=0,"",INDEX(Einheiten!$B$4:$B$63,MATCH($B727,Einheiten!$A$4:$A$63,0)))),"")</f>
        <v/>
      </c>
      <c r="B727" s="54"/>
      <c r="C727" s="73" t="str">
        <f aca="false">IFERROR(IF($D727="","",INDEX(Übungen!$B$4:$B$23,MATCH($D727,Übungen!$A$4:$A$23,0))),"")</f>
        <v/>
      </c>
      <c r="D727" s="56"/>
      <c r="E727" s="67"/>
      <c r="F727" s="55"/>
      <c r="G727" s="68"/>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2" t="str">
        <f aca="false">IFERROR(IF($B728="","",IF(INDEX(Einheiten!$B$4:$B$63,MATCH($B728,Einheiten!$A$4:$A$63,0))=0,"",INDEX(Einheiten!$B$4:$B$63,MATCH($B728,Einheiten!$A$4:$A$63,0)))),"")</f>
        <v/>
      </c>
      <c r="B728" s="54"/>
      <c r="C728" s="73" t="str">
        <f aca="false">IFERROR(IF($D728="","",INDEX(Übungen!$B$4:$B$23,MATCH($D728,Übungen!$A$4:$A$23,0))),"")</f>
        <v/>
      </c>
      <c r="D728" s="56"/>
      <c r="E728" s="67"/>
      <c r="F728" s="55"/>
      <c r="G728" s="68"/>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2" t="str">
        <f aca="false">IFERROR(IF($B729="","",IF(INDEX(Einheiten!$B$4:$B$63,MATCH($B729,Einheiten!$A$4:$A$63,0))=0,"",INDEX(Einheiten!$B$4:$B$63,MATCH($B729,Einheiten!$A$4:$A$63,0)))),"")</f>
        <v/>
      </c>
      <c r="B729" s="54"/>
      <c r="C729" s="73" t="str">
        <f aca="false">IFERROR(IF($D729="","",INDEX(Übungen!$B$4:$B$23,MATCH($D729,Übungen!$A$4:$A$23,0))),"")</f>
        <v/>
      </c>
      <c r="D729" s="56"/>
      <c r="E729" s="67"/>
      <c r="F729" s="55"/>
      <c r="G729" s="68"/>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2" t="str">
        <f aca="false">IFERROR(IF($B730="","",IF(INDEX(Einheiten!$B$4:$B$63,MATCH($B730,Einheiten!$A$4:$A$63,0))=0,"",INDEX(Einheiten!$B$4:$B$63,MATCH($B730,Einheiten!$A$4:$A$63,0)))),"")</f>
        <v/>
      </c>
      <c r="B730" s="54"/>
      <c r="C730" s="73" t="str">
        <f aca="false">IFERROR(IF($D730="","",INDEX(Übungen!$B$4:$B$23,MATCH($D730,Übungen!$A$4:$A$23,0))),"")</f>
        <v/>
      </c>
      <c r="D730" s="56"/>
      <c r="E730" s="67"/>
      <c r="F730" s="55"/>
      <c r="G730" s="68"/>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2" t="str">
        <f aca="false">IFERROR(IF($B731="","",IF(INDEX(Einheiten!$B$4:$B$63,MATCH($B731,Einheiten!$A$4:$A$63,0))=0,"",INDEX(Einheiten!$B$4:$B$63,MATCH($B731,Einheiten!$A$4:$A$63,0)))),"")</f>
        <v/>
      </c>
      <c r="B731" s="54"/>
      <c r="C731" s="73" t="str">
        <f aca="false">IFERROR(IF($D731="","",INDEX(Übungen!$B$4:$B$23,MATCH($D731,Übungen!$A$4:$A$23,0))),"")</f>
        <v/>
      </c>
      <c r="D731" s="56"/>
      <c r="E731" s="67"/>
      <c r="F731" s="55"/>
      <c r="G731" s="68"/>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2" t="str">
        <f aca="false">IFERROR(IF($B732="","",IF(INDEX(Einheiten!$B$4:$B$63,MATCH($B732,Einheiten!$A$4:$A$63,0))=0,"",INDEX(Einheiten!$B$4:$B$63,MATCH($B732,Einheiten!$A$4:$A$63,0)))),"")</f>
        <v/>
      </c>
      <c r="B732" s="54"/>
      <c r="C732" s="73" t="str">
        <f aca="false">IFERROR(IF($D732="","",INDEX(Übungen!$B$4:$B$23,MATCH($D732,Übungen!$A$4:$A$23,0))),"")</f>
        <v/>
      </c>
      <c r="D732" s="56"/>
      <c r="E732" s="67"/>
      <c r="F732" s="55"/>
      <c r="G732" s="68"/>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2" t="str">
        <f aca="false">IFERROR(IF($B733="","",IF(INDEX(Einheiten!$B$4:$B$63,MATCH($B733,Einheiten!$A$4:$A$63,0))=0,"",INDEX(Einheiten!$B$4:$B$63,MATCH($B733,Einheiten!$A$4:$A$63,0)))),"")</f>
        <v/>
      </c>
      <c r="B733" s="54"/>
      <c r="C733" s="73" t="str">
        <f aca="false">IFERROR(IF($D733="","",INDEX(Übungen!$B$4:$B$23,MATCH($D733,Übungen!$A$4:$A$23,0))),"")</f>
        <v/>
      </c>
      <c r="D733" s="56"/>
      <c r="E733" s="67"/>
      <c r="F733" s="55"/>
      <c r="G733" s="68"/>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2" t="str">
        <f aca="false">IFERROR(IF($B734="","",IF(INDEX(Einheiten!$B$4:$B$63,MATCH($B734,Einheiten!$A$4:$A$63,0))=0,"",INDEX(Einheiten!$B$4:$B$63,MATCH($B734,Einheiten!$A$4:$A$63,0)))),"")</f>
        <v/>
      </c>
      <c r="B734" s="54"/>
      <c r="C734" s="73" t="str">
        <f aca="false">IFERROR(IF($D734="","",INDEX(Übungen!$B$4:$B$23,MATCH($D734,Übungen!$A$4:$A$23,0))),"")</f>
        <v/>
      </c>
      <c r="D734" s="56"/>
      <c r="E734" s="67"/>
      <c r="F734" s="55"/>
      <c r="G734" s="68"/>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2" t="str">
        <f aca="false">IFERROR(IF($B735="","",IF(INDEX(Einheiten!$B$4:$B$63,MATCH($B735,Einheiten!$A$4:$A$63,0))=0,"",INDEX(Einheiten!$B$4:$B$63,MATCH($B735,Einheiten!$A$4:$A$63,0)))),"")</f>
        <v/>
      </c>
      <c r="B735" s="54"/>
      <c r="C735" s="73" t="str">
        <f aca="false">IFERROR(IF($D735="","",INDEX(Übungen!$B$4:$B$23,MATCH($D735,Übungen!$A$4:$A$23,0))),"")</f>
        <v/>
      </c>
      <c r="D735" s="56"/>
      <c r="E735" s="67"/>
      <c r="F735" s="55"/>
      <c r="G735" s="68"/>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2" t="str">
        <f aca="false">IFERROR(IF($B736="","",IF(INDEX(Einheiten!$B$4:$B$63,MATCH($B736,Einheiten!$A$4:$A$63,0))=0,"",INDEX(Einheiten!$B$4:$B$63,MATCH($B736,Einheiten!$A$4:$A$63,0)))),"")</f>
        <v/>
      </c>
      <c r="B736" s="54"/>
      <c r="C736" s="73" t="str">
        <f aca="false">IFERROR(IF($D736="","",INDEX(Übungen!$B$4:$B$23,MATCH($D736,Übungen!$A$4:$A$23,0))),"")</f>
        <v/>
      </c>
      <c r="D736" s="56"/>
      <c r="E736" s="67"/>
      <c r="F736" s="55"/>
      <c r="G736" s="68"/>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2" t="str">
        <f aca="false">IFERROR(IF($B737="","",IF(INDEX(Einheiten!$B$4:$B$63,MATCH($B737,Einheiten!$A$4:$A$63,0))=0,"",INDEX(Einheiten!$B$4:$B$63,MATCH($B737,Einheiten!$A$4:$A$63,0)))),"")</f>
        <v/>
      </c>
      <c r="B737" s="54"/>
      <c r="C737" s="73" t="str">
        <f aca="false">IFERROR(IF($D737="","",INDEX(Übungen!$B$4:$B$23,MATCH($D737,Übungen!$A$4:$A$23,0))),"")</f>
        <v/>
      </c>
      <c r="D737" s="56"/>
      <c r="E737" s="67"/>
      <c r="F737" s="55"/>
      <c r="G737" s="68"/>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2" t="str">
        <f aca="false">IFERROR(IF($B738="","",IF(INDEX(Einheiten!$B$4:$B$63,MATCH($B738,Einheiten!$A$4:$A$63,0))=0,"",INDEX(Einheiten!$B$4:$B$63,MATCH($B738,Einheiten!$A$4:$A$63,0)))),"")</f>
        <v/>
      </c>
      <c r="B738" s="54"/>
      <c r="C738" s="73" t="str">
        <f aca="false">IFERROR(IF($D738="","",INDEX(Übungen!$B$4:$B$23,MATCH($D738,Übungen!$A$4:$A$23,0))),"")</f>
        <v/>
      </c>
      <c r="D738" s="56"/>
      <c r="E738" s="67"/>
      <c r="F738" s="55"/>
      <c r="G738" s="68"/>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2" t="str">
        <f aca="false">IFERROR(IF($B739="","",IF(INDEX(Einheiten!$B$4:$B$63,MATCH($B739,Einheiten!$A$4:$A$63,0))=0,"",INDEX(Einheiten!$B$4:$B$63,MATCH($B739,Einheiten!$A$4:$A$63,0)))),"")</f>
        <v/>
      </c>
      <c r="B739" s="54"/>
      <c r="C739" s="73" t="str">
        <f aca="false">IFERROR(IF($D739="","",INDEX(Übungen!$B$4:$B$23,MATCH($D739,Übungen!$A$4:$A$23,0))),"")</f>
        <v/>
      </c>
      <c r="D739" s="56"/>
      <c r="E739" s="67"/>
      <c r="F739" s="55"/>
      <c r="G739" s="68"/>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2" t="str">
        <f aca="false">IFERROR(IF($B740="","",IF(INDEX(Einheiten!$B$4:$B$63,MATCH($B740,Einheiten!$A$4:$A$63,0))=0,"",INDEX(Einheiten!$B$4:$B$63,MATCH($B740,Einheiten!$A$4:$A$63,0)))),"")</f>
        <v/>
      </c>
      <c r="B740" s="54"/>
      <c r="C740" s="73" t="str">
        <f aca="false">IFERROR(IF($D740="","",INDEX(Übungen!$B$4:$B$23,MATCH($D740,Übungen!$A$4:$A$23,0))),"")</f>
        <v/>
      </c>
      <c r="D740" s="56"/>
      <c r="E740" s="67"/>
      <c r="F740" s="55"/>
      <c r="G740" s="68"/>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2" t="str">
        <f aca="false">IFERROR(IF($B741="","",IF(INDEX(Einheiten!$B$4:$B$63,MATCH($B741,Einheiten!$A$4:$A$63,0))=0,"",INDEX(Einheiten!$B$4:$B$63,MATCH($B741,Einheiten!$A$4:$A$63,0)))),"")</f>
        <v/>
      </c>
      <c r="B741" s="54"/>
      <c r="C741" s="73" t="str">
        <f aca="false">IFERROR(IF($D741="","",INDEX(Übungen!$B$4:$B$23,MATCH($D741,Übungen!$A$4:$A$23,0))),"")</f>
        <v/>
      </c>
      <c r="D741" s="56"/>
      <c r="E741" s="67"/>
      <c r="F741" s="55"/>
      <c r="G741" s="68"/>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2" t="str">
        <f aca="false">IFERROR(IF($B742="","",IF(INDEX(Einheiten!$B$4:$B$63,MATCH($B742,Einheiten!$A$4:$A$63,0))=0,"",INDEX(Einheiten!$B$4:$B$63,MATCH($B742,Einheiten!$A$4:$A$63,0)))),"")</f>
        <v/>
      </c>
      <c r="B742" s="54"/>
      <c r="C742" s="73" t="str">
        <f aca="false">IFERROR(IF($D742="","",INDEX(Übungen!$B$4:$B$23,MATCH($D742,Übungen!$A$4:$A$23,0))),"")</f>
        <v/>
      </c>
      <c r="D742" s="56"/>
      <c r="E742" s="67"/>
      <c r="F742" s="55"/>
      <c r="G742" s="68"/>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2" t="str">
        <f aca="false">IFERROR(IF($B743="","",IF(INDEX(Einheiten!$B$4:$B$63,MATCH($B743,Einheiten!$A$4:$A$63,0))=0,"",INDEX(Einheiten!$B$4:$B$63,MATCH($B743,Einheiten!$A$4:$A$63,0)))),"")</f>
        <v/>
      </c>
      <c r="B743" s="54"/>
      <c r="C743" s="73" t="str">
        <f aca="false">IFERROR(IF($D743="","",INDEX(Übungen!$B$4:$B$23,MATCH($D743,Übungen!$A$4:$A$23,0))),"")</f>
        <v/>
      </c>
      <c r="D743" s="56"/>
      <c r="E743" s="67"/>
      <c r="F743" s="55"/>
      <c r="G743" s="68"/>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2" t="str">
        <f aca="false">IFERROR(IF($B744="","",IF(INDEX(Einheiten!$B$4:$B$63,MATCH($B744,Einheiten!$A$4:$A$63,0))=0,"",INDEX(Einheiten!$B$4:$B$63,MATCH($B744,Einheiten!$A$4:$A$63,0)))),"")</f>
        <v/>
      </c>
      <c r="B744" s="54"/>
      <c r="C744" s="73" t="str">
        <f aca="false">IFERROR(IF($D744="","",INDEX(Übungen!$B$4:$B$23,MATCH($D744,Übungen!$A$4:$A$23,0))),"")</f>
        <v/>
      </c>
      <c r="D744" s="56"/>
      <c r="E744" s="67"/>
      <c r="F744" s="55"/>
      <c r="G744" s="68"/>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2" t="str">
        <f aca="false">IFERROR(IF($B745="","",IF(INDEX(Einheiten!$B$4:$B$63,MATCH($B745,Einheiten!$A$4:$A$63,0))=0,"",INDEX(Einheiten!$B$4:$B$63,MATCH($B745,Einheiten!$A$4:$A$63,0)))),"")</f>
        <v/>
      </c>
      <c r="B745" s="54"/>
      <c r="C745" s="73" t="str">
        <f aca="false">IFERROR(IF($D745="","",INDEX(Übungen!$B$4:$B$23,MATCH($D745,Übungen!$A$4:$A$23,0))),"")</f>
        <v/>
      </c>
      <c r="D745" s="56"/>
      <c r="E745" s="67"/>
      <c r="F745" s="55"/>
      <c r="G745" s="68"/>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2" t="str">
        <f aca="false">IFERROR(IF($B746="","",IF(INDEX(Einheiten!$B$4:$B$63,MATCH($B746,Einheiten!$A$4:$A$63,0))=0,"",INDEX(Einheiten!$B$4:$B$63,MATCH($B746,Einheiten!$A$4:$A$63,0)))),"")</f>
        <v/>
      </c>
      <c r="B746" s="54"/>
      <c r="C746" s="73" t="str">
        <f aca="false">IFERROR(IF($D746="","",INDEX(Übungen!$B$4:$B$23,MATCH($D746,Übungen!$A$4:$A$23,0))),"")</f>
        <v/>
      </c>
      <c r="D746" s="56"/>
      <c r="E746" s="67"/>
      <c r="F746" s="55"/>
      <c r="G746" s="68"/>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2" t="str">
        <f aca="false">IFERROR(IF($B747="","",IF(INDEX(Einheiten!$B$4:$B$63,MATCH($B747,Einheiten!$A$4:$A$63,0))=0,"",INDEX(Einheiten!$B$4:$B$63,MATCH($B747,Einheiten!$A$4:$A$63,0)))),"")</f>
        <v/>
      </c>
      <c r="B747" s="54"/>
      <c r="C747" s="73" t="str">
        <f aca="false">IFERROR(IF($D747="","",INDEX(Übungen!$B$4:$B$23,MATCH($D747,Übungen!$A$4:$A$23,0))),"")</f>
        <v/>
      </c>
      <c r="D747" s="56"/>
      <c r="E747" s="67"/>
      <c r="F747" s="55"/>
      <c r="G747" s="68"/>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2" t="str">
        <f aca="false">IFERROR(IF($B748="","",IF(INDEX(Einheiten!$B$4:$B$63,MATCH($B748,Einheiten!$A$4:$A$63,0))=0,"",INDEX(Einheiten!$B$4:$B$63,MATCH($B748,Einheiten!$A$4:$A$63,0)))),"")</f>
        <v/>
      </c>
      <c r="B748" s="54"/>
      <c r="C748" s="73" t="str">
        <f aca="false">IFERROR(IF($D748="","",INDEX(Übungen!$B$4:$B$23,MATCH($D748,Übungen!$A$4:$A$23,0))),"")</f>
        <v/>
      </c>
      <c r="D748" s="56"/>
      <c r="E748" s="67"/>
      <c r="F748" s="55"/>
      <c r="G748" s="68"/>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2" t="str">
        <f aca="false">IFERROR(IF($B749="","",IF(INDEX(Einheiten!$B$4:$B$63,MATCH($B749,Einheiten!$A$4:$A$63,0))=0,"",INDEX(Einheiten!$B$4:$B$63,MATCH($B749,Einheiten!$A$4:$A$63,0)))),"")</f>
        <v/>
      </c>
      <c r="B749" s="54"/>
      <c r="C749" s="73" t="str">
        <f aca="false">IFERROR(IF($D749="","",INDEX(Übungen!$B$4:$B$23,MATCH($D749,Übungen!$A$4:$A$23,0))),"")</f>
        <v/>
      </c>
      <c r="D749" s="56"/>
      <c r="E749" s="67"/>
      <c r="F749" s="55"/>
      <c r="G749" s="68"/>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2" t="str">
        <f aca="false">IFERROR(IF($B750="","",IF(INDEX(Einheiten!$B$4:$B$63,MATCH($B750,Einheiten!$A$4:$A$63,0))=0,"",INDEX(Einheiten!$B$4:$B$63,MATCH($B750,Einheiten!$A$4:$A$63,0)))),"")</f>
        <v/>
      </c>
      <c r="B750" s="54"/>
      <c r="C750" s="73" t="str">
        <f aca="false">IFERROR(IF($D750="","",INDEX(Übungen!$B$4:$B$23,MATCH($D750,Übungen!$A$4:$A$23,0))),"")</f>
        <v/>
      </c>
      <c r="D750" s="56"/>
      <c r="E750" s="67"/>
      <c r="F750" s="55"/>
      <c r="G750" s="68"/>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2" t="str">
        <f aca="false">IFERROR(IF($B751="","",IF(INDEX(Einheiten!$B$4:$B$63,MATCH($B751,Einheiten!$A$4:$A$63,0))=0,"",INDEX(Einheiten!$B$4:$B$63,MATCH($B751,Einheiten!$A$4:$A$63,0)))),"")</f>
        <v/>
      </c>
      <c r="B751" s="54"/>
      <c r="C751" s="73" t="str">
        <f aca="false">IFERROR(IF($D751="","",INDEX(Übungen!$B$4:$B$23,MATCH($D751,Übungen!$A$4:$A$23,0))),"")</f>
        <v/>
      </c>
      <c r="D751" s="56"/>
      <c r="E751" s="67"/>
      <c r="F751" s="55"/>
      <c r="G751" s="68"/>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2" t="str">
        <f aca="false">IFERROR(IF($B752="","",IF(INDEX(Einheiten!$B$4:$B$63,MATCH($B752,Einheiten!$A$4:$A$63,0))=0,"",INDEX(Einheiten!$B$4:$B$63,MATCH($B752,Einheiten!$A$4:$A$63,0)))),"")</f>
        <v/>
      </c>
      <c r="B752" s="54"/>
      <c r="C752" s="73" t="str">
        <f aca="false">IFERROR(IF($D752="","",INDEX(Übungen!$B$4:$B$23,MATCH($D752,Übungen!$A$4:$A$23,0))),"")</f>
        <v/>
      </c>
      <c r="D752" s="56"/>
      <c r="E752" s="67"/>
      <c r="F752" s="55"/>
      <c r="G752" s="68"/>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2" t="str">
        <f aca="false">IFERROR(IF($B753="","",IF(INDEX(Einheiten!$B$4:$B$63,MATCH($B753,Einheiten!$A$4:$A$63,0))=0,"",INDEX(Einheiten!$B$4:$B$63,MATCH($B753,Einheiten!$A$4:$A$63,0)))),"")</f>
        <v/>
      </c>
      <c r="B753" s="54"/>
      <c r="C753" s="73" t="str">
        <f aca="false">IFERROR(IF($D753="","",INDEX(Übungen!$B$4:$B$23,MATCH($D753,Übungen!$A$4:$A$23,0))),"")</f>
        <v/>
      </c>
      <c r="D753" s="56"/>
      <c r="E753" s="67"/>
      <c r="F753" s="55"/>
      <c r="G753" s="68"/>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2" t="str">
        <f aca="false">IFERROR(IF($B754="","",IF(INDEX(Einheiten!$B$4:$B$63,MATCH($B754,Einheiten!$A$4:$A$63,0))=0,"",INDEX(Einheiten!$B$4:$B$63,MATCH($B754,Einheiten!$A$4:$A$63,0)))),"")</f>
        <v/>
      </c>
      <c r="B754" s="54"/>
      <c r="C754" s="73" t="str">
        <f aca="false">IFERROR(IF($D754="","",INDEX(Übungen!$B$4:$B$23,MATCH($D754,Übungen!$A$4:$A$23,0))),"")</f>
        <v/>
      </c>
      <c r="D754" s="56"/>
      <c r="E754" s="67"/>
      <c r="F754" s="55"/>
      <c r="G754" s="68"/>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2" t="str">
        <f aca="false">IFERROR(IF($B755="","",IF(INDEX(Einheiten!$B$4:$B$63,MATCH($B755,Einheiten!$A$4:$A$63,0))=0,"",INDEX(Einheiten!$B$4:$B$63,MATCH($B755,Einheiten!$A$4:$A$63,0)))),"")</f>
        <v/>
      </c>
      <c r="B755" s="54"/>
      <c r="C755" s="73" t="str">
        <f aca="false">IFERROR(IF($D755="","",INDEX(Übungen!$B$4:$B$23,MATCH($D755,Übungen!$A$4:$A$23,0))),"")</f>
        <v/>
      </c>
      <c r="D755" s="56"/>
      <c r="E755" s="67"/>
      <c r="F755" s="55"/>
      <c r="G755" s="68"/>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2" t="str">
        <f aca="false">IFERROR(IF($B756="","",IF(INDEX(Einheiten!$B$4:$B$63,MATCH($B756,Einheiten!$A$4:$A$63,0))=0,"",INDEX(Einheiten!$B$4:$B$63,MATCH($B756,Einheiten!$A$4:$A$63,0)))),"")</f>
        <v/>
      </c>
      <c r="B756" s="54"/>
      <c r="C756" s="73" t="str">
        <f aca="false">IFERROR(IF($D756="","",INDEX(Übungen!$B$4:$B$23,MATCH($D756,Übungen!$A$4:$A$23,0))),"")</f>
        <v/>
      </c>
      <c r="D756" s="56"/>
      <c r="E756" s="67"/>
      <c r="F756" s="55"/>
      <c r="G756" s="68"/>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2" t="str">
        <f aca="false">IFERROR(IF($B757="","",IF(INDEX(Einheiten!$B$4:$B$63,MATCH($B757,Einheiten!$A$4:$A$63,0))=0,"",INDEX(Einheiten!$B$4:$B$63,MATCH($B757,Einheiten!$A$4:$A$63,0)))),"")</f>
        <v/>
      </c>
      <c r="B757" s="54"/>
      <c r="C757" s="73" t="str">
        <f aca="false">IFERROR(IF($D757="","",INDEX(Übungen!$B$4:$B$23,MATCH($D757,Übungen!$A$4:$A$23,0))),"")</f>
        <v/>
      </c>
      <c r="D757" s="56"/>
      <c r="E757" s="67"/>
      <c r="F757" s="55"/>
      <c r="G757" s="68"/>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2" t="str">
        <f aca="false">IFERROR(IF($B758="","",IF(INDEX(Einheiten!$B$4:$B$63,MATCH($B758,Einheiten!$A$4:$A$63,0))=0,"",INDEX(Einheiten!$B$4:$B$63,MATCH($B758,Einheiten!$A$4:$A$63,0)))),"")</f>
        <v/>
      </c>
      <c r="B758" s="54"/>
      <c r="C758" s="73" t="str">
        <f aca="false">IFERROR(IF($D758="","",INDEX(Übungen!$B$4:$B$23,MATCH($D758,Übungen!$A$4:$A$23,0))),"")</f>
        <v/>
      </c>
      <c r="D758" s="56"/>
      <c r="E758" s="67"/>
      <c r="F758" s="55"/>
      <c r="G758" s="68"/>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2" t="str">
        <f aca="false">IFERROR(IF($B759="","",IF(INDEX(Einheiten!$B$4:$B$63,MATCH($B759,Einheiten!$A$4:$A$63,0))=0,"",INDEX(Einheiten!$B$4:$B$63,MATCH($B759,Einheiten!$A$4:$A$63,0)))),"")</f>
        <v/>
      </c>
      <c r="B759" s="54"/>
      <c r="C759" s="73" t="str">
        <f aca="false">IFERROR(IF($D759="","",INDEX(Übungen!$B$4:$B$23,MATCH($D759,Übungen!$A$4:$A$23,0))),"")</f>
        <v/>
      </c>
      <c r="D759" s="56"/>
      <c r="E759" s="67"/>
      <c r="F759" s="55"/>
      <c r="G759" s="68"/>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2" t="str">
        <f aca="false">IFERROR(IF($B760="","",IF(INDEX(Einheiten!$B$4:$B$63,MATCH($B760,Einheiten!$A$4:$A$63,0))=0,"",INDEX(Einheiten!$B$4:$B$63,MATCH($B760,Einheiten!$A$4:$A$63,0)))),"")</f>
        <v/>
      </c>
      <c r="B760" s="54"/>
      <c r="C760" s="73" t="str">
        <f aca="false">IFERROR(IF($D760="","",INDEX(Übungen!$B$4:$B$23,MATCH($D760,Übungen!$A$4:$A$23,0))),"")</f>
        <v/>
      </c>
      <c r="D760" s="56"/>
      <c r="E760" s="67"/>
      <c r="F760" s="55"/>
      <c r="G760" s="68"/>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2" t="str">
        <f aca="false">IFERROR(IF($B761="","",IF(INDEX(Einheiten!$B$4:$B$63,MATCH($B761,Einheiten!$A$4:$A$63,0))=0,"",INDEX(Einheiten!$B$4:$B$63,MATCH($B761,Einheiten!$A$4:$A$63,0)))),"")</f>
        <v/>
      </c>
      <c r="B761" s="54"/>
      <c r="C761" s="73" t="str">
        <f aca="false">IFERROR(IF($D761="","",INDEX(Übungen!$B$4:$B$23,MATCH($D761,Übungen!$A$4:$A$23,0))),"")</f>
        <v/>
      </c>
      <c r="D761" s="56"/>
      <c r="E761" s="67"/>
      <c r="F761" s="55"/>
      <c r="G761" s="68"/>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2" t="str">
        <f aca="false">IFERROR(IF($B762="","",IF(INDEX(Einheiten!$B$4:$B$63,MATCH($B762,Einheiten!$A$4:$A$63,0))=0,"",INDEX(Einheiten!$B$4:$B$63,MATCH($B762,Einheiten!$A$4:$A$63,0)))),"")</f>
        <v/>
      </c>
      <c r="B762" s="54"/>
      <c r="C762" s="73" t="str">
        <f aca="false">IFERROR(IF($D762="","",INDEX(Übungen!$B$4:$B$23,MATCH($D762,Übungen!$A$4:$A$23,0))),"")</f>
        <v/>
      </c>
      <c r="D762" s="56"/>
      <c r="E762" s="67"/>
      <c r="F762" s="55"/>
      <c r="G762" s="68"/>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2" t="str">
        <f aca="false">IFERROR(IF($B763="","",IF(INDEX(Einheiten!$B$4:$B$63,MATCH($B763,Einheiten!$A$4:$A$63,0))=0,"",INDEX(Einheiten!$B$4:$B$63,MATCH($B763,Einheiten!$A$4:$A$63,0)))),"")</f>
        <v/>
      </c>
      <c r="B763" s="54"/>
      <c r="C763" s="73" t="str">
        <f aca="false">IFERROR(IF($D763="","",INDEX(Übungen!$B$4:$B$23,MATCH($D763,Übungen!$A$4:$A$23,0))),"")</f>
        <v/>
      </c>
      <c r="D763" s="56"/>
      <c r="E763" s="67"/>
      <c r="F763" s="55"/>
      <c r="G763" s="68"/>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2" t="str">
        <f aca="false">IFERROR(IF($B764="","",IF(INDEX(Einheiten!$B$4:$B$63,MATCH($B764,Einheiten!$A$4:$A$63,0))=0,"",INDEX(Einheiten!$B$4:$B$63,MATCH($B764,Einheiten!$A$4:$A$63,0)))),"")</f>
        <v/>
      </c>
      <c r="B764" s="54"/>
      <c r="C764" s="73" t="str">
        <f aca="false">IFERROR(IF($D764="","",INDEX(Übungen!$B$4:$B$23,MATCH($D764,Übungen!$A$4:$A$23,0))),"")</f>
        <v/>
      </c>
      <c r="D764" s="56"/>
      <c r="E764" s="67"/>
      <c r="F764" s="55"/>
      <c r="G764" s="68"/>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2" t="str">
        <f aca="false">IFERROR(IF($B765="","",IF(INDEX(Einheiten!$B$4:$B$63,MATCH($B765,Einheiten!$A$4:$A$63,0))=0,"",INDEX(Einheiten!$B$4:$B$63,MATCH($B765,Einheiten!$A$4:$A$63,0)))),"")</f>
        <v/>
      </c>
      <c r="B765" s="54"/>
      <c r="C765" s="73" t="str">
        <f aca="false">IFERROR(IF($D765="","",INDEX(Übungen!$B$4:$B$23,MATCH($D765,Übungen!$A$4:$A$23,0))),"")</f>
        <v/>
      </c>
      <c r="D765" s="56"/>
      <c r="E765" s="67"/>
      <c r="F765" s="55"/>
      <c r="G765" s="68"/>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2" t="str">
        <f aca="false">IFERROR(IF($B766="","",IF(INDEX(Einheiten!$B$4:$B$63,MATCH($B766,Einheiten!$A$4:$A$63,0))=0,"",INDEX(Einheiten!$B$4:$B$63,MATCH($B766,Einheiten!$A$4:$A$63,0)))),"")</f>
        <v/>
      </c>
      <c r="B766" s="54"/>
      <c r="C766" s="73" t="str">
        <f aca="false">IFERROR(IF($D766="","",INDEX(Übungen!$B$4:$B$23,MATCH($D766,Übungen!$A$4:$A$23,0))),"")</f>
        <v/>
      </c>
      <c r="D766" s="56"/>
      <c r="E766" s="67"/>
      <c r="F766" s="55"/>
      <c r="G766" s="68"/>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2" t="str">
        <f aca="false">IFERROR(IF($B767="","",IF(INDEX(Einheiten!$B$4:$B$63,MATCH($B767,Einheiten!$A$4:$A$63,0))=0,"",INDEX(Einheiten!$B$4:$B$63,MATCH($B767,Einheiten!$A$4:$A$63,0)))),"")</f>
        <v/>
      </c>
      <c r="B767" s="54"/>
      <c r="C767" s="73" t="str">
        <f aca="false">IFERROR(IF($D767="","",INDEX(Übungen!$B$4:$B$23,MATCH($D767,Übungen!$A$4:$A$23,0))),"")</f>
        <v/>
      </c>
      <c r="D767" s="56"/>
      <c r="E767" s="67"/>
      <c r="F767" s="55"/>
      <c r="G767" s="68"/>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2" t="str">
        <f aca="false">IFERROR(IF($B768="","",IF(INDEX(Einheiten!$B$4:$B$63,MATCH($B768,Einheiten!$A$4:$A$63,0))=0,"",INDEX(Einheiten!$B$4:$B$63,MATCH($B768,Einheiten!$A$4:$A$63,0)))),"")</f>
        <v/>
      </c>
      <c r="B768" s="54"/>
      <c r="C768" s="73" t="str">
        <f aca="false">IFERROR(IF($D768="","",INDEX(Übungen!$B$4:$B$23,MATCH($D768,Übungen!$A$4:$A$23,0))),"")</f>
        <v/>
      </c>
      <c r="D768" s="56"/>
      <c r="E768" s="67"/>
      <c r="F768" s="55"/>
      <c r="G768" s="68"/>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2" t="str">
        <f aca="false">IFERROR(IF($B769="","",IF(INDEX(Einheiten!$B$4:$B$63,MATCH($B769,Einheiten!$A$4:$A$63,0))=0,"",INDEX(Einheiten!$B$4:$B$63,MATCH($B769,Einheiten!$A$4:$A$63,0)))),"")</f>
        <v/>
      </c>
      <c r="B769" s="54"/>
      <c r="C769" s="73" t="str">
        <f aca="false">IFERROR(IF($D769="","",INDEX(Übungen!$B$4:$B$23,MATCH($D769,Übungen!$A$4:$A$23,0))),"")</f>
        <v/>
      </c>
      <c r="D769" s="56"/>
      <c r="E769" s="67"/>
      <c r="F769" s="55"/>
      <c r="G769" s="68"/>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2" t="str">
        <f aca="false">IFERROR(IF($B770="","",IF(INDEX(Einheiten!$B$4:$B$63,MATCH($B770,Einheiten!$A$4:$A$63,0))=0,"",INDEX(Einheiten!$B$4:$B$63,MATCH($B770,Einheiten!$A$4:$A$63,0)))),"")</f>
        <v/>
      </c>
      <c r="B770" s="54"/>
      <c r="C770" s="73" t="str">
        <f aca="false">IFERROR(IF($D770="","",INDEX(Übungen!$B$4:$B$23,MATCH($D770,Übungen!$A$4:$A$23,0))),"")</f>
        <v/>
      </c>
      <c r="D770" s="56"/>
      <c r="E770" s="67"/>
      <c r="F770" s="55"/>
      <c r="G770" s="68"/>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2" t="str">
        <f aca="false">IFERROR(IF($B771="","",IF(INDEX(Einheiten!$B$4:$B$63,MATCH($B771,Einheiten!$A$4:$A$63,0))=0,"",INDEX(Einheiten!$B$4:$B$63,MATCH($B771,Einheiten!$A$4:$A$63,0)))),"")</f>
        <v/>
      </c>
      <c r="B771" s="54"/>
      <c r="C771" s="73" t="str">
        <f aca="false">IFERROR(IF($D771="","",INDEX(Übungen!$B$4:$B$23,MATCH($D771,Übungen!$A$4:$A$23,0))),"")</f>
        <v/>
      </c>
      <c r="D771" s="56"/>
      <c r="E771" s="67"/>
      <c r="F771" s="55"/>
      <c r="G771" s="68"/>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2" t="str">
        <f aca="false">IFERROR(IF($B772="","",IF(INDEX(Einheiten!$B$4:$B$63,MATCH($B772,Einheiten!$A$4:$A$63,0))=0,"",INDEX(Einheiten!$B$4:$B$63,MATCH($B772,Einheiten!$A$4:$A$63,0)))),"")</f>
        <v/>
      </c>
      <c r="B772" s="54"/>
      <c r="C772" s="73" t="str">
        <f aca="false">IFERROR(IF($D772="","",INDEX(Übungen!$B$4:$B$23,MATCH($D772,Übungen!$A$4:$A$23,0))),"")</f>
        <v/>
      </c>
      <c r="D772" s="56"/>
      <c r="E772" s="67"/>
      <c r="F772" s="55"/>
      <c r="G772" s="68"/>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2" t="str">
        <f aca="false">IFERROR(IF($B773="","",IF(INDEX(Einheiten!$B$4:$B$63,MATCH($B773,Einheiten!$A$4:$A$63,0))=0,"",INDEX(Einheiten!$B$4:$B$63,MATCH($B773,Einheiten!$A$4:$A$63,0)))),"")</f>
        <v/>
      </c>
      <c r="B773" s="54"/>
      <c r="C773" s="73" t="str">
        <f aca="false">IFERROR(IF($D773="","",INDEX(Übungen!$B$4:$B$23,MATCH($D773,Übungen!$A$4:$A$23,0))),"")</f>
        <v/>
      </c>
      <c r="D773" s="56"/>
      <c r="E773" s="67"/>
      <c r="F773" s="55"/>
      <c r="G773" s="68"/>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2" t="str">
        <f aca="false">IFERROR(IF($B774="","",IF(INDEX(Einheiten!$B$4:$B$63,MATCH($B774,Einheiten!$A$4:$A$63,0))=0,"",INDEX(Einheiten!$B$4:$B$63,MATCH($B774,Einheiten!$A$4:$A$63,0)))),"")</f>
        <v/>
      </c>
      <c r="B774" s="54"/>
      <c r="C774" s="73" t="str">
        <f aca="false">IFERROR(IF($D774="","",INDEX(Übungen!$B$4:$B$23,MATCH($D774,Übungen!$A$4:$A$23,0))),"")</f>
        <v/>
      </c>
      <c r="D774" s="56"/>
      <c r="E774" s="67"/>
      <c r="F774" s="55"/>
      <c r="G774" s="68"/>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2" t="str">
        <f aca="false">IFERROR(IF($B775="","",IF(INDEX(Einheiten!$B$4:$B$63,MATCH($B775,Einheiten!$A$4:$A$63,0))=0,"",INDEX(Einheiten!$B$4:$B$63,MATCH($B775,Einheiten!$A$4:$A$63,0)))),"")</f>
        <v/>
      </c>
      <c r="B775" s="54"/>
      <c r="C775" s="73" t="str">
        <f aca="false">IFERROR(IF($D775="","",INDEX(Übungen!$B$4:$B$23,MATCH($D775,Übungen!$A$4:$A$23,0))),"")</f>
        <v/>
      </c>
      <c r="D775" s="56"/>
      <c r="E775" s="67"/>
      <c r="F775" s="55"/>
      <c r="G775" s="68"/>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2" t="str">
        <f aca="false">IFERROR(IF($B776="","",IF(INDEX(Einheiten!$B$4:$B$63,MATCH($B776,Einheiten!$A$4:$A$63,0))=0,"",INDEX(Einheiten!$B$4:$B$63,MATCH($B776,Einheiten!$A$4:$A$63,0)))),"")</f>
        <v/>
      </c>
      <c r="B776" s="54"/>
      <c r="C776" s="73" t="str">
        <f aca="false">IFERROR(IF($D776="","",INDEX(Übungen!$B$4:$B$23,MATCH($D776,Übungen!$A$4:$A$23,0))),"")</f>
        <v/>
      </c>
      <c r="D776" s="56"/>
      <c r="E776" s="67"/>
      <c r="F776" s="55"/>
      <c r="G776" s="68"/>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2" t="str">
        <f aca="false">IFERROR(IF($B777="","",IF(INDEX(Einheiten!$B$4:$B$63,MATCH($B777,Einheiten!$A$4:$A$63,0))=0,"",INDEX(Einheiten!$B$4:$B$63,MATCH($B777,Einheiten!$A$4:$A$63,0)))),"")</f>
        <v/>
      </c>
      <c r="B777" s="54"/>
      <c r="C777" s="73" t="str">
        <f aca="false">IFERROR(IF($D777="","",INDEX(Übungen!$B$4:$B$23,MATCH($D777,Übungen!$A$4:$A$23,0))),"")</f>
        <v/>
      </c>
      <c r="D777" s="56"/>
      <c r="E777" s="67"/>
      <c r="F777" s="55"/>
      <c r="G777" s="68"/>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2" t="str">
        <f aca="false">IFERROR(IF($B778="","",IF(INDEX(Einheiten!$B$4:$B$63,MATCH($B778,Einheiten!$A$4:$A$63,0))=0,"",INDEX(Einheiten!$B$4:$B$63,MATCH($B778,Einheiten!$A$4:$A$63,0)))),"")</f>
        <v/>
      </c>
      <c r="B778" s="54"/>
      <c r="C778" s="73" t="str">
        <f aca="false">IFERROR(IF($D778="","",INDEX(Übungen!$B$4:$B$23,MATCH($D778,Übungen!$A$4:$A$23,0))),"")</f>
        <v/>
      </c>
      <c r="D778" s="56"/>
      <c r="E778" s="67"/>
      <c r="F778" s="55"/>
      <c r="G778" s="68"/>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2" t="str">
        <f aca="false">IFERROR(IF($B779="","",IF(INDEX(Einheiten!$B$4:$B$63,MATCH($B779,Einheiten!$A$4:$A$63,0))=0,"",INDEX(Einheiten!$B$4:$B$63,MATCH($B779,Einheiten!$A$4:$A$63,0)))),"")</f>
        <v/>
      </c>
      <c r="B779" s="54"/>
      <c r="C779" s="73" t="str">
        <f aca="false">IFERROR(IF($D779="","",INDEX(Übungen!$B$4:$B$23,MATCH($D779,Übungen!$A$4:$A$23,0))),"")</f>
        <v/>
      </c>
      <c r="D779" s="56"/>
      <c r="E779" s="67"/>
      <c r="F779" s="55"/>
      <c r="G779" s="68"/>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2" t="str">
        <f aca="false">IFERROR(IF($B780="","",IF(INDEX(Einheiten!$B$4:$B$63,MATCH($B780,Einheiten!$A$4:$A$63,0))=0,"",INDEX(Einheiten!$B$4:$B$63,MATCH($B780,Einheiten!$A$4:$A$63,0)))),"")</f>
        <v/>
      </c>
      <c r="B780" s="54"/>
      <c r="C780" s="73" t="str">
        <f aca="false">IFERROR(IF($D780="","",INDEX(Übungen!$B$4:$B$23,MATCH($D780,Übungen!$A$4:$A$23,0))),"")</f>
        <v/>
      </c>
      <c r="D780" s="56"/>
      <c r="E780" s="67"/>
      <c r="F780" s="55"/>
      <c r="G780" s="68"/>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2" t="str">
        <f aca="false">IFERROR(IF($B781="","",IF(INDEX(Einheiten!$B$4:$B$63,MATCH($B781,Einheiten!$A$4:$A$63,0))=0,"",INDEX(Einheiten!$B$4:$B$63,MATCH($B781,Einheiten!$A$4:$A$63,0)))),"")</f>
        <v/>
      </c>
      <c r="B781" s="54"/>
      <c r="C781" s="73" t="str">
        <f aca="false">IFERROR(IF($D781="","",INDEX(Übungen!$B$4:$B$23,MATCH($D781,Übungen!$A$4:$A$23,0))),"")</f>
        <v/>
      </c>
      <c r="D781" s="56"/>
      <c r="E781" s="67"/>
      <c r="F781" s="55"/>
      <c r="G781" s="68"/>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2" t="str">
        <f aca="false">IFERROR(IF($B782="","",IF(INDEX(Einheiten!$B$4:$B$63,MATCH($B782,Einheiten!$A$4:$A$63,0))=0,"",INDEX(Einheiten!$B$4:$B$63,MATCH($B782,Einheiten!$A$4:$A$63,0)))),"")</f>
        <v/>
      </c>
      <c r="B782" s="54"/>
      <c r="C782" s="73" t="str">
        <f aca="false">IFERROR(IF($D782="","",INDEX(Übungen!$B$4:$B$23,MATCH($D782,Übungen!$A$4:$A$23,0))),"")</f>
        <v/>
      </c>
      <c r="D782" s="56"/>
      <c r="E782" s="67"/>
      <c r="F782" s="55"/>
      <c r="G782" s="68"/>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2" t="str">
        <f aca="false">IFERROR(IF($B783="","",IF(INDEX(Einheiten!$B$4:$B$63,MATCH($B783,Einheiten!$A$4:$A$63,0))=0,"",INDEX(Einheiten!$B$4:$B$63,MATCH($B783,Einheiten!$A$4:$A$63,0)))),"")</f>
        <v/>
      </c>
      <c r="B783" s="54"/>
      <c r="C783" s="73" t="str">
        <f aca="false">IFERROR(IF($D783="","",INDEX(Übungen!$B$4:$B$23,MATCH($D783,Übungen!$A$4:$A$23,0))),"")</f>
        <v/>
      </c>
      <c r="D783" s="56"/>
      <c r="E783" s="67"/>
      <c r="F783" s="55"/>
      <c r="G783" s="68"/>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2" t="str">
        <f aca="false">IFERROR(IF($B784="","",IF(INDEX(Einheiten!$B$4:$B$63,MATCH($B784,Einheiten!$A$4:$A$63,0))=0,"",INDEX(Einheiten!$B$4:$B$63,MATCH($B784,Einheiten!$A$4:$A$63,0)))),"")</f>
        <v/>
      </c>
      <c r="B784" s="54"/>
      <c r="C784" s="73" t="str">
        <f aca="false">IFERROR(IF($D784="","",INDEX(Übungen!$B$4:$B$23,MATCH($D784,Übungen!$A$4:$A$23,0))),"")</f>
        <v/>
      </c>
      <c r="D784" s="56"/>
      <c r="E784" s="67"/>
      <c r="F784" s="55"/>
      <c r="G784" s="68"/>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2" t="str">
        <f aca="false">IFERROR(IF($B785="","",IF(INDEX(Einheiten!$B$4:$B$63,MATCH($B785,Einheiten!$A$4:$A$63,0))=0,"",INDEX(Einheiten!$B$4:$B$63,MATCH($B785,Einheiten!$A$4:$A$63,0)))),"")</f>
        <v/>
      </c>
      <c r="B785" s="54"/>
      <c r="C785" s="73" t="str">
        <f aca="false">IFERROR(IF($D785="","",INDEX(Übungen!$B$4:$B$23,MATCH($D785,Übungen!$A$4:$A$23,0))),"")</f>
        <v/>
      </c>
      <c r="D785" s="56"/>
      <c r="E785" s="67"/>
      <c r="F785" s="55"/>
      <c r="G785" s="68"/>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2" t="str">
        <f aca="false">IFERROR(IF($B786="","",IF(INDEX(Einheiten!$B$4:$B$63,MATCH($B786,Einheiten!$A$4:$A$63,0))=0,"",INDEX(Einheiten!$B$4:$B$63,MATCH($B786,Einheiten!$A$4:$A$63,0)))),"")</f>
        <v/>
      </c>
      <c r="B786" s="54"/>
      <c r="C786" s="73" t="str">
        <f aca="false">IFERROR(IF($D786="","",INDEX(Übungen!$B$4:$B$23,MATCH($D786,Übungen!$A$4:$A$23,0))),"")</f>
        <v/>
      </c>
      <c r="D786" s="56"/>
      <c r="E786" s="67"/>
      <c r="F786" s="55"/>
      <c r="G786" s="68"/>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2" t="str">
        <f aca="false">IFERROR(IF($B787="","",IF(INDEX(Einheiten!$B$4:$B$63,MATCH($B787,Einheiten!$A$4:$A$63,0))=0,"",INDEX(Einheiten!$B$4:$B$63,MATCH($B787,Einheiten!$A$4:$A$63,0)))),"")</f>
        <v/>
      </c>
      <c r="B787" s="54"/>
      <c r="C787" s="73" t="str">
        <f aca="false">IFERROR(IF($D787="","",INDEX(Übungen!$B$4:$B$23,MATCH($D787,Übungen!$A$4:$A$23,0))),"")</f>
        <v/>
      </c>
      <c r="D787" s="56"/>
      <c r="E787" s="67"/>
      <c r="F787" s="55"/>
      <c r="G787" s="68"/>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2" t="str">
        <f aca="false">IFERROR(IF($B788="","",IF(INDEX(Einheiten!$B$4:$B$63,MATCH($B788,Einheiten!$A$4:$A$63,0))=0,"",INDEX(Einheiten!$B$4:$B$63,MATCH($B788,Einheiten!$A$4:$A$63,0)))),"")</f>
        <v/>
      </c>
      <c r="B788" s="54"/>
      <c r="C788" s="73" t="str">
        <f aca="false">IFERROR(IF($D788="","",INDEX(Übungen!$B$4:$B$23,MATCH($D788,Übungen!$A$4:$A$23,0))),"")</f>
        <v/>
      </c>
      <c r="D788" s="56"/>
      <c r="E788" s="67"/>
      <c r="F788" s="55"/>
      <c r="G788" s="68"/>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2" t="str">
        <f aca="false">IFERROR(IF($B789="","",IF(INDEX(Einheiten!$B$4:$B$63,MATCH($B789,Einheiten!$A$4:$A$63,0))=0,"",INDEX(Einheiten!$B$4:$B$63,MATCH($B789,Einheiten!$A$4:$A$63,0)))),"")</f>
        <v/>
      </c>
      <c r="B789" s="54"/>
      <c r="C789" s="73" t="str">
        <f aca="false">IFERROR(IF($D789="","",INDEX(Übungen!$B$4:$B$23,MATCH($D789,Übungen!$A$4:$A$23,0))),"")</f>
        <v/>
      </c>
      <c r="D789" s="56"/>
      <c r="E789" s="67"/>
      <c r="F789" s="55"/>
      <c r="G789" s="68"/>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2" t="str">
        <f aca="false">IFERROR(IF($B790="","",IF(INDEX(Einheiten!$B$4:$B$63,MATCH($B790,Einheiten!$A$4:$A$63,0))=0,"",INDEX(Einheiten!$B$4:$B$63,MATCH($B790,Einheiten!$A$4:$A$63,0)))),"")</f>
        <v/>
      </c>
      <c r="B790" s="54"/>
      <c r="C790" s="73" t="str">
        <f aca="false">IFERROR(IF($D790="","",INDEX(Übungen!$B$4:$B$23,MATCH($D790,Übungen!$A$4:$A$23,0))),"")</f>
        <v/>
      </c>
      <c r="D790" s="56"/>
      <c r="E790" s="67"/>
      <c r="F790" s="55"/>
      <c r="G790" s="68"/>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2" t="str">
        <f aca="false">IFERROR(IF($B791="","",IF(INDEX(Einheiten!$B$4:$B$63,MATCH($B791,Einheiten!$A$4:$A$63,0))=0,"",INDEX(Einheiten!$B$4:$B$63,MATCH($B791,Einheiten!$A$4:$A$63,0)))),"")</f>
        <v/>
      </c>
      <c r="B791" s="54"/>
      <c r="C791" s="73" t="str">
        <f aca="false">IFERROR(IF($D791="","",INDEX(Übungen!$B$4:$B$23,MATCH($D791,Übungen!$A$4:$A$23,0))),"")</f>
        <v/>
      </c>
      <c r="D791" s="56"/>
      <c r="E791" s="67"/>
      <c r="F791" s="55"/>
      <c r="G791" s="68"/>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2" t="str">
        <f aca="false">IFERROR(IF($B792="","",IF(INDEX(Einheiten!$B$4:$B$63,MATCH($B792,Einheiten!$A$4:$A$63,0))=0,"",INDEX(Einheiten!$B$4:$B$63,MATCH($B792,Einheiten!$A$4:$A$63,0)))),"")</f>
        <v/>
      </c>
      <c r="B792" s="54"/>
      <c r="C792" s="73" t="str">
        <f aca="false">IFERROR(IF($D792="","",INDEX(Übungen!$B$4:$B$23,MATCH($D792,Übungen!$A$4:$A$23,0))),"")</f>
        <v/>
      </c>
      <c r="D792" s="56"/>
      <c r="E792" s="67"/>
      <c r="F792" s="55"/>
      <c r="G792" s="68"/>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2" t="str">
        <f aca="false">IFERROR(IF($B793="","",IF(INDEX(Einheiten!$B$4:$B$63,MATCH($B793,Einheiten!$A$4:$A$63,0))=0,"",INDEX(Einheiten!$B$4:$B$63,MATCH($B793,Einheiten!$A$4:$A$63,0)))),"")</f>
        <v/>
      </c>
      <c r="B793" s="54"/>
      <c r="C793" s="73" t="str">
        <f aca="false">IFERROR(IF($D793="","",INDEX(Übungen!$B$4:$B$23,MATCH($D793,Übungen!$A$4:$A$23,0))),"")</f>
        <v/>
      </c>
      <c r="D793" s="56"/>
      <c r="E793" s="67"/>
      <c r="F793" s="55"/>
      <c r="G793" s="68"/>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2" t="str">
        <f aca="false">IFERROR(IF($B794="","",IF(INDEX(Einheiten!$B$4:$B$63,MATCH($B794,Einheiten!$A$4:$A$63,0))=0,"",INDEX(Einheiten!$B$4:$B$63,MATCH($B794,Einheiten!$A$4:$A$63,0)))),"")</f>
        <v/>
      </c>
      <c r="B794" s="54"/>
      <c r="C794" s="73" t="str">
        <f aca="false">IFERROR(IF($D794="","",INDEX(Übungen!$B$4:$B$23,MATCH($D794,Übungen!$A$4:$A$23,0))),"")</f>
        <v/>
      </c>
      <c r="D794" s="56"/>
      <c r="E794" s="67"/>
      <c r="F794" s="55"/>
      <c r="G794" s="68"/>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2" t="str">
        <f aca="false">IFERROR(IF($B795="","",IF(INDEX(Einheiten!$B$4:$B$63,MATCH($B795,Einheiten!$A$4:$A$63,0))=0,"",INDEX(Einheiten!$B$4:$B$63,MATCH($B795,Einheiten!$A$4:$A$63,0)))),"")</f>
        <v/>
      </c>
      <c r="B795" s="54"/>
      <c r="C795" s="73" t="str">
        <f aca="false">IFERROR(IF($D795="","",INDEX(Übungen!$B$4:$B$23,MATCH($D795,Übungen!$A$4:$A$23,0))),"")</f>
        <v/>
      </c>
      <c r="D795" s="56"/>
      <c r="E795" s="67"/>
      <c r="F795" s="55"/>
      <c r="G795" s="68"/>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2" t="str">
        <f aca="false">IFERROR(IF($B796="","",IF(INDEX(Einheiten!$B$4:$B$63,MATCH($B796,Einheiten!$A$4:$A$63,0))=0,"",INDEX(Einheiten!$B$4:$B$63,MATCH($B796,Einheiten!$A$4:$A$63,0)))),"")</f>
        <v/>
      </c>
      <c r="B796" s="54"/>
      <c r="C796" s="73" t="str">
        <f aca="false">IFERROR(IF($D796="","",INDEX(Übungen!$B$4:$B$23,MATCH($D796,Übungen!$A$4:$A$23,0))),"")</f>
        <v/>
      </c>
      <c r="D796" s="56"/>
      <c r="E796" s="67"/>
      <c r="F796" s="55"/>
      <c r="G796" s="68"/>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2" t="str">
        <f aca="false">IFERROR(IF($B797="","",IF(INDEX(Einheiten!$B$4:$B$63,MATCH($B797,Einheiten!$A$4:$A$63,0))=0,"",INDEX(Einheiten!$B$4:$B$63,MATCH($B797,Einheiten!$A$4:$A$63,0)))),"")</f>
        <v/>
      </c>
      <c r="B797" s="54"/>
      <c r="C797" s="73" t="str">
        <f aca="false">IFERROR(IF($D797="","",INDEX(Übungen!$B$4:$B$23,MATCH($D797,Übungen!$A$4:$A$23,0))),"")</f>
        <v/>
      </c>
      <c r="D797" s="56"/>
      <c r="E797" s="67"/>
      <c r="F797" s="55"/>
      <c r="G797" s="68"/>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2" t="str">
        <f aca="false">IFERROR(IF($B798="","",IF(INDEX(Einheiten!$B$4:$B$63,MATCH($B798,Einheiten!$A$4:$A$63,0))=0,"",INDEX(Einheiten!$B$4:$B$63,MATCH($B798,Einheiten!$A$4:$A$63,0)))),"")</f>
        <v/>
      </c>
      <c r="B798" s="54"/>
      <c r="C798" s="73" t="str">
        <f aca="false">IFERROR(IF($D798="","",INDEX(Übungen!$B$4:$B$23,MATCH($D798,Übungen!$A$4:$A$23,0))),"")</f>
        <v/>
      </c>
      <c r="D798" s="56"/>
      <c r="E798" s="67"/>
      <c r="F798" s="55"/>
      <c r="G798" s="68"/>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2" t="str">
        <f aca="false">IFERROR(IF($B799="","",IF(INDEX(Einheiten!$B$4:$B$63,MATCH($B799,Einheiten!$A$4:$A$63,0))=0,"",INDEX(Einheiten!$B$4:$B$63,MATCH($B799,Einheiten!$A$4:$A$63,0)))),"")</f>
        <v/>
      </c>
      <c r="B799" s="54"/>
      <c r="C799" s="73" t="str">
        <f aca="false">IFERROR(IF($D799="","",INDEX(Übungen!$B$4:$B$23,MATCH($D799,Übungen!$A$4:$A$23,0))),"")</f>
        <v/>
      </c>
      <c r="D799" s="56"/>
      <c r="E799" s="67"/>
      <c r="F799" s="55"/>
      <c r="G799" s="68"/>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2" t="str">
        <f aca="false">IFERROR(IF($B800="","",IF(INDEX(Einheiten!$B$4:$B$63,MATCH($B800,Einheiten!$A$4:$A$63,0))=0,"",INDEX(Einheiten!$B$4:$B$63,MATCH($B800,Einheiten!$A$4:$A$63,0)))),"")</f>
        <v/>
      </c>
      <c r="B800" s="54"/>
      <c r="C800" s="73" t="str">
        <f aca="false">IFERROR(IF($D800="","",INDEX(Übungen!$B$4:$B$23,MATCH($D800,Übungen!$A$4:$A$23,0))),"")</f>
        <v/>
      </c>
      <c r="D800" s="56"/>
      <c r="E800" s="67"/>
      <c r="F800" s="55"/>
      <c r="G800" s="68"/>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2" t="str">
        <f aca="false">IFERROR(IF($B801="","",IF(INDEX(Einheiten!$B$4:$B$63,MATCH($B801,Einheiten!$A$4:$A$63,0))=0,"",INDEX(Einheiten!$B$4:$B$63,MATCH($B801,Einheiten!$A$4:$A$63,0)))),"")</f>
        <v/>
      </c>
      <c r="B801" s="54"/>
      <c r="C801" s="73" t="str">
        <f aca="false">IFERROR(IF($D801="","",INDEX(Übungen!$B$4:$B$23,MATCH($D801,Übungen!$A$4:$A$23,0))),"")</f>
        <v/>
      </c>
      <c r="D801" s="56"/>
      <c r="E801" s="67"/>
      <c r="F801" s="55"/>
      <c r="G801" s="68"/>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2" t="str">
        <f aca="false">IFERROR(IF($B802="","",IF(INDEX(Einheiten!$B$4:$B$63,MATCH($B802,Einheiten!$A$4:$A$63,0))=0,"",INDEX(Einheiten!$B$4:$B$63,MATCH($B802,Einheiten!$A$4:$A$63,0)))),"")</f>
        <v/>
      </c>
      <c r="B802" s="54"/>
      <c r="C802" s="73" t="str">
        <f aca="false">IFERROR(IF($D802="","",INDEX(Übungen!$B$4:$B$23,MATCH($D802,Übungen!$A$4:$A$23,0))),"")</f>
        <v/>
      </c>
      <c r="D802" s="56"/>
      <c r="E802" s="67"/>
      <c r="F802" s="55"/>
      <c r="G802" s="68"/>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2" t="str">
        <f aca="false">IFERROR(IF($B803="","",IF(INDEX(Einheiten!$B$4:$B$63,MATCH($B803,Einheiten!$A$4:$A$63,0))=0,"",INDEX(Einheiten!$B$4:$B$63,MATCH($B803,Einheiten!$A$4:$A$63,0)))),"")</f>
        <v/>
      </c>
      <c r="B803" s="54"/>
      <c r="C803" s="73" t="str">
        <f aca="false">IFERROR(IF($D803="","",INDEX(Übungen!$B$4:$B$23,MATCH($D803,Übungen!$A$4:$A$23,0))),"")</f>
        <v/>
      </c>
      <c r="D803" s="56"/>
      <c r="E803" s="67"/>
      <c r="F803" s="55"/>
      <c r="G803" s="68"/>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2" t="str">
        <f aca="false">IFERROR(IF($B804="","",IF(INDEX(Einheiten!$B$4:$B$63,MATCH($B804,Einheiten!$A$4:$A$63,0))=0,"",INDEX(Einheiten!$B$4:$B$63,MATCH($B804,Einheiten!$A$4:$A$63,0)))),"")</f>
        <v/>
      </c>
      <c r="B804" s="54"/>
      <c r="C804" s="73" t="str">
        <f aca="false">IFERROR(IF($D804="","",INDEX(Übungen!$B$4:$B$23,MATCH($D804,Übungen!$A$4:$A$23,0))),"")</f>
        <v/>
      </c>
      <c r="D804" s="56"/>
      <c r="E804" s="67"/>
      <c r="F804" s="55"/>
      <c r="G804" s="68"/>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2" t="str">
        <f aca="false">IFERROR(IF($B805="","",IF(INDEX(Einheiten!$B$4:$B$63,MATCH($B805,Einheiten!$A$4:$A$63,0))=0,"",INDEX(Einheiten!$B$4:$B$63,MATCH($B805,Einheiten!$A$4:$A$63,0)))),"")</f>
        <v/>
      </c>
      <c r="B805" s="54"/>
      <c r="C805" s="73" t="str">
        <f aca="false">IFERROR(IF($D805="","",INDEX(Übungen!$B$4:$B$23,MATCH($D805,Übungen!$A$4:$A$23,0))),"")</f>
        <v/>
      </c>
      <c r="D805" s="56"/>
      <c r="E805" s="67"/>
      <c r="F805" s="55"/>
      <c r="G805" s="68"/>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2" t="str">
        <f aca="false">IFERROR(IF($B806="","",IF(INDEX(Einheiten!$B$4:$B$63,MATCH($B806,Einheiten!$A$4:$A$63,0))=0,"",INDEX(Einheiten!$B$4:$B$63,MATCH($B806,Einheiten!$A$4:$A$63,0)))),"")</f>
        <v/>
      </c>
      <c r="B806" s="54"/>
      <c r="C806" s="73" t="str">
        <f aca="false">IFERROR(IF($D806="","",INDEX(Übungen!$B$4:$B$23,MATCH($D806,Übungen!$A$4:$A$23,0))),"")</f>
        <v/>
      </c>
      <c r="D806" s="56"/>
      <c r="E806" s="67"/>
      <c r="F806" s="55"/>
      <c r="G806" s="68"/>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2" t="str">
        <f aca="false">IFERROR(IF($B807="","",IF(INDEX(Einheiten!$B$4:$B$63,MATCH($B807,Einheiten!$A$4:$A$63,0))=0,"",INDEX(Einheiten!$B$4:$B$63,MATCH($B807,Einheiten!$A$4:$A$63,0)))),"")</f>
        <v/>
      </c>
      <c r="B807" s="54"/>
      <c r="C807" s="73" t="str">
        <f aca="false">IFERROR(IF($D807="","",INDEX(Übungen!$B$4:$B$23,MATCH($D807,Übungen!$A$4:$A$23,0))),"")</f>
        <v/>
      </c>
      <c r="D807" s="56"/>
      <c r="E807" s="67"/>
      <c r="F807" s="55"/>
      <c r="G807" s="68"/>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2" t="str">
        <f aca="false">IFERROR(IF($B808="","",IF(INDEX(Einheiten!$B$4:$B$63,MATCH($B808,Einheiten!$A$4:$A$63,0))=0,"",INDEX(Einheiten!$B$4:$B$63,MATCH($B808,Einheiten!$A$4:$A$63,0)))),"")</f>
        <v/>
      </c>
      <c r="B808" s="54"/>
      <c r="C808" s="73" t="str">
        <f aca="false">IFERROR(IF($D808="","",INDEX(Übungen!$B$4:$B$23,MATCH($D808,Übungen!$A$4:$A$23,0))),"")</f>
        <v/>
      </c>
      <c r="D808" s="56"/>
      <c r="E808" s="67"/>
      <c r="F808" s="55"/>
      <c r="G808" s="68"/>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2" t="str">
        <f aca="false">IFERROR(IF($B809="","",IF(INDEX(Einheiten!$B$4:$B$63,MATCH($B809,Einheiten!$A$4:$A$63,0))=0,"",INDEX(Einheiten!$B$4:$B$63,MATCH($B809,Einheiten!$A$4:$A$63,0)))),"")</f>
        <v/>
      </c>
      <c r="B809" s="54"/>
      <c r="C809" s="73" t="str">
        <f aca="false">IFERROR(IF($D809="","",INDEX(Übungen!$B$4:$B$23,MATCH($D809,Übungen!$A$4:$A$23,0))),"")</f>
        <v/>
      </c>
      <c r="D809" s="56"/>
      <c r="E809" s="67"/>
      <c r="F809" s="55"/>
      <c r="G809" s="68"/>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2" t="str">
        <f aca="false">IFERROR(IF($B810="","",IF(INDEX(Einheiten!$B$4:$B$63,MATCH($B810,Einheiten!$A$4:$A$63,0))=0,"",INDEX(Einheiten!$B$4:$B$63,MATCH($B810,Einheiten!$A$4:$A$63,0)))),"")</f>
        <v/>
      </c>
      <c r="B810" s="54"/>
      <c r="C810" s="73" t="str">
        <f aca="false">IFERROR(IF($D810="","",INDEX(Übungen!$B$4:$B$23,MATCH($D810,Übungen!$A$4:$A$23,0))),"")</f>
        <v/>
      </c>
      <c r="D810" s="56"/>
      <c r="E810" s="67"/>
      <c r="F810" s="55"/>
      <c r="G810" s="68"/>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2" t="str">
        <f aca="false">IFERROR(IF($B811="","",IF(INDEX(Einheiten!$B$4:$B$63,MATCH($B811,Einheiten!$A$4:$A$63,0))=0,"",INDEX(Einheiten!$B$4:$B$63,MATCH($B811,Einheiten!$A$4:$A$63,0)))),"")</f>
        <v/>
      </c>
      <c r="B811" s="54"/>
      <c r="C811" s="73" t="str">
        <f aca="false">IFERROR(IF($D811="","",INDEX(Übungen!$B$4:$B$23,MATCH($D811,Übungen!$A$4:$A$23,0))),"")</f>
        <v/>
      </c>
      <c r="D811" s="56"/>
      <c r="E811" s="67"/>
      <c r="F811" s="55"/>
      <c r="G811" s="68"/>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2" t="str">
        <f aca="false">IFERROR(IF($B812="","",IF(INDEX(Einheiten!$B$4:$B$63,MATCH($B812,Einheiten!$A$4:$A$63,0))=0,"",INDEX(Einheiten!$B$4:$B$63,MATCH($B812,Einheiten!$A$4:$A$63,0)))),"")</f>
        <v/>
      </c>
      <c r="B812" s="54"/>
      <c r="C812" s="73" t="str">
        <f aca="false">IFERROR(IF($D812="","",INDEX(Übungen!$B$4:$B$23,MATCH($D812,Übungen!$A$4:$A$23,0))),"")</f>
        <v/>
      </c>
      <c r="D812" s="56"/>
      <c r="E812" s="67"/>
      <c r="F812" s="55"/>
      <c r="G812" s="68"/>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2" t="str">
        <f aca="false">IFERROR(IF($B813="","",IF(INDEX(Einheiten!$B$4:$B$63,MATCH($B813,Einheiten!$A$4:$A$63,0))=0,"",INDEX(Einheiten!$B$4:$B$63,MATCH($B813,Einheiten!$A$4:$A$63,0)))),"")</f>
        <v/>
      </c>
      <c r="B813" s="54"/>
      <c r="C813" s="73" t="str">
        <f aca="false">IFERROR(IF($D813="","",INDEX(Übungen!$B$4:$B$23,MATCH($D813,Übungen!$A$4:$A$23,0))),"")</f>
        <v/>
      </c>
      <c r="D813" s="56"/>
      <c r="E813" s="67"/>
      <c r="F813" s="55"/>
      <c r="G813" s="68"/>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2" t="str">
        <f aca="false">IFERROR(IF($B814="","",IF(INDEX(Einheiten!$B$4:$B$63,MATCH($B814,Einheiten!$A$4:$A$63,0))=0,"",INDEX(Einheiten!$B$4:$B$63,MATCH($B814,Einheiten!$A$4:$A$63,0)))),"")</f>
        <v/>
      </c>
      <c r="B814" s="54"/>
      <c r="C814" s="73" t="str">
        <f aca="false">IFERROR(IF($D814="","",INDEX(Übungen!$B$4:$B$23,MATCH($D814,Übungen!$A$4:$A$23,0))),"")</f>
        <v/>
      </c>
      <c r="D814" s="56"/>
      <c r="E814" s="67"/>
      <c r="F814" s="55"/>
      <c r="G814" s="68"/>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2" t="str">
        <f aca="false">IFERROR(IF($B815="","",IF(INDEX(Einheiten!$B$4:$B$63,MATCH($B815,Einheiten!$A$4:$A$63,0))=0,"",INDEX(Einheiten!$B$4:$B$63,MATCH($B815,Einheiten!$A$4:$A$63,0)))),"")</f>
        <v/>
      </c>
      <c r="B815" s="54"/>
      <c r="C815" s="73" t="str">
        <f aca="false">IFERROR(IF($D815="","",INDEX(Übungen!$B$4:$B$23,MATCH($D815,Übungen!$A$4:$A$23,0))),"")</f>
        <v/>
      </c>
      <c r="D815" s="56"/>
      <c r="E815" s="67"/>
      <c r="F815" s="55"/>
      <c r="G815" s="68"/>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2" t="str">
        <f aca="false">IFERROR(IF($B816="","",IF(INDEX(Einheiten!$B$4:$B$63,MATCH($B816,Einheiten!$A$4:$A$63,0))=0,"",INDEX(Einheiten!$B$4:$B$63,MATCH($B816,Einheiten!$A$4:$A$63,0)))),"")</f>
        <v/>
      </c>
      <c r="B816" s="54"/>
      <c r="C816" s="73" t="str">
        <f aca="false">IFERROR(IF($D816="","",INDEX(Übungen!$B$4:$B$23,MATCH($D816,Übungen!$A$4:$A$23,0))),"")</f>
        <v/>
      </c>
      <c r="D816" s="56"/>
      <c r="E816" s="67"/>
      <c r="F816" s="55"/>
      <c r="G816" s="68"/>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2" t="str">
        <f aca="false">IFERROR(IF($B817="","",IF(INDEX(Einheiten!$B$4:$B$63,MATCH($B817,Einheiten!$A$4:$A$63,0))=0,"",INDEX(Einheiten!$B$4:$B$63,MATCH($B817,Einheiten!$A$4:$A$63,0)))),"")</f>
        <v/>
      </c>
      <c r="B817" s="54"/>
      <c r="C817" s="73" t="str">
        <f aca="false">IFERROR(IF($D817="","",INDEX(Übungen!$B$4:$B$23,MATCH($D817,Übungen!$A$4:$A$23,0))),"")</f>
        <v/>
      </c>
      <c r="D817" s="56"/>
      <c r="E817" s="67"/>
      <c r="F817" s="55"/>
      <c r="G817" s="68"/>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2" t="str">
        <f aca="false">IFERROR(IF($B818="","",IF(INDEX(Einheiten!$B$4:$B$63,MATCH($B818,Einheiten!$A$4:$A$63,0))=0,"",INDEX(Einheiten!$B$4:$B$63,MATCH($B818,Einheiten!$A$4:$A$63,0)))),"")</f>
        <v/>
      </c>
      <c r="B818" s="54"/>
      <c r="C818" s="73" t="str">
        <f aca="false">IFERROR(IF($D818="","",INDEX(Übungen!$B$4:$B$23,MATCH($D818,Übungen!$A$4:$A$23,0))),"")</f>
        <v/>
      </c>
      <c r="D818" s="56"/>
      <c r="E818" s="67"/>
      <c r="F818" s="55"/>
      <c r="G818" s="68"/>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2" t="str">
        <f aca="false">IFERROR(IF($B819="","",IF(INDEX(Einheiten!$B$4:$B$63,MATCH($B819,Einheiten!$A$4:$A$63,0))=0,"",INDEX(Einheiten!$B$4:$B$63,MATCH($B819,Einheiten!$A$4:$A$63,0)))),"")</f>
        <v/>
      </c>
      <c r="B819" s="54"/>
      <c r="C819" s="73" t="str">
        <f aca="false">IFERROR(IF($D819="","",INDEX(Übungen!$B$4:$B$23,MATCH($D819,Übungen!$A$4:$A$23,0))),"")</f>
        <v/>
      </c>
      <c r="D819" s="56"/>
      <c r="E819" s="67"/>
      <c r="F819" s="55"/>
      <c r="G819" s="68"/>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2" t="str">
        <f aca="false">IFERROR(IF($B820="","",IF(INDEX(Einheiten!$B$4:$B$63,MATCH($B820,Einheiten!$A$4:$A$63,0))=0,"",INDEX(Einheiten!$B$4:$B$63,MATCH($B820,Einheiten!$A$4:$A$63,0)))),"")</f>
        <v/>
      </c>
      <c r="B820" s="54"/>
      <c r="C820" s="73" t="str">
        <f aca="false">IFERROR(IF($D820="","",INDEX(Übungen!$B$4:$B$23,MATCH($D820,Übungen!$A$4:$A$23,0))),"")</f>
        <v/>
      </c>
      <c r="D820" s="56"/>
      <c r="E820" s="67"/>
      <c r="F820" s="55"/>
      <c r="G820" s="68"/>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2" t="str">
        <f aca="false">IFERROR(IF($B821="","",IF(INDEX(Einheiten!$B$4:$B$63,MATCH($B821,Einheiten!$A$4:$A$63,0))=0,"",INDEX(Einheiten!$B$4:$B$63,MATCH($B821,Einheiten!$A$4:$A$63,0)))),"")</f>
        <v/>
      </c>
      <c r="B821" s="54"/>
      <c r="C821" s="73" t="str">
        <f aca="false">IFERROR(IF($D821="","",INDEX(Übungen!$B$4:$B$23,MATCH($D821,Übungen!$A$4:$A$23,0))),"")</f>
        <v/>
      </c>
      <c r="D821" s="56"/>
      <c r="E821" s="67"/>
      <c r="F821" s="55"/>
      <c r="G821" s="68"/>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2" t="str">
        <f aca="false">IFERROR(IF($B822="","",IF(INDEX(Einheiten!$B$4:$B$63,MATCH($B822,Einheiten!$A$4:$A$63,0))=0,"",INDEX(Einheiten!$B$4:$B$63,MATCH($B822,Einheiten!$A$4:$A$63,0)))),"")</f>
        <v/>
      </c>
      <c r="B822" s="54"/>
      <c r="C822" s="73" t="str">
        <f aca="false">IFERROR(IF($D822="","",INDEX(Übungen!$B$4:$B$23,MATCH($D822,Übungen!$A$4:$A$23,0))),"")</f>
        <v/>
      </c>
      <c r="D822" s="56"/>
      <c r="E822" s="67"/>
      <c r="F822" s="55"/>
      <c r="G822" s="68"/>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2" t="str">
        <f aca="false">IFERROR(IF($B823="","",IF(INDEX(Einheiten!$B$4:$B$63,MATCH($B823,Einheiten!$A$4:$A$63,0))=0,"",INDEX(Einheiten!$B$4:$B$63,MATCH($B823,Einheiten!$A$4:$A$63,0)))),"")</f>
        <v/>
      </c>
      <c r="B823" s="54"/>
      <c r="C823" s="73" t="str">
        <f aca="false">IFERROR(IF($D823="","",INDEX(Übungen!$B$4:$B$23,MATCH($D823,Übungen!$A$4:$A$23,0))),"")</f>
        <v/>
      </c>
      <c r="D823" s="56"/>
      <c r="E823" s="67"/>
      <c r="F823" s="55"/>
      <c r="G823" s="68"/>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2" t="str">
        <f aca="false">IFERROR(IF($B824="","",IF(INDEX(Einheiten!$B$4:$B$63,MATCH($B824,Einheiten!$A$4:$A$63,0))=0,"",INDEX(Einheiten!$B$4:$B$63,MATCH($B824,Einheiten!$A$4:$A$63,0)))),"")</f>
        <v/>
      </c>
      <c r="B824" s="54"/>
      <c r="C824" s="73" t="str">
        <f aca="false">IFERROR(IF($D824="","",INDEX(Übungen!$B$4:$B$23,MATCH($D824,Übungen!$A$4:$A$23,0))),"")</f>
        <v/>
      </c>
      <c r="D824" s="56"/>
      <c r="E824" s="67"/>
      <c r="F824" s="55"/>
      <c r="G824" s="68"/>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2" t="str">
        <f aca="false">IFERROR(IF($B825="","",IF(INDEX(Einheiten!$B$4:$B$63,MATCH($B825,Einheiten!$A$4:$A$63,0))=0,"",INDEX(Einheiten!$B$4:$B$63,MATCH($B825,Einheiten!$A$4:$A$63,0)))),"")</f>
        <v/>
      </c>
      <c r="B825" s="54"/>
      <c r="C825" s="73" t="str">
        <f aca="false">IFERROR(IF($D825="","",INDEX(Übungen!$B$4:$B$23,MATCH($D825,Übungen!$A$4:$A$23,0))),"")</f>
        <v/>
      </c>
      <c r="D825" s="56"/>
      <c r="E825" s="67"/>
      <c r="F825" s="55"/>
      <c r="G825" s="68"/>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2" t="str">
        <f aca="false">IFERROR(IF($B826="","",IF(INDEX(Einheiten!$B$4:$B$63,MATCH($B826,Einheiten!$A$4:$A$63,0))=0,"",INDEX(Einheiten!$B$4:$B$63,MATCH($B826,Einheiten!$A$4:$A$63,0)))),"")</f>
        <v/>
      </c>
      <c r="B826" s="54"/>
      <c r="C826" s="73" t="str">
        <f aca="false">IFERROR(IF($D826="","",INDEX(Übungen!$B$4:$B$23,MATCH($D826,Übungen!$A$4:$A$23,0))),"")</f>
        <v/>
      </c>
      <c r="D826" s="56"/>
      <c r="E826" s="67"/>
      <c r="F826" s="55"/>
      <c r="G826" s="68"/>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2" t="str">
        <f aca="false">IFERROR(IF($B827="","",IF(INDEX(Einheiten!$B$4:$B$63,MATCH($B827,Einheiten!$A$4:$A$63,0))=0,"",INDEX(Einheiten!$B$4:$B$63,MATCH($B827,Einheiten!$A$4:$A$63,0)))),"")</f>
        <v/>
      </c>
      <c r="B827" s="54"/>
      <c r="C827" s="73" t="str">
        <f aca="false">IFERROR(IF($D827="","",INDEX(Übungen!$B$4:$B$23,MATCH($D827,Übungen!$A$4:$A$23,0))),"")</f>
        <v/>
      </c>
      <c r="D827" s="56"/>
      <c r="E827" s="67"/>
      <c r="F827" s="55"/>
      <c r="G827" s="68"/>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2" t="str">
        <f aca="false">IFERROR(IF($B828="","",IF(INDEX(Einheiten!$B$4:$B$63,MATCH($B828,Einheiten!$A$4:$A$63,0))=0,"",INDEX(Einheiten!$B$4:$B$63,MATCH($B828,Einheiten!$A$4:$A$63,0)))),"")</f>
        <v/>
      </c>
      <c r="B828" s="54"/>
      <c r="C828" s="73" t="str">
        <f aca="false">IFERROR(IF($D828="","",INDEX(Übungen!$B$4:$B$23,MATCH($D828,Übungen!$A$4:$A$23,0))),"")</f>
        <v/>
      </c>
      <c r="D828" s="56"/>
      <c r="E828" s="67"/>
      <c r="F828" s="55"/>
      <c r="G828" s="68"/>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2" t="str">
        <f aca="false">IFERROR(IF($B829="","",IF(INDEX(Einheiten!$B$4:$B$63,MATCH($B829,Einheiten!$A$4:$A$63,0))=0,"",INDEX(Einheiten!$B$4:$B$63,MATCH($B829,Einheiten!$A$4:$A$63,0)))),"")</f>
        <v/>
      </c>
      <c r="B829" s="54"/>
      <c r="C829" s="73" t="str">
        <f aca="false">IFERROR(IF($D829="","",INDEX(Übungen!$B$4:$B$23,MATCH($D829,Übungen!$A$4:$A$23,0))),"")</f>
        <v/>
      </c>
      <c r="D829" s="56"/>
      <c r="E829" s="67"/>
      <c r="F829" s="55"/>
      <c r="G829" s="68"/>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2" t="str">
        <f aca="false">IFERROR(IF($B830="","",IF(INDEX(Einheiten!$B$4:$B$63,MATCH($B830,Einheiten!$A$4:$A$63,0))=0,"",INDEX(Einheiten!$B$4:$B$63,MATCH($B830,Einheiten!$A$4:$A$63,0)))),"")</f>
        <v/>
      </c>
      <c r="B830" s="54"/>
      <c r="C830" s="73" t="str">
        <f aca="false">IFERROR(IF($D830="","",INDEX(Übungen!$B$4:$B$23,MATCH($D830,Übungen!$A$4:$A$23,0))),"")</f>
        <v/>
      </c>
      <c r="D830" s="56"/>
      <c r="E830" s="67"/>
      <c r="F830" s="55"/>
      <c r="G830" s="68"/>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2" t="str">
        <f aca="false">IFERROR(IF($B831="","",IF(INDEX(Einheiten!$B$4:$B$63,MATCH($B831,Einheiten!$A$4:$A$63,0))=0,"",INDEX(Einheiten!$B$4:$B$63,MATCH($B831,Einheiten!$A$4:$A$63,0)))),"")</f>
        <v/>
      </c>
      <c r="B831" s="54"/>
      <c r="C831" s="73" t="str">
        <f aca="false">IFERROR(IF($D831="","",INDEX(Übungen!$B$4:$B$23,MATCH($D831,Übungen!$A$4:$A$23,0))),"")</f>
        <v/>
      </c>
      <c r="D831" s="56"/>
      <c r="E831" s="67"/>
      <c r="F831" s="55"/>
      <c r="G831" s="68"/>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2" t="str">
        <f aca="false">IFERROR(IF($B832="","",IF(INDEX(Einheiten!$B$4:$B$63,MATCH($B832,Einheiten!$A$4:$A$63,0))=0,"",INDEX(Einheiten!$B$4:$B$63,MATCH($B832,Einheiten!$A$4:$A$63,0)))),"")</f>
        <v/>
      </c>
      <c r="B832" s="54"/>
      <c r="C832" s="73" t="str">
        <f aca="false">IFERROR(IF($D832="","",INDEX(Übungen!$B$4:$B$23,MATCH($D832,Übungen!$A$4:$A$23,0))),"")</f>
        <v/>
      </c>
      <c r="D832" s="56"/>
      <c r="E832" s="67"/>
      <c r="F832" s="55"/>
      <c r="G832" s="68"/>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2" t="str">
        <f aca="false">IFERROR(IF($B833="","",IF(INDEX(Einheiten!$B$4:$B$63,MATCH($B833,Einheiten!$A$4:$A$63,0))=0,"",INDEX(Einheiten!$B$4:$B$63,MATCH($B833,Einheiten!$A$4:$A$63,0)))),"")</f>
        <v/>
      </c>
      <c r="B833" s="54"/>
      <c r="C833" s="73" t="str">
        <f aca="false">IFERROR(IF($D833="","",INDEX(Übungen!$B$4:$B$23,MATCH($D833,Übungen!$A$4:$A$23,0))),"")</f>
        <v/>
      </c>
      <c r="D833" s="56"/>
      <c r="E833" s="67"/>
      <c r="F833" s="55"/>
      <c r="G833" s="68"/>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2" t="str">
        <f aca="false">IFERROR(IF($B834="","",IF(INDEX(Einheiten!$B$4:$B$63,MATCH($B834,Einheiten!$A$4:$A$63,0))=0,"",INDEX(Einheiten!$B$4:$B$63,MATCH($B834,Einheiten!$A$4:$A$63,0)))),"")</f>
        <v/>
      </c>
      <c r="B834" s="54"/>
      <c r="C834" s="73" t="str">
        <f aca="false">IFERROR(IF($D834="","",INDEX(Übungen!$B$4:$B$23,MATCH($D834,Übungen!$A$4:$A$23,0))),"")</f>
        <v/>
      </c>
      <c r="D834" s="56"/>
      <c r="E834" s="67"/>
      <c r="F834" s="55"/>
      <c r="G834" s="68"/>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2" t="str">
        <f aca="false">IFERROR(IF($B835="","",IF(INDEX(Einheiten!$B$4:$B$63,MATCH($B835,Einheiten!$A$4:$A$63,0))=0,"",INDEX(Einheiten!$B$4:$B$63,MATCH($B835,Einheiten!$A$4:$A$63,0)))),"")</f>
        <v/>
      </c>
      <c r="B835" s="54"/>
      <c r="C835" s="73" t="str">
        <f aca="false">IFERROR(IF($D835="","",INDEX(Übungen!$B$4:$B$23,MATCH($D835,Übungen!$A$4:$A$23,0))),"")</f>
        <v/>
      </c>
      <c r="D835" s="56"/>
      <c r="E835" s="67"/>
      <c r="F835" s="55"/>
      <c r="G835" s="68"/>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2" t="str">
        <f aca="false">IFERROR(IF($B836="","",IF(INDEX(Einheiten!$B$4:$B$63,MATCH($B836,Einheiten!$A$4:$A$63,0))=0,"",INDEX(Einheiten!$B$4:$B$63,MATCH($B836,Einheiten!$A$4:$A$63,0)))),"")</f>
        <v/>
      </c>
      <c r="B836" s="54"/>
      <c r="C836" s="73" t="str">
        <f aca="false">IFERROR(IF($D836="","",INDEX(Übungen!$B$4:$B$23,MATCH($D836,Übungen!$A$4:$A$23,0))),"")</f>
        <v/>
      </c>
      <c r="D836" s="56"/>
      <c r="E836" s="67"/>
      <c r="F836" s="55"/>
      <c r="G836" s="68"/>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2" t="str">
        <f aca="false">IFERROR(IF($B837="","",IF(INDEX(Einheiten!$B$4:$B$63,MATCH($B837,Einheiten!$A$4:$A$63,0))=0,"",INDEX(Einheiten!$B$4:$B$63,MATCH($B837,Einheiten!$A$4:$A$63,0)))),"")</f>
        <v/>
      </c>
      <c r="B837" s="54"/>
      <c r="C837" s="73" t="str">
        <f aca="false">IFERROR(IF($D837="","",INDEX(Übungen!$B$4:$B$23,MATCH($D837,Übungen!$A$4:$A$23,0))),"")</f>
        <v/>
      </c>
      <c r="D837" s="56"/>
      <c r="E837" s="67"/>
      <c r="F837" s="55"/>
      <c r="G837" s="68"/>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2" t="str">
        <f aca="false">IFERROR(IF($B838="","",IF(INDEX(Einheiten!$B$4:$B$63,MATCH($B838,Einheiten!$A$4:$A$63,0))=0,"",INDEX(Einheiten!$B$4:$B$63,MATCH($B838,Einheiten!$A$4:$A$63,0)))),"")</f>
        <v/>
      </c>
      <c r="B838" s="54"/>
      <c r="C838" s="73" t="str">
        <f aca="false">IFERROR(IF($D838="","",INDEX(Übungen!$B$4:$B$23,MATCH($D838,Übungen!$A$4:$A$23,0))),"")</f>
        <v/>
      </c>
      <c r="D838" s="56"/>
      <c r="E838" s="67"/>
      <c r="F838" s="55"/>
      <c r="G838" s="68"/>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2" t="str">
        <f aca="false">IFERROR(IF($B839="","",IF(INDEX(Einheiten!$B$4:$B$63,MATCH($B839,Einheiten!$A$4:$A$63,0))=0,"",INDEX(Einheiten!$B$4:$B$63,MATCH($B839,Einheiten!$A$4:$A$63,0)))),"")</f>
        <v/>
      </c>
      <c r="B839" s="54"/>
      <c r="C839" s="73" t="str">
        <f aca="false">IFERROR(IF($D839="","",INDEX(Übungen!$B$4:$B$23,MATCH($D839,Übungen!$A$4:$A$23,0))),"")</f>
        <v/>
      </c>
      <c r="D839" s="56"/>
      <c r="E839" s="67"/>
      <c r="F839" s="55"/>
      <c r="G839" s="68"/>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2" t="str">
        <f aca="false">IFERROR(IF($B840="","",IF(INDEX(Einheiten!$B$4:$B$63,MATCH($B840,Einheiten!$A$4:$A$63,0))=0,"",INDEX(Einheiten!$B$4:$B$63,MATCH($B840,Einheiten!$A$4:$A$63,0)))),"")</f>
        <v/>
      </c>
      <c r="B840" s="54"/>
      <c r="C840" s="73" t="str">
        <f aca="false">IFERROR(IF($D840="","",INDEX(Übungen!$B$4:$B$23,MATCH($D840,Übungen!$A$4:$A$23,0))),"")</f>
        <v/>
      </c>
      <c r="D840" s="56"/>
      <c r="E840" s="67"/>
      <c r="F840" s="55"/>
      <c r="G840" s="68"/>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2" t="str">
        <f aca="false">IFERROR(IF($B841="","",IF(INDEX(Einheiten!$B$4:$B$63,MATCH($B841,Einheiten!$A$4:$A$63,0))=0,"",INDEX(Einheiten!$B$4:$B$63,MATCH($B841,Einheiten!$A$4:$A$63,0)))),"")</f>
        <v/>
      </c>
      <c r="B841" s="54"/>
      <c r="C841" s="73" t="str">
        <f aca="false">IFERROR(IF($D841="","",INDEX(Übungen!$B$4:$B$23,MATCH($D841,Übungen!$A$4:$A$23,0))),"")</f>
        <v/>
      </c>
      <c r="D841" s="56"/>
      <c r="E841" s="67"/>
      <c r="F841" s="55"/>
      <c r="G841" s="68"/>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2" t="str">
        <f aca="false">IFERROR(IF($B842="","",IF(INDEX(Einheiten!$B$4:$B$63,MATCH($B842,Einheiten!$A$4:$A$63,0))=0,"",INDEX(Einheiten!$B$4:$B$63,MATCH($B842,Einheiten!$A$4:$A$63,0)))),"")</f>
        <v/>
      </c>
      <c r="B842" s="54"/>
      <c r="C842" s="73" t="str">
        <f aca="false">IFERROR(IF($D842="","",INDEX(Übungen!$B$4:$B$23,MATCH($D842,Übungen!$A$4:$A$23,0))),"")</f>
        <v/>
      </c>
      <c r="D842" s="56"/>
      <c r="E842" s="67"/>
      <c r="F842" s="55"/>
      <c r="G842" s="68"/>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2" t="str">
        <f aca="false">IFERROR(IF($B843="","",IF(INDEX(Einheiten!$B$4:$B$63,MATCH($B843,Einheiten!$A$4:$A$63,0))=0,"",INDEX(Einheiten!$B$4:$B$63,MATCH($B843,Einheiten!$A$4:$A$63,0)))),"")</f>
        <v/>
      </c>
      <c r="B843" s="54"/>
      <c r="C843" s="73" t="str">
        <f aca="false">IFERROR(IF($D843="","",INDEX(Übungen!$B$4:$B$23,MATCH($D843,Übungen!$A$4:$A$23,0))),"")</f>
        <v/>
      </c>
      <c r="D843" s="56"/>
      <c r="E843" s="67"/>
      <c r="F843" s="55"/>
      <c r="G843" s="68"/>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2" t="str">
        <f aca="false">IFERROR(IF($B844="","",IF(INDEX(Einheiten!$B$4:$B$63,MATCH($B844,Einheiten!$A$4:$A$63,0))=0,"",INDEX(Einheiten!$B$4:$B$63,MATCH($B844,Einheiten!$A$4:$A$63,0)))),"")</f>
        <v/>
      </c>
      <c r="B844" s="54"/>
      <c r="C844" s="73" t="str">
        <f aca="false">IFERROR(IF($D844="","",INDEX(Übungen!$B$4:$B$23,MATCH($D844,Übungen!$A$4:$A$23,0))),"")</f>
        <v/>
      </c>
      <c r="D844" s="56"/>
      <c r="E844" s="67"/>
      <c r="F844" s="55"/>
      <c r="G844" s="68"/>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2" t="str">
        <f aca="false">IFERROR(IF($B845="","",IF(INDEX(Einheiten!$B$4:$B$63,MATCH($B845,Einheiten!$A$4:$A$63,0))=0,"",INDEX(Einheiten!$B$4:$B$63,MATCH($B845,Einheiten!$A$4:$A$63,0)))),"")</f>
        <v/>
      </c>
      <c r="B845" s="54"/>
      <c r="C845" s="73" t="str">
        <f aca="false">IFERROR(IF($D845="","",INDEX(Übungen!$B$4:$B$23,MATCH($D845,Übungen!$A$4:$A$23,0))),"")</f>
        <v/>
      </c>
      <c r="D845" s="56"/>
      <c r="E845" s="67"/>
      <c r="F845" s="55"/>
      <c r="G845" s="68"/>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2" t="str">
        <f aca="false">IFERROR(IF($B846="","",IF(INDEX(Einheiten!$B$4:$B$63,MATCH($B846,Einheiten!$A$4:$A$63,0))=0,"",INDEX(Einheiten!$B$4:$B$63,MATCH($B846,Einheiten!$A$4:$A$63,0)))),"")</f>
        <v/>
      </c>
      <c r="B846" s="54"/>
      <c r="C846" s="73" t="str">
        <f aca="false">IFERROR(IF($D846="","",INDEX(Übungen!$B$4:$B$23,MATCH($D846,Übungen!$A$4:$A$23,0))),"")</f>
        <v/>
      </c>
      <c r="D846" s="56"/>
      <c r="E846" s="67"/>
      <c r="F846" s="55"/>
      <c r="G846" s="68"/>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2" t="str">
        <f aca="false">IFERROR(IF($B847="","",IF(INDEX(Einheiten!$B$4:$B$63,MATCH($B847,Einheiten!$A$4:$A$63,0))=0,"",INDEX(Einheiten!$B$4:$B$63,MATCH($B847,Einheiten!$A$4:$A$63,0)))),"")</f>
        <v/>
      </c>
      <c r="B847" s="54"/>
      <c r="C847" s="73" t="str">
        <f aca="false">IFERROR(IF($D847="","",INDEX(Übungen!$B$4:$B$23,MATCH($D847,Übungen!$A$4:$A$23,0))),"")</f>
        <v/>
      </c>
      <c r="D847" s="56"/>
      <c r="E847" s="67"/>
      <c r="F847" s="55"/>
      <c r="G847" s="68"/>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2" t="str">
        <f aca="false">IFERROR(IF($B848="","",IF(INDEX(Einheiten!$B$4:$B$63,MATCH($B848,Einheiten!$A$4:$A$63,0))=0,"",INDEX(Einheiten!$B$4:$B$63,MATCH($B848,Einheiten!$A$4:$A$63,0)))),"")</f>
        <v/>
      </c>
      <c r="B848" s="54"/>
      <c r="C848" s="73" t="str">
        <f aca="false">IFERROR(IF($D848="","",INDEX(Übungen!$B$4:$B$23,MATCH($D848,Übungen!$A$4:$A$23,0))),"")</f>
        <v/>
      </c>
      <c r="D848" s="56"/>
      <c r="E848" s="67"/>
      <c r="F848" s="55"/>
      <c r="G848" s="68"/>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2" t="str">
        <f aca="false">IFERROR(IF($B849="","",IF(INDEX(Einheiten!$B$4:$B$63,MATCH($B849,Einheiten!$A$4:$A$63,0))=0,"",INDEX(Einheiten!$B$4:$B$63,MATCH($B849,Einheiten!$A$4:$A$63,0)))),"")</f>
        <v/>
      </c>
      <c r="B849" s="54"/>
      <c r="C849" s="73" t="str">
        <f aca="false">IFERROR(IF($D849="","",INDEX(Übungen!$B$4:$B$23,MATCH($D849,Übungen!$A$4:$A$23,0))),"")</f>
        <v/>
      </c>
      <c r="D849" s="56"/>
      <c r="E849" s="67"/>
      <c r="F849" s="55"/>
      <c r="G849" s="68"/>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2" t="str">
        <f aca="false">IFERROR(IF($B850="","",IF(INDEX(Einheiten!$B$4:$B$63,MATCH($B850,Einheiten!$A$4:$A$63,0))=0,"",INDEX(Einheiten!$B$4:$B$63,MATCH($B850,Einheiten!$A$4:$A$63,0)))),"")</f>
        <v/>
      </c>
      <c r="B850" s="54"/>
      <c r="C850" s="73" t="str">
        <f aca="false">IFERROR(IF($D850="","",INDEX(Übungen!$B$4:$B$23,MATCH($D850,Übungen!$A$4:$A$23,0))),"")</f>
        <v/>
      </c>
      <c r="D850" s="56"/>
      <c r="E850" s="67"/>
      <c r="F850" s="55"/>
      <c r="G850" s="68"/>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2" t="str">
        <f aca="false">IFERROR(IF($B851="","",IF(INDEX(Einheiten!$B$4:$B$63,MATCH($B851,Einheiten!$A$4:$A$63,0))=0,"",INDEX(Einheiten!$B$4:$B$63,MATCH($B851,Einheiten!$A$4:$A$63,0)))),"")</f>
        <v/>
      </c>
      <c r="B851" s="54"/>
      <c r="C851" s="73" t="str">
        <f aca="false">IFERROR(IF($D851="","",INDEX(Übungen!$B$4:$B$23,MATCH($D851,Übungen!$A$4:$A$23,0))),"")</f>
        <v/>
      </c>
      <c r="D851" s="56"/>
      <c r="E851" s="67"/>
      <c r="F851" s="55"/>
      <c r="G851" s="68"/>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2" t="str">
        <f aca="false">IFERROR(IF($B852="","",IF(INDEX(Einheiten!$B$4:$B$63,MATCH($B852,Einheiten!$A$4:$A$63,0))=0,"",INDEX(Einheiten!$B$4:$B$63,MATCH($B852,Einheiten!$A$4:$A$63,0)))),"")</f>
        <v/>
      </c>
      <c r="B852" s="54"/>
      <c r="C852" s="73" t="str">
        <f aca="false">IFERROR(IF($D852="","",INDEX(Übungen!$B$4:$B$23,MATCH($D852,Übungen!$A$4:$A$23,0))),"")</f>
        <v/>
      </c>
      <c r="D852" s="56"/>
      <c r="E852" s="67"/>
      <c r="F852" s="55"/>
      <c r="G852" s="68"/>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2" t="str">
        <f aca="false">IFERROR(IF($B853="","",IF(INDEX(Einheiten!$B$4:$B$63,MATCH($B853,Einheiten!$A$4:$A$63,0))=0,"",INDEX(Einheiten!$B$4:$B$63,MATCH($B853,Einheiten!$A$4:$A$63,0)))),"")</f>
        <v/>
      </c>
      <c r="B853" s="54"/>
      <c r="C853" s="73" t="str">
        <f aca="false">IFERROR(IF($D853="","",INDEX(Übungen!$B$4:$B$23,MATCH($D853,Übungen!$A$4:$A$23,0))),"")</f>
        <v/>
      </c>
      <c r="D853" s="56"/>
      <c r="E853" s="67"/>
      <c r="F853" s="55"/>
      <c r="G853" s="68"/>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2" t="str">
        <f aca="false">IFERROR(IF($B854="","",IF(INDEX(Einheiten!$B$4:$B$63,MATCH($B854,Einheiten!$A$4:$A$63,0))=0,"",INDEX(Einheiten!$B$4:$B$63,MATCH($B854,Einheiten!$A$4:$A$63,0)))),"")</f>
        <v/>
      </c>
      <c r="B854" s="54"/>
      <c r="C854" s="73" t="str">
        <f aca="false">IFERROR(IF($D854="","",INDEX(Übungen!$B$4:$B$23,MATCH($D854,Übungen!$A$4:$A$23,0))),"")</f>
        <v/>
      </c>
      <c r="D854" s="56"/>
      <c r="E854" s="67"/>
      <c r="F854" s="55"/>
      <c r="G854" s="68"/>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2" t="str">
        <f aca="false">IFERROR(IF($B855="","",IF(INDEX(Einheiten!$B$4:$B$63,MATCH($B855,Einheiten!$A$4:$A$63,0))=0,"",INDEX(Einheiten!$B$4:$B$63,MATCH($B855,Einheiten!$A$4:$A$63,0)))),"")</f>
        <v/>
      </c>
      <c r="B855" s="54"/>
      <c r="C855" s="73" t="str">
        <f aca="false">IFERROR(IF($D855="","",INDEX(Übungen!$B$4:$B$23,MATCH($D855,Übungen!$A$4:$A$23,0))),"")</f>
        <v/>
      </c>
      <c r="D855" s="56"/>
      <c r="E855" s="67"/>
      <c r="F855" s="55"/>
      <c r="G855" s="68"/>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2" t="str">
        <f aca="false">IFERROR(IF($B856="","",IF(INDEX(Einheiten!$B$4:$B$63,MATCH($B856,Einheiten!$A$4:$A$63,0))=0,"",INDEX(Einheiten!$B$4:$B$63,MATCH($B856,Einheiten!$A$4:$A$63,0)))),"")</f>
        <v/>
      </c>
      <c r="B856" s="54"/>
      <c r="C856" s="73" t="str">
        <f aca="false">IFERROR(IF($D856="","",INDEX(Übungen!$B$4:$B$23,MATCH($D856,Übungen!$A$4:$A$23,0))),"")</f>
        <v/>
      </c>
      <c r="D856" s="56"/>
      <c r="E856" s="67"/>
      <c r="F856" s="55"/>
      <c r="G856" s="68"/>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2" t="str">
        <f aca="false">IFERROR(IF($B857="","",IF(INDEX(Einheiten!$B$4:$B$63,MATCH($B857,Einheiten!$A$4:$A$63,0))=0,"",INDEX(Einheiten!$B$4:$B$63,MATCH($B857,Einheiten!$A$4:$A$63,0)))),"")</f>
        <v/>
      </c>
      <c r="B857" s="54"/>
      <c r="C857" s="73" t="str">
        <f aca="false">IFERROR(IF($D857="","",INDEX(Übungen!$B$4:$B$23,MATCH($D857,Übungen!$A$4:$A$23,0))),"")</f>
        <v/>
      </c>
      <c r="D857" s="56"/>
      <c r="E857" s="67"/>
      <c r="F857" s="55"/>
      <c r="G857" s="68"/>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2" t="str">
        <f aca="false">IFERROR(IF($B858="","",IF(INDEX(Einheiten!$B$4:$B$63,MATCH($B858,Einheiten!$A$4:$A$63,0))=0,"",INDEX(Einheiten!$B$4:$B$63,MATCH($B858,Einheiten!$A$4:$A$63,0)))),"")</f>
        <v/>
      </c>
      <c r="B858" s="54"/>
      <c r="C858" s="73" t="str">
        <f aca="false">IFERROR(IF($D858="","",INDEX(Übungen!$B$4:$B$23,MATCH($D858,Übungen!$A$4:$A$23,0))),"")</f>
        <v/>
      </c>
      <c r="D858" s="56"/>
      <c r="E858" s="67"/>
      <c r="F858" s="55"/>
      <c r="G858" s="68"/>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2" t="str">
        <f aca="false">IFERROR(IF($B859="","",IF(INDEX(Einheiten!$B$4:$B$63,MATCH($B859,Einheiten!$A$4:$A$63,0))=0,"",INDEX(Einheiten!$B$4:$B$63,MATCH($B859,Einheiten!$A$4:$A$63,0)))),"")</f>
        <v/>
      </c>
      <c r="B859" s="54"/>
      <c r="C859" s="73" t="str">
        <f aca="false">IFERROR(IF($D859="","",INDEX(Übungen!$B$4:$B$23,MATCH($D859,Übungen!$A$4:$A$23,0))),"")</f>
        <v/>
      </c>
      <c r="D859" s="56"/>
      <c r="E859" s="67"/>
      <c r="F859" s="55"/>
      <c r="G859" s="68"/>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2" t="str">
        <f aca="false">IFERROR(IF($B860="","",IF(INDEX(Einheiten!$B$4:$B$63,MATCH($B860,Einheiten!$A$4:$A$63,0))=0,"",INDEX(Einheiten!$B$4:$B$63,MATCH($B860,Einheiten!$A$4:$A$63,0)))),"")</f>
        <v/>
      </c>
      <c r="B860" s="54"/>
      <c r="C860" s="73" t="str">
        <f aca="false">IFERROR(IF($D860="","",INDEX(Übungen!$B$4:$B$23,MATCH($D860,Übungen!$A$4:$A$23,0))),"")</f>
        <v/>
      </c>
      <c r="D860" s="56"/>
      <c r="E860" s="67"/>
      <c r="F860" s="55"/>
      <c r="G860" s="68"/>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2" t="str">
        <f aca="false">IFERROR(IF($B861="","",IF(INDEX(Einheiten!$B$4:$B$63,MATCH($B861,Einheiten!$A$4:$A$63,0))=0,"",INDEX(Einheiten!$B$4:$B$63,MATCH($B861,Einheiten!$A$4:$A$63,0)))),"")</f>
        <v/>
      </c>
      <c r="B861" s="54"/>
      <c r="C861" s="73" t="str">
        <f aca="false">IFERROR(IF($D861="","",INDEX(Übungen!$B$4:$B$23,MATCH($D861,Übungen!$A$4:$A$23,0))),"")</f>
        <v/>
      </c>
      <c r="D861" s="56"/>
      <c r="E861" s="67"/>
      <c r="F861" s="55"/>
      <c r="G861" s="68"/>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2" t="str">
        <f aca="false">IFERROR(IF($B862="","",IF(INDEX(Einheiten!$B$4:$B$63,MATCH($B862,Einheiten!$A$4:$A$63,0))=0,"",INDEX(Einheiten!$B$4:$B$63,MATCH($B862,Einheiten!$A$4:$A$63,0)))),"")</f>
        <v/>
      </c>
      <c r="B862" s="54"/>
      <c r="C862" s="73" t="str">
        <f aca="false">IFERROR(IF($D862="","",INDEX(Übungen!$B$4:$B$23,MATCH($D862,Übungen!$A$4:$A$23,0))),"")</f>
        <v/>
      </c>
      <c r="D862" s="56"/>
      <c r="E862" s="67"/>
      <c r="F862" s="55"/>
      <c r="G862" s="68"/>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2" t="str">
        <f aca="false">IFERROR(IF($B863="","",IF(INDEX(Einheiten!$B$4:$B$63,MATCH($B863,Einheiten!$A$4:$A$63,0))=0,"",INDEX(Einheiten!$B$4:$B$63,MATCH($B863,Einheiten!$A$4:$A$63,0)))),"")</f>
        <v/>
      </c>
      <c r="B863" s="54"/>
      <c r="C863" s="73" t="str">
        <f aca="false">IFERROR(IF($D863="","",INDEX(Übungen!$B$4:$B$23,MATCH($D863,Übungen!$A$4:$A$23,0))),"")</f>
        <v/>
      </c>
      <c r="D863" s="56"/>
      <c r="E863" s="67"/>
      <c r="F863" s="55"/>
      <c r="G863" s="68"/>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2" t="str">
        <f aca="false">IFERROR(IF($B864="","",IF(INDEX(Einheiten!$B$4:$B$63,MATCH($B864,Einheiten!$A$4:$A$63,0))=0,"",INDEX(Einheiten!$B$4:$B$63,MATCH($B864,Einheiten!$A$4:$A$63,0)))),"")</f>
        <v/>
      </c>
      <c r="B864" s="54"/>
      <c r="C864" s="73" t="str">
        <f aca="false">IFERROR(IF($D864="","",INDEX(Übungen!$B$4:$B$23,MATCH($D864,Übungen!$A$4:$A$23,0))),"")</f>
        <v/>
      </c>
      <c r="D864" s="56"/>
      <c r="E864" s="67"/>
      <c r="F864" s="55"/>
      <c r="G864" s="68"/>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2" t="str">
        <f aca="false">IFERROR(IF($B865="","",IF(INDEX(Einheiten!$B$4:$B$63,MATCH($B865,Einheiten!$A$4:$A$63,0))=0,"",INDEX(Einheiten!$B$4:$B$63,MATCH($B865,Einheiten!$A$4:$A$63,0)))),"")</f>
        <v/>
      </c>
      <c r="B865" s="54"/>
      <c r="C865" s="73" t="str">
        <f aca="false">IFERROR(IF($D865="","",INDEX(Übungen!$B$4:$B$23,MATCH($D865,Übungen!$A$4:$A$23,0))),"")</f>
        <v/>
      </c>
      <c r="D865" s="56"/>
      <c r="E865" s="67"/>
      <c r="F865" s="55"/>
      <c r="G865" s="68"/>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2" t="str">
        <f aca="false">IFERROR(IF($B866="","",IF(INDEX(Einheiten!$B$4:$B$63,MATCH($B866,Einheiten!$A$4:$A$63,0))=0,"",INDEX(Einheiten!$B$4:$B$63,MATCH($B866,Einheiten!$A$4:$A$63,0)))),"")</f>
        <v/>
      </c>
      <c r="B866" s="54"/>
      <c r="C866" s="73" t="str">
        <f aca="false">IFERROR(IF($D866="","",INDEX(Übungen!$B$4:$B$23,MATCH($D866,Übungen!$A$4:$A$23,0))),"")</f>
        <v/>
      </c>
      <c r="D866" s="56"/>
      <c r="E866" s="67"/>
      <c r="F866" s="55"/>
      <c r="G866" s="68"/>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2" t="str">
        <f aca="false">IFERROR(IF($B867="","",IF(INDEX(Einheiten!$B$4:$B$63,MATCH($B867,Einheiten!$A$4:$A$63,0))=0,"",INDEX(Einheiten!$B$4:$B$63,MATCH($B867,Einheiten!$A$4:$A$63,0)))),"")</f>
        <v/>
      </c>
      <c r="B867" s="54"/>
      <c r="C867" s="73" t="str">
        <f aca="false">IFERROR(IF($D867="","",INDEX(Übungen!$B$4:$B$23,MATCH($D867,Übungen!$A$4:$A$23,0))),"")</f>
        <v/>
      </c>
      <c r="D867" s="56"/>
      <c r="E867" s="67"/>
      <c r="F867" s="55"/>
      <c r="G867" s="68"/>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2" t="str">
        <f aca="false">IFERROR(IF($B868="","",IF(INDEX(Einheiten!$B$4:$B$63,MATCH($B868,Einheiten!$A$4:$A$63,0))=0,"",INDEX(Einheiten!$B$4:$B$63,MATCH($B868,Einheiten!$A$4:$A$63,0)))),"")</f>
        <v/>
      </c>
      <c r="B868" s="54"/>
      <c r="C868" s="73" t="str">
        <f aca="false">IFERROR(IF($D868="","",INDEX(Übungen!$B$4:$B$23,MATCH($D868,Übungen!$A$4:$A$23,0))),"")</f>
        <v/>
      </c>
      <c r="D868" s="56"/>
      <c r="E868" s="67"/>
      <c r="F868" s="55"/>
      <c r="G868" s="68"/>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2" t="str">
        <f aca="false">IFERROR(IF($B869="","",IF(INDEX(Einheiten!$B$4:$B$63,MATCH($B869,Einheiten!$A$4:$A$63,0))=0,"",INDEX(Einheiten!$B$4:$B$63,MATCH($B869,Einheiten!$A$4:$A$63,0)))),"")</f>
        <v/>
      </c>
      <c r="B869" s="54"/>
      <c r="C869" s="73" t="str">
        <f aca="false">IFERROR(IF($D869="","",INDEX(Übungen!$B$4:$B$23,MATCH($D869,Übungen!$A$4:$A$23,0))),"")</f>
        <v/>
      </c>
      <c r="D869" s="56"/>
      <c r="E869" s="67"/>
      <c r="F869" s="55"/>
      <c r="G869" s="68"/>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2" t="str">
        <f aca="false">IFERROR(IF($B870="","",IF(INDEX(Einheiten!$B$4:$B$63,MATCH($B870,Einheiten!$A$4:$A$63,0))=0,"",INDEX(Einheiten!$B$4:$B$63,MATCH($B870,Einheiten!$A$4:$A$63,0)))),"")</f>
        <v/>
      </c>
      <c r="B870" s="54"/>
      <c r="C870" s="73" t="str">
        <f aca="false">IFERROR(IF($D870="","",INDEX(Übungen!$B$4:$B$23,MATCH($D870,Übungen!$A$4:$A$23,0))),"")</f>
        <v/>
      </c>
      <c r="D870" s="56"/>
      <c r="E870" s="67"/>
      <c r="F870" s="55"/>
      <c r="G870" s="68"/>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2" t="str">
        <f aca="false">IFERROR(IF($B871="","",IF(INDEX(Einheiten!$B$4:$B$63,MATCH($B871,Einheiten!$A$4:$A$63,0))=0,"",INDEX(Einheiten!$B$4:$B$63,MATCH($B871,Einheiten!$A$4:$A$63,0)))),"")</f>
        <v/>
      </c>
      <c r="B871" s="54"/>
      <c r="C871" s="73" t="str">
        <f aca="false">IFERROR(IF($D871="","",INDEX(Übungen!$B$4:$B$23,MATCH($D871,Übungen!$A$4:$A$23,0))),"")</f>
        <v/>
      </c>
      <c r="D871" s="56"/>
      <c r="E871" s="67"/>
      <c r="F871" s="55"/>
      <c r="G871" s="68"/>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2" t="str">
        <f aca="false">IFERROR(IF($B872="","",IF(INDEX(Einheiten!$B$4:$B$63,MATCH($B872,Einheiten!$A$4:$A$63,0))=0,"",INDEX(Einheiten!$B$4:$B$63,MATCH($B872,Einheiten!$A$4:$A$63,0)))),"")</f>
        <v/>
      </c>
      <c r="B872" s="54"/>
      <c r="C872" s="73" t="str">
        <f aca="false">IFERROR(IF($D872="","",INDEX(Übungen!$B$4:$B$23,MATCH($D872,Übungen!$A$4:$A$23,0))),"")</f>
        <v/>
      </c>
      <c r="D872" s="56"/>
      <c r="E872" s="67"/>
      <c r="F872" s="55"/>
      <c r="G872" s="68"/>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2" t="str">
        <f aca="false">IFERROR(IF($B873="","",IF(INDEX(Einheiten!$B$4:$B$63,MATCH($B873,Einheiten!$A$4:$A$63,0))=0,"",INDEX(Einheiten!$B$4:$B$63,MATCH($B873,Einheiten!$A$4:$A$63,0)))),"")</f>
        <v/>
      </c>
      <c r="B873" s="54"/>
      <c r="C873" s="73" t="str">
        <f aca="false">IFERROR(IF($D873="","",INDEX(Übungen!$B$4:$B$23,MATCH($D873,Übungen!$A$4:$A$23,0))),"")</f>
        <v/>
      </c>
      <c r="D873" s="56"/>
      <c r="E873" s="67"/>
      <c r="F873" s="55"/>
      <c r="G873" s="68"/>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2" t="str">
        <f aca="false">IFERROR(IF($B874="","",IF(INDEX(Einheiten!$B$4:$B$63,MATCH($B874,Einheiten!$A$4:$A$63,0))=0,"",INDEX(Einheiten!$B$4:$B$63,MATCH($B874,Einheiten!$A$4:$A$63,0)))),"")</f>
        <v/>
      </c>
      <c r="B874" s="54"/>
      <c r="C874" s="73" t="str">
        <f aca="false">IFERROR(IF($D874="","",INDEX(Übungen!$B$4:$B$23,MATCH($D874,Übungen!$A$4:$A$23,0))),"")</f>
        <v/>
      </c>
      <c r="D874" s="56"/>
      <c r="E874" s="67"/>
      <c r="F874" s="55"/>
      <c r="G874" s="68"/>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2" t="str">
        <f aca="false">IFERROR(IF($B875="","",IF(INDEX(Einheiten!$B$4:$B$63,MATCH($B875,Einheiten!$A$4:$A$63,0))=0,"",INDEX(Einheiten!$B$4:$B$63,MATCH($B875,Einheiten!$A$4:$A$63,0)))),"")</f>
        <v/>
      </c>
      <c r="B875" s="54"/>
      <c r="C875" s="73" t="str">
        <f aca="false">IFERROR(IF($D875="","",INDEX(Übungen!$B$4:$B$23,MATCH($D875,Übungen!$A$4:$A$23,0))),"")</f>
        <v/>
      </c>
      <c r="D875" s="56"/>
      <c r="E875" s="67"/>
      <c r="F875" s="55"/>
      <c r="G875" s="68"/>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2" t="str">
        <f aca="false">IFERROR(IF($B876="","",IF(INDEX(Einheiten!$B$4:$B$63,MATCH($B876,Einheiten!$A$4:$A$63,0))=0,"",INDEX(Einheiten!$B$4:$B$63,MATCH($B876,Einheiten!$A$4:$A$63,0)))),"")</f>
        <v/>
      </c>
      <c r="B876" s="54"/>
      <c r="C876" s="73" t="str">
        <f aca="false">IFERROR(IF($D876="","",INDEX(Übungen!$B$4:$B$23,MATCH($D876,Übungen!$A$4:$A$23,0))),"")</f>
        <v/>
      </c>
      <c r="D876" s="56"/>
      <c r="E876" s="67"/>
      <c r="F876" s="55"/>
      <c r="G876" s="68"/>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2" t="str">
        <f aca="false">IFERROR(IF($B877="","",IF(INDEX(Einheiten!$B$4:$B$63,MATCH($B877,Einheiten!$A$4:$A$63,0))=0,"",INDEX(Einheiten!$B$4:$B$63,MATCH($B877,Einheiten!$A$4:$A$63,0)))),"")</f>
        <v/>
      </c>
      <c r="B877" s="54"/>
      <c r="C877" s="73" t="str">
        <f aca="false">IFERROR(IF($D877="","",INDEX(Übungen!$B$4:$B$23,MATCH($D877,Übungen!$A$4:$A$23,0))),"")</f>
        <v/>
      </c>
      <c r="D877" s="56"/>
      <c r="E877" s="67"/>
      <c r="F877" s="55"/>
      <c r="G877" s="68"/>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2" t="str">
        <f aca="false">IFERROR(IF($B878="","",IF(INDEX(Einheiten!$B$4:$B$63,MATCH($B878,Einheiten!$A$4:$A$63,0))=0,"",INDEX(Einheiten!$B$4:$B$63,MATCH($B878,Einheiten!$A$4:$A$63,0)))),"")</f>
        <v/>
      </c>
      <c r="B878" s="54"/>
      <c r="C878" s="73" t="str">
        <f aca="false">IFERROR(IF($D878="","",INDEX(Übungen!$B$4:$B$23,MATCH($D878,Übungen!$A$4:$A$23,0))),"")</f>
        <v/>
      </c>
      <c r="D878" s="56"/>
      <c r="E878" s="67"/>
      <c r="F878" s="55"/>
      <c r="G878" s="68"/>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2" t="str">
        <f aca="false">IFERROR(IF($B879="","",IF(INDEX(Einheiten!$B$4:$B$63,MATCH($B879,Einheiten!$A$4:$A$63,0))=0,"",INDEX(Einheiten!$B$4:$B$63,MATCH($B879,Einheiten!$A$4:$A$63,0)))),"")</f>
        <v/>
      </c>
      <c r="B879" s="54"/>
      <c r="C879" s="73" t="str">
        <f aca="false">IFERROR(IF($D879="","",INDEX(Übungen!$B$4:$B$23,MATCH($D879,Übungen!$A$4:$A$23,0))),"")</f>
        <v/>
      </c>
      <c r="D879" s="56"/>
      <c r="E879" s="67"/>
      <c r="F879" s="55"/>
      <c r="G879" s="68"/>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2" t="str">
        <f aca="false">IFERROR(IF($B880="","",IF(INDEX(Einheiten!$B$4:$B$63,MATCH($B880,Einheiten!$A$4:$A$63,0))=0,"",INDEX(Einheiten!$B$4:$B$63,MATCH($B880,Einheiten!$A$4:$A$63,0)))),"")</f>
        <v/>
      </c>
      <c r="B880" s="54"/>
      <c r="C880" s="73" t="str">
        <f aca="false">IFERROR(IF($D880="","",INDEX(Übungen!$B$4:$B$23,MATCH($D880,Übungen!$A$4:$A$23,0))),"")</f>
        <v/>
      </c>
      <c r="D880" s="56"/>
      <c r="E880" s="67"/>
      <c r="F880" s="55"/>
      <c r="G880" s="68"/>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2" t="str">
        <f aca="false">IFERROR(IF($B881="","",IF(INDEX(Einheiten!$B$4:$B$63,MATCH($B881,Einheiten!$A$4:$A$63,0))=0,"",INDEX(Einheiten!$B$4:$B$63,MATCH($B881,Einheiten!$A$4:$A$63,0)))),"")</f>
        <v/>
      </c>
      <c r="B881" s="54"/>
      <c r="C881" s="73" t="str">
        <f aca="false">IFERROR(IF($D881="","",INDEX(Übungen!$B$4:$B$23,MATCH($D881,Übungen!$A$4:$A$23,0))),"")</f>
        <v/>
      </c>
      <c r="D881" s="56"/>
      <c r="E881" s="67"/>
      <c r="F881" s="55"/>
      <c r="G881" s="68"/>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2" t="str">
        <f aca="false">IFERROR(IF($B882="","",IF(INDEX(Einheiten!$B$4:$B$63,MATCH($B882,Einheiten!$A$4:$A$63,0))=0,"",INDEX(Einheiten!$B$4:$B$63,MATCH($B882,Einheiten!$A$4:$A$63,0)))),"")</f>
        <v/>
      </c>
      <c r="B882" s="54"/>
      <c r="C882" s="73" t="str">
        <f aca="false">IFERROR(IF($D882="","",INDEX(Übungen!$B$4:$B$23,MATCH($D882,Übungen!$A$4:$A$23,0))),"")</f>
        <v/>
      </c>
      <c r="D882" s="56"/>
      <c r="E882" s="67"/>
      <c r="F882" s="55"/>
      <c r="G882" s="68"/>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2" t="str">
        <f aca="false">IFERROR(IF($B883="","",IF(INDEX(Einheiten!$B$4:$B$63,MATCH($B883,Einheiten!$A$4:$A$63,0))=0,"",INDEX(Einheiten!$B$4:$B$63,MATCH($B883,Einheiten!$A$4:$A$63,0)))),"")</f>
        <v/>
      </c>
      <c r="B883" s="54"/>
      <c r="C883" s="73" t="str">
        <f aca="false">IFERROR(IF($D883="","",INDEX(Übungen!$B$4:$B$23,MATCH($D883,Übungen!$A$4:$A$23,0))),"")</f>
        <v/>
      </c>
      <c r="D883" s="56"/>
      <c r="E883" s="67"/>
      <c r="F883" s="55"/>
      <c r="G883" s="68"/>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2" t="str">
        <f aca="false">IFERROR(IF($B884="","",IF(INDEX(Einheiten!$B$4:$B$63,MATCH($B884,Einheiten!$A$4:$A$63,0))=0,"",INDEX(Einheiten!$B$4:$B$63,MATCH($B884,Einheiten!$A$4:$A$63,0)))),"")</f>
        <v/>
      </c>
      <c r="B884" s="54"/>
      <c r="C884" s="73" t="str">
        <f aca="false">IFERROR(IF($D884="","",INDEX(Übungen!$B$4:$B$23,MATCH($D884,Übungen!$A$4:$A$23,0))),"")</f>
        <v/>
      </c>
      <c r="D884" s="56"/>
      <c r="E884" s="67"/>
      <c r="F884" s="55"/>
      <c r="G884" s="68"/>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2" t="str">
        <f aca="false">IFERROR(IF($B885="","",IF(INDEX(Einheiten!$B$4:$B$63,MATCH($B885,Einheiten!$A$4:$A$63,0))=0,"",INDEX(Einheiten!$B$4:$B$63,MATCH($B885,Einheiten!$A$4:$A$63,0)))),"")</f>
        <v/>
      </c>
      <c r="B885" s="54"/>
      <c r="C885" s="73" t="str">
        <f aca="false">IFERROR(IF($D885="","",INDEX(Übungen!$B$4:$B$23,MATCH($D885,Übungen!$A$4:$A$23,0))),"")</f>
        <v/>
      </c>
      <c r="D885" s="56"/>
      <c r="E885" s="67"/>
      <c r="F885" s="55"/>
      <c r="G885" s="68"/>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2" t="str">
        <f aca="false">IFERROR(IF($B886="","",IF(INDEX(Einheiten!$B$4:$B$63,MATCH($B886,Einheiten!$A$4:$A$63,0))=0,"",INDEX(Einheiten!$B$4:$B$63,MATCH($B886,Einheiten!$A$4:$A$63,0)))),"")</f>
        <v/>
      </c>
      <c r="B886" s="54"/>
      <c r="C886" s="73" t="str">
        <f aca="false">IFERROR(IF($D886="","",INDEX(Übungen!$B$4:$B$23,MATCH($D886,Übungen!$A$4:$A$23,0))),"")</f>
        <v/>
      </c>
      <c r="D886" s="56"/>
      <c r="E886" s="67"/>
      <c r="F886" s="55"/>
      <c r="G886" s="68"/>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2" t="str">
        <f aca="false">IFERROR(IF($B887="","",IF(INDEX(Einheiten!$B$4:$B$63,MATCH($B887,Einheiten!$A$4:$A$63,0))=0,"",INDEX(Einheiten!$B$4:$B$63,MATCH($B887,Einheiten!$A$4:$A$63,0)))),"")</f>
        <v/>
      </c>
      <c r="B887" s="54"/>
      <c r="C887" s="73" t="str">
        <f aca="false">IFERROR(IF($D887="","",INDEX(Übungen!$B$4:$B$23,MATCH($D887,Übungen!$A$4:$A$23,0))),"")</f>
        <v/>
      </c>
      <c r="D887" s="56"/>
      <c r="E887" s="67"/>
      <c r="F887" s="55"/>
      <c r="G887" s="68"/>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2" t="str">
        <f aca="false">IFERROR(IF($B888="","",IF(INDEX(Einheiten!$B$4:$B$63,MATCH($B888,Einheiten!$A$4:$A$63,0))=0,"",INDEX(Einheiten!$B$4:$B$63,MATCH($B888,Einheiten!$A$4:$A$63,0)))),"")</f>
        <v/>
      </c>
      <c r="B888" s="54"/>
      <c r="C888" s="73" t="str">
        <f aca="false">IFERROR(IF($D888="","",INDEX(Übungen!$B$4:$B$23,MATCH($D888,Übungen!$A$4:$A$23,0))),"")</f>
        <v/>
      </c>
      <c r="D888" s="56"/>
      <c r="E888" s="67"/>
      <c r="F888" s="55"/>
      <c r="G888" s="68"/>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2" t="str">
        <f aca="false">IFERROR(IF($B889="","",IF(INDEX(Einheiten!$B$4:$B$63,MATCH($B889,Einheiten!$A$4:$A$63,0))=0,"",INDEX(Einheiten!$B$4:$B$63,MATCH($B889,Einheiten!$A$4:$A$63,0)))),"")</f>
        <v/>
      </c>
      <c r="B889" s="54"/>
      <c r="C889" s="73" t="str">
        <f aca="false">IFERROR(IF($D889="","",INDEX(Übungen!$B$4:$B$23,MATCH($D889,Übungen!$A$4:$A$23,0))),"")</f>
        <v/>
      </c>
      <c r="D889" s="56"/>
      <c r="E889" s="67"/>
      <c r="F889" s="55"/>
      <c r="G889" s="68"/>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2" t="str">
        <f aca="false">IFERROR(IF($B890="","",IF(INDEX(Einheiten!$B$4:$B$63,MATCH($B890,Einheiten!$A$4:$A$63,0))=0,"",INDEX(Einheiten!$B$4:$B$63,MATCH($B890,Einheiten!$A$4:$A$63,0)))),"")</f>
        <v/>
      </c>
      <c r="B890" s="54"/>
      <c r="C890" s="73" t="str">
        <f aca="false">IFERROR(IF($D890="","",INDEX(Übungen!$B$4:$B$23,MATCH($D890,Übungen!$A$4:$A$23,0))),"")</f>
        <v/>
      </c>
      <c r="D890" s="56"/>
      <c r="E890" s="67"/>
      <c r="F890" s="55"/>
      <c r="G890" s="68"/>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2" t="str">
        <f aca="false">IFERROR(IF($B891="","",IF(INDEX(Einheiten!$B$4:$B$63,MATCH($B891,Einheiten!$A$4:$A$63,0))=0,"",INDEX(Einheiten!$B$4:$B$63,MATCH($B891,Einheiten!$A$4:$A$63,0)))),"")</f>
        <v/>
      </c>
      <c r="B891" s="54"/>
      <c r="C891" s="73" t="str">
        <f aca="false">IFERROR(IF($D891="","",INDEX(Übungen!$B$4:$B$23,MATCH($D891,Übungen!$A$4:$A$23,0))),"")</f>
        <v/>
      </c>
      <c r="D891" s="56"/>
      <c r="E891" s="67"/>
      <c r="F891" s="55"/>
      <c r="G891" s="68"/>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2" t="str">
        <f aca="false">IFERROR(IF($B892="","",IF(INDEX(Einheiten!$B$4:$B$63,MATCH($B892,Einheiten!$A$4:$A$63,0))=0,"",INDEX(Einheiten!$B$4:$B$63,MATCH($B892,Einheiten!$A$4:$A$63,0)))),"")</f>
        <v/>
      </c>
      <c r="B892" s="54"/>
      <c r="C892" s="73" t="str">
        <f aca="false">IFERROR(IF($D892="","",INDEX(Übungen!$B$4:$B$23,MATCH($D892,Übungen!$A$4:$A$23,0))),"")</f>
        <v/>
      </c>
      <c r="D892" s="56"/>
      <c r="E892" s="67"/>
      <c r="F892" s="55"/>
      <c r="G892" s="68"/>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2" t="str">
        <f aca="false">IFERROR(IF($B893="","",IF(INDEX(Einheiten!$B$4:$B$63,MATCH($B893,Einheiten!$A$4:$A$63,0))=0,"",INDEX(Einheiten!$B$4:$B$63,MATCH($B893,Einheiten!$A$4:$A$63,0)))),"")</f>
        <v/>
      </c>
      <c r="B893" s="54"/>
      <c r="C893" s="73" t="str">
        <f aca="false">IFERROR(IF($D893="","",INDEX(Übungen!$B$4:$B$23,MATCH($D893,Übungen!$A$4:$A$23,0))),"")</f>
        <v/>
      </c>
      <c r="D893" s="56"/>
      <c r="E893" s="67"/>
      <c r="F893" s="55"/>
      <c r="G893" s="68"/>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2" t="str">
        <f aca="false">IFERROR(IF($B894="","",IF(INDEX(Einheiten!$B$4:$B$63,MATCH($B894,Einheiten!$A$4:$A$63,0))=0,"",INDEX(Einheiten!$B$4:$B$63,MATCH($B894,Einheiten!$A$4:$A$63,0)))),"")</f>
        <v/>
      </c>
      <c r="B894" s="54"/>
      <c r="C894" s="73" t="str">
        <f aca="false">IFERROR(IF($D894="","",INDEX(Übungen!$B$4:$B$23,MATCH($D894,Übungen!$A$4:$A$23,0))),"")</f>
        <v/>
      </c>
      <c r="D894" s="56"/>
      <c r="E894" s="67"/>
      <c r="F894" s="55"/>
      <c r="G894" s="68"/>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2" t="str">
        <f aca="false">IFERROR(IF($B895="","",IF(INDEX(Einheiten!$B$4:$B$63,MATCH($B895,Einheiten!$A$4:$A$63,0))=0,"",INDEX(Einheiten!$B$4:$B$63,MATCH($B895,Einheiten!$A$4:$A$63,0)))),"")</f>
        <v/>
      </c>
      <c r="B895" s="54"/>
      <c r="C895" s="73" t="str">
        <f aca="false">IFERROR(IF($D895="","",INDEX(Übungen!$B$4:$B$23,MATCH($D895,Übungen!$A$4:$A$23,0))),"")</f>
        <v/>
      </c>
      <c r="D895" s="56"/>
      <c r="E895" s="67"/>
      <c r="F895" s="55"/>
      <c r="G895" s="68"/>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2" t="str">
        <f aca="false">IFERROR(IF($B896="","",IF(INDEX(Einheiten!$B$4:$B$63,MATCH($B896,Einheiten!$A$4:$A$63,0))=0,"",INDEX(Einheiten!$B$4:$B$63,MATCH($B896,Einheiten!$A$4:$A$63,0)))),"")</f>
        <v/>
      </c>
      <c r="B896" s="54"/>
      <c r="C896" s="73" t="str">
        <f aca="false">IFERROR(IF($D896="","",INDEX(Übungen!$B$4:$B$23,MATCH($D896,Übungen!$A$4:$A$23,0))),"")</f>
        <v/>
      </c>
      <c r="D896" s="56"/>
      <c r="E896" s="67"/>
      <c r="F896" s="55"/>
      <c r="G896" s="68"/>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2" t="str">
        <f aca="false">IFERROR(IF($B897="","",IF(INDEX(Einheiten!$B$4:$B$63,MATCH($B897,Einheiten!$A$4:$A$63,0))=0,"",INDEX(Einheiten!$B$4:$B$63,MATCH($B897,Einheiten!$A$4:$A$63,0)))),"")</f>
        <v/>
      </c>
      <c r="B897" s="54"/>
      <c r="C897" s="73" t="str">
        <f aca="false">IFERROR(IF($D897="","",INDEX(Übungen!$B$4:$B$23,MATCH($D897,Übungen!$A$4:$A$23,0))),"")</f>
        <v/>
      </c>
      <c r="D897" s="56"/>
      <c r="E897" s="67"/>
      <c r="F897" s="55"/>
      <c r="G897" s="68"/>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2" t="str">
        <f aca="false">IFERROR(IF($B898="","",IF(INDEX(Einheiten!$B$4:$B$63,MATCH($B898,Einheiten!$A$4:$A$63,0))=0,"",INDEX(Einheiten!$B$4:$B$63,MATCH($B898,Einheiten!$A$4:$A$63,0)))),"")</f>
        <v/>
      </c>
      <c r="B898" s="54"/>
      <c r="C898" s="73" t="str">
        <f aca="false">IFERROR(IF($D898="","",INDEX(Übungen!$B$4:$B$23,MATCH($D898,Übungen!$A$4:$A$23,0))),"")</f>
        <v/>
      </c>
      <c r="D898" s="56"/>
      <c r="E898" s="67"/>
      <c r="F898" s="55"/>
      <c r="G898" s="68"/>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2" t="str">
        <f aca="false">IFERROR(IF($B899="","",IF(INDEX(Einheiten!$B$4:$B$63,MATCH($B899,Einheiten!$A$4:$A$63,0))=0,"",INDEX(Einheiten!$B$4:$B$63,MATCH($B899,Einheiten!$A$4:$A$63,0)))),"")</f>
        <v/>
      </c>
      <c r="B899" s="54"/>
      <c r="C899" s="73" t="str">
        <f aca="false">IFERROR(IF($D899="","",INDEX(Übungen!$B$4:$B$23,MATCH($D899,Übungen!$A$4:$A$23,0))),"")</f>
        <v/>
      </c>
      <c r="D899" s="56"/>
      <c r="E899" s="67"/>
      <c r="F899" s="55"/>
      <c r="G899" s="68"/>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2" t="str">
        <f aca="false">IFERROR(IF($B900="","",IF(INDEX(Einheiten!$B$4:$B$63,MATCH($B900,Einheiten!$A$4:$A$63,0))=0,"",INDEX(Einheiten!$B$4:$B$63,MATCH($B900,Einheiten!$A$4:$A$63,0)))),"")</f>
        <v/>
      </c>
      <c r="B900" s="54"/>
      <c r="C900" s="73" t="str">
        <f aca="false">IFERROR(IF($D900="","",INDEX(Übungen!$B$4:$B$23,MATCH($D900,Übungen!$A$4:$A$23,0))),"")</f>
        <v/>
      </c>
      <c r="D900" s="56"/>
      <c r="E900" s="67"/>
      <c r="F900" s="55"/>
      <c r="G900" s="68"/>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2" t="str">
        <f aca="false">IFERROR(IF($B901="","",IF(INDEX(Einheiten!$B$4:$B$63,MATCH($B901,Einheiten!$A$4:$A$63,0))=0,"",INDEX(Einheiten!$B$4:$B$63,MATCH($B901,Einheiten!$A$4:$A$63,0)))),"")</f>
        <v/>
      </c>
      <c r="B901" s="54"/>
      <c r="C901" s="73" t="str">
        <f aca="false">IFERROR(IF($D901="","",INDEX(Übungen!$B$4:$B$23,MATCH($D901,Übungen!$A$4:$A$23,0))),"")</f>
        <v/>
      </c>
      <c r="D901" s="56"/>
      <c r="E901" s="67"/>
      <c r="F901" s="55"/>
      <c r="G901" s="68"/>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2" t="str">
        <f aca="false">IFERROR(IF($B902="","",IF(INDEX(Einheiten!$B$4:$B$63,MATCH($B902,Einheiten!$A$4:$A$63,0))=0,"",INDEX(Einheiten!$B$4:$B$63,MATCH($B902,Einheiten!$A$4:$A$63,0)))),"")</f>
        <v/>
      </c>
      <c r="B902" s="54"/>
      <c r="C902" s="73" t="str">
        <f aca="false">IFERROR(IF($D902="","",INDEX(Übungen!$B$4:$B$23,MATCH($D902,Übungen!$A$4:$A$23,0))),"")</f>
        <v/>
      </c>
      <c r="D902" s="56"/>
      <c r="E902" s="67"/>
      <c r="F902" s="55"/>
      <c r="G902" s="68"/>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2" t="str">
        <f aca="false">IFERROR(IF($B903="","",IF(INDEX(Einheiten!$B$4:$B$63,MATCH($B903,Einheiten!$A$4:$A$63,0))=0,"",INDEX(Einheiten!$B$4:$B$63,MATCH($B903,Einheiten!$A$4:$A$63,0)))),"")</f>
        <v/>
      </c>
      <c r="B903" s="54"/>
      <c r="C903" s="73" t="str">
        <f aca="false">IFERROR(IF($D903="","",INDEX(Übungen!$B$4:$B$23,MATCH($D903,Übungen!$A$4:$A$23,0))),"")</f>
        <v/>
      </c>
      <c r="D903" s="56"/>
      <c r="E903" s="67"/>
      <c r="F903" s="55"/>
      <c r="G903" s="68"/>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2" t="str">
        <f aca="false">IFERROR(IF($B904="","",IF(INDEX(Einheiten!$B$4:$B$63,MATCH($B904,Einheiten!$A$4:$A$63,0))=0,"",INDEX(Einheiten!$B$4:$B$63,MATCH($B904,Einheiten!$A$4:$A$63,0)))),"")</f>
        <v/>
      </c>
      <c r="B904" s="54"/>
      <c r="C904" s="73" t="str">
        <f aca="false">IFERROR(IF($D904="","",INDEX(Übungen!$B$4:$B$23,MATCH($D904,Übungen!$A$4:$A$23,0))),"")</f>
        <v/>
      </c>
      <c r="D904" s="56"/>
      <c r="E904" s="67"/>
      <c r="F904" s="55"/>
      <c r="G904" s="68"/>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2" t="str">
        <f aca="false">IFERROR(IF($B905="","",IF(INDEX(Einheiten!$B$4:$B$63,MATCH($B905,Einheiten!$A$4:$A$63,0))=0,"",INDEX(Einheiten!$B$4:$B$63,MATCH($B905,Einheiten!$A$4:$A$63,0)))),"")</f>
        <v/>
      </c>
      <c r="B905" s="54"/>
      <c r="C905" s="73" t="str">
        <f aca="false">IFERROR(IF($D905="","",INDEX(Übungen!$B$4:$B$23,MATCH($D905,Übungen!$A$4:$A$23,0))),"")</f>
        <v/>
      </c>
      <c r="D905" s="56"/>
      <c r="E905" s="67"/>
      <c r="F905" s="55"/>
      <c r="G905" s="68"/>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2" t="str">
        <f aca="false">IFERROR(IF($B906="","",IF(INDEX(Einheiten!$B$4:$B$63,MATCH($B906,Einheiten!$A$4:$A$63,0))=0,"",INDEX(Einheiten!$B$4:$B$63,MATCH($B906,Einheiten!$A$4:$A$63,0)))),"")</f>
        <v/>
      </c>
      <c r="B906" s="54"/>
      <c r="C906" s="73" t="str">
        <f aca="false">IFERROR(IF($D906="","",INDEX(Übungen!$B$4:$B$23,MATCH($D906,Übungen!$A$4:$A$23,0))),"")</f>
        <v/>
      </c>
      <c r="D906" s="56"/>
      <c r="E906" s="67"/>
      <c r="F906" s="55"/>
      <c r="G906" s="68"/>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2" t="str">
        <f aca="false">IFERROR(IF($B907="","",IF(INDEX(Einheiten!$B$4:$B$63,MATCH($B907,Einheiten!$A$4:$A$63,0))=0,"",INDEX(Einheiten!$B$4:$B$63,MATCH($B907,Einheiten!$A$4:$A$63,0)))),"")</f>
        <v/>
      </c>
      <c r="B907" s="54"/>
      <c r="C907" s="73" t="str">
        <f aca="false">IFERROR(IF($D907="","",INDEX(Übungen!$B$4:$B$23,MATCH($D907,Übungen!$A$4:$A$23,0))),"")</f>
        <v/>
      </c>
      <c r="D907" s="56"/>
      <c r="E907" s="67"/>
      <c r="F907" s="55"/>
      <c r="G907" s="68"/>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2" t="str">
        <f aca="false">IFERROR(IF($B908="","",IF(INDEX(Einheiten!$B$4:$B$63,MATCH($B908,Einheiten!$A$4:$A$63,0))=0,"",INDEX(Einheiten!$B$4:$B$63,MATCH($B908,Einheiten!$A$4:$A$63,0)))),"")</f>
        <v/>
      </c>
      <c r="B908" s="54"/>
      <c r="C908" s="73" t="str">
        <f aca="false">IFERROR(IF($D908="","",INDEX(Übungen!$B$4:$B$23,MATCH($D908,Übungen!$A$4:$A$23,0))),"")</f>
        <v/>
      </c>
      <c r="D908" s="56"/>
      <c r="E908" s="67"/>
      <c r="F908" s="55"/>
      <c r="G908" s="68"/>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2" t="str">
        <f aca="false">IFERROR(IF($B909="","",IF(INDEX(Einheiten!$B$4:$B$63,MATCH($B909,Einheiten!$A$4:$A$63,0))=0,"",INDEX(Einheiten!$B$4:$B$63,MATCH($B909,Einheiten!$A$4:$A$63,0)))),"")</f>
        <v/>
      </c>
      <c r="B909" s="54"/>
      <c r="C909" s="73" t="str">
        <f aca="false">IFERROR(IF($D909="","",INDEX(Übungen!$B$4:$B$23,MATCH($D909,Übungen!$A$4:$A$23,0))),"")</f>
        <v/>
      </c>
      <c r="D909" s="56"/>
      <c r="E909" s="67"/>
      <c r="F909" s="55"/>
      <c r="G909" s="68"/>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2" t="str">
        <f aca="false">IFERROR(IF($B910="","",IF(INDEX(Einheiten!$B$4:$B$63,MATCH($B910,Einheiten!$A$4:$A$63,0))=0,"",INDEX(Einheiten!$B$4:$B$63,MATCH($B910,Einheiten!$A$4:$A$63,0)))),"")</f>
        <v/>
      </c>
      <c r="B910" s="54"/>
      <c r="C910" s="73" t="str">
        <f aca="false">IFERROR(IF($D910="","",INDEX(Übungen!$B$4:$B$23,MATCH($D910,Übungen!$A$4:$A$23,0))),"")</f>
        <v/>
      </c>
      <c r="D910" s="56"/>
      <c r="E910" s="67"/>
      <c r="F910" s="55"/>
      <c r="G910" s="68"/>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2" t="str">
        <f aca="false">IFERROR(IF($B911="","",IF(INDEX(Einheiten!$B$4:$B$63,MATCH($B911,Einheiten!$A$4:$A$63,0))=0,"",INDEX(Einheiten!$B$4:$B$63,MATCH($B911,Einheiten!$A$4:$A$63,0)))),"")</f>
        <v/>
      </c>
      <c r="B911" s="54"/>
      <c r="C911" s="73" t="str">
        <f aca="false">IFERROR(IF($D911="","",INDEX(Übungen!$B$4:$B$23,MATCH($D911,Übungen!$A$4:$A$23,0))),"")</f>
        <v/>
      </c>
      <c r="D911" s="56"/>
      <c r="E911" s="67"/>
      <c r="F911" s="55"/>
      <c r="G911" s="68"/>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2" t="str">
        <f aca="false">IFERROR(IF($B912="","",IF(INDEX(Einheiten!$B$4:$B$63,MATCH($B912,Einheiten!$A$4:$A$63,0))=0,"",INDEX(Einheiten!$B$4:$B$63,MATCH($B912,Einheiten!$A$4:$A$63,0)))),"")</f>
        <v/>
      </c>
      <c r="B912" s="54"/>
      <c r="C912" s="73" t="str">
        <f aca="false">IFERROR(IF($D912="","",INDEX(Übungen!$B$4:$B$23,MATCH($D912,Übungen!$A$4:$A$23,0))),"")</f>
        <v/>
      </c>
      <c r="D912" s="56"/>
      <c r="E912" s="67"/>
      <c r="F912" s="55"/>
      <c r="G912" s="68"/>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2" t="str">
        <f aca="false">IFERROR(IF($B913="","",IF(INDEX(Einheiten!$B$4:$B$63,MATCH($B913,Einheiten!$A$4:$A$63,0))=0,"",INDEX(Einheiten!$B$4:$B$63,MATCH($B913,Einheiten!$A$4:$A$63,0)))),"")</f>
        <v/>
      </c>
      <c r="B913" s="54"/>
      <c r="C913" s="73" t="str">
        <f aca="false">IFERROR(IF($D913="","",INDEX(Übungen!$B$4:$B$23,MATCH($D913,Übungen!$A$4:$A$23,0))),"")</f>
        <v/>
      </c>
      <c r="D913" s="56"/>
      <c r="E913" s="67"/>
      <c r="F913" s="55"/>
      <c r="G913" s="68"/>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2" t="str">
        <f aca="false">IFERROR(IF($B914="","",IF(INDEX(Einheiten!$B$4:$B$63,MATCH($B914,Einheiten!$A$4:$A$63,0))=0,"",INDEX(Einheiten!$B$4:$B$63,MATCH($B914,Einheiten!$A$4:$A$63,0)))),"")</f>
        <v/>
      </c>
      <c r="B914" s="54"/>
      <c r="C914" s="73" t="str">
        <f aca="false">IFERROR(IF($D914="","",INDEX(Übungen!$B$4:$B$23,MATCH($D914,Übungen!$A$4:$A$23,0))),"")</f>
        <v/>
      </c>
      <c r="D914" s="56"/>
      <c r="E914" s="67"/>
      <c r="F914" s="55"/>
      <c r="G914" s="68"/>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2" t="str">
        <f aca="false">IFERROR(IF($B915="","",IF(INDEX(Einheiten!$B$4:$B$63,MATCH($B915,Einheiten!$A$4:$A$63,0))=0,"",INDEX(Einheiten!$B$4:$B$63,MATCH($B915,Einheiten!$A$4:$A$63,0)))),"")</f>
        <v/>
      </c>
      <c r="B915" s="54"/>
      <c r="C915" s="73" t="str">
        <f aca="false">IFERROR(IF($D915="","",INDEX(Übungen!$B$4:$B$23,MATCH($D915,Übungen!$A$4:$A$23,0))),"")</f>
        <v/>
      </c>
      <c r="D915" s="56"/>
      <c r="E915" s="67"/>
      <c r="F915" s="55"/>
      <c r="G915" s="68"/>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2" t="str">
        <f aca="false">IFERROR(IF($B916="","",IF(INDEX(Einheiten!$B$4:$B$63,MATCH($B916,Einheiten!$A$4:$A$63,0))=0,"",INDEX(Einheiten!$B$4:$B$63,MATCH($B916,Einheiten!$A$4:$A$63,0)))),"")</f>
        <v/>
      </c>
      <c r="B916" s="54"/>
      <c r="C916" s="73" t="str">
        <f aca="false">IFERROR(IF($D916="","",INDEX(Übungen!$B$4:$B$23,MATCH($D916,Übungen!$A$4:$A$23,0))),"")</f>
        <v/>
      </c>
      <c r="D916" s="56"/>
      <c r="E916" s="67"/>
      <c r="F916" s="55"/>
      <c r="G916" s="68"/>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2" t="str">
        <f aca="false">IFERROR(IF($B917="","",IF(INDEX(Einheiten!$B$4:$B$63,MATCH($B917,Einheiten!$A$4:$A$63,0))=0,"",INDEX(Einheiten!$B$4:$B$63,MATCH($B917,Einheiten!$A$4:$A$63,0)))),"")</f>
        <v/>
      </c>
      <c r="B917" s="54"/>
      <c r="C917" s="73" t="str">
        <f aca="false">IFERROR(IF($D917="","",INDEX(Übungen!$B$4:$B$23,MATCH($D917,Übungen!$A$4:$A$23,0))),"")</f>
        <v/>
      </c>
      <c r="D917" s="56"/>
      <c r="E917" s="67"/>
      <c r="F917" s="55"/>
      <c r="G917" s="68"/>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2" t="str">
        <f aca="false">IFERROR(IF($B918="","",IF(INDEX(Einheiten!$B$4:$B$63,MATCH($B918,Einheiten!$A$4:$A$63,0))=0,"",INDEX(Einheiten!$B$4:$B$63,MATCH($B918,Einheiten!$A$4:$A$63,0)))),"")</f>
        <v/>
      </c>
      <c r="B918" s="54"/>
      <c r="C918" s="73" t="str">
        <f aca="false">IFERROR(IF($D918="","",INDEX(Übungen!$B$4:$B$23,MATCH($D918,Übungen!$A$4:$A$23,0))),"")</f>
        <v/>
      </c>
      <c r="D918" s="56"/>
      <c r="E918" s="67"/>
      <c r="F918" s="55"/>
      <c r="G918" s="68"/>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2" t="str">
        <f aca="false">IFERROR(IF($B919="","",IF(INDEX(Einheiten!$B$4:$B$63,MATCH($B919,Einheiten!$A$4:$A$63,0))=0,"",INDEX(Einheiten!$B$4:$B$63,MATCH($B919,Einheiten!$A$4:$A$63,0)))),"")</f>
        <v/>
      </c>
      <c r="B919" s="54"/>
      <c r="C919" s="73" t="str">
        <f aca="false">IFERROR(IF($D919="","",INDEX(Übungen!$B$4:$B$23,MATCH($D919,Übungen!$A$4:$A$23,0))),"")</f>
        <v/>
      </c>
      <c r="D919" s="56"/>
      <c r="E919" s="67"/>
      <c r="F919" s="55"/>
      <c r="G919" s="68"/>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2" t="str">
        <f aca="false">IFERROR(IF($B920="","",IF(INDEX(Einheiten!$B$4:$B$63,MATCH($B920,Einheiten!$A$4:$A$63,0))=0,"",INDEX(Einheiten!$B$4:$B$63,MATCH($B920,Einheiten!$A$4:$A$63,0)))),"")</f>
        <v/>
      </c>
      <c r="B920" s="54"/>
      <c r="C920" s="73" t="str">
        <f aca="false">IFERROR(IF($D920="","",INDEX(Übungen!$B$4:$B$23,MATCH($D920,Übungen!$A$4:$A$23,0))),"")</f>
        <v/>
      </c>
      <c r="D920" s="56"/>
      <c r="E920" s="67"/>
      <c r="F920" s="55"/>
      <c r="G920" s="68"/>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2" t="str">
        <f aca="false">IFERROR(IF($B921="","",IF(INDEX(Einheiten!$B$4:$B$63,MATCH($B921,Einheiten!$A$4:$A$63,0))=0,"",INDEX(Einheiten!$B$4:$B$63,MATCH($B921,Einheiten!$A$4:$A$63,0)))),"")</f>
        <v/>
      </c>
      <c r="B921" s="54"/>
      <c r="C921" s="73" t="str">
        <f aca="false">IFERROR(IF($D921="","",INDEX(Übungen!$B$4:$B$23,MATCH($D921,Übungen!$A$4:$A$23,0))),"")</f>
        <v/>
      </c>
      <c r="D921" s="56"/>
      <c r="E921" s="67"/>
      <c r="F921" s="55"/>
      <c r="G921" s="68"/>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2" t="str">
        <f aca="false">IFERROR(IF($B922="","",IF(INDEX(Einheiten!$B$4:$B$63,MATCH($B922,Einheiten!$A$4:$A$63,0))=0,"",INDEX(Einheiten!$B$4:$B$63,MATCH($B922,Einheiten!$A$4:$A$63,0)))),"")</f>
        <v/>
      </c>
      <c r="B922" s="54"/>
      <c r="C922" s="73" t="str">
        <f aca="false">IFERROR(IF($D922="","",INDEX(Übungen!$B$4:$B$23,MATCH($D922,Übungen!$A$4:$A$23,0))),"")</f>
        <v/>
      </c>
      <c r="D922" s="56"/>
      <c r="E922" s="67"/>
      <c r="F922" s="55"/>
      <c r="G922" s="68"/>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2" t="str">
        <f aca="false">IFERROR(IF($B923="","",IF(INDEX(Einheiten!$B$4:$B$63,MATCH($B923,Einheiten!$A$4:$A$63,0))=0,"",INDEX(Einheiten!$B$4:$B$63,MATCH($B923,Einheiten!$A$4:$A$63,0)))),"")</f>
        <v/>
      </c>
      <c r="B923" s="54"/>
      <c r="C923" s="73" t="str">
        <f aca="false">IFERROR(IF($D923="","",INDEX(Übungen!$B$4:$B$23,MATCH($D923,Übungen!$A$4:$A$23,0))),"")</f>
        <v/>
      </c>
      <c r="D923" s="56"/>
      <c r="E923" s="67"/>
      <c r="F923" s="55"/>
      <c r="G923" s="68"/>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2" t="str">
        <f aca="false">IFERROR(IF($B924="","",IF(INDEX(Einheiten!$B$4:$B$63,MATCH($B924,Einheiten!$A$4:$A$63,0))=0,"",INDEX(Einheiten!$B$4:$B$63,MATCH($B924,Einheiten!$A$4:$A$63,0)))),"")</f>
        <v/>
      </c>
      <c r="B924" s="54"/>
      <c r="C924" s="73" t="str">
        <f aca="false">IFERROR(IF($D924="","",INDEX(Übungen!$B$4:$B$23,MATCH($D924,Übungen!$A$4:$A$23,0))),"")</f>
        <v/>
      </c>
      <c r="D924" s="56"/>
      <c r="E924" s="67"/>
      <c r="F924" s="55"/>
      <c r="G924" s="68"/>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2" t="str">
        <f aca="false">IFERROR(IF($B925="","",IF(INDEX(Einheiten!$B$4:$B$63,MATCH($B925,Einheiten!$A$4:$A$63,0))=0,"",INDEX(Einheiten!$B$4:$B$63,MATCH($B925,Einheiten!$A$4:$A$63,0)))),"")</f>
        <v/>
      </c>
      <c r="B925" s="54"/>
      <c r="C925" s="73" t="str">
        <f aca="false">IFERROR(IF($D925="","",INDEX(Übungen!$B$4:$B$23,MATCH($D925,Übungen!$A$4:$A$23,0))),"")</f>
        <v/>
      </c>
      <c r="D925" s="56"/>
      <c r="E925" s="67"/>
      <c r="F925" s="55"/>
      <c r="G925" s="68"/>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2" t="str">
        <f aca="false">IFERROR(IF($B926="","",IF(INDEX(Einheiten!$B$4:$B$63,MATCH($B926,Einheiten!$A$4:$A$63,0))=0,"",INDEX(Einheiten!$B$4:$B$63,MATCH($B926,Einheiten!$A$4:$A$63,0)))),"")</f>
        <v/>
      </c>
      <c r="B926" s="54"/>
      <c r="C926" s="73" t="str">
        <f aca="false">IFERROR(IF($D926="","",INDEX(Übungen!$B$4:$B$23,MATCH($D926,Übungen!$A$4:$A$23,0))),"")</f>
        <v/>
      </c>
      <c r="D926" s="56"/>
      <c r="E926" s="67"/>
      <c r="F926" s="55"/>
      <c r="G926" s="68"/>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2" t="str">
        <f aca="false">IFERROR(IF($B927="","",IF(INDEX(Einheiten!$B$4:$B$63,MATCH($B927,Einheiten!$A$4:$A$63,0))=0,"",INDEX(Einheiten!$B$4:$B$63,MATCH($B927,Einheiten!$A$4:$A$63,0)))),"")</f>
        <v/>
      </c>
      <c r="B927" s="54"/>
      <c r="C927" s="73" t="str">
        <f aca="false">IFERROR(IF($D927="","",INDEX(Übungen!$B$4:$B$23,MATCH($D927,Übungen!$A$4:$A$23,0))),"")</f>
        <v/>
      </c>
      <c r="D927" s="56"/>
      <c r="E927" s="67"/>
      <c r="F927" s="55"/>
      <c r="G927" s="68"/>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2" t="str">
        <f aca="false">IFERROR(IF($B928="","",IF(INDEX(Einheiten!$B$4:$B$63,MATCH($B928,Einheiten!$A$4:$A$63,0))=0,"",INDEX(Einheiten!$B$4:$B$63,MATCH($B928,Einheiten!$A$4:$A$63,0)))),"")</f>
        <v/>
      </c>
      <c r="B928" s="54"/>
      <c r="C928" s="73" t="str">
        <f aca="false">IFERROR(IF($D928="","",INDEX(Übungen!$B$4:$B$23,MATCH($D928,Übungen!$A$4:$A$23,0))),"")</f>
        <v/>
      </c>
      <c r="D928" s="56"/>
      <c r="E928" s="67"/>
      <c r="F928" s="55"/>
      <c r="G928" s="68"/>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2" t="str">
        <f aca="false">IFERROR(IF($B929="","",IF(INDEX(Einheiten!$B$4:$B$63,MATCH($B929,Einheiten!$A$4:$A$63,0))=0,"",INDEX(Einheiten!$B$4:$B$63,MATCH($B929,Einheiten!$A$4:$A$63,0)))),"")</f>
        <v/>
      </c>
      <c r="B929" s="54"/>
      <c r="C929" s="73" t="str">
        <f aca="false">IFERROR(IF($D929="","",INDEX(Übungen!$B$4:$B$23,MATCH($D929,Übungen!$A$4:$A$23,0))),"")</f>
        <v/>
      </c>
      <c r="D929" s="56"/>
      <c r="E929" s="67"/>
      <c r="F929" s="55"/>
      <c r="G929" s="68"/>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2" t="str">
        <f aca="false">IFERROR(IF($B930="","",IF(INDEX(Einheiten!$B$4:$B$63,MATCH($B930,Einheiten!$A$4:$A$63,0))=0,"",INDEX(Einheiten!$B$4:$B$63,MATCH($B930,Einheiten!$A$4:$A$63,0)))),"")</f>
        <v/>
      </c>
      <c r="B930" s="54"/>
      <c r="C930" s="73" t="str">
        <f aca="false">IFERROR(IF($D930="","",INDEX(Übungen!$B$4:$B$23,MATCH($D930,Übungen!$A$4:$A$23,0))),"")</f>
        <v/>
      </c>
      <c r="D930" s="56"/>
      <c r="E930" s="67"/>
      <c r="F930" s="55"/>
      <c r="G930" s="68"/>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2" t="str">
        <f aca="false">IFERROR(IF($B931="","",IF(INDEX(Einheiten!$B$4:$B$63,MATCH($B931,Einheiten!$A$4:$A$63,0))=0,"",INDEX(Einheiten!$B$4:$B$63,MATCH($B931,Einheiten!$A$4:$A$63,0)))),"")</f>
        <v/>
      </c>
      <c r="B931" s="54"/>
      <c r="C931" s="73" t="str">
        <f aca="false">IFERROR(IF($D931="","",INDEX(Übungen!$B$4:$B$23,MATCH($D931,Übungen!$A$4:$A$23,0))),"")</f>
        <v/>
      </c>
      <c r="D931" s="56"/>
      <c r="E931" s="67"/>
      <c r="F931" s="55"/>
      <c r="G931" s="68"/>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2" t="str">
        <f aca="false">IFERROR(IF($B932="","",IF(INDEX(Einheiten!$B$4:$B$63,MATCH($B932,Einheiten!$A$4:$A$63,0))=0,"",INDEX(Einheiten!$B$4:$B$63,MATCH($B932,Einheiten!$A$4:$A$63,0)))),"")</f>
        <v/>
      </c>
      <c r="B932" s="54"/>
      <c r="C932" s="73" t="str">
        <f aca="false">IFERROR(IF($D932="","",INDEX(Übungen!$B$4:$B$23,MATCH($D932,Übungen!$A$4:$A$23,0))),"")</f>
        <v/>
      </c>
      <c r="D932" s="56"/>
      <c r="E932" s="67"/>
      <c r="F932" s="55"/>
      <c r="G932" s="68"/>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2" t="str">
        <f aca="false">IFERROR(IF($B933="","",IF(INDEX(Einheiten!$B$4:$B$63,MATCH($B933,Einheiten!$A$4:$A$63,0))=0,"",INDEX(Einheiten!$B$4:$B$63,MATCH($B933,Einheiten!$A$4:$A$63,0)))),"")</f>
        <v/>
      </c>
      <c r="B933" s="54"/>
      <c r="C933" s="73" t="str">
        <f aca="false">IFERROR(IF($D933="","",INDEX(Übungen!$B$4:$B$23,MATCH($D933,Übungen!$A$4:$A$23,0))),"")</f>
        <v/>
      </c>
      <c r="D933" s="56"/>
      <c r="E933" s="67"/>
      <c r="F933" s="55"/>
      <c r="G933" s="68"/>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2" t="str">
        <f aca="false">IFERROR(IF($B934="","",IF(INDEX(Einheiten!$B$4:$B$63,MATCH($B934,Einheiten!$A$4:$A$63,0))=0,"",INDEX(Einheiten!$B$4:$B$63,MATCH($B934,Einheiten!$A$4:$A$63,0)))),"")</f>
        <v/>
      </c>
      <c r="B934" s="54"/>
      <c r="C934" s="73" t="str">
        <f aca="false">IFERROR(IF($D934="","",INDEX(Übungen!$B$4:$B$23,MATCH($D934,Übungen!$A$4:$A$23,0))),"")</f>
        <v/>
      </c>
      <c r="D934" s="56"/>
      <c r="E934" s="67"/>
      <c r="F934" s="55"/>
      <c r="G934" s="68"/>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2" t="str">
        <f aca="false">IFERROR(IF($B935="","",IF(INDEX(Einheiten!$B$4:$B$63,MATCH($B935,Einheiten!$A$4:$A$63,0))=0,"",INDEX(Einheiten!$B$4:$B$63,MATCH($B935,Einheiten!$A$4:$A$63,0)))),"")</f>
        <v/>
      </c>
      <c r="B935" s="54"/>
      <c r="C935" s="73" t="str">
        <f aca="false">IFERROR(IF($D935="","",INDEX(Übungen!$B$4:$B$23,MATCH($D935,Übungen!$A$4:$A$23,0))),"")</f>
        <v/>
      </c>
      <c r="D935" s="56"/>
      <c r="E935" s="67"/>
      <c r="F935" s="55"/>
      <c r="G935" s="68"/>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2" t="str">
        <f aca="false">IFERROR(IF($B936="","",IF(INDEX(Einheiten!$B$4:$B$63,MATCH($B936,Einheiten!$A$4:$A$63,0))=0,"",INDEX(Einheiten!$B$4:$B$63,MATCH($B936,Einheiten!$A$4:$A$63,0)))),"")</f>
        <v/>
      </c>
      <c r="B936" s="54"/>
      <c r="C936" s="73" t="str">
        <f aca="false">IFERROR(IF($D936="","",INDEX(Übungen!$B$4:$B$23,MATCH($D936,Übungen!$A$4:$A$23,0))),"")</f>
        <v/>
      </c>
      <c r="D936" s="56"/>
      <c r="E936" s="67"/>
      <c r="F936" s="55"/>
      <c r="G936" s="68"/>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2" t="str">
        <f aca="false">IFERROR(IF($B937="","",IF(INDEX(Einheiten!$B$4:$B$63,MATCH($B937,Einheiten!$A$4:$A$63,0))=0,"",INDEX(Einheiten!$B$4:$B$63,MATCH($B937,Einheiten!$A$4:$A$63,0)))),"")</f>
        <v/>
      </c>
      <c r="B937" s="54"/>
      <c r="C937" s="73" t="str">
        <f aca="false">IFERROR(IF($D937="","",INDEX(Übungen!$B$4:$B$23,MATCH($D937,Übungen!$A$4:$A$23,0))),"")</f>
        <v/>
      </c>
      <c r="D937" s="56"/>
      <c r="E937" s="67"/>
      <c r="F937" s="55"/>
      <c r="G937" s="68"/>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2" t="str">
        <f aca="false">IFERROR(IF($B938="","",IF(INDEX(Einheiten!$B$4:$B$63,MATCH($B938,Einheiten!$A$4:$A$63,0))=0,"",INDEX(Einheiten!$B$4:$B$63,MATCH($B938,Einheiten!$A$4:$A$63,0)))),"")</f>
        <v/>
      </c>
      <c r="B938" s="54"/>
      <c r="C938" s="73" t="str">
        <f aca="false">IFERROR(IF($D938="","",INDEX(Übungen!$B$4:$B$23,MATCH($D938,Übungen!$A$4:$A$23,0))),"")</f>
        <v/>
      </c>
      <c r="D938" s="56"/>
      <c r="E938" s="67"/>
      <c r="F938" s="55"/>
      <c r="G938" s="68"/>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2" t="str">
        <f aca="false">IFERROR(IF($B939="","",IF(INDEX(Einheiten!$B$4:$B$63,MATCH($B939,Einheiten!$A$4:$A$63,0))=0,"",INDEX(Einheiten!$B$4:$B$63,MATCH($B939,Einheiten!$A$4:$A$63,0)))),"")</f>
        <v/>
      </c>
      <c r="B939" s="54"/>
      <c r="C939" s="73" t="str">
        <f aca="false">IFERROR(IF($D939="","",INDEX(Übungen!$B$4:$B$23,MATCH($D939,Übungen!$A$4:$A$23,0))),"")</f>
        <v/>
      </c>
      <c r="D939" s="56"/>
      <c r="E939" s="67"/>
      <c r="F939" s="55"/>
      <c r="G939" s="68"/>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2" t="str">
        <f aca="false">IFERROR(IF($B940="","",IF(INDEX(Einheiten!$B$4:$B$63,MATCH($B940,Einheiten!$A$4:$A$63,0))=0,"",INDEX(Einheiten!$B$4:$B$63,MATCH($B940,Einheiten!$A$4:$A$63,0)))),"")</f>
        <v/>
      </c>
      <c r="B940" s="54"/>
      <c r="C940" s="73" t="str">
        <f aca="false">IFERROR(IF($D940="","",INDEX(Übungen!$B$4:$B$23,MATCH($D940,Übungen!$A$4:$A$23,0))),"")</f>
        <v/>
      </c>
      <c r="D940" s="56"/>
      <c r="E940" s="67"/>
      <c r="F940" s="55"/>
      <c r="G940" s="68"/>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2" t="str">
        <f aca="false">IFERROR(IF($B941="","",IF(INDEX(Einheiten!$B$4:$B$63,MATCH($B941,Einheiten!$A$4:$A$63,0))=0,"",INDEX(Einheiten!$B$4:$B$63,MATCH($B941,Einheiten!$A$4:$A$63,0)))),"")</f>
        <v/>
      </c>
      <c r="B941" s="54"/>
      <c r="C941" s="73" t="str">
        <f aca="false">IFERROR(IF($D941="","",INDEX(Übungen!$B$4:$B$23,MATCH($D941,Übungen!$A$4:$A$23,0))),"")</f>
        <v/>
      </c>
      <c r="D941" s="56"/>
      <c r="E941" s="67"/>
      <c r="F941" s="55"/>
      <c r="G941" s="68"/>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2" t="str">
        <f aca="false">IFERROR(IF($B942="","",IF(INDEX(Einheiten!$B$4:$B$63,MATCH($B942,Einheiten!$A$4:$A$63,0))=0,"",INDEX(Einheiten!$B$4:$B$63,MATCH($B942,Einheiten!$A$4:$A$63,0)))),"")</f>
        <v/>
      </c>
      <c r="B942" s="54"/>
      <c r="C942" s="73" t="str">
        <f aca="false">IFERROR(IF($D942="","",INDEX(Übungen!$B$4:$B$23,MATCH($D942,Übungen!$A$4:$A$23,0))),"")</f>
        <v/>
      </c>
      <c r="D942" s="56"/>
      <c r="E942" s="67"/>
      <c r="F942" s="55"/>
      <c r="G942" s="68"/>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2" t="str">
        <f aca="false">IFERROR(IF($B943="","",IF(INDEX(Einheiten!$B$4:$B$63,MATCH($B943,Einheiten!$A$4:$A$63,0))=0,"",INDEX(Einheiten!$B$4:$B$63,MATCH($B943,Einheiten!$A$4:$A$63,0)))),"")</f>
        <v/>
      </c>
      <c r="B943" s="54"/>
      <c r="C943" s="73" t="str">
        <f aca="false">IFERROR(IF($D943="","",INDEX(Übungen!$B$4:$B$23,MATCH($D943,Übungen!$A$4:$A$23,0))),"")</f>
        <v/>
      </c>
      <c r="D943" s="56"/>
      <c r="E943" s="67"/>
      <c r="F943" s="55"/>
      <c r="G943" s="68"/>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2" t="str">
        <f aca="false">IFERROR(IF($B944="","",IF(INDEX(Einheiten!$B$4:$B$63,MATCH($B944,Einheiten!$A$4:$A$63,0))=0,"",INDEX(Einheiten!$B$4:$B$63,MATCH($B944,Einheiten!$A$4:$A$63,0)))),"")</f>
        <v/>
      </c>
      <c r="B944" s="54"/>
      <c r="C944" s="73" t="str">
        <f aca="false">IFERROR(IF($D944="","",INDEX(Übungen!$B$4:$B$23,MATCH($D944,Übungen!$A$4:$A$23,0))),"")</f>
        <v/>
      </c>
      <c r="D944" s="56"/>
      <c r="E944" s="67"/>
      <c r="F944" s="55"/>
      <c r="G944" s="68"/>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2" t="str">
        <f aca="false">IFERROR(IF($B945="","",IF(INDEX(Einheiten!$B$4:$B$63,MATCH($B945,Einheiten!$A$4:$A$63,0))=0,"",INDEX(Einheiten!$B$4:$B$63,MATCH($B945,Einheiten!$A$4:$A$63,0)))),"")</f>
        <v/>
      </c>
      <c r="B945" s="54"/>
      <c r="C945" s="73" t="str">
        <f aca="false">IFERROR(IF($D945="","",INDEX(Übungen!$B$4:$B$23,MATCH($D945,Übungen!$A$4:$A$23,0))),"")</f>
        <v/>
      </c>
      <c r="D945" s="56"/>
      <c r="E945" s="67"/>
      <c r="F945" s="55"/>
      <c r="G945" s="68"/>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2" t="str">
        <f aca="false">IFERROR(IF($B946="","",IF(INDEX(Einheiten!$B$4:$B$63,MATCH($B946,Einheiten!$A$4:$A$63,0))=0,"",INDEX(Einheiten!$B$4:$B$63,MATCH($B946,Einheiten!$A$4:$A$63,0)))),"")</f>
        <v/>
      </c>
      <c r="B946" s="54"/>
      <c r="C946" s="73" t="str">
        <f aca="false">IFERROR(IF($D946="","",INDEX(Übungen!$B$4:$B$23,MATCH($D946,Übungen!$A$4:$A$23,0))),"")</f>
        <v/>
      </c>
      <c r="D946" s="56"/>
      <c r="E946" s="67"/>
      <c r="F946" s="55"/>
      <c r="G946" s="68"/>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2" t="str">
        <f aca="false">IFERROR(IF($B947="","",IF(INDEX(Einheiten!$B$4:$B$63,MATCH($B947,Einheiten!$A$4:$A$63,0))=0,"",INDEX(Einheiten!$B$4:$B$63,MATCH($B947,Einheiten!$A$4:$A$63,0)))),"")</f>
        <v/>
      </c>
      <c r="B947" s="54"/>
      <c r="C947" s="73" t="str">
        <f aca="false">IFERROR(IF($D947="","",INDEX(Übungen!$B$4:$B$23,MATCH($D947,Übungen!$A$4:$A$23,0))),"")</f>
        <v/>
      </c>
      <c r="D947" s="56"/>
      <c r="E947" s="67"/>
      <c r="F947" s="55"/>
      <c r="G947" s="68"/>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2" t="str">
        <f aca="false">IFERROR(IF($B948="","",IF(INDEX(Einheiten!$B$4:$B$63,MATCH($B948,Einheiten!$A$4:$A$63,0))=0,"",INDEX(Einheiten!$B$4:$B$63,MATCH($B948,Einheiten!$A$4:$A$63,0)))),"")</f>
        <v/>
      </c>
      <c r="B948" s="54"/>
      <c r="C948" s="73" t="str">
        <f aca="false">IFERROR(IF($D948="","",INDEX(Übungen!$B$4:$B$23,MATCH($D948,Übungen!$A$4:$A$23,0))),"")</f>
        <v/>
      </c>
      <c r="D948" s="56"/>
      <c r="E948" s="67"/>
      <c r="F948" s="55"/>
      <c r="G948" s="68"/>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2" t="str">
        <f aca="false">IFERROR(IF($B949="","",IF(INDEX(Einheiten!$B$4:$B$63,MATCH($B949,Einheiten!$A$4:$A$63,0))=0,"",INDEX(Einheiten!$B$4:$B$63,MATCH($B949,Einheiten!$A$4:$A$63,0)))),"")</f>
        <v/>
      </c>
      <c r="B949" s="54"/>
      <c r="C949" s="73" t="str">
        <f aca="false">IFERROR(IF($D949="","",INDEX(Übungen!$B$4:$B$23,MATCH($D949,Übungen!$A$4:$A$23,0))),"")</f>
        <v/>
      </c>
      <c r="D949" s="56"/>
      <c r="E949" s="67"/>
      <c r="F949" s="55"/>
      <c r="G949" s="68"/>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2" t="str">
        <f aca="false">IFERROR(IF($B950="","",IF(INDEX(Einheiten!$B$4:$B$63,MATCH($B950,Einheiten!$A$4:$A$63,0))=0,"",INDEX(Einheiten!$B$4:$B$63,MATCH($B950,Einheiten!$A$4:$A$63,0)))),"")</f>
        <v/>
      </c>
      <c r="B950" s="54"/>
      <c r="C950" s="73" t="str">
        <f aca="false">IFERROR(IF($D950="","",INDEX(Übungen!$B$4:$B$23,MATCH($D950,Übungen!$A$4:$A$23,0))),"")</f>
        <v/>
      </c>
      <c r="D950" s="56"/>
      <c r="E950" s="67"/>
      <c r="F950" s="55"/>
      <c r="G950" s="68"/>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2" t="str">
        <f aca="false">IFERROR(IF($B951="","",IF(INDEX(Einheiten!$B$4:$B$63,MATCH($B951,Einheiten!$A$4:$A$63,0))=0,"",INDEX(Einheiten!$B$4:$B$63,MATCH($B951,Einheiten!$A$4:$A$63,0)))),"")</f>
        <v/>
      </c>
      <c r="B951" s="54"/>
      <c r="C951" s="73" t="str">
        <f aca="false">IFERROR(IF($D951="","",INDEX(Übungen!$B$4:$B$23,MATCH($D951,Übungen!$A$4:$A$23,0))),"")</f>
        <v/>
      </c>
      <c r="D951" s="56"/>
      <c r="E951" s="67"/>
      <c r="F951" s="55"/>
      <c r="G951" s="68"/>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2" t="str">
        <f aca="false">IFERROR(IF($B952="","",IF(INDEX(Einheiten!$B$4:$B$63,MATCH($B952,Einheiten!$A$4:$A$63,0))=0,"",INDEX(Einheiten!$B$4:$B$63,MATCH($B952,Einheiten!$A$4:$A$63,0)))),"")</f>
        <v/>
      </c>
      <c r="B952" s="54"/>
      <c r="C952" s="73" t="str">
        <f aca="false">IFERROR(IF($D952="","",INDEX(Übungen!$B$4:$B$23,MATCH($D952,Übungen!$A$4:$A$23,0))),"")</f>
        <v/>
      </c>
      <c r="D952" s="56"/>
      <c r="E952" s="67"/>
      <c r="F952" s="55"/>
      <c r="G952" s="68"/>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2" t="str">
        <f aca="false">IFERROR(IF($B953="","",IF(INDEX(Einheiten!$B$4:$B$63,MATCH($B953,Einheiten!$A$4:$A$63,0))=0,"",INDEX(Einheiten!$B$4:$B$63,MATCH($B953,Einheiten!$A$4:$A$63,0)))),"")</f>
        <v/>
      </c>
      <c r="B953" s="54"/>
      <c r="C953" s="73" t="str">
        <f aca="false">IFERROR(IF($D953="","",INDEX(Übungen!$B$4:$B$23,MATCH($D953,Übungen!$A$4:$A$23,0))),"")</f>
        <v/>
      </c>
      <c r="D953" s="56"/>
      <c r="E953" s="67"/>
      <c r="F953" s="55"/>
      <c r="G953" s="68"/>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2" t="str">
        <f aca="false">IFERROR(IF($B954="","",IF(INDEX(Einheiten!$B$4:$B$63,MATCH($B954,Einheiten!$A$4:$A$63,0))=0,"",INDEX(Einheiten!$B$4:$B$63,MATCH($B954,Einheiten!$A$4:$A$63,0)))),"")</f>
        <v/>
      </c>
      <c r="B954" s="54"/>
      <c r="C954" s="73" t="str">
        <f aca="false">IFERROR(IF($D954="","",INDEX(Übungen!$B$4:$B$23,MATCH($D954,Übungen!$A$4:$A$23,0))),"")</f>
        <v/>
      </c>
      <c r="D954" s="56"/>
      <c r="E954" s="67"/>
      <c r="F954" s="55"/>
      <c r="G954" s="68"/>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2" t="str">
        <f aca="false">IFERROR(IF($B955="","",IF(INDEX(Einheiten!$B$4:$B$63,MATCH($B955,Einheiten!$A$4:$A$63,0))=0,"",INDEX(Einheiten!$B$4:$B$63,MATCH($B955,Einheiten!$A$4:$A$63,0)))),"")</f>
        <v/>
      </c>
      <c r="B955" s="54"/>
      <c r="C955" s="73" t="str">
        <f aca="false">IFERROR(IF($D955="","",INDEX(Übungen!$B$4:$B$23,MATCH($D955,Übungen!$A$4:$A$23,0))),"")</f>
        <v/>
      </c>
      <c r="D955" s="56"/>
      <c r="E955" s="67"/>
      <c r="F955" s="55"/>
      <c r="G955" s="68"/>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2" t="str">
        <f aca="false">IFERROR(IF($B956="","",IF(INDEX(Einheiten!$B$4:$B$63,MATCH($B956,Einheiten!$A$4:$A$63,0))=0,"",INDEX(Einheiten!$B$4:$B$63,MATCH($B956,Einheiten!$A$4:$A$63,0)))),"")</f>
        <v/>
      </c>
      <c r="B956" s="54"/>
      <c r="C956" s="73" t="str">
        <f aca="false">IFERROR(IF($D956="","",INDEX(Übungen!$B$4:$B$23,MATCH($D956,Übungen!$A$4:$A$23,0))),"")</f>
        <v/>
      </c>
      <c r="D956" s="56"/>
      <c r="E956" s="67"/>
      <c r="F956" s="55"/>
      <c r="G956" s="68"/>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2" t="str">
        <f aca="false">IFERROR(IF($B957="","",IF(INDEX(Einheiten!$B$4:$B$63,MATCH($B957,Einheiten!$A$4:$A$63,0))=0,"",INDEX(Einheiten!$B$4:$B$63,MATCH($B957,Einheiten!$A$4:$A$63,0)))),"")</f>
        <v/>
      </c>
      <c r="B957" s="54"/>
      <c r="C957" s="73" t="str">
        <f aca="false">IFERROR(IF($D957="","",INDEX(Übungen!$B$4:$B$23,MATCH($D957,Übungen!$A$4:$A$23,0))),"")</f>
        <v/>
      </c>
      <c r="D957" s="56"/>
      <c r="E957" s="67"/>
      <c r="F957" s="55"/>
      <c r="G957" s="68"/>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2" t="str">
        <f aca="false">IFERROR(IF($B958="","",IF(INDEX(Einheiten!$B$4:$B$63,MATCH($B958,Einheiten!$A$4:$A$63,0))=0,"",INDEX(Einheiten!$B$4:$B$63,MATCH($B958,Einheiten!$A$4:$A$63,0)))),"")</f>
        <v/>
      </c>
      <c r="B958" s="54"/>
      <c r="C958" s="73" t="str">
        <f aca="false">IFERROR(IF($D958="","",INDEX(Übungen!$B$4:$B$23,MATCH($D958,Übungen!$A$4:$A$23,0))),"")</f>
        <v/>
      </c>
      <c r="D958" s="56"/>
      <c r="E958" s="67"/>
      <c r="F958" s="55"/>
      <c r="G958" s="68"/>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2" t="str">
        <f aca="false">IFERROR(IF($B959="","",IF(INDEX(Einheiten!$B$4:$B$63,MATCH($B959,Einheiten!$A$4:$A$63,0))=0,"",INDEX(Einheiten!$B$4:$B$63,MATCH($B959,Einheiten!$A$4:$A$63,0)))),"")</f>
        <v/>
      </c>
      <c r="B959" s="54"/>
      <c r="C959" s="73" t="str">
        <f aca="false">IFERROR(IF($D959="","",INDEX(Übungen!$B$4:$B$23,MATCH($D959,Übungen!$A$4:$A$23,0))),"")</f>
        <v/>
      </c>
      <c r="D959" s="56"/>
      <c r="E959" s="67"/>
      <c r="F959" s="55"/>
      <c r="G959" s="68"/>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2" t="str">
        <f aca="false">IFERROR(IF($B960="","",IF(INDEX(Einheiten!$B$4:$B$63,MATCH($B960,Einheiten!$A$4:$A$63,0))=0,"",INDEX(Einheiten!$B$4:$B$63,MATCH($B960,Einheiten!$A$4:$A$63,0)))),"")</f>
        <v/>
      </c>
      <c r="B960" s="54"/>
      <c r="C960" s="73" t="str">
        <f aca="false">IFERROR(IF($D960="","",INDEX(Übungen!$B$4:$B$23,MATCH($D960,Übungen!$A$4:$A$23,0))),"")</f>
        <v/>
      </c>
      <c r="D960" s="56"/>
      <c r="E960" s="67"/>
      <c r="F960" s="55"/>
      <c r="G960" s="68"/>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2" t="str">
        <f aca="false">IFERROR(IF($B961="","",IF(INDEX(Einheiten!$B$4:$B$63,MATCH($B961,Einheiten!$A$4:$A$63,0))=0,"",INDEX(Einheiten!$B$4:$B$63,MATCH($B961,Einheiten!$A$4:$A$63,0)))),"")</f>
        <v/>
      </c>
      <c r="B961" s="54"/>
      <c r="C961" s="73" t="str">
        <f aca="false">IFERROR(IF($D961="","",INDEX(Übungen!$B$4:$B$23,MATCH($D961,Übungen!$A$4:$A$23,0))),"")</f>
        <v/>
      </c>
      <c r="D961" s="56"/>
      <c r="E961" s="67"/>
      <c r="F961" s="55"/>
      <c r="G961" s="68"/>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2" t="str">
        <f aca="false">IFERROR(IF($B962="","",IF(INDEX(Einheiten!$B$4:$B$63,MATCH($B962,Einheiten!$A$4:$A$63,0))=0,"",INDEX(Einheiten!$B$4:$B$63,MATCH($B962,Einheiten!$A$4:$A$63,0)))),"")</f>
        <v/>
      </c>
      <c r="B962" s="54"/>
      <c r="C962" s="73" t="str">
        <f aca="false">IFERROR(IF($D962="","",INDEX(Übungen!$B$4:$B$23,MATCH($D962,Übungen!$A$4:$A$23,0))),"")</f>
        <v/>
      </c>
      <c r="D962" s="56"/>
      <c r="E962" s="67"/>
      <c r="F962" s="55"/>
      <c r="G962" s="68"/>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2" t="str">
        <f aca="false">IFERROR(IF($B963="","",IF(INDEX(Einheiten!$B$4:$B$63,MATCH($B963,Einheiten!$A$4:$A$63,0))=0,"",INDEX(Einheiten!$B$4:$B$63,MATCH($B963,Einheiten!$A$4:$A$63,0)))),"")</f>
        <v/>
      </c>
      <c r="B963" s="54"/>
      <c r="C963" s="73" t="str">
        <f aca="false">IFERROR(IF($D963="","",INDEX(Übungen!$B$4:$B$23,MATCH($D963,Übungen!$A$4:$A$23,0))),"")</f>
        <v/>
      </c>
      <c r="D963" s="56"/>
      <c r="E963" s="67"/>
      <c r="F963" s="55"/>
      <c r="G963" s="68"/>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2" t="str">
        <f aca="false">IFERROR(IF($B964="","",IF(INDEX(Einheiten!$B$4:$B$63,MATCH($B964,Einheiten!$A$4:$A$63,0))=0,"",INDEX(Einheiten!$B$4:$B$63,MATCH($B964,Einheiten!$A$4:$A$63,0)))),"")</f>
        <v/>
      </c>
      <c r="B964" s="54"/>
      <c r="C964" s="73" t="str">
        <f aca="false">IFERROR(IF($D964="","",INDEX(Übungen!$B$4:$B$23,MATCH($D964,Übungen!$A$4:$A$23,0))),"")</f>
        <v/>
      </c>
      <c r="D964" s="56"/>
      <c r="E964" s="67"/>
      <c r="F964" s="55"/>
      <c r="G964" s="68"/>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2" t="str">
        <f aca="false">IFERROR(IF($B965="","",IF(INDEX(Einheiten!$B$4:$B$63,MATCH($B965,Einheiten!$A$4:$A$63,0))=0,"",INDEX(Einheiten!$B$4:$B$63,MATCH($B965,Einheiten!$A$4:$A$63,0)))),"")</f>
        <v/>
      </c>
      <c r="B965" s="54"/>
      <c r="C965" s="73" t="str">
        <f aca="false">IFERROR(IF($D965="","",INDEX(Übungen!$B$4:$B$23,MATCH($D965,Übungen!$A$4:$A$23,0))),"")</f>
        <v/>
      </c>
      <c r="D965" s="56"/>
      <c r="E965" s="67"/>
      <c r="F965" s="55"/>
      <c r="G965" s="68"/>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2" t="str">
        <f aca="false">IFERROR(IF($B966="","",IF(INDEX(Einheiten!$B$4:$B$63,MATCH($B966,Einheiten!$A$4:$A$63,0))=0,"",INDEX(Einheiten!$B$4:$B$63,MATCH($B966,Einheiten!$A$4:$A$63,0)))),"")</f>
        <v/>
      </c>
      <c r="B966" s="54"/>
      <c r="C966" s="73" t="str">
        <f aca="false">IFERROR(IF($D966="","",INDEX(Übungen!$B$4:$B$23,MATCH($D966,Übungen!$A$4:$A$23,0))),"")</f>
        <v/>
      </c>
      <c r="D966" s="56"/>
      <c r="E966" s="67"/>
      <c r="F966" s="55"/>
      <c r="G966" s="68"/>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2" t="str">
        <f aca="false">IFERROR(IF($B967="","",IF(INDEX(Einheiten!$B$4:$B$63,MATCH($B967,Einheiten!$A$4:$A$63,0))=0,"",INDEX(Einheiten!$B$4:$B$63,MATCH($B967,Einheiten!$A$4:$A$63,0)))),"")</f>
        <v/>
      </c>
      <c r="B967" s="54"/>
      <c r="C967" s="73" t="str">
        <f aca="false">IFERROR(IF($D967="","",INDEX(Übungen!$B$4:$B$23,MATCH($D967,Übungen!$A$4:$A$23,0))),"")</f>
        <v/>
      </c>
      <c r="D967" s="56"/>
      <c r="E967" s="67"/>
      <c r="F967" s="55"/>
      <c r="G967" s="68"/>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2" t="str">
        <f aca="false">IFERROR(IF($B968="","",IF(INDEX(Einheiten!$B$4:$B$63,MATCH($B968,Einheiten!$A$4:$A$63,0))=0,"",INDEX(Einheiten!$B$4:$B$63,MATCH($B968,Einheiten!$A$4:$A$63,0)))),"")</f>
        <v/>
      </c>
      <c r="B968" s="54"/>
      <c r="C968" s="73" t="str">
        <f aca="false">IFERROR(IF($D968="","",INDEX(Übungen!$B$4:$B$23,MATCH($D968,Übungen!$A$4:$A$23,0))),"")</f>
        <v/>
      </c>
      <c r="D968" s="56"/>
      <c r="E968" s="67"/>
      <c r="F968" s="55"/>
      <c r="G968" s="68"/>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2" t="str">
        <f aca="false">IFERROR(IF($B969="","",IF(INDEX(Einheiten!$B$4:$B$63,MATCH($B969,Einheiten!$A$4:$A$63,0))=0,"",INDEX(Einheiten!$B$4:$B$63,MATCH($B969,Einheiten!$A$4:$A$63,0)))),"")</f>
        <v/>
      </c>
      <c r="B969" s="54"/>
      <c r="C969" s="73" t="str">
        <f aca="false">IFERROR(IF($D969="","",INDEX(Übungen!$B$4:$B$23,MATCH($D969,Übungen!$A$4:$A$23,0))),"")</f>
        <v/>
      </c>
      <c r="D969" s="56"/>
      <c r="E969" s="67"/>
      <c r="F969" s="55"/>
      <c r="G969" s="68"/>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2" t="str">
        <f aca="false">IFERROR(IF($B970="","",IF(INDEX(Einheiten!$B$4:$B$63,MATCH($B970,Einheiten!$A$4:$A$63,0))=0,"",INDEX(Einheiten!$B$4:$B$63,MATCH($B970,Einheiten!$A$4:$A$63,0)))),"")</f>
        <v/>
      </c>
      <c r="B970" s="54"/>
      <c r="C970" s="73" t="str">
        <f aca="false">IFERROR(IF($D970="","",INDEX(Übungen!$B$4:$B$23,MATCH($D970,Übungen!$A$4:$A$23,0))),"")</f>
        <v/>
      </c>
      <c r="D970" s="56"/>
      <c r="E970" s="67"/>
      <c r="F970" s="55"/>
      <c r="G970" s="68"/>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2" t="str">
        <f aca="false">IFERROR(IF($B971="","",IF(INDEX(Einheiten!$B$4:$B$63,MATCH($B971,Einheiten!$A$4:$A$63,0))=0,"",INDEX(Einheiten!$B$4:$B$63,MATCH($B971,Einheiten!$A$4:$A$63,0)))),"")</f>
        <v/>
      </c>
      <c r="B971" s="54"/>
      <c r="C971" s="73" t="str">
        <f aca="false">IFERROR(IF($D971="","",INDEX(Übungen!$B$4:$B$23,MATCH($D971,Übungen!$A$4:$A$23,0))),"")</f>
        <v/>
      </c>
      <c r="D971" s="56"/>
      <c r="E971" s="67"/>
      <c r="F971" s="55"/>
      <c r="G971" s="68"/>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2" t="str">
        <f aca="false">IFERROR(IF($B972="","",IF(INDEX(Einheiten!$B$4:$B$63,MATCH($B972,Einheiten!$A$4:$A$63,0))=0,"",INDEX(Einheiten!$B$4:$B$63,MATCH($B972,Einheiten!$A$4:$A$63,0)))),"")</f>
        <v/>
      </c>
      <c r="B972" s="54"/>
      <c r="C972" s="73" t="str">
        <f aca="false">IFERROR(IF($D972="","",INDEX(Übungen!$B$4:$B$23,MATCH($D972,Übungen!$A$4:$A$23,0))),"")</f>
        <v/>
      </c>
      <c r="D972" s="56"/>
      <c r="E972" s="67"/>
      <c r="F972" s="55"/>
      <c r="G972" s="68"/>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2" t="str">
        <f aca="false">IFERROR(IF($B973="","",IF(INDEX(Einheiten!$B$4:$B$63,MATCH($B973,Einheiten!$A$4:$A$63,0))=0,"",INDEX(Einheiten!$B$4:$B$63,MATCH($B973,Einheiten!$A$4:$A$63,0)))),"")</f>
        <v/>
      </c>
      <c r="B973" s="54"/>
      <c r="C973" s="73" t="str">
        <f aca="false">IFERROR(IF($D973="","",INDEX(Übungen!$B$4:$B$23,MATCH($D973,Übungen!$A$4:$A$23,0))),"")</f>
        <v/>
      </c>
      <c r="D973" s="56"/>
      <c r="E973" s="67"/>
      <c r="F973" s="55"/>
      <c r="G973" s="68"/>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2" t="str">
        <f aca="false">IFERROR(IF($B974="","",IF(INDEX(Einheiten!$B$4:$B$63,MATCH($B974,Einheiten!$A$4:$A$63,0))=0,"",INDEX(Einheiten!$B$4:$B$63,MATCH($B974,Einheiten!$A$4:$A$63,0)))),"")</f>
        <v/>
      </c>
      <c r="B974" s="54"/>
      <c r="C974" s="73" t="str">
        <f aca="false">IFERROR(IF($D974="","",INDEX(Übungen!$B$4:$B$23,MATCH($D974,Übungen!$A$4:$A$23,0))),"")</f>
        <v/>
      </c>
      <c r="D974" s="56"/>
      <c r="E974" s="67"/>
      <c r="F974" s="55"/>
      <c r="G974" s="68"/>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2" t="str">
        <f aca="false">IFERROR(IF($B975="","",IF(INDEX(Einheiten!$B$4:$B$63,MATCH($B975,Einheiten!$A$4:$A$63,0))=0,"",INDEX(Einheiten!$B$4:$B$63,MATCH($B975,Einheiten!$A$4:$A$63,0)))),"")</f>
        <v/>
      </c>
      <c r="B975" s="54"/>
      <c r="C975" s="73" t="str">
        <f aca="false">IFERROR(IF($D975="","",INDEX(Übungen!$B$4:$B$23,MATCH($D975,Übungen!$A$4:$A$23,0))),"")</f>
        <v/>
      </c>
      <c r="D975" s="56"/>
      <c r="E975" s="67"/>
      <c r="F975" s="55"/>
      <c r="G975" s="68"/>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2" t="str">
        <f aca="false">IFERROR(IF($B976="","",IF(INDEX(Einheiten!$B$4:$B$63,MATCH($B976,Einheiten!$A$4:$A$63,0))=0,"",INDEX(Einheiten!$B$4:$B$63,MATCH($B976,Einheiten!$A$4:$A$63,0)))),"")</f>
        <v/>
      </c>
      <c r="B976" s="54"/>
      <c r="C976" s="73" t="str">
        <f aca="false">IFERROR(IF($D976="","",INDEX(Übungen!$B$4:$B$23,MATCH($D976,Übungen!$A$4:$A$23,0))),"")</f>
        <v/>
      </c>
      <c r="D976" s="56"/>
      <c r="E976" s="67"/>
      <c r="F976" s="55"/>
      <c r="G976" s="68"/>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2" t="str">
        <f aca="false">IFERROR(IF($B977="","",IF(INDEX(Einheiten!$B$4:$B$63,MATCH($B977,Einheiten!$A$4:$A$63,0))=0,"",INDEX(Einheiten!$B$4:$B$63,MATCH($B977,Einheiten!$A$4:$A$63,0)))),"")</f>
        <v/>
      </c>
      <c r="B977" s="54"/>
      <c r="C977" s="73" t="str">
        <f aca="false">IFERROR(IF($D977="","",INDEX(Übungen!$B$4:$B$23,MATCH($D977,Übungen!$A$4:$A$23,0))),"")</f>
        <v/>
      </c>
      <c r="D977" s="56"/>
      <c r="E977" s="67"/>
      <c r="F977" s="55"/>
      <c r="G977" s="68"/>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2" t="str">
        <f aca="false">IFERROR(IF($B978="","",IF(INDEX(Einheiten!$B$4:$B$63,MATCH($B978,Einheiten!$A$4:$A$63,0))=0,"",INDEX(Einheiten!$B$4:$B$63,MATCH($B978,Einheiten!$A$4:$A$63,0)))),"")</f>
        <v/>
      </c>
      <c r="B978" s="54"/>
      <c r="C978" s="73" t="str">
        <f aca="false">IFERROR(IF($D978="","",INDEX(Übungen!$B$4:$B$23,MATCH($D978,Übungen!$A$4:$A$23,0))),"")</f>
        <v/>
      </c>
      <c r="D978" s="56"/>
      <c r="E978" s="67"/>
      <c r="F978" s="55"/>
      <c r="G978" s="68"/>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2" t="str">
        <f aca="false">IFERROR(IF($B979="","",IF(INDEX(Einheiten!$B$4:$B$63,MATCH($B979,Einheiten!$A$4:$A$63,0))=0,"",INDEX(Einheiten!$B$4:$B$63,MATCH($B979,Einheiten!$A$4:$A$63,0)))),"")</f>
        <v/>
      </c>
      <c r="B979" s="54"/>
      <c r="C979" s="73" t="str">
        <f aca="false">IFERROR(IF($D979="","",INDEX(Übungen!$B$4:$B$23,MATCH($D979,Übungen!$A$4:$A$23,0))),"")</f>
        <v/>
      </c>
      <c r="D979" s="56"/>
      <c r="E979" s="67"/>
      <c r="F979" s="55"/>
      <c r="G979" s="68"/>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2" t="str">
        <f aca="false">IFERROR(IF($B980="","",IF(INDEX(Einheiten!$B$4:$B$63,MATCH($B980,Einheiten!$A$4:$A$63,0))=0,"",INDEX(Einheiten!$B$4:$B$63,MATCH($B980,Einheiten!$A$4:$A$63,0)))),"")</f>
        <v/>
      </c>
      <c r="B980" s="54"/>
      <c r="C980" s="73" t="str">
        <f aca="false">IFERROR(IF($D980="","",INDEX(Übungen!$B$4:$B$23,MATCH($D980,Übungen!$A$4:$A$23,0))),"")</f>
        <v/>
      </c>
      <c r="D980" s="56"/>
      <c r="E980" s="67"/>
      <c r="F980" s="55"/>
      <c r="G980" s="68"/>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2" t="str">
        <f aca="false">IFERROR(IF($B981="","",IF(INDEX(Einheiten!$B$4:$B$63,MATCH($B981,Einheiten!$A$4:$A$63,0))=0,"",INDEX(Einheiten!$B$4:$B$63,MATCH($B981,Einheiten!$A$4:$A$63,0)))),"")</f>
        <v/>
      </c>
      <c r="B981" s="54"/>
      <c r="C981" s="73" t="str">
        <f aca="false">IFERROR(IF($D981="","",INDEX(Übungen!$B$4:$B$23,MATCH($D981,Übungen!$A$4:$A$23,0))),"")</f>
        <v/>
      </c>
      <c r="D981" s="56"/>
      <c r="E981" s="67"/>
      <c r="F981" s="55"/>
      <c r="G981" s="68"/>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2" t="str">
        <f aca="false">IFERROR(IF($B982="","",IF(INDEX(Einheiten!$B$4:$B$63,MATCH($B982,Einheiten!$A$4:$A$63,0))=0,"",INDEX(Einheiten!$B$4:$B$63,MATCH($B982,Einheiten!$A$4:$A$63,0)))),"")</f>
        <v/>
      </c>
      <c r="B982" s="54"/>
      <c r="C982" s="73" t="str">
        <f aca="false">IFERROR(IF($D982="","",INDEX(Übungen!$B$4:$B$23,MATCH($D982,Übungen!$A$4:$A$23,0))),"")</f>
        <v/>
      </c>
      <c r="D982" s="56"/>
      <c r="E982" s="67"/>
      <c r="F982" s="55"/>
      <c r="G982" s="68"/>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2" t="str">
        <f aca="false">IFERROR(IF($B983="","",IF(INDEX(Einheiten!$B$4:$B$63,MATCH($B983,Einheiten!$A$4:$A$63,0))=0,"",INDEX(Einheiten!$B$4:$B$63,MATCH($B983,Einheiten!$A$4:$A$63,0)))),"")</f>
        <v/>
      </c>
      <c r="B983" s="54"/>
      <c r="C983" s="73" t="str">
        <f aca="false">IFERROR(IF($D983="","",INDEX(Übungen!$B$4:$B$23,MATCH($D983,Übungen!$A$4:$A$23,0))),"")</f>
        <v/>
      </c>
      <c r="D983" s="56"/>
      <c r="E983" s="67"/>
      <c r="F983" s="55"/>
      <c r="G983" s="68"/>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2" t="str">
        <f aca="false">IFERROR(IF($B984="","",IF(INDEX(Einheiten!$B$4:$B$63,MATCH($B984,Einheiten!$A$4:$A$63,0))=0,"",INDEX(Einheiten!$B$4:$B$63,MATCH($B984,Einheiten!$A$4:$A$63,0)))),"")</f>
        <v/>
      </c>
      <c r="B984" s="54"/>
      <c r="C984" s="73" t="str">
        <f aca="false">IFERROR(IF($D984="","",INDEX(Übungen!$B$4:$B$23,MATCH($D984,Übungen!$A$4:$A$23,0))),"")</f>
        <v/>
      </c>
      <c r="D984" s="56"/>
      <c r="E984" s="67"/>
      <c r="F984" s="55"/>
      <c r="G984" s="68"/>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2" t="str">
        <f aca="false">IFERROR(IF($B985="","",IF(INDEX(Einheiten!$B$4:$B$63,MATCH($B985,Einheiten!$A$4:$A$63,0))=0,"",INDEX(Einheiten!$B$4:$B$63,MATCH($B985,Einheiten!$A$4:$A$63,0)))),"")</f>
        <v/>
      </c>
      <c r="B985" s="54"/>
      <c r="C985" s="73" t="str">
        <f aca="false">IFERROR(IF($D985="","",INDEX(Übungen!$B$4:$B$23,MATCH($D985,Übungen!$A$4:$A$23,0))),"")</f>
        <v/>
      </c>
      <c r="D985" s="56"/>
      <c r="E985" s="67"/>
      <c r="F985" s="55"/>
      <c r="G985" s="68"/>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2" t="str">
        <f aca="false">IFERROR(IF($B986="","",IF(INDEX(Einheiten!$B$4:$B$63,MATCH($B986,Einheiten!$A$4:$A$63,0))=0,"",INDEX(Einheiten!$B$4:$B$63,MATCH($B986,Einheiten!$A$4:$A$63,0)))),"")</f>
        <v/>
      </c>
      <c r="B986" s="54"/>
      <c r="C986" s="73" t="str">
        <f aca="false">IFERROR(IF($D986="","",INDEX(Übungen!$B$4:$B$23,MATCH($D986,Übungen!$A$4:$A$23,0))),"")</f>
        <v/>
      </c>
      <c r="D986" s="56"/>
      <c r="E986" s="67"/>
      <c r="F986" s="55"/>
      <c r="G986" s="68"/>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2" t="str">
        <f aca="false">IFERROR(IF($B987="","",IF(INDEX(Einheiten!$B$4:$B$63,MATCH($B987,Einheiten!$A$4:$A$63,0))=0,"",INDEX(Einheiten!$B$4:$B$63,MATCH($B987,Einheiten!$A$4:$A$63,0)))),"")</f>
        <v/>
      </c>
      <c r="B987" s="54"/>
      <c r="C987" s="73" t="str">
        <f aca="false">IFERROR(IF($D987="","",INDEX(Übungen!$B$4:$B$23,MATCH($D987,Übungen!$A$4:$A$23,0))),"")</f>
        <v/>
      </c>
      <c r="D987" s="56"/>
      <c r="E987" s="67"/>
      <c r="F987" s="55"/>
      <c r="G987" s="68"/>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2" t="str">
        <f aca="false">IFERROR(IF($B988="","",IF(INDEX(Einheiten!$B$4:$B$63,MATCH($B988,Einheiten!$A$4:$A$63,0))=0,"",INDEX(Einheiten!$B$4:$B$63,MATCH($B988,Einheiten!$A$4:$A$63,0)))),"")</f>
        <v/>
      </c>
      <c r="B988" s="54"/>
      <c r="C988" s="73" t="str">
        <f aca="false">IFERROR(IF($D988="","",INDEX(Übungen!$B$4:$B$23,MATCH($D988,Übungen!$A$4:$A$23,0))),"")</f>
        <v/>
      </c>
      <c r="D988" s="56"/>
      <c r="E988" s="67"/>
      <c r="F988" s="55"/>
      <c r="G988" s="68"/>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2" t="str">
        <f aca="false">IFERROR(IF($B989="","",IF(INDEX(Einheiten!$B$4:$B$63,MATCH($B989,Einheiten!$A$4:$A$63,0))=0,"",INDEX(Einheiten!$B$4:$B$63,MATCH($B989,Einheiten!$A$4:$A$63,0)))),"")</f>
        <v/>
      </c>
      <c r="B989" s="54"/>
      <c r="C989" s="73" t="str">
        <f aca="false">IFERROR(IF($D989="","",INDEX(Übungen!$B$4:$B$23,MATCH($D989,Übungen!$A$4:$A$23,0))),"")</f>
        <v/>
      </c>
      <c r="D989" s="56"/>
      <c r="E989" s="67"/>
      <c r="F989" s="55"/>
      <c r="G989" s="68"/>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2" t="str">
        <f aca="false">IFERROR(IF($B990="","",IF(INDEX(Einheiten!$B$4:$B$63,MATCH($B990,Einheiten!$A$4:$A$63,0))=0,"",INDEX(Einheiten!$B$4:$B$63,MATCH($B990,Einheiten!$A$4:$A$63,0)))),"")</f>
        <v/>
      </c>
      <c r="B990" s="54"/>
      <c r="C990" s="73" t="str">
        <f aca="false">IFERROR(IF($D990="","",INDEX(Übungen!$B$4:$B$23,MATCH($D990,Übungen!$A$4:$A$23,0))),"")</f>
        <v/>
      </c>
      <c r="D990" s="56"/>
      <c r="E990" s="67"/>
      <c r="F990" s="55"/>
      <c r="G990" s="68"/>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2" t="str">
        <f aca="false">IFERROR(IF($B991="","",IF(INDEX(Einheiten!$B$4:$B$63,MATCH($B991,Einheiten!$A$4:$A$63,0))=0,"",INDEX(Einheiten!$B$4:$B$63,MATCH($B991,Einheiten!$A$4:$A$63,0)))),"")</f>
        <v/>
      </c>
      <c r="B991" s="54"/>
      <c r="C991" s="73" t="str">
        <f aca="false">IFERROR(IF($D991="","",INDEX(Übungen!$B$4:$B$23,MATCH($D991,Übungen!$A$4:$A$23,0))),"")</f>
        <v/>
      </c>
      <c r="D991" s="56"/>
      <c r="E991" s="67"/>
      <c r="F991" s="55"/>
      <c r="G991" s="68"/>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2" t="str">
        <f aca="false">IFERROR(IF($B992="","",IF(INDEX(Einheiten!$B$4:$B$63,MATCH($B992,Einheiten!$A$4:$A$63,0))=0,"",INDEX(Einheiten!$B$4:$B$63,MATCH($B992,Einheiten!$A$4:$A$63,0)))),"")</f>
        <v/>
      </c>
      <c r="B992" s="54"/>
      <c r="C992" s="73" t="str">
        <f aca="false">IFERROR(IF($D992="","",INDEX(Übungen!$B$4:$B$23,MATCH($D992,Übungen!$A$4:$A$23,0))),"")</f>
        <v/>
      </c>
      <c r="D992" s="56"/>
      <c r="E992" s="67"/>
      <c r="F992" s="55"/>
      <c r="G992" s="68"/>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2" t="str">
        <f aca="false">IFERROR(IF($B993="","",IF(INDEX(Einheiten!$B$4:$B$63,MATCH($B993,Einheiten!$A$4:$A$63,0))=0,"",INDEX(Einheiten!$B$4:$B$63,MATCH($B993,Einheiten!$A$4:$A$63,0)))),"")</f>
        <v/>
      </c>
      <c r="B993" s="54"/>
      <c r="C993" s="73" t="str">
        <f aca="false">IFERROR(IF($D993="","",INDEX(Übungen!$B$4:$B$23,MATCH($D993,Übungen!$A$4:$A$23,0))),"")</f>
        <v/>
      </c>
      <c r="D993" s="56"/>
      <c r="E993" s="67"/>
      <c r="F993" s="55"/>
      <c r="G993" s="68"/>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2" t="str">
        <f aca="false">IFERROR(IF($B994="","",IF(INDEX(Einheiten!$B$4:$B$63,MATCH($B994,Einheiten!$A$4:$A$63,0))=0,"",INDEX(Einheiten!$B$4:$B$63,MATCH($B994,Einheiten!$A$4:$A$63,0)))),"")</f>
        <v/>
      </c>
      <c r="B994" s="54"/>
      <c r="C994" s="73" t="str">
        <f aca="false">IFERROR(IF($D994="","",INDEX(Übungen!$B$4:$B$23,MATCH($D994,Übungen!$A$4:$A$23,0))),"")</f>
        <v/>
      </c>
      <c r="D994" s="56"/>
      <c r="E994" s="67"/>
      <c r="F994" s="55"/>
      <c r="G994" s="68"/>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2" t="str">
        <f aca="false">IFERROR(IF($B995="","",IF(INDEX(Einheiten!$B$4:$B$63,MATCH($B995,Einheiten!$A$4:$A$63,0))=0,"",INDEX(Einheiten!$B$4:$B$63,MATCH($B995,Einheiten!$A$4:$A$63,0)))),"")</f>
        <v/>
      </c>
      <c r="B995" s="54"/>
      <c r="C995" s="73" t="str">
        <f aca="false">IFERROR(IF($D995="","",INDEX(Übungen!$B$4:$B$23,MATCH($D995,Übungen!$A$4:$A$23,0))),"")</f>
        <v/>
      </c>
      <c r="D995" s="56"/>
      <c r="E995" s="67"/>
      <c r="F995" s="55"/>
      <c r="G995" s="68"/>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2" t="str">
        <f aca="false">IFERROR(IF($B996="","",IF(INDEX(Einheiten!$B$4:$B$63,MATCH($B996,Einheiten!$A$4:$A$63,0))=0,"",INDEX(Einheiten!$B$4:$B$63,MATCH($B996,Einheiten!$A$4:$A$63,0)))),"")</f>
        <v/>
      </c>
      <c r="B996" s="54"/>
      <c r="C996" s="73" t="str">
        <f aca="false">IFERROR(IF($D996="","",INDEX(Übungen!$B$4:$B$23,MATCH($D996,Übungen!$A$4:$A$23,0))),"")</f>
        <v/>
      </c>
      <c r="D996" s="56"/>
      <c r="E996" s="67"/>
      <c r="F996" s="55"/>
      <c r="G996" s="68"/>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2" t="str">
        <f aca="false">IFERROR(IF($B997="","",IF(INDEX(Einheiten!$B$4:$B$63,MATCH($B997,Einheiten!$A$4:$A$63,0))=0,"",INDEX(Einheiten!$B$4:$B$63,MATCH($B997,Einheiten!$A$4:$A$63,0)))),"")</f>
        <v/>
      </c>
      <c r="B997" s="54"/>
      <c r="C997" s="73" t="str">
        <f aca="false">IFERROR(IF($D997="","",INDEX(Übungen!$B$4:$B$23,MATCH($D997,Übungen!$A$4:$A$23,0))),"")</f>
        <v/>
      </c>
      <c r="D997" s="56"/>
      <c r="E997" s="67"/>
      <c r="F997" s="55"/>
      <c r="G997" s="68"/>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2" t="str">
        <f aca="false">IFERROR(IF($B998="","",IF(INDEX(Einheiten!$B$4:$B$63,MATCH($B998,Einheiten!$A$4:$A$63,0))=0,"",INDEX(Einheiten!$B$4:$B$63,MATCH($B998,Einheiten!$A$4:$A$63,0)))),"")</f>
        <v/>
      </c>
      <c r="B998" s="54"/>
      <c r="C998" s="73" t="str">
        <f aca="false">IFERROR(IF($D998="","",INDEX(Übungen!$B$4:$B$23,MATCH($D998,Übungen!$A$4:$A$23,0))),"")</f>
        <v/>
      </c>
      <c r="D998" s="56"/>
      <c r="E998" s="67"/>
      <c r="F998" s="55"/>
      <c r="G998" s="68"/>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2" t="str">
        <f aca="false">IFERROR(IF($B999="","",IF(INDEX(Einheiten!$B$4:$B$63,MATCH($B999,Einheiten!$A$4:$A$63,0))=0,"",INDEX(Einheiten!$B$4:$B$63,MATCH($B999,Einheiten!$A$4:$A$63,0)))),"")</f>
        <v/>
      </c>
      <c r="B999" s="54"/>
      <c r="C999" s="73" t="str">
        <f aca="false">IFERROR(IF($D999="","",INDEX(Übungen!$B$4:$B$23,MATCH($D999,Übungen!$A$4:$A$23,0))),"")</f>
        <v/>
      </c>
      <c r="D999" s="56"/>
      <c r="E999" s="67"/>
      <c r="F999" s="55"/>
      <c r="G999" s="68"/>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2" t="str">
        <f aca="false">IFERROR(IF($B1000="","",IF(INDEX(Einheiten!$B$4:$B$63,MATCH($B1000,Einheiten!$A$4:$A$63,0))=0,"",INDEX(Einheiten!$B$4:$B$63,MATCH($B1000,Einheiten!$A$4:$A$63,0)))),"")</f>
        <v/>
      </c>
      <c r="B1000" s="54"/>
      <c r="C1000" s="73" t="str">
        <f aca="false">IFERROR(IF($D1000="","",INDEX(Übungen!$B$4:$B$23,MATCH($D1000,Übungen!$A$4:$A$23,0))),"")</f>
        <v/>
      </c>
      <c r="D1000" s="56"/>
      <c r="E1000" s="67"/>
      <c r="F1000" s="55"/>
      <c r="G1000" s="68"/>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2" t="str">
        <f aca="false">IFERROR(IF($B1001="","",IF(INDEX(Einheiten!$B$4:$B$63,MATCH($B1001,Einheiten!$A$4:$A$63,0))=0,"",INDEX(Einheiten!$B$4:$B$63,MATCH($B1001,Einheiten!$A$4:$A$63,0)))),"")</f>
        <v/>
      </c>
      <c r="B1001" s="54"/>
      <c r="C1001" s="73" t="str">
        <f aca="false">IFERROR(IF($D1001="","",INDEX(Übungen!$B$4:$B$23,MATCH($D1001,Übungen!$A$4:$A$23,0))),"")</f>
        <v/>
      </c>
      <c r="D1001" s="56"/>
      <c r="E1001" s="67"/>
      <c r="F1001" s="55"/>
      <c r="G1001" s="68"/>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2" t="str">
        <f aca="false">IFERROR(IF($B1002="","",IF(INDEX(Einheiten!$B$4:$B$63,MATCH($B1002,Einheiten!$A$4:$A$63,0))=0,"",INDEX(Einheiten!$B$4:$B$63,MATCH($B1002,Einheiten!$A$4:$A$63,0)))),"")</f>
        <v/>
      </c>
      <c r="B1002" s="54"/>
      <c r="C1002" s="73" t="str">
        <f aca="false">IFERROR(IF($D1002="","",INDEX(Übungen!$B$4:$B$23,MATCH($D1002,Übungen!$A$4:$A$23,0))),"")</f>
        <v/>
      </c>
      <c r="D1002" s="56"/>
      <c r="E1002" s="67"/>
      <c r="F1002" s="55"/>
      <c r="G1002" s="68"/>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2" t="str">
        <f aca="false">IFERROR(IF($B1003="","",IF(INDEX(Einheiten!$B$4:$B$63,MATCH($B1003,Einheiten!$A$4:$A$63,0))=0,"",INDEX(Einheiten!$B$4:$B$63,MATCH($B1003,Einheiten!$A$4:$A$63,0)))),"")</f>
        <v/>
      </c>
      <c r="B1003" s="54"/>
      <c r="C1003" s="73" t="str">
        <f aca="false">IFERROR(IF($D1003="","",INDEX(Übungen!$B$4:$B$23,MATCH($D1003,Übungen!$A$4:$A$23,0))),"")</f>
        <v/>
      </c>
      <c r="D1003" s="56"/>
      <c r="E1003" s="67"/>
      <c r="F1003" s="55"/>
      <c r="G1003" s="68"/>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2" t="str">
        <f aca="false">IFERROR(IF($B1004="","",IF(INDEX(Einheiten!$B$4:$B$63,MATCH($B1004,Einheiten!$A$4:$A$63,0))=0,"",INDEX(Einheiten!$B$4:$B$63,MATCH($B1004,Einheiten!$A$4:$A$63,0)))),"")</f>
        <v/>
      </c>
      <c r="B1004" s="54"/>
      <c r="C1004" s="73" t="str">
        <f aca="false">IFERROR(IF($D1004="","",INDEX(Übungen!$B$4:$B$23,MATCH($D1004,Übungen!$A$4:$A$23,0))),"")</f>
        <v/>
      </c>
      <c r="D1004" s="56"/>
      <c r="E1004" s="67"/>
      <c r="F1004" s="55"/>
      <c r="G1004" s="68"/>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2" t="str">
        <f aca="false">IFERROR(IF($B1005="","",IF(INDEX(Einheiten!$B$4:$B$63,MATCH($B1005,Einheiten!$A$4:$A$63,0))=0,"",INDEX(Einheiten!$B$4:$B$63,MATCH($B1005,Einheiten!$A$4:$A$63,0)))),"")</f>
        <v/>
      </c>
      <c r="B1005" s="54"/>
      <c r="C1005" s="73" t="str">
        <f aca="false">IFERROR(IF($D1005="","",INDEX(Übungen!$B$4:$B$23,MATCH($D1005,Übungen!$A$4:$A$23,0))),"")</f>
        <v/>
      </c>
      <c r="D1005" s="56"/>
      <c r="E1005" s="67"/>
      <c r="F1005" s="55"/>
      <c r="G1005" s="68"/>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2" t="str">
        <f aca="false">IFERROR(IF($B1006="","",IF(INDEX(Einheiten!$B$4:$B$63,MATCH($B1006,Einheiten!$A$4:$A$63,0))=0,"",INDEX(Einheiten!$B$4:$B$63,MATCH($B1006,Einheiten!$A$4:$A$63,0)))),"")</f>
        <v/>
      </c>
      <c r="B1006" s="54"/>
      <c r="C1006" s="73" t="str">
        <f aca="false">IFERROR(IF($D1006="","",INDEX(Übungen!$B$4:$B$23,MATCH($D1006,Übungen!$A$4:$A$23,0))),"")</f>
        <v/>
      </c>
      <c r="D1006" s="56"/>
      <c r="E1006" s="67"/>
      <c r="F1006" s="55"/>
      <c r="G1006" s="68"/>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2" t="str">
        <f aca="false">IFERROR(IF($B1007="","",IF(INDEX(Einheiten!$B$4:$B$63,MATCH($B1007,Einheiten!$A$4:$A$63,0))=0,"",INDEX(Einheiten!$B$4:$B$63,MATCH($B1007,Einheiten!$A$4:$A$63,0)))),"")</f>
        <v/>
      </c>
      <c r="B1007" s="54"/>
      <c r="C1007" s="73" t="str">
        <f aca="false">IFERROR(IF($D1007="","",INDEX(Übungen!$B$4:$B$23,MATCH($D1007,Übungen!$A$4:$A$23,0))),"")</f>
        <v/>
      </c>
      <c r="D1007" s="56"/>
      <c r="E1007" s="67"/>
      <c r="F1007" s="55"/>
      <c r="G1007" s="68"/>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2" t="str">
        <f aca="false">IFERROR(IF($B1008="","",IF(INDEX(Einheiten!$B$4:$B$63,MATCH($B1008,Einheiten!$A$4:$A$63,0))=0,"",INDEX(Einheiten!$B$4:$B$63,MATCH($B1008,Einheiten!$A$4:$A$63,0)))),"")</f>
        <v/>
      </c>
      <c r="B1008" s="54"/>
      <c r="C1008" s="73" t="str">
        <f aca="false">IFERROR(IF($D1008="","",INDEX(Übungen!$B$4:$B$23,MATCH($D1008,Übungen!$A$4:$A$23,0))),"")</f>
        <v/>
      </c>
      <c r="D1008" s="56"/>
      <c r="E1008" s="67"/>
      <c r="F1008" s="55"/>
      <c r="G1008" s="68"/>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2" t="str">
        <f aca="false">IFERROR(IF($B1009="","",IF(INDEX(Einheiten!$B$4:$B$63,MATCH($B1009,Einheiten!$A$4:$A$63,0))=0,"",INDEX(Einheiten!$B$4:$B$63,MATCH($B1009,Einheiten!$A$4:$A$63,0)))),"")</f>
        <v/>
      </c>
      <c r="B1009" s="54"/>
      <c r="C1009" s="73" t="str">
        <f aca="false">IFERROR(IF($D1009="","",INDEX(Übungen!$B$4:$B$23,MATCH($D1009,Übungen!$A$4:$A$23,0))),"")</f>
        <v/>
      </c>
      <c r="D1009" s="56"/>
      <c r="E1009" s="67"/>
      <c r="F1009" s="55"/>
      <c r="G1009" s="68"/>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2" t="str">
        <f aca="false">IFERROR(IF($B1010="","",IF(INDEX(Einheiten!$B$4:$B$63,MATCH($B1010,Einheiten!$A$4:$A$63,0))=0,"",INDEX(Einheiten!$B$4:$B$63,MATCH($B1010,Einheiten!$A$4:$A$63,0)))),"")</f>
        <v/>
      </c>
      <c r="B1010" s="54"/>
      <c r="C1010" s="73" t="str">
        <f aca="false">IFERROR(IF($D1010="","",INDEX(Übungen!$B$4:$B$23,MATCH($D1010,Übungen!$A$4:$A$23,0))),"")</f>
        <v/>
      </c>
      <c r="D1010" s="56"/>
      <c r="E1010" s="67"/>
      <c r="F1010" s="55"/>
      <c r="G1010" s="68"/>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2" t="str">
        <f aca="false">IFERROR(IF($B1011="","",IF(INDEX(Einheiten!$B$4:$B$63,MATCH($B1011,Einheiten!$A$4:$A$63,0))=0,"",INDEX(Einheiten!$B$4:$B$63,MATCH($B1011,Einheiten!$A$4:$A$63,0)))),"")</f>
        <v/>
      </c>
      <c r="B1011" s="54"/>
      <c r="C1011" s="73" t="str">
        <f aca="false">IFERROR(IF($D1011="","",INDEX(Übungen!$B$4:$B$23,MATCH($D1011,Übungen!$A$4:$A$23,0))),"")</f>
        <v/>
      </c>
      <c r="D1011" s="56"/>
      <c r="E1011" s="67"/>
      <c r="F1011" s="55"/>
      <c r="G1011" s="68"/>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2" t="str">
        <f aca="false">IFERROR(IF($B1012="","",IF(INDEX(Einheiten!$B$4:$B$63,MATCH($B1012,Einheiten!$A$4:$A$63,0))=0,"",INDEX(Einheiten!$B$4:$B$63,MATCH($B1012,Einheiten!$A$4:$A$63,0)))),"")</f>
        <v/>
      </c>
      <c r="B1012" s="54"/>
      <c r="C1012" s="73" t="str">
        <f aca="false">IFERROR(IF($D1012="","",INDEX(Übungen!$B$4:$B$23,MATCH($D1012,Übungen!$A$4:$A$23,0))),"")</f>
        <v/>
      </c>
      <c r="D1012" s="56"/>
      <c r="E1012" s="67"/>
      <c r="F1012" s="55"/>
      <c r="G1012" s="68"/>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2" t="str">
        <f aca="false">IFERROR(IF($B1013="","",IF(INDEX(Einheiten!$B$4:$B$63,MATCH($B1013,Einheiten!$A$4:$A$63,0))=0,"",INDEX(Einheiten!$B$4:$B$63,MATCH($B1013,Einheiten!$A$4:$A$63,0)))),"")</f>
        <v/>
      </c>
      <c r="B1013" s="54"/>
      <c r="C1013" s="73" t="str">
        <f aca="false">IFERROR(IF($D1013="","",INDEX(Übungen!$B$4:$B$23,MATCH($D1013,Übungen!$A$4:$A$23,0))),"")</f>
        <v/>
      </c>
      <c r="D1013" s="56"/>
      <c r="E1013" s="67"/>
      <c r="F1013" s="55"/>
      <c r="G1013" s="68"/>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2" t="str">
        <f aca="false">IFERROR(IF($B1014="","",IF(INDEX(Einheiten!$B$4:$B$63,MATCH($B1014,Einheiten!$A$4:$A$63,0))=0,"",INDEX(Einheiten!$B$4:$B$63,MATCH($B1014,Einheiten!$A$4:$A$63,0)))),"")</f>
        <v/>
      </c>
      <c r="B1014" s="54"/>
      <c r="C1014" s="73" t="str">
        <f aca="false">IFERROR(IF($D1014="","",INDEX(Übungen!$B$4:$B$23,MATCH($D1014,Übungen!$A$4:$A$23,0))),"")</f>
        <v/>
      </c>
      <c r="D1014" s="56"/>
      <c r="E1014" s="67"/>
      <c r="F1014" s="55"/>
      <c r="G1014" s="68"/>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2" t="str">
        <f aca="false">IFERROR(IF($B1015="","",IF(INDEX(Einheiten!$B$4:$B$63,MATCH($B1015,Einheiten!$A$4:$A$63,0))=0,"",INDEX(Einheiten!$B$4:$B$63,MATCH($B1015,Einheiten!$A$4:$A$63,0)))),"")</f>
        <v/>
      </c>
      <c r="B1015" s="54"/>
      <c r="C1015" s="73" t="str">
        <f aca="false">IFERROR(IF($D1015="","",INDEX(Übungen!$B$4:$B$23,MATCH($D1015,Übungen!$A$4:$A$23,0))),"")</f>
        <v/>
      </c>
      <c r="D1015" s="56"/>
      <c r="E1015" s="67"/>
      <c r="F1015" s="55"/>
      <c r="G1015" s="68"/>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2" t="str">
        <f aca="false">IFERROR(IF($B1016="","",IF(INDEX(Einheiten!$B$4:$B$63,MATCH($B1016,Einheiten!$A$4:$A$63,0))=0,"",INDEX(Einheiten!$B$4:$B$63,MATCH($B1016,Einheiten!$A$4:$A$63,0)))),"")</f>
        <v/>
      </c>
      <c r="B1016" s="54"/>
      <c r="C1016" s="73" t="str">
        <f aca="false">IFERROR(IF($D1016="","",INDEX(Übungen!$B$4:$B$23,MATCH($D1016,Übungen!$A$4:$A$23,0))),"")</f>
        <v/>
      </c>
      <c r="D1016" s="56"/>
      <c r="E1016" s="67"/>
      <c r="F1016" s="55"/>
      <c r="G1016" s="68"/>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2" t="str">
        <f aca="false">IFERROR(IF($B1017="","",IF(INDEX(Einheiten!$B$4:$B$63,MATCH($B1017,Einheiten!$A$4:$A$63,0))=0,"",INDEX(Einheiten!$B$4:$B$63,MATCH($B1017,Einheiten!$A$4:$A$63,0)))),"")</f>
        <v/>
      </c>
      <c r="B1017" s="54"/>
      <c r="C1017" s="73" t="str">
        <f aca="false">IFERROR(IF($D1017="","",INDEX(Übungen!$B$4:$B$23,MATCH($D1017,Übungen!$A$4:$A$23,0))),"")</f>
        <v/>
      </c>
      <c r="D1017" s="56"/>
      <c r="E1017" s="67"/>
      <c r="F1017" s="55"/>
      <c r="G1017" s="68"/>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2" t="str">
        <f aca="false">IFERROR(IF($B1018="","",IF(INDEX(Einheiten!$B$4:$B$63,MATCH($B1018,Einheiten!$A$4:$A$63,0))=0,"",INDEX(Einheiten!$B$4:$B$63,MATCH($B1018,Einheiten!$A$4:$A$63,0)))),"")</f>
        <v/>
      </c>
      <c r="B1018" s="54"/>
      <c r="C1018" s="73" t="str">
        <f aca="false">IFERROR(IF($D1018="","",INDEX(Übungen!$B$4:$B$23,MATCH($D1018,Übungen!$A$4:$A$23,0))),"")</f>
        <v/>
      </c>
      <c r="D1018" s="56"/>
      <c r="E1018" s="67"/>
      <c r="F1018" s="55"/>
      <c r="G1018" s="68"/>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2" t="str">
        <f aca="false">IFERROR(IF($B1019="","",IF(INDEX(Einheiten!$B$4:$B$63,MATCH($B1019,Einheiten!$A$4:$A$63,0))=0,"",INDEX(Einheiten!$B$4:$B$63,MATCH($B1019,Einheiten!$A$4:$A$63,0)))),"")</f>
        <v/>
      </c>
      <c r="B1019" s="54"/>
      <c r="C1019" s="73" t="str">
        <f aca="false">IFERROR(IF($D1019="","",INDEX(Übungen!$B$4:$B$23,MATCH($D1019,Übungen!$A$4:$A$23,0))),"")</f>
        <v/>
      </c>
      <c r="D1019" s="56"/>
      <c r="E1019" s="67"/>
      <c r="F1019" s="55"/>
      <c r="G1019" s="68"/>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2" t="str">
        <f aca="false">IFERROR(IF($B1020="","",IF(INDEX(Einheiten!$B$4:$B$63,MATCH($B1020,Einheiten!$A$4:$A$63,0))=0,"",INDEX(Einheiten!$B$4:$B$63,MATCH($B1020,Einheiten!$A$4:$A$63,0)))),"")</f>
        <v/>
      </c>
      <c r="B1020" s="54"/>
      <c r="C1020" s="73" t="str">
        <f aca="false">IFERROR(IF($D1020="","",INDEX(Übungen!$B$4:$B$23,MATCH($D1020,Übungen!$A$4:$A$23,0))),"")</f>
        <v/>
      </c>
      <c r="D1020" s="56"/>
      <c r="E1020" s="67"/>
      <c r="F1020" s="55"/>
      <c r="G1020" s="68"/>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2" t="str">
        <f aca="false">IFERROR(IF($B1021="","",IF(INDEX(Einheiten!$B$4:$B$63,MATCH($B1021,Einheiten!$A$4:$A$63,0))=0,"",INDEX(Einheiten!$B$4:$B$63,MATCH($B1021,Einheiten!$A$4:$A$63,0)))),"")</f>
        <v/>
      </c>
      <c r="B1021" s="54"/>
      <c r="C1021" s="73" t="str">
        <f aca="false">IFERROR(IF($D1021="","",INDEX(Übungen!$B$4:$B$23,MATCH($D1021,Übungen!$A$4:$A$23,0))),"")</f>
        <v/>
      </c>
      <c r="D1021" s="56"/>
      <c r="E1021" s="67"/>
      <c r="F1021" s="55"/>
      <c r="G1021" s="68"/>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2" t="str">
        <f aca="false">IFERROR(IF($B1022="","",IF(INDEX(Einheiten!$B$4:$B$63,MATCH($B1022,Einheiten!$A$4:$A$63,0))=0,"",INDEX(Einheiten!$B$4:$B$63,MATCH($B1022,Einheiten!$A$4:$A$63,0)))),"")</f>
        <v/>
      </c>
      <c r="B1022" s="54"/>
      <c r="C1022" s="73" t="str">
        <f aca="false">IFERROR(IF($D1022="","",INDEX(Übungen!$B$4:$B$23,MATCH($D1022,Übungen!$A$4:$A$23,0))),"")</f>
        <v/>
      </c>
      <c r="D1022" s="56"/>
      <c r="E1022" s="67"/>
      <c r="F1022" s="55"/>
      <c r="G1022" s="68"/>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2" t="str">
        <f aca="false">IFERROR(IF($B1023="","",IF(INDEX(Einheiten!$B$4:$B$63,MATCH($B1023,Einheiten!$A$4:$A$63,0))=0,"",INDEX(Einheiten!$B$4:$B$63,MATCH($B1023,Einheiten!$A$4:$A$63,0)))),"")</f>
        <v/>
      </c>
      <c r="B1023" s="54"/>
      <c r="C1023" s="73" t="str">
        <f aca="false">IFERROR(IF($D1023="","",INDEX(Übungen!$B$4:$B$23,MATCH($D1023,Übungen!$A$4:$A$23,0))),"")</f>
        <v/>
      </c>
      <c r="D1023" s="56"/>
      <c r="E1023" s="67"/>
      <c r="F1023" s="55"/>
      <c r="G1023" s="68"/>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2" t="str">
        <f aca="false">IFERROR(IF($B1024="","",IF(INDEX(Einheiten!$B$4:$B$63,MATCH($B1024,Einheiten!$A$4:$A$63,0))=0,"",INDEX(Einheiten!$B$4:$B$63,MATCH($B1024,Einheiten!$A$4:$A$63,0)))),"")</f>
        <v/>
      </c>
      <c r="B1024" s="54"/>
      <c r="C1024" s="73" t="str">
        <f aca="false">IFERROR(IF($D1024="","",INDEX(Übungen!$B$4:$B$23,MATCH($D1024,Übungen!$A$4:$A$23,0))),"")</f>
        <v/>
      </c>
      <c r="D1024" s="56"/>
      <c r="E1024" s="67"/>
      <c r="F1024" s="55"/>
      <c r="G1024" s="68"/>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2" t="str">
        <f aca="false">IFERROR(IF($B1025="","",IF(INDEX(Einheiten!$B$4:$B$63,MATCH($B1025,Einheiten!$A$4:$A$63,0))=0,"",INDEX(Einheiten!$B$4:$B$63,MATCH($B1025,Einheiten!$A$4:$A$63,0)))),"")</f>
        <v/>
      </c>
      <c r="B1025" s="54"/>
      <c r="C1025" s="73" t="str">
        <f aca="false">IFERROR(IF($D1025="","",INDEX(Übungen!$B$4:$B$23,MATCH($D1025,Übungen!$A$4:$A$23,0))),"")</f>
        <v/>
      </c>
      <c r="D1025" s="56"/>
      <c r="E1025" s="67"/>
      <c r="F1025" s="55"/>
      <c r="G1025" s="68"/>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2" t="str">
        <f aca="false">IFERROR(IF($B1026="","",IF(INDEX(Einheiten!$B$4:$B$63,MATCH($B1026,Einheiten!$A$4:$A$63,0))=0,"",INDEX(Einheiten!$B$4:$B$63,MATCH($B1026,Einheiten!$A$4:$A$63,0)))),"")</f>
        <v/>
      </c>
      <c r="B1026" s="54"/>
      <c r="C1026" s="73" t="str">
        <f aca="false">IFERROR(IF($D1026="","",INDEX(Übungen!$B$4:$B$23,MATCH($D1026,Übungen!$A$4:$A$23,0))),"")</f>
        <v/>
      </c>
      <c r="D1026" s="56"/>
      <c r="E1026" s="67"/>
      <c r="F1026" s="55"/>
      <c r="G1026" s="68"/>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2" t="str">
        <f aca="false">IFERROR(IF($B1027="","",IF(INDEX(Einheiten!$B$4:$B$63,MATCH($B1027,Einheiten!$A$4:$A$63,0))=0,"",INDEX(Einheiten!$B$4:$B$63,MATCH($B1027,Einheiten!$A$4:$A$63,0)))),"")</f>
        <v/>
      </c>
      <c r="B1027" s="54"/>
      <c r="C1027" s="73" t="str">
        <f aca="false">IFERROR(IF($D1027="","",INDEX(Übungen!$B$4:$B$23,MATCH($D1027,Übungen!$A$4:$A$23,0))),"")</f>
        <v/>
      </c>
      <c r="D1027" s="56"/>
      <c r="E1027" s="67"/>
      <c r="F1027" s="55"/>
      <c r="G1027" s="68"/>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2" t="str">
        <f aca="false">IFERROR(IF($B1028="","",IF(INDEX(Einheiten!$B$4:$B$63,MATCH($B1028,Einheiten!$A$4:$A$63,0))=0,"",INDEX(Einheiten!$B$4:$B$63,MATCH($B1028,Einheiten!$A$4:$A$63,0)))),"")</f>
        <v/>
      </c>
      <c r="B1028" s="54"/>
      <c r="C1028" s="73" t="str">
        <f aca="false">IFERROR(IF($D1028="","",INDEX(Übungen!$B$4:$B$23,MATCH($D1028,Übungen!$A$4:$A$23,0))),"")</f>
        <v/>
      </c>
      <c r="D1028" s="56"/>
      <c r="E1028" s="67"/>
      <c r="F1028" s="55"/>
      <c r="G1028" s="68"/>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2" t="str">
        <f aca="false">IFERROR(IF($B1029="","",IF(INDEX(Einheiten!$B$4:$B$63,MATCH($B1029,Einheiten!$A$4:$A$63,0))=0,"",INDEX(Einheiten!$B$4:$B$63,MATCH($B1029,Einheiten!$A$4:$A$63,0)))),"")</f>
        <v/>
      </c>
      <c r="B1029" s="54"/>
      <c r="C1029" s="73" t="str">
        <f aca="false">IFERROR(IF($D1029="","",INDEX(Übungen!$B$4:$B$23,MATCH($D1029,Übungen!$A$4:$A$23,0))),"")</f>
        <v/>
      </c>
      <c r="D1029" s="56"/>
      <c r="E1029" s="67"/>
      <c r="F1029" s="55"/>
      <c r="G1029" s="68"/>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2" t="str">
        <f aca="false">IFERROR(IF($B1030="","",IF(INDEX(Einheiten!$B$4:$B$63,MATCH($B1030,Einheiten!$A$4:$A$63,0))=0,"",INDEX(Einheiten!$B$4:$B$63,MATCH($B1030,Einheiten!$A$4:$A$63,0)))),"")</f>
        <v/>
      </c>
      <c r="B1030" s="54"/>
      <c r="C1030" s="73" t="str">
        <f aca="false">IFERROR(IF($D1030="","",INDEX(Übungen!$B$4:$B$23,MATCH($D1030,Übungen!$A$4:$A$23,0))),"")</f>
        <v/>
      </c>
      <c r="D1030" s="56"/>
      <c r="E1030" s="67"/>
      <c r="F1030" s="55"/>
      <c r="G1030" s="68"/>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2" t="str">
        <f aca="false">IFERROR(IF($B1031="","",IF(INDEX(Einheiten!$B$4:$B$63,MATCH($B1031,Einheiten!$A$4:$A$63,0))=0,"",INDEX(Einheiten!$B$4:$B$63,MATCH($B1031,Einheiten!$A$4:$A$63,0)))),"")</f>
        <v/>
      </c>
      <c r="B1031" s="54"/>
      <c r="C1031" s="73" t="str">
        <f aca="false">IFERROR(IF($D1031="","",INDEX(Übungen!$B$4:$B$23,MATCH($D1031,Übungen!$A$4:$A$23,0))),"")</f>
        <v/>
      </c>
      <c r="D1031" s="56"/>
      <c r="E1031" s="67"/>
      <c r="F1031" s="55"/>
      <c r="G1031" s="68"/>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2" t="str">
        <f aca="false">IFERROR(IF($B1032="","",IF(INDEX(Einheiten!$B$4:$B$63,MATCH($B1032,Einheiten!$A$4:$A$63,0))=0,"",INDEX(Einheiten!$B$4:$B$63,MATCH($B1032,Einheiten!$A$4:$A$63,0)))),"")</f>
        <v/>
      </c>
      <c r="B1032" s="54"/>
      <c r="C1032" s="73" t="str">
        <f aca="false">IFERROR(IF($D1032="","",INDEX(Übungen!$B$4:$B$23,MATCH($D1032,Übungen!$A$4:$A$23,0))),"")</f>
        <v/>
      </c>
      <c r="D1032" s="56"/>
      <c r="E1032" s="67"/>
      <c r="F1032" s="55"/>
      <c r="G1032" s="68"/>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2" t="str">
        <f aca="false">IFERROR(IF($B1033="","",IF(INDEX(Einheiten!$B$4:$B$63,MATCH($B1033,Einheiten!$A$4:$A$63,0))=0,"",INDEX(Einheiten!$B$4:$B$63,MATCH($B1033,Einheiten!$A$4:$A$63,0)))),"")</f>
        <v/>
      </c>
      <c r="B1033" s="54"/>
      <c r="C1033" s="73" t="str">
        <f aca="false">IFERROR(IF($D1033="","",INDEX(Übungen!$B$4:$B$23,MATCH($D1033,Übungen!$A$4:$A$23,0))),"")</f>
        <v/>
      </c>
      <c r="D1033" s="56"/>
      <c r="E1033" s="67"/>
      <c r="F1033" s="55"/>
      <c r="G1033" s="68"/>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2" t="str">
        <f aca="false">IFERROR(IF($B1034="","",IF(INDEX(Einheiten!$B$4:$B$63,MATCH($B1034,Einheiten!$A$4:$A$63,0))=0,"",INDEX(Einheiten!$B$4:$B$63,MATCH($B1034,Einheiten!$A$4:$A$63,0)))),"")</f>
        <v/>
      </c>
      <c r="B1034" s="54"/>
      <c r="C1034" s="73" t="str">
        <f aca="false">IFERROR(IF($D1034="","",INDEX(Übungen!$B$4:$B$23,MATCH($D1034,Übungen!$A$4:$A$23,0))),"")</f>
        <v/>
      </c>
      <c r="D1034" s="56"/>
      <c r="E1034" s="67"/>
      <c r="F1034" s="55"/>
      <c r="G1034" s="68"/>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2" t="str">
        <f aca="false">IFERROR(IF($B1035="","",IF(INDEX(Einheiten!$B$4:$B$63,MATCH($B1035,Einheiten!$A$4:$A$63,0))=0,"",INDEX(Einheiten!$B$4:$B$63,MATCH($B1035,Einheiten!$A$4:$A$63,0)))),"")</f>
        <v/>
      </c>
      <c r="B1035" s="54"/>
      <c r="C1035" s="73" t="str">
        <f aca="false">IFERROR(IF($D1035="","",INDEX(Übungen!$B$4:$B$23,MATCH($D1035,Übungen!$A$4:$A$23,0))),"")</f>
        <v/>
      </c>
      <c r="D1035" s="56"/>
      <c r="E1035" s="67"/>
      <c r="F1035" s="55"/>
      <c r="G1035" s="68"/>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2" t="str">
        <f aca="false">IFERROR(IF($B1036="","",IF(INDEX(Einheiten!$B$4:$B$63,MATCH($B1036,Einheiten!$A$4:$A$63,0))=0,"",INDEX(Einheiten!$B$4:$B$63,MATCH($B1036,Einheiten!$A$4:$A$63,0)))),"")</f>
        <v/>
      </c>
      <c r="B1036" s="54"/>
      <c r="C1036" s="73" t="str">
        <f aca="false">IFERROR(IF($D1036="","",INDEX(Übungen!$B$4:$B$23,MATCH($D1036,Übungen!$A$4:$A$23,0))),"")</f>
        <v/>
      </c>
      <c r="D1036" s="56"/>
      <c r="E1036" s="67"/>
      <c r="F1036" s="55"/>
      <c r="G1036" s="68"/>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2" t="str">
        <f aca="false">IFERROR(IF($B1037="","",IF(INDEX(Einheiten!$B$4:$B$63,MATCH($B1037,Einheiten!$A$4:$A$63,0))=0,"",INDEX(Einheiten!$B$4:$B$63,MATCH($B1037,Einheiten!$A$4:$A$63,0)))),"")</f>
        <v/>
      </c>
      <c r="B1037" s="54"/>
      <c r="C1037" s="73" t="str">
        <f aca="false">IFERROR(IF($D1037="","",INDEX(Übungen!$B$4:$B$23,MATCH($D1037,Übungen!$A$4:$A$23,0))),"")</f>
        <v/>
      </c>
      <c r="D1037" s="56"/>
      <c r="E1037" s="67"/>
      <c r="F1037" s="55"/>
      <c r="G1037" s="68"/>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2" t="str">
        <f aca="false">IFERROR(IF($B1038="","",IF(INDEX(Einheiten!$B$4:$B$63,MATCH($B1038,Einheiten!$A$4:$A$63,0))=0,"",INDEX(Einheiten!$B$4:$B$63,MATCH($B1038,Einheiten!$A$4:$A$63,0)))),"")</f>
        <v/>
      </c>
      <c r="B1038" s="54"/>
      <c r="C1038" s="73" t="str">
        <f aca="false">IFERROR(IF($D1038="","",INDEX(Übungen!$B$4:$B$23,MATCH($D1038,Übungen!$A$4:$A$23,0))),"")</f>
        <v/>
      </c>
      <c r="D1038" s="56"/>
      <c r="E1038" s="67"/>
      <c r="F1038" s="55"/>
      <c r="G1038" s="68"/>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2" t="str">
        <f aca="false">IFERROR(IF($B1039="","",IF(INDEX(Einheiten!$B$4:$B$63,MATCH($B1039,Einheiten!$A$4:$A$63,0))=0,"",INDEX(Einheiten!$B$4:$B$63,MATCH($B1039,Einheiten!$A$4:$A$63,0)))),"")</f>
        <v/>
      </c>
      <c r="B1039" s="54"/>
      <c r="C1039" s="73" t="str">
        <f aca="false">IFERROR(IF($D1039="","",INDEX(Übungen!$B$4:$B$23,MATCH($D1039,Übungen!$A$4:$A$23,0))),"")</f>
        <v/>
      </c>
      <c r="D1039" s="56"/>
      <c r="E1039" s="67"/>
      <c r="F1039" s="55"/>
      <c r="G1039" s="68"/>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2" t="str">
        <f aca="false">IFERROR(IF($B1040="","",IF(INDEX(Einheiten!$B$4:$B$63,MATCH($B1040,Einheiten!$A$4:$A$63,0))=0,"",INDEX(Einheiten!$B$4:$B$63,MATCH($B1040,Einheiten!$A$4:$A$63,0)))),"")</f>
        <v/>
      </c>
      <c r="B1040" s="54"/>
      <c r="C1040" s="73" t="str">
        <f aca="false">IFERROR(IF($D1040="","",INDEX(Übungen!$B$4:$B$23,MATCH($D1040,Übungen!$A$4:$A$23,0))),"")</f>
        <v/>
      </c>
      <c r="D1040" s="56"/>
      <c r="E1040" s="67"/>
      <c r="F1040" s="55"/>
      <c r="G1040" s="68"/>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2" t="str">
        <f aca="false">IFERROR(IF($B1041="","",IF(INDEX(Einheiten!$B$4:$B$63,MATCH($B1041,Einheiten!$A$4:$A$63,0))=0,"",INDEX(Einheiten!$B$4:$B$63,MATCH($B1041,Einheiten!$A$4:$A$63,0)))),"")</f>
        <v/>
      </c>
      <c r="B1041" s="54"/>
      <c r="C1041" s="73" t="str">
        <f aca="false">IFERROR(IF($D1041="","",INDEX(Übungen!$B$4:$B$23,MATCH($D1041,Übungen!$A$4:$A$23,0))),"")</f>
        <v/>
      </c>
      <c r="D1041" s="56"/>
      <c r="E1041" s="67"/>
      <c r="F1041" s="55"/>
      <c r="G1041" s="68"/>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2" t="str">
        <f aca="false">IFERROR(IF($B1042="","",IF(INDEX(Einheiten!$B$4:$B$63,MATCH($B1042,Einheiten!$A$4:$A$63,0))=0,"",INDEX(Einheiten!$B$4:$B$63,MATCH($B1042,Einheiten!$A$4:$A$63,0)))),"")</f>
        <v/>
      </c>
      <c r="B1042" s="54"/>
      <c r="C1042" s="73" t="str">
        <f aca="false">IFERROR(IF($D1042="","",INDEX(Übungen!$B$4:$B$23,MATCH($D1042,Übungen!$A$4:$A$23,0))),"")</f>
        <v/>
      </c>
      <c r="D1042" s="56"/>
      <c r="E1042" s="67"/>
      <c r="F1042" s="55"/>
      <c r="G1042" s="68"/>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2" t="str">
        <f aca="false">IFERROR(IF($B1043="","",IF(INDEX(Einheiten!$B$4:$B$63,MATCH($B1043,Einheiten!$A$4:$A$63,0))=0,"",INDEX(Einheiten!$B$4:$B$63,MATCH($B1043,Einheiten!$A$4:$A$63,0)))),"")</f>
        <v/>
      </c>
      <c r="B1043" s="54"/>
      <c r="C1043" s="73" t="str">
        <f aca="false">IFERROR(IF($D1043="","",INDEX(Übungen!$B$4:$B$23,MATCH($D1043,Übungen!$A$4:$A$23,0))),"")</f>
        <v/>
      </c>
      <c r="D1043" s="56"/>
      <c r="E1043" s="67"/>
      <c r="F1043" s="55"/>
      <c r="G1043" s="68"/>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2" t="str">
        <f aca="false">IFERROR(IF($B1044="","",IF(INDEX(Einheiten!$B$4:$B$63,MATCH($B1044,Einheiten!$A$4:$A$63,0))=0,"",INDEX(Einheiten!$B$4:$B$63,MATCH($B1044,Einheiten!$A$4:$A$63,0)))),"")</f>
        <v/>
      </c>
      <c r="B1044" s="54"/>
      <c r="C1044" s="73" t="str">
        <f aca="false">IFERROR(IF($D1044="","",INDEX(Übungen!$B$4:$B$23,MATCH($D1044,Übungen!$A$4:$A$23,0))),"")</f>
        <v/>
      </c>
      <c r="D1044" s="56"/>
      <c r="E1044" s="67"/>
      <c r="F1044" s="55"/>
      <c r="G1044" s="68"/>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2" t="str">
        <f aca="false">IFERROR(IF($B1045="","",IF(INDEX(Einheiten!$B$4:$B$63,MATCH($B1045,Einheiten!$A$4:$A$63,0))=0,"",INDEX(Einheiten!$B$4:$B$63,MATCH($B1045,Einheiten!$A$4:$A$63,0)))),"")</f>
        <v/>
      </c>
      <c r="B1045" s="54"/>
      <c r="C1045" s="73" t="str">
        <f aca="false">IFERROR(IF($D1045="","",INDEX(Übungen!$B$4:$B$23,MATCH($D1045,Übungen!$A$4:$A$23,0))),"")</f>
        <v/>
      </c>
      <c r="D1045" s="56"/>
      <c r="E1045" s="67"/>
      <c r="F1045" s="55"/>
      <c r="G1045" s="68"/>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2" t="str">
        <f aca="false">IFERROR(IF($B1046="","",IF(INDEX(Einheiten!$B$4:$B$63,MATCH($B1046,Einheiten!$A$4:$A$63,0))=0,"",INDEX(Einheiten!$B$4:$B$63,MATCH($B1046,Einheiten!$A$4:$A$63,0)))),"")</f>
        <v/>
      </c>
      <c r="B1046" s="54"/>
      <c r="C1046" s="73" t="str">
        <f aca="false">IFERROR(IF($D1046="","",INDEX(Übungen!$B$4:$B$23,MATCH($D1046,Übungen!$A$4:$A$23,0))),"")</f>
        <v/>
      </c>
      <c r="D1046" s="56"/>
      <c r="E1046" s="67"/>
      <c r="F1046" s="55"/>
      <c r="G1046" s="68"/>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2" t="str">
        <f aca="false">IFERROR(IF($B1047="","",IF(INDEX(Einheiten!$B$4:$B$63,MATCH($B1047,Einheiten!$A$4:$A$63,0))=0,"",INDEX(Einheiten!$B$4:$B$63,MATCH($B1047,Einheiten!$A$4:$A$63,0)))),"")</f>
        <v/>
      </c>
      <c r="B1047" s="54"/>
      <c r="C1047" s="73" t="str">
        <f aca="false">IFERROR(IF($D1047="","",INDEX(Übungen!$B$4:$B$23,MATCH($D1047,Übungen!$A$4:$A$23,0))),"")</f>
        <v/>
      </c>
      <c r="D1047" s="56"/>
      <c r="E1047" s="67"/>
      <c r="F1047" s="55"/>
      <c r="G1047" s="68"/>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2" t="str">
        <f aca="false">IFERROR(IF($B1048="","",IF(INDEX(Einheiten!$B$4:$B$63,MATCH($B1048,Einheiten!$A$4:$A$63,0))=0,"",INDEX(Einheiten!$B$4:$B$63,MATCH($B1048,Einheiten!$A$4:$A$63,0)))),"")</f>
        <v/>
      </c>
      <c r="B1048" s="54"/>
      <c r="C1048" s="73" t="str">
        <f aca="false">IFERROR(IF($D1048="","",INDEX(Übungen!$B$4:$B$23,MATCH($D1048,Übungen!$A$4:$A$23,0))),"")</f>
        <v/>
      </c>
      <c r="D1048" s="56"/>
      <c r="E1048" s="67"/>
      <c r="F1048" s="55"/>
      <c r="G1048" s="68"/>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2" t="str">
        <f aca="false">IFERROR(IF($B1049="","",IF(INDEX(Einheiten!$B$4:$B$63,MATCH($B1049,Einheiten!$A$4:$A$63,0))=0,"",INDEX(Einheiten!$B$4:$B$63,MATCH($B1049,Einheiten!$A$4:$A$63,0)))),"")</f>
        <v/>
      </c>
      <c r="B1049" s="54"/>
      <c r="C1049" s="73" t="str">
        <f aca="false">IFERROR(IF($D1049="","",INDEX(Übungen!$B$4:$B$23,MATCH($D1049,Übungen!$A$4:$A$23,0))),"")</f>
        <v/>
      </c>
      <c r="D1049" s="56"/>
      <c r="E1049" s="67"/>
      <c r="F1049" s="55"/>
      <c r="G1049" s="68"/>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2" t="str">
        <f aca="false">IFERROR(IF($B1050="","",IF(INDEX(Einheiten!$B$4:$B$63,MATCH($B1050,Einheiten!$A$4:$A$63,0))=0,"",INDEX(Einheiten!$B$4:$B$63,MATCH($B1050,Einheiten!$A$4:$A$63,0)))),"")</f>
        <v/>
      </c>
      <c r="B1050" s="54"/>
      <c r="C1050" s="73" t="str">
        <f aca="false">IFERROR(IF($D1050="","",INDEX(Übungen!$B$4:$B$23,MATCH($D1050,Übungen!$A$4:$A$23,0))),"")</f>
        <v/>
      </c>
      <c r="D1050" s="56"/>
      <c r="E1050" s="67"/>
      <c r="F1050" s="55"/>
      <c r="G1050" s="68"/>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2" t="str">
        <f aca="false">IFERROR(IF($B1051="","",IF(INDEX(Einheiten!$B$4:$B$63,MATCH($B1051,Einheiten!$A$4:$A$63,0))=0,"",INDEX(Einheiten!$B$4:$B$63,MATCH($B1051,Einheiten!$A$4:$A$63,0)))),"")</f>
        <v/>
      </c>
      <c r="B1051" s="54"/>
      <c r="C1051" s="73" t="str">
        <f aca="false">IFERROR(IF($D1051="","",INDEX(Übungen!$B$4:$B$23,MATCH($D1051,Übungen!$A$4:$A$23,0))),"")</f>
        <v/>
      </c>
      <c r="D1051" s="56"/>
      <c r="E1051" s="67"/>
      <c r="F1051" s="55"/>
      <c r="G1051" s="68"/>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2" t="str">
        <f aca="false">IFERROR(IF($B1052="","",IF(INDEX(Einheiten!$B$4:$B$63,MATCH($B1052,Einheiten!$A$4:$A$63,0))=0,"",INDEX(Einheiten!$B$4:$B$63,MATCH($B1052,Einheiten!$A$4:$A$63,0)))),"")</f>
        <v/>
      </c>
      <c r="B1052" s="54"/>
      <c r="C1052" s="73" t="str">
        <f aca="false">IFERROR(IF($D1052="","",INDEX(Übungen!$B$4:$B$23,MATCH($D1052,Übungen!$A$4:$A$23,0))),"")</f>
        <v/>
      </c>
      <c r="D1052" s="56"/>
      <c r="E1052" s="67"/>
      <c r="F1052" s="55"/>
      <c r="G1052" s="68"/>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2" t="str">
        <f aca="false">IFERROR(IF($B1053="","",IF(INDEX(Einheiten!$B$4:$B$63,MATCH($B1053,Einheiten!$A$4:$A$63,0))=0,"",INDEX(Einheiten!$B$4:$B$63,MATCH($B1053,Einheiten!$A$4:$A$63,0)))),"")</f>
        <v/>
      </c>
      <c r="B1053" s="54"/>
      <c r="C1053" s="73" t="str">
        <f aca="false">IFERROR(IF($D1053="","",INDEX(Übungen!$B$4:$B$23,MATCH($D1053,Übungen!$A$4:$A$23,0))),"")</f>
        <v/>
      </c>
      <c r="D1053" s="56"/>
      <c r="E1053" s="67"/>
      <c r="F1053" s="55"/>
      <c r="G1053" s="68"/>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2" t="str">
        <f aca="false">IFERROR(IF($B1054="","",IF(INDEX(Einheiten!$B$4:$B$63,MATCH($B1054,Einheiten!$A$4:$A$63,0))=0,"",INDEX(Einheiten!$B$4:$B$63,MATCH($B1054,Einheiten!$A$4:$A$63,0)))),"")</f>
        <v/>
      </c>
      <c r="B1054" s="54"/>
      <c r="C1054" s="73" t="str">
        <f aca="false">IFERROR(IF($D1054="","",INDEX(Übungen!$B$4:$B$23,MATCH($D1054,Übungen!$A$4:$A$23,0))),"")</f>
        <v/>
      </c>
      <c r="D1054" s="56"/>
      <c r="E1054" s="67"/>
      <c r="F1054" s="55"/>
      <c r="G1054" s="68"/>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2" t="str">
        <f aca="false">IFERROR(IF($B1055="","",IF(INDEX(Einheiten!$B$4:$B$63,MATCH($B1055,Einheiten!$A$4:$A$63,0))=0,"",INDEX(Einheiten!$B$4:$B$63,MATCH($B1055,Einheiten!$A$4:$A$63,0)))),"")</f>
        <v/>
      </c>
      <c r="B1055" s="54"/>
      <c r="C1055" s="73" t="str">
        <f aca="false">IFERROR(IF($D1055="","",INDEX(Übungen!$B$4:$B$23,MATCH($D1055,Übungen!$A$4:$A$23,0))),"")</f>
        <v/>
      </c>
      <c r="D1055" s="56"/>
      <c r="E1055" s="67"/>
      <c r="F1055" s="55"/>
      <c r="G1055" s="68"/>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2" t="str">
        <f aca="false">IFERROR(IF($B1056="","",IF(INDEX(Einheiten!$B$4:$B$63,MATCH($B1056,Einheiten!$A$4:$A$63,0))=0,"",INDEX(Einheiten!$B$4:$B$63,MATCH($B1056,Einheiten!$A$4:$A$63,0)))),"")</f>
        <v/>
      </c>
      <c r="B1056" s="54"/>
      <c r="C1056" s="73" t="str">
        <f aca="false">IFERROR(IF($D1056="","",INDEX(Übungen!$B$4:$B$23,MATCH($D1056,Übungen!$A$4:$A$23,0))),"")</f>
        <v/>
      </c>
      <c r="D1056" s="56"/>
      <c r="E1056" s="67"/>
      <c r="F1056" s="55"/>
      <c r="G1056" s="68"/>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2" t="str">
        <f aca="false">IFERROR(IF($B1057="","",IF(INDEX(Einheiten!$B$4:$B$63,MATCH($B1057,Einheiten!$A$4:$A$63,0))=0,"",INDEX(Einheiten!$B$4:$B$63,MATCH($B1057,Einheiten!$A$4:$A$63,0)))),"")</f>
        <v/>
      </c>
      <c r="B1057" s="54"/>
      <c r="C1057" s="73" t="str">
        <f aca="false">IFERROR(IF($D1057="","",INDEX(Übungen!$B$4:$B$23,MATCH($D1057,Übungen!$A$4:$A$23,0))),"")</f>
        <v/>
      </c>
      <c r="D1057" s="56"/>
      <c r="E1057" s="67"/>
      <c r="F1057" s="55"/>
      <c r="G1057" s="68"/>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2" t="str">
        <f aca="false">IFERROR(IF($B1058="","",IF(INDEX(Einheiten!$B$4:$B$63,MATCH($B1058,Einheiten!$A$4:$A$63,0))=0,"",INDEX(Einheiten!$B$4:$B$63,MATCH($B1058,Einheiten!$A$4:$A$63,0)))),"")</f>
        <v/>
      </c>
      <c r="B1058" s="54"/>
      <c r="C1058" s="73" t="str">
        <f aca="false">IFERROR(IF($D1058="","",INDEX(Übungen!$B$4:$B$23,MATCH($D1058,Übungen!$A$4:$A$23,0))),"")</f>
        <v/>
      </c>
      <c r="D1058" s="56"/>
      <c r="E1058" s="67"/>
      <c r="F1058" s="55"/>
      <c r="G1058" s="68"/>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2" t="str">
        <f aca="false">IFERROR(IF($B1059="","",IF(INDEX(Einheiten!$B$4:$B$63,MATCH($B1059,Einheiten!$A$4:$A$63,0))=0,"",INDEX(Einheiten!$B$4:$B$63,MATCH($B1059,Einheiten!$A$4:$A$63,0)))),"")</f>
        <v/>
      </c>
      <c r="B1059" s="54"/>
      <c r="C1059" s="73" t="str">
        <f aca="false">IFERROR(IF($D1059="","",INDEX(Übungen!$B$4:$B$23,MATCH($D1059,Übungen!$A$4:$A$23,0))),"")</f>
        <v/>
      </c>
      <c r="D1059" s="56"/>
      <c r="E1059" s="67"/>
      <c r="F1059" s="55"/>
      <c r="G1059" s="68"/>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2" t="str">
        <f aca="false">IFERROR(IF($B1060="","",IF(INDEX(Einheiten!$B$4:$B$63,MATCH($B1060,Einheiten!$A$4:$A$63,0))=0,"",INDEX(Einheiten!$B$4:$B$63,MATCH($B1060,Einheiten!$A$4:$A$63,0)))),"")</f>
        <v/>
      </c>
      <c r="B1060" s="54"/>
      <c r="C1060" s="73" t="str">
        <f aca="false">IFERROR(IF($D1060="","",INDEX(Übungen!$B$4:$B$23,MATCH($D1060,Übungen!$A$4:$A$23,0))),"")</f>
        <v/>
      </c>
      <c r="D1060" s="56"/>
      <c r="E1060" s="67"/>
      <c r="F1060" s="55"/>
      <c r="G1060" s="68"/>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2" t="str">
        <f aca="false">IFERROR(IF($B1061="","",IF(INDEX(Einheiten!$B$4:$B$63,MATCH($B1061,Einheiten!$A$4:$A$63,0))=0,"",INDEX(Einheiten!$B$4:$B$63,MATCH($B1061,Einheiten!$A$4:$A$63,0)))),"")</f>
        <v/>
      </c>
      <c r="B1061" s="54"/>
      <c r="C1061" s="73" t="str">
        <f aca="false">IFERROR(IF($D1061="","",INDEX(Übungen!$B$4:$B$23,MATCH($D1061,Übungen!$A$4:$A$23,0))),"")</f>
        <v/>
      </c>
      <c r="D1061" s="56"/>
      <c r="E1061" s="67"/>
      <c r="F1061" s="55"/>
      <c r="G1061" s="68"/>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2" t="str">
        <f aca="false">IFERROR(IF($B1062="","",IF(INDEX(Einheiten!$B$4:$B$63,MATCH($B1062,Einheiten!$A$4:$A$63,0))=0,"",INDEX(Einheiten!$B$4:$B$63,MATCH($B1062,Einheiten!$A$4:$A$63,0)))),"")</f>
        <v/>
      </c>
      <c r="B1062" s="54"/>
      <c r="C1062" s="73" t="str">
        <f aca="false">IFERROR(IF($D1062="","",INDEX(Übungen!$B$4:$B$23,MATCH($D1062,Übungen!$A$4:$A$23,0))),"")</f>
        <v/>
      </c>
      <c r="D1062" s="56"/>
      <c r="E1062" s="67"/>
      <c r="F1062" s="55"/>
      <c r="G1062" s="68"/>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2" t="str">
        <f aca="false">IFERROR(IF($B1063="","",IF(INDEX(Einheiten!$B$4:$B$63,MATCH($B1063,Einheiten!$A$4:$A$63,0))=0,"",INDEX(Einheiten!$B$4:$B$63,MATCH($B1063,Einheiten!$A$4:$A$63,0)))),"")</f>
        <v/>
      </c>
      <c r="B1063" s="54"/>
      <c r="C1063" s="73" t="str">
        <f aca="false">IFERROR(IF($D1063="","",INDEX(Übungen!$B$4:$B$23,MATCH($D1063,Übungen!$A$4:$A$23,0))),"")</f>
        <v/>
      </c>
      <c r="D1063" s="56"/>
      <c r="E1063" s="67"/>
      <c r="F1063" s="55"/>
      <c r="G1063" s="68"/>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2" t="str">
        <f aca="false">IFERROR(IF($B1064="","",IF(INDEX(Einheiten!$B$4:$B$63,MATCH($B1064,Einheiten!$A$4:$A$63,0))=0,"",INDEX(Einheiten!$B$4:$B$63,MATCH($B1064,Einheiten!$A$4:$A$63,0)))),"")</f>
        <v/>
      </c>
      <c r="B1064" s="54"/>
      <c r="C1064" s="73" t="str">
        <f aca="false">IFERROR(IF($D1064="","",INDEX(Übungen!$B$4:$B$23,MATCH($D1064,Übungen!$A$4:$A$23,0))),"")</f>
        <v/>
      </c>
      <c r="D1064" s="56"/>
      <c r="E1064" s="67"/>
      <c r="F1064" s="55"/>
      <c r="G1064" s="68"/>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2" t="str">
        <f aca="false">IFERROR(IF($B1065="","",IF(INDEX(Einheiten!$B$4:$B$63,MATCH($B1065,Einheiten!$A$4:$A$63,0))=0,"",INDEX(Einheiten!$B$4:$B$63,MATCH($B1065,Einheiten!$A$4:$A$63,0)))),"")</f>
        <v/>
      </c>
      <c r="B1065" s="54"/>
      <c r="C1065" s="73" t="str">
        <f aca="false">IFERROR(IF($D1065="","",INDEX(Übungen!$B$4:$B$23,MATCH($D1065,Übungen!$A$4:$A$23,0))),"")</f>
        <v/>
      </c>
      <c r="D1065" s="56"/>
      <c r="E1065" s="67"/>
      <c r="F1065" s="55"/>
      <c r="G1065" s="68"/>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2" t="str">
        <f aca="false">IFERROR(IF($B1066="","",IF(INDEX(Einheiten!$B$4:$B$63,MATCH($B1066,Einheiten!$A$4:$A$63,0))=0,"",INDEX(Einheiten!$B$4:$B$63,MATCH($B1066,Einheiten!$A$4:$A$63,0)))),"")</f>
        <v/>
      </c>
      <c r="B1066" s="54"/>
      <c r="C1066" s="73" t="str">
        <f aca="false">IFERROR(IF($D1066="","",INDEX(Übungen!$B$4:$B$23,MATCH($D1066,Übungen!$A$4:$A$23,0))),"")</f>
        <v/>
      </c>
      <c r="D1066" s="56"/>
      <c r="E1066" s="67"/>
      <c r="F1066" s="55"/>
      <c r="G1066" s="68"/>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2" t="str">
        <f aca="false">IFERROR(IF($B1067="","",IF(INDEX(Einheiten!$B$4:$B$63,MATCH($B1067,Einheiten!$A$4:$A$63,0))=0,"",INDEX(Einheiten!$B$4:$B$63,MATCH($B1067,Einheiten!$A$4:$A$63,0)))),"")</f>
        <v/>
      </c>
      <c r="B1067" s="54"/>
      <c r="C1067" s="73" t="str">
        <f aca="false">IFERROR(IF($D1067="","",INDEX(Übungen!$B$4:$B$23,MATCH($D1067,Übungen!$A$4:$A$23,0))),"")</f>
        <v/>
      </c>
      <c r="D1067" s="56"/>
      <c r="E1067" s="67"/>
      <c r="F1067" s="55"/>
      <c r="G1067" s="68"/>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2" t="str">
        <f aca="false">IFERROR(IF($B1068="","",IF(INDEX(Einheiten!$B$4:$B$63,MATCH($B1068,Einheiten!$A$4:$A$63,0))=0,"",INDEX(Einheiten!$B$4:$B$63,MATCH($B1068,Einheiten!$A$4:$A$63,0)))),"")</f>
        <v/>
      </c>
      <c r="B1068" s="54"/>
      <c r="C1068" s="73" t="str">
        <f aca="false">IFERROR(IF($D1068="","",INDEX(Übungen!$B$4:$B$23,MATCH($D1068,Übungen!$A$4:$A$23,0))),"")</f>
        <v/>
      </c>
      <c r="D1068" s="56"/>
      <c r="E1068" s="67"/>
      <c r="F1068" s="55"/>
      <c r="G1068" s="68"/>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2" t="str">
        <f aca="false">IFERROR(IF($B1069="","",IF(INDEX(Einheiten!$B$4:$B$63,MATCH($B1069,Einheiten!$A$4:$A$63,0))=0,"",INDEX(Einheiten!$B$4:$B$63,MATCH($B1069,Einheiten!$A$4:$A$63,0)))),"")</f>
        <v/>
      </c>
      <c r="B1069" s="54"/>
      <c r="C1069" s="73" t="str">
        <f aca="false">IFERROR(IF($D1069="","",INDEX(Übungen!$B$4:$B$23,MATCH($D1069,Übungen!$A$4:$A$23,0))),"")</f>
        <v/>
      </c>
      <c r="D1069" s="56"/>
      <c r="E1069" s="67"/>
      <c r="F1069" s="55"/>
      <c r="G1069" s="68"/>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2" t="str">
        <f aca="false">IFERROR(IF($B1070="","",IF(INDEX(Einheiten!$B$4:$B$63,MATCH($B1070,Einheiten!$A$4:$A$63,0))=0,"",INDEX(Einheiten!$B$4:$B$63,MATCH($B1070,Einheiten!$A$4:$A$63,0)))),"")</f>
        <v/>
      </c>
      <c r="B1070" s="54"/>
      <c r="C1070" s="73" t="str">
        <f aca="false">IFERROR(IF($D1070="","",INDEX(Übungen!$B$4:$B$23,MATCH($D1070,Übungen!$A$4:$A$23,0))),"")</f>
        <v/>
      </c>
      <c r="D1070" s="56"/>
      <c r="E1070" s="67"/>
      <c r="F1070" s="55"/>
      <c r="G1070" s="68"/>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2" t="str">
        <f aca="false">IFERROR(IF($B1071="","",IF(INDEX(Einheiten!$B$4:$B$63,MATCH($B1071,Einheiten!$A$4:$A$63,0))=0,"",INDEX(Einheiten!$B$4:$B$63,MATCH($B1071,Einheiten!$A$4:$A$63,0)))),"")</f>
        <v/>
      </c>
      <c r="B1071" s="54"/>
      <c r="C1071" s="73" t="str">
        <f aca="false">IFERROR(IF($D1071="","",INDEX(Übungen!$B$4:$B$23,MATCH($D1071,Übungen!$A$4:$A$23,0))),"")</f>
        <v/>
      </c>
      <c r="D1071" s="56"/>
      <c r="E1071" s="67"/>
      <c r="F1071" s="55"/>
      <c r="G1071" s="68"/>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2" t="str">
        <f aca="false">IFERROR(IF($B1072="","",IF(INDEX(Einheiten!$B$4:$B$63,MATCH($B1072,Einheiten!$A$4:$A$63,0))=0,"",INDEX(Einheiten!$B$4:$B$63,MATCH($B1072,Einheiten!$A$4:$A$63,0)))),"")</f>
        <v/>
      </c>
      <c r="B1072" s="54"/>
      <c r="C1072" s="73" t="str">
        <f aca="false">IFERROR(IF($D1072="","",INDEX(Übungen!$B$4:$B$23,MATCH($D1072,Übungen!$A$4:$A$23,0))),"")</f>
        <v/>
      </c>
      <c r="D1072" s="56"/>
      <c r="E1072" s="67"/>
      <c r="F1072" s="55"/>
      <c r="G1072" s="68"/>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2" t="str">
        <f aca="false">IFERROR(IF($B1073="","",IF(INDEX(Einheiten!$B$4:$B$63,MATCH($B1073,Einheiten!$A$4:$A$63,0))=0,"",INDEX(Einheiten!$B$4:$B$63,MATCH($B1073,Einheiten!$A$4:$A$63,0)))),"")</f>
        <v/>
      </c>
      <c r="B1073" s="54"/>
      <c r="C1073" s="73" t="str">
        <f aca="false">IFERROR(IF($D1073="","",INDEX(Übungen!$B$4:$B$23,MATCH($D1073,Übungen!$A$4:$A$23,0))),"")</f>
        <v/>
      </c>
      <c r="D1073" s="56"/>
      <c r="E1073" s="67"/>
      <c r="F1073" s="55"/>
      <c r="G1073" s="68"/>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2" t="str">
        <f aca="false">IFERROR(IF($B1074="","",IF(INDEX(Einheiten!$B$4:$B$63,MATCH($B1074,Einheiten!$A$4:$A$63,0))=0,"",INDEX(Einheiten!$B$4:$B$63,MATCH($B1074,Einheiten!$A$4:$A$63,0)))),"")</f>
        <v/>
      </c>
      <c r="B1074" s="54"/>
      <c r="C1074" s="73" t="str">
        <f aca="false">IFERROR(IF($D1074="","",INDEX(Übungen!$B$4:$B$23,MATCH($D1074,Übungen!$A$4:$A$23,0))),"")</f>
        <v/>
      </c>
      <c r="D1074" s="56"/>
      <c r="E1074" s="67"/>
      <c r="F1074" s="55"/>
      <c r="G1074" s="68"/>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2" t="str">
        <f aca="false">IFERROR(IF($B1075="","",IF(INDEX(Einheiten!$B$4:$B$63,MATCH($B1075,Einheiten!$A$4:$A$63,0))=0,"",INDEX(Einheiten!$B$4:$B$63,MATCH($B1075,Einheiten!$A$4:$A$63,0)))),"")</f>
        <v/>
      </c>
      <c r="B1075" s="54"/>
      <c r="C1075" s="73" t="str">
        <f aca="false">IFERROR(IF($D1075="","",INDEX(Übungen!$B$4:$B$23,MATCH($D1075,Übungen!$A$4:$A$23,0))),"")</f>
        <v/>
      </c>
      <c r="D1075" s="56"/>
      <c r="E1075" s="67"/>
      <c r="F1075" s="55"/>
      <c r="G1075" s="68"/>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2" t="str">
        <f aca="false">IFERROR(IF($B1076="","",IF(INDEX(Einheiten!$B$4:$B$63,MATCH($B1076,Einheiten!$A$4:$A$63,0))=0,"",INDEX(Einheiten!$B$4:$B$63,MATCH($B1076,Einheiten!$A$4:$A$63,0)))),"")</f>
        <v/>
      </c>
      <c r="B1076" s="54"/>
      <c r="C1076" s="73" t="str">
        <f aca="false">IFERROR(IF($D1076="","",INDEX(Übungen!$B$4:$B$23,MATCH($D1076,Übungen!$A$4:$A$23,0))),"")</f>
        <v/>
      </c>
      <c r="D1076" s="56"/>
      <c r="E1076" s="67"/>
      <c r="F1076" s="55"/>
      <c r="G1076" s="68"/>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2" t="str">
        <f aca="false">IFERROR(IF($B1077="","",IF(INDEX(Einheiten!$B$4:$B$63,MATCH($B1077,Einheiten!$A$4:$A$63,0))=0,"",INDEX(Einheiten!$B$4:$B$63,MATCH($B1077,Einheiten!$A$4:$A$63,0)))),"")</f>
        <v/>
      </c>
      <c r="B1077" s="54"/>
      <c r="C1077" s="73" t="str">
        <f aca="false">IFERROR(IF($D1077="","",INDEX(Übungen!$B$4:$B$23,MATCH($D1077,Übungen!$A$4:$A$23,0))),"")</f>
        <v/>
      </c>
      <c r="D1077" s="56"/>
      <c r="E1077" s="67"/>
      <c r="F1077" s="55"/>
      <c r="G1077" s="68"/>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2" t="str">
        <f aca="false">IFERROR(IF($B1078="","",IF(INDEX(Einheiten!$B$4:$B$63,MATCH($B1078,Einheiten!$A$4:$A$63,0))=0,"",INDEX(Einheiten!$B$4:$B$63,MATCH($B1078,Einheiten!$A$4:$A$63,0)))),"")</f>
        <v/>
      </c>
      <c r="B1078" s="54"/>
      <c r="C1078" s="73" t="str">
        <f aca="false">IFERROR(IF($D1078="","",INDEX(Übungen!$B$4:$B$23,MATCH($D1078,Übungen!$A$4:$A$23,0))),"")</f>
        <v/>
      </c>
      <c r="D1078" s="56"/>
      <c r="E1078" s="67"/>
      <c r="F1078" s="55"/>
      <c r="G1078" s="68"/>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2" t="str">
        <f aca="false">IFERROR(IF($B1079="","",IF(INDEX(Einheiten!$B$4:$B$63,MATCH($B1079,Einheiten!$A$4:$A$63,0))=0,"",INDEX(Einheiten!$B$4:$B$63,MATCH($B1079,Einheiten!$A$4:$A$63,0)))),"")</f>
        <v/>
      </c>
      <c r="B1079" s="54"/>
      <c r="C1079" s="73" t="str">
        <f aca="false">IFERROR(IF($D1079="","",INDEX(Übungen!$B$4:$B$23,MATCH($D1079,Übungen!$A$4:$A$23,0))),"")</f>
        <v/>
      </c>
      <c r="D1079" s="56"/>
      <c r="E1079" s="67"/>
      <c r="F1079" s="55"/>
      <c r="G1079" s="68"/>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2" t="str">
        <f aca="false">IFERROR(IF($B1080="","",IF(INDEX(Einheiten!$B$4:$B$63,MATCH($B1080,Einheiten!$A$4:$A$63,0))=0,"",INDEX(Einheiten!$B$4:$B$63,MATCH($B1080,Einheiten!$A$4:$A$63,0)))),"")</f>
        <v/>
      </c>
      <c r="B1080" s="54"/>
      <c r="C1080" s="73" t="str">
        <f aca="false">IFERROR(IF($D1080="","",INDEX(Übungen!$B$4:$B$23,MATCH($D1080,Übungen!$A$4:$A$23,0))),"")</f>
        <v/>
      </c>
      <c r="D1080" s="56"/>
      <c r="E1080" s="67"/>
      <c r="F1080" s="55"/>
      <c r="G1080" s="68"/>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2" t="str">
        <f aca="false">IFERROR(IF($B1081="","",IF(INDEX(Einheiten!$B$4:$B$63,MATCH($B1081,Einheiten!$A$4:$A$63,0))=0,"",INDEX(Einheiten!$B$4:$B$63,MATCH($B1081,Einheiten!$A$4:$A$63,0)))),"")</f>
        <v/>
      </c>
      <c r="B1081" s="54"/>
      <c r="C1081" s="73" t="str">
        <f aca="false">IFERROR(IF($D1081="","",INDEX(Übungen!$B$4:$B$23,MATCH($D1081,Übungen!$A$4:$A$23,0))),"")</f>
        <v/>
      </c>
      <c r="D1081" s="56"/>
      <c r="E1081" s="67"/>
      <c r="F1081" s="55"/>
      <c r="G1081" s="68"/>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2" t="str">
        <f aca="false">IFERROR(IF($B1082="","",IF(INDEX(Einheiten!$B$4:$B$63,MATCH($B1082,Einheiten!$A$4:$A$63,0))=0,"",INDEX(Einheiten!$B$4:$B$63,MATCH($B1082,Einheiten!$A$4:$A$63,0)))),"")</f>
        <v/>
      </c>
      <c r="B1082" s="54"/>
      <c r="C1082" s="73" t="str">
        <f aca="false">IFERROR(IF($D1082="","",INDEX(Übungen!$B$4:$B$23,MATCH($D1082,Übungen!$A$4:$A$23,0))),"")</f>
        <v/>
      </c>
      <c r="D1082" s="56"/>
      <c r="E1082" s="67"/>
      <c r="F1082" s="55"/>
      <c r="G1082" s="68"/>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2" t="str">
        <f aca="false">IFERROR(IF($B1083="","",IF(INDEX(Einheiten!$B$4:$B$63,MATCH($B1083,Einheiten!$A$4:$A$63,0))=0,"",INDEX(Einheiten!$B$4:$B$63,MATCH($B1083,Einheiten!$A$4:$A$63,0)))),"")</f>
        <v/>
      </c>
      <c r="B1083" s="54"/>
      <c r="C1083" s="73" t="str">
        <f aca="false">IFERROR(IF($D1083="","",INDEX(Übungen!$B$4:$B$23,MATCH($D1083,Übungen!$A$4:$A$23,0))),"")</f>
        <v/>
      </c>
      <c r="D1083" s="56"/>
      <c r="E1083" s="67"/>
      <c r="F1083" s="55"/>
      <c r="G1083" s="68"/>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2" t="str">
        <f aca="false">IFERROR(IF($B1084="","",IF(INDEX(Einheiten!$B$4:$B$63,MATCH($B1084,Einheiten!$A$4:$A$63,0))=0,"",INDEX(Einheiten!$B$4:$B$63,MATCH($B1084,Einheiten!$A$4:$A$63,0)))),"")</f>
        <v/>
      </c>
      <c r="B1084" s="54"/>
      <c r="C1084" s="73" t="str">
        <f aca="false">IFERROR(IF($D1084="","",INDEX(Übungen!$B$4:$B$23,MATCH($D1084,Übungen!$A$4:$A$23,0))),"")</f>
        <v/>
      </c>
      <c r="D1084" s="56"/>
      <c r="E1084" s="67"/>
      <c r="F1084" s="55"/>
      <c r="G1084" s="68"/>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2" t="str">
        <f aca="false">IFERROR(IF($B1085="","",IF(INDEX(Einheiten!$B$4:$B$63,MATCH($B1085,Einheiten!$A$4:$A$63,0))=0,"",INDEX(Einheiten!$B$4:$B$63,MATCH($B1085,Einheiten!$A$4:$A$63,0)))),"")</f>
        <v/>
      </c>
      <c r="B1085" s="54"/>
      <c r="C1085" s="73" t="str">
        <f aca="false">IFERROR(IF($D1085="","",INDEX(Übungen!$B$4:$B$23,MATCH($D1085,Übungen!$A$4:$A$23,0))),"")</f>
        <v/>
      </c>
      <c r="D1085" s="56"/>
      <c r="E1085" s="67"/>
      <c r="F1085" s="55"/>
      <c r="G1085" s="68"/>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2" t="str">
        <f aca="false">IFERROR(IF($B1086="","",IF(INDEX(Einheiten!$B$4:$B$63,MATCH($B1086,Einheiten!$A$4:$A$63,0))=0,"",INDEX(Einheiten!$B$4:$B$63,MATCH($B1086,Einheiten!$A$4:$A$63,0)))),"")</f>
        <v/>
      </c>
      <c r="B1086" s="54"/>
      <c r="C1086" s="73" t="str">
        <f aca="false">IFERROR(IF($D1086="","",INDEX(Übungen!$B$4:$B$23,MATCH($D1086,Übungen!$A$4:$A$23,0))),"")</f>
        <v/>
      </c>
      <c r="D1086" s="56"/>
      <c r="E1086" s="67"/>
      <c r="F1086" s="55"/>
      <c r="G1086" s="68"/>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2" t="str">
        <f aca="false">IFERROR(IF($B1087="","",IF(INDEX(Einheiten!$B$4:$B$63,MATCH($B1087,Einheiten!$A$4:$A$63,0))=0,"",INDEX(Einheiten!$B$4:$B$63,MATCH($B1087,Einheiten!$A$4:$A$63,0)))),"")</f>
        <v/>
      </c>
      <c r="B1087" s="54"/>
      <c r="C1087" s="73" t="str">
        <f aca="false">IFERROR(IF($D1087="","",INDEX(Übungen!$B$4:$B$23,MATCH($D1087,Übungen!$A$4:$A$23,0))),"")</f>
        <v/>
      </c>
      <c r="D1087" s="56"/>
      <c r="E1087" s="67"/>
      <c r="F1087" s="55"/>
      <c r="G1087" s="68"/>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2" t="str">
        <f aca="false">IFERROR(IF($B1088="","",IF(INDEX(Einheiten!$B$4:$B$63,MATCH($B1088,Einheiten!$A$4:$A$63,0))=0,"",INDEX(Einheiten!$B$4:$B$63,MATCH($B1088,Einheiten!$A$4:$A$63,0)))),"")</f>
        <v/>
      </c>
      <c r="B1088" s="54"/>
      <c r="C1088" s="73" t="str">
        <f aca="false">IFERROR(IF($D1088="","",INDEX(Übungen!$B$4:$B$23,MATCH($D1088,Übungen!$A$4:$A$23,0))),"")</f>
        <v/>
      </c>
      <c r="D1088" s="56"/>
      <c r="E1088" s="67"/>
      <c r="F1088" s="55"/>
      <c r="G1088" s="68"/>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2" t="str">
        <f aca="false">IFERROR(IF($B1089="","",IF(INDEX(Einheiten!$B$4:$B$63,MATCH($B1089,Einheiten!$A$4:$A$63,0))=0,"",INDEX(Einheiten!$B$4:$B$63,MATCH($B1089,Einheiten!$A$4:$A$63,0)))),"")</f>
        <v/>
      </c>
      <c r="B1089" s="54"/>
      <c r="C1089" s="73" t="str">
        <f aca="false">IFERROR(IF($D1089="","",INDEX(Übungen!$B$4:$B$23,MATCH($D1089,Übungen!$A$4:$A$23,0))),"")</f>
        <v/>
      </c>
      <c r="D1089" s="56"/>
      <c r="E1089" s="67"/>
      <c r="F1089" s="55"/>
      <c r="G1089" s="68"/>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2" t="str">
        <f aca="false">IFERROR(IF($B1090="","",IF(INDEX(Einheiten!$B$4:$B$63,MATCH($B1090,Einheiten!$A$4:$A$63,0))=0,"",INDEX(Einheiten!$B$4:$B$63,MATCH($B1090,Einheiten!$A$4:$A$63,0)))),"")</f>
        <v/>
      </c>
      <c r="B1090" s="54"/>
      <c r="C1090" s="73" t="str">
        <f aca="false">IFERROR(IF($D1090="","",INDEX(Übungen!$B$4:$B$23,MATCH($D1090,Übungen!$A$4:$A$23,0))),"")</f>
        <v/>
      </c>
      <c r="D1090" s="56"/>
      <c r="E1090" s="67"/>
      <c r="F1090" s="55"/>
      <c r="G1090" s="68"/>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2" t="str">
        <f aca="false">IFERROR(IF($B1091="","",IF(INDEX(Einheiten!$B$4:$B$63,MATCH($B1091,Einheiten!$A$4:$A$63,0))=0,"",INDEX(Einheiten!$B$4:$B$63,MATCH($B1091,Einheiten!$A$4:$A$63,0)))),"")</f>
        <v/>
      </c>
      <c r="B1091" s="54"/>
      <c r="C1091" s="73" t="str">
        <f aca="false">IFERROR(IF($D1091="","",INDEX(Übungen!$B$4:$B$23,MATCH($D1091,Übungen!$A$4:$A$23,0))),"")</f>
        <v/>
      </c>
      <c r="D1091" s="56"/>
      <c r="E1091" s="67"/>
      <c r="F1091" s="55"/>
      <c r="G1091" s="68"/>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2" t="str">
        <f aca="false">IFERROR(IF($B1092="","",IF(INDEX(Einheiten!$B$4:$B$63,MATCH($B1092,Einheiten!$A$4:$A$63,0))=0,"",INDEX(Einheiten!$B$4:$B$63,MATCH($B1092,Einheiten!$A$4:$A$63,0)))),"")</f>
        <v/>
      </c>
      <c r="B1092" s="54"/>
      <c r="C1092" s="73" t="str">
        <f aca="false">IFERROR(IF($D1092="","",INDEX(Übungen!$B$4:$B$23,MATCH($D1092,Übungen!$A$4:$A$23,0))),"")</f>
        <v/>
      </c>
      <c r="D1092" s="56"/>
      <c r="E1092" s="67"/>
      <c r="F1092" s="55"/>
      <c r="G1092" s="68"/>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2" t="str">
        <f aca="false">IFERROR(IF($B1093="","",IF(INDEX(Einheiten!$B$4:$B$63,MATCH($B1093,Einheiten!$A$4:$A$63,0))=0,"",INDEX(Einheiten!$B$4:$B$63,MATCH($B1093,Einheiten!$A$4:$A$63,0)))),"")</f>
        <v/>
      </c>
      <c r="B1093" s="54"/>
      <c r="C1093" s="73" t="str">
        <f aca="false">IFERROR(IF($D1093="","",INDEX(Übungen!$B$4:$B$23,MATCH($D1093,Übungen!$A$4:$A$23,0))),"")</f>
        <v/>
      </c>
      <c r="D1093" s="56"/>
      <c r="E1093" s="67"/>
      <c r="F1093" s="55"/>
      <c r="G1093" s="68"/>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2" t="str">
        <f aca="false">IFERROR(IF($B1094="","",IF(INDEX(Einheiten!$B$4:$B$63,MATCH($B1094,Einheiten!$A$4:$A$63,0))=0,"",INDEX(Einheiten!$B$4:$B$63,MATCH($B1094,Einheiten!$A$4:$A$63,0)))),"")</f>
        <v/>
      </c>
      <c r="B1094" s="54"/>
      <c r="C1094" s="73" t="str">
        <f aca="false">IFERROR(IF($D1094="","",INDEX(Übungen!$B$4:$B$23,MATCH($D1094,Übungen!$A$4:$A$23,0))),"")</f>
        <v/>
      </c>
      <c r="D1094" s="56"/>
      <c r="E1094" s="67"/>
      <c r="F1094" s="55"/>
      <c r="G1094" s="68"/>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2" t="str">
        <f aca="false">IFERROR(IF($B1095="","",IF(INDEX(Einheiten!$B$4:$B$63,MATCH($B1095,Einheiten!$A$4:$A$63,0))=0,"",INDEX(Einheiten!$B$4:$B$63,MATCH($B1095,Einheiten!$A$4:$A$63,0)))),"")</f>
        <v/>
      </c>
      <c r="B1095" s="54"/>
      <c r="C1095" s="73" t="str">
        <f aca="false">IFERROR(IF($D1095="","",INDEX(Übungen!$B$4:$B$23,MATCH($D1095,Übungen!$A$4:$A$23,0))),"")</f>
        <v/>
      </c>
      <c r="D1095" s="56"/>
      <c r="E1095" s="67"/>
      <c r="F1095" s="55"/>
      <c r="G1095" s="68"/>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2" t="str">
        <f aca="false">IFERROR(IF($B1096="","",IF(INDEX(Einheiten!$B$4:$B$63,MATCH($B1096,Einheiten!$A$4:$A$63,0))=0,"",INDEX(Einheiten!$B$4:$B$63,MATCH($B1096,Einheiten!$A$4:$A$63,0)))),"")</f>
        <v/>
      </c>
      <c r="B1096" s="54"/>
      <c r="C1096" s="73" t="str">
        <f aca="false">IFERROR(IF($D1096="","",INDEX(Übungen!$B$4:$B$23,MATCH($D1096,Übungen!$A$4:$A$23,0))),"")</f>
        <v/>
      </c>
      <c r="D1096" s="56"/>
      <c r="E1096" s="67"/>
      <c r="F1096" s="55"/>
      <c r="G1096" s="68"/>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2" t="str">
        <f aca="false">IFERROR(IF($B1097="","",IF(INDEX(Einheiten!$B$4:$B$63,MATCH($B1097,Einheiten!$A$4:$A$63,0))=0,"",INDEX(Einheiten!$B$4:$B$63,MATCH($B1097,Einheiten!$A$4:$A$63,0)))),"")</f>
        <v/>
      </c>
      <c r="B1097" s="54"/>
      <c r="C1097" s="73" t="str">
        <f aca="false">IFERROR(IF($D1097="","",INDEX(Übungen!$B$4:$B$23,MATCH($D1097,Übungen!$A$4:$A$23,0))),"")</f>
        <v/>
      </c>
      <c r="D1097" s="56"/>
      <c r="E1097" s="67"/>
      <c r="F1097" s="55"/>
      <c r="G1097" s="68"/>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2" t="str">
        <f aca="false">IFERROR(IF($B1098="","",IF(INDEX(Einheiten!$B$4:$B$63,MATCH($B1098,Einheiten!$A$4:$A$63,0))=0,"",INDEX(Einheiten!$B$4:$B$63,MATCH($B1098,Einheiten!$A$4:$A$63,0)))),"")</f>
        <v/>
      </c>
      <c r="B1098" s="54"/>
      <c r="C1098" s="73" t="str">
        <f aca="false">IFERROR(IF($D1098="","",INDEX(Übungen!$B$4:$B$23,MATCH($D1098,Übungen!$A$4:$A$23,0))),"")</f>
        <v/>
      </c>
      <c r="D1098" s="56"/>
      <c r="E1098" s="67"/>
      <c r="F1098" s="55"/>
      <c r="G1098" s="68"/>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2" t="str">
        <f aca="false">IFERROR(IF($B1099="","",IF(INDEX(Einheiten!$B$4:$B$63,MATCH($B1099,Einheiten!$A$4:$A$63,0))=0,"",INDEX(Einheiten!$B$4:$B$63,MATCH($B1099,Einheiten!$A$4:$A$63,0)))),"")</f>
        <v/>
      </c>
      <c r="B1099" s="54"/>
      <c r="C1099" s="73" t="str">
        <f aca="false">IFERROR(IF($D1099="","",INDEX(Übungen!$B$4:$B$23,MATCH($D1099,Übungen!$A$4:$A$23,0))),"")</f>
        <v/>
      </c>
      <c r="D1099" s="56"/>
      <c r="E1099" s="67"/>
      <c r="F1099" s="55"/>
      <c r="G1099" s="68"/>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2" t="str">
        <f aca="false">IFERROR(IF($B1100="","",IF(INDEX(Einheiten!$B$4:$B$63,MATCH($B1100,Einheiten!$A$4:$A$63,0))=0,"",INDEX(Einheiten!$B$4:$B$63,MATCH($B1100,Einheiten!$A$4:$A$63,0)))),"")</f>
        <v/>
      </c>
      <c r="B1100" s="54"/>
      <c r="C1100" s="73" t="str">
        <f aca="false">IFERROR(IF($D1100="","",INDEX(Übungen!$B$4:$B$23,MATCH($D1100,Übungen!$A$4:$A$23,0))),"")</f>
        <v/>
      </c>
      <c r="D1100" s="56"/>
      <c r="E1100" s="67"/>
      <c r="F1100" s="55"/>
      <c r="G1100" s="68"/>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2" t="str">
        <f aca="false">IFERROR(IF($B1101="","",IF(INDEX(Einheiten!$B$4:$B$63,MATCH($B1101,Einheiten!$A$4:$A$63,0))=0,"",INDEX(Einheiten!$B$4:$B$63,MATCH($B1101,Einheiten!$A$4:$A$63,0)))),"")</f>
        <v/>
      </c>
      <c r="B1101" s="54"/>
      <c r="C1101" s="73" t="str">
        <f aca="false">IFERROR(IF($D1101="","",INDEX(Übungen!$B$4:$B$23,MATCH($D1101,Übungen!$A$4:$A$23,0))),"")</f>
        <v/>
      </c>
      <c r="D1101" s="56"/>
      <c r="E1101" s="67"/>
      <c r="F1101" s="55"/>
      <c r="G1101" s="68"/>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2" t="str">
        <f aca="false">IFERROR(IF($B1102="","",IF(INDEX(Einheiten!$B$4:$B$63,MATCH($B1102,Einheiten!$A$4:$A$63,0))=0,"",INDEX(Einheiten!$B$4:$B$63,MATCH($B1102,Einheiten!$A$4:$A$63,0)))),"")</f>
        <v/>
      </c>
      <c r="B1102" s="54"/>
      <c r="C1102" s="73" t="str">
        <f aca="false">IFERROR(IF($D1102="","",INDEX(Übungen!$B$4:$B$23,MATCH($D1102,Übungen!$A$4:$A$23,0))),"")</f>
        <v/>
      </c>
      <c r="D1102" s="56"/>
      <c r="E1102" s="67"/>
      <c r="F1102" s="55"/>
      <c r="G1102" s="68"/>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2" t="str">
        <f aca="false">IFERROR(IF($B1103="","",IF(INDEX(Einheiten!$B$4:$B$63,MATCH($B1103,Einheiten!$A$4:$A$63,0))=0,"",INDEX(Einheiten!$B$4:$B$63,MATCH($B1103,Einheiten!$A$4:$A$63,0)))),"")</f>
        <v/>
      </c>
      <c r="B1103" s="54"/>
      <c r="C1103" s="73" t="str">
        <f aca="false">IFERROR(IF($D1103="","",INDEX(Übungen!$B$4:$B$23,MATCH($D1103,Übungen!$A$4:$A$23,0))),"")</f>
        <v/>
      </c>
      <c r="D1103" s="56"/>
      <c r="E1103" s="67"/>
      <c r="F1103" s="55"/>
      <c r="G1103" s="68"/>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2" t="str">
        <f aca="false">IFERROR(IF($B1104="","",IF(INDEX(Einheiten!$B$4:$B$63,MATCH($B1104,Einheiten!$A$4:$A$63,0))=0,"",INDEX(Einheiten!$B$4:$B$63,MATCH($B1104,Einheiten!$A$4:$A$63,0)))),"")</f>
        <v/>
      </c>
      <c r="B1104" s="54"/>
      <c r="C1104" s="73" t="str">
        <f aca="false">IFERROR(IF($D1104="","",INDEX(Übungen!$B$4:$B$23,MATCH($D1104,Übungen!$A$4:$A$23,0))),"")</f>
        <v/>
      </c>
      <c r="D1104" s="56"/>
      <c r="E1104" s="67"/>
      <c r="F1104" s="55"/>
      <c r="G1104" s="68"/>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2" t="str">
        <f aca="false">IFERROR(IF($B1105="","",IF(INDEX(Einheiten!$B$4:$B$63,MATCH($B1105,Einheiten!$A$4:$A$63,0))=0,"",INDEX(Einheiten!$B$4:$B$63,MATCH($B1105,Einheiten!$A$4:$A$63,0)))),"")</f>
        <v/>
      </c>
      <c r="B1105" s="54"/>
      <c r="C1105" s="73" t="str">
        <f aca="false">IFERROR(IF($D1105="","",INDEX(Übungen!$B$4:$B$23,MATCH($D1105,Übungen!$A$4:$A$23,0))),"")</f>
        <v/>
      </c>
      <c r="D1105" s="56"/>
      <c r="E1105" s="67"/>
      <c r="F1105" s="55"/>
      <c r="G1105" s="68"/>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2" t="str">
        <f aca="false">IFERROR(IF($B1106="","",IF(INDEX(Einheiten!$B$4:$B$63,MATCH($B1106,Einheiten!$A$4:$A$63,0))=0,"",INDEX(Einheiten!$B$4:$B$63,MATCH($B1106,Einheiten!$A$4:$A$63,0)))),"")</f>
        <v/>
      </c>
      <c r="B1106" s="54"/>
      <c r="C1106" s="73" t="str">
        <f aca="false">IFERROR(IF($D1106="","",INDEX(Übungen!$B$4:$B$23,MATCH($D1106,Übungen!$A$4:$A$23,0))),"")</f>
        <v/>
      </c>
      <c r="D1106" s="56"/>
      <c r="E1106" s="67"/>
      <c r="F1106" s="55"/>
      <c r="G1106" s="68"/>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2" t="str">
        <f aca="false">IFERROR(IF($B1107="","",IF(INDEX(Einheiten!$B$4:$B$63,MATCH($B1107,Einheiten!$A$4:$A$63,0))=0,"",INDEX(Einheiten!$B$4:$B$63,MATCH($B1107,Einheiten!$A$4:$A$63,0)))),"")</f>
        <v/>
      </c>
      <c r="B1107" s="54"/>
      <c r="C1107" s="73" t="str">
        <f aca="false">IFERROR(IF($D1107="","",INDEX(Übungen!$B$4:$B$23,MATCH($D1107,Übungen!$A$4:$A$23,0))),"")</f>
        <v/>
      </c>
      <c r="D1107" s="56"/>
      <c r="E1107" s="67"/>
      <c r="F1107" s="55"/>
      <c r="G1107" s="68"/>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2" t="str">
        <f aca="false">IFERROR(IF($B1108="","",IF(INDEX(Einheiten!$B$4:$B$63,MATCH($B1108,Einheiten!$A$4:$A$63,0))=0,"",INDEX(Einheiten!$B$4:$B$63,MATCH($B1108,Einheiten!$A$4:$A$63,0)))),"")</f>
        <v/>
      </c>
      <c r="B1108" s="54"/>
      <c r="C1108" s="73" t="str">
        <f aca="false">IFERROR(IF($D1108="","",INDEX(Übungen!$B$4:$B$23,MATCH($D1108,Übungen!$A$4:$A$23,0))),"")</f>
        <v/>
      </c>
      <c r="D1108" s="56"/>
      <c r="E1108" s="67"/>
      <c r="F1108" s="55"/>
      <c r="G1108" s="68"/>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2" t="str">
        <f aca="false">IFERROR(IF($B1109="","",IF(INDEX(Einheiten!$B$4:$B$63,MATCH($B1109,Einheiten!$A$4:$A$63,0))=0,"",INDEX(Einheiten!$B$4:$B$63,MATCH($B1109,Einheiten!$A$4:$A$63,0)))),"")</f>
        <v/>
      </c>
      <c r="B1109" s="54"/>
      <c r="C1109" s="73" t="str">
        <f aca="false">IFERROR(IF($D1109="","",INDEX(Übungen!$B$4:$B$23,MATCH($D1109,Übungen!$A$4:$A$23,0))),"")</f>
        <v/>
      </c>
      <c r="D1109" s="56"/>
      <c r="E1109" s="67"/>
      <c r="F1109" s="55"/>
      <c r="G1109" s="68"/>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2" t="str">
        <f aca="false">IFERROR(IF($B1110="","",IF(INDEX(Einheiten!$B$4:$B$63,MATCH($B1110,Einheiten!$A$4:$A$63,0))=0,"",INDEX(Einheiten!$B$4:$B$63,MATCH($B1110,Einheiten!$A$4:$A$63,0)))),"")</f>
        <v/>
      </c>
      <c r="B1110" s="54"/>
      <c r="C1110" s="73" t="str">
        <f aca="false">IFERROR(IF($D1110="","",INDEX(Übungen!$B$4:$B$23,MATCH($D1110,Übungen!$A$4:$A$23,0))),"")</f>
        <v/>
      </c>
      <c r="D1110" s="56"/>
      <c r="E1110" s="67"/>
      <c r="F1110" s="55"/>
      <c r="G1110" s="68"/>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2" t="str">
        <f aca="false">IFERROR(IF($B1111="","",IF(INDEX(Einheiten!$B$4:$B$63,MATCH($B1111,Einheiten!$A$4:$A$63,0))=0,"",INDEX(Einheiten!$B$4:$B$63,MATCH($B1111,Einheiten!$A$4:$A$63,0)))),"")</f>
        <v/>
      </c>
      <c r="B1111" s="54"/>
      <c r="C1111" s="73" t="str">
        <f aca="false">IFERROR(IF($D1111="","",INDEX(Übungen!$B$4:$B$23,MATCH($D1111,Übungen!$A$4:$A$23,0))),"")</f>
        <v/>
      </c>
      <c r="D1111" s="56"/>
      <c r="E1111" s="67"/>
      <c r="F1111" s="55"/>
      <c r="G1111" s="68"/>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2" t="str">
        <f aca="false">IFERROR(IF($B1112="","",IF(INDEX(Einheiten!$B$4:$B$63,MATCH($B1112,Einheiten!$A$4:$A$63,0))=0,"",INDEX(Einheiten!$B$4:$B$63,MATCH($B1112,Einheiten!$A$4:$A$63,0)))),"")</f>
        <v/>
      </c>
      <c r="B1112" s="54"/>
      <c r="C1112" s="73" t="str">
        <f aca="false">IFERROR(IF($D1112="","",INDEX(Übungen!$B$4:$B$23,MATCH($D1112,Übungen!$A$4:$A$23,0))),"")</f>
        <v/>
      </c>
      <c r="D1112" s="56"/>
      <c r="E1112" s="67"/>
      <c r="F1112" s="55"/>
      <c r="G1112" s="68"/>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2" t="str">
        <f aca="false">IFERROR(IF($B1113="","",IF(INDEX(Einheiten!$B$4:$B$63,MATCH($B1113,Einheiten!$A$4:$A$63,0))=0,"",INDEX(Einheiten!$B$4:$B$63,MATCH($B1113,Einheiten!$A$4:$A$63,0)))),"")</f>
        <v/>
      </c>
      <c r="B1113" s="54"/>
      <c r="C1113" s="73" t="str">
        <f aca="false">IFERROR(IF($D1113="","",INDEX(Übungen!$B$4:$B$23,MATCH($D1113,Übungen!$A$4:$A$23,0))),"")</f>
        <v/>
      </c>
      <c r="D1113" s="56"/>
      <c r="E1113" s="67"/>
      <c r="F1113" s="55"/>
      <c r="G1113" s="68"/>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2" t="str">
        <f aca="false">IFERROR(IF($B1114="","",IF(INDEX(Einheiten!$B$4:$B$63,MATCH($B1114,Einheiten!$A$4:$A$63,0))=0,"",INDEX(Einheiten!$B$4:$B$63,MATCH($B1114,Einheiten!$A$4:$A$63,0)))),"")</f>
        <v/>
      </c>
      <c r="B1114" s="54"/>
      <c r="C1114" s="73" t="str">
        <f aca="false">IFERROR(IF($D1114="","",INDEX(Übungen!$B$4:$B$23,MATCH($D1114,Übungen!$A$4:$A$23,0))),"")</f>
        <v/>
      </c>
      <c r="D1114" s="56"/>
      <c r="E1114" s="67"/>
      <c r="F1114" s="55"/>
      <c r="G1114" s="68"/>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2" t="str">
        <f aca="false">IFERROR(IF($B1115="","",IF(INDEX(Einheiten!$B$4:$B$63,MATCH($B1115,Einheiten!$A$4:$A$63,0))=0,"",INDEX(Einheiten!$B$4:$B$63,MATCH($B1115,Einheiten!$A$4:$A$63,0)))),"")</f>
        <v/>
      </c>
      <c r="B1115" s="54"/>
      <c r="C1115" s="73" t="str">
        <f aca="false">IFERROR(IF($D1115="","",INDEX(Übungen!$B$4:$B$23,MATCH($D1115,Übungen!$A$4:$A$23,0))),"")</f>
        <v/>
      </c>
      <c r="D1115" s="56"/>
      <c r="E1115" s="67"/>
      <c r="F1115" s="55"/>
      <c r="G1115" s="68"/>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2" t="str">
        <f aca="false">IFERROR(IF($B1116="","",IF(INDEX(Einheiten!$B$4:$B$63,MATCH($B1116,Einheiten!$A$4:$A$63,0))=0,"",INDEX(Einheiten!$B$4:$B$63,MATCH($B1116,Einheiten!$A$4:$A$63,0)))),"")</f>
        <v/>
      </c>
      <c r="B1116" s="54"/>
      <c r="C1116" s="73" t="str">
        <f aca="false">IFERROR(IF($D1116="","",INDEX(Übungen!$B$4:$B$23,MATCH($D1116,Übungen!$A$4:$A$23,0))),"")</f>
        <v/>
      </c>
      <c r="D1116" s="56"/>
      <c r="E1116" s="67"/>
      <c r="F1116" s="55"/>
      <c r="G1116" s="68"/>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2" t="str">
        <f aca="false">IFERROR(IF($B1117="","",IF(INDEX(Einheiten!$B$4:$B$63,MATCH($B1117,Einheiten!$A$4:$A$63,0))=0,"",INDEX(Einheiten!$B$4:$B$63,MATCH($B1117,Einheiten!$A$4:$A$63,0)))),"")</f>
        <v/>
      </c>
      <c r="B1117" s="54"/>
      <c r="C1117" s="73" t="str">
        <f aca="false">IFERROR(IF($D1117="","",INDEX(Übungen!$B$4:$B$23,MATCH($D1117,Übungen!$A$4:$A$23,0))),"")</f>
        <v/>
      </c>
      <c r="D1117" s="56"/>
      <c r="E1117" s="67"/>
      <c r="F1117" s="55"/>
      <c r="G1117" s="68"/>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2" t="str">
        <f aca="false">IFERROR(IF($B1118="","",IF(INDEX(Einheiten!$B$4:$B$63,MATCH($B1118,Einheiten!$A$4:$A$63,0))=0,"",INDEX(Einheiten!$B$4:$B$63,MATCH($B1118,Einheiten!$A$4:$A$63,0)))),"")</f>
        <v/>
      </c>
      <c r="B1118" s="54"/>
      <c r="C1118" s="73" t="str">
        <f aca="false">IFERROR(IF($D1118="","",INDEX(Übungen!$B$4:$B$23,MATCH($D1118,Übungen!$A$4:$A$23,0))),"")</f>
        <v/>
      </c>
      <c r="D1118" s="56"/>
      <c r="E1118" s="67"/>
      <c r="F1118" s="55"/>
      <c r="G1118" s="68"/>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2" t="str">
        <f aca="false">IFERROR(IF($B1119="","",IF(INDEX(Einheiten!$B$4:$B$63,MATCH($B1119,Einheiten!$A$4:$A$63,0))=0,"",INDEX(Einheiten!$B$4:$B$63,MATCH($B1119,Einheiten!$A$4:$A$63,0)))),"")</f>
        <v/>
      </c>
      <c r="B1119" s="54"/>
      <c r="C1119" s="73" t="str">
        <f aca="false">IFERROR(IF($D1119="","",INDEX(Übungen!$B$4:$B$23,MATCH($D1119,Übungen!$A$4:$A$23,0))),"")</f>
        <v/>
      </c>
      <c r="D1119" s="56"/>
      <c r="E1119" s="67"/>
      <c r="F1119" s="55"/>
      <c r="G1119" s="68"/>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2" t="str">
        <f aca="false">IFERROR(IF($B1120="","",IF(INDEX(Einheiten!$B$4:$B$63,MATCH($B1120,Einheiten!$A$4:$A$63,0))=0,"",INDEX(Einheiten!$B$4:$B$63,MATCH($B1120,Einheiten!$A$4:$A$63,0)))),"")</f>
        <v/>
      </c>
      <c r="B1120" s="54"/>
      <c r="C1120" s="73" t="str">
        <f aca="false">IFERROR(IF($D1120="","",INDEX(Übungen!$B$4:$B$23,MATCH($D1120,Übungen!$A$4:$A$23,0))),"")</f>
        <v/>
      </c>
      <c r="D1120" s="56"/>
      <c r="E1120" s="67"/>
      <c r="F1120" s="55"/>
      <c r="G1120" s="68"/>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2" t="str">
        <f aca="false">IFERROR(IF($B1121="","",IF(INDEX(Einheiten!$B$4:$B$63,MATCH($B1121,Einheiten!$A$4:$A$63,0))=0,"",INDEX(Einheiten!$B$4:$B$63,MATCH($B1121,Einheiten!$A$4:$A$63,0)))),"")</f>
        <v/>
      </c>
      <c r="B1121" s="54"/>
      <c r="C1121" s="73" t="str">
        <f aca="false">IFERROR(IF($D1121="","",INDEX(Übungen!$B$4:$B$23,MATCH($D1121,Übungen!$A$4:$A$23,0))),"")</f>
        <v/>
      </c>
      <c r="D1121" s="56"/>
      <c r="E1121" s="67"/>
      <c r="F1121" s="55"/>
      <c r="G1121" s="68"/>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2" t="str">
        <f aca="false">IFERROR(IF($B1122="","",IF(INDEX(Einheiten!$B$4:$B$63,MATCH($B1122,Einheiten!$A$4:$A$63,0))=0,"",INDEX(Einheiten!$B$4:$B$63,MATCH($B1122,Einheiten!$A$4:$A$63,0)))),"")</f>
        <v/>
      </c>
      <c r="B1122" s="54"/>
      <c r="C1122" s="73" t="str">
        <f aca="false">IFERROR(IF($D1122="","",INDEX(Übungen!$B$4:$B$23,MATCH($D1122,Übungen!$A$4:$A$23,0))),"")</f>
        <v/>
      </c>
      <c r="D1122" s="56"/>
      <c r="E1122" s="67"/>
      <c r="F1122" s="55"/>
      <c r="G1122" s="68"/>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2" t="str">
        <f aca="false">IFERROR(IF($B1123="","",IF(INDEX(Einheiten!$B$4:$B$63,MATCH($B1123,Einheiten!$A$4:$A$63,0))=0,"",INDEX(Einheiten!$B$4:$B$63,MATCH($B1123,Einheiten!$A$4:$A$63,0)))),"")</f>
        <v/>
      </c>
      <c r="B1123" s="54"/>
      <c r="C1123" s="73" t="str">
        <f aca="false">IFERROR(IF($D1123="","",INDEX(Übungen!$B$4:$B$23,MATCH($D1123,Übungen!$A$4:$A$23,0))),"")</f>
        <v/>
      </c>
      <c r="D1123" s="56"/>
      <c r="E1123" s="67"/>
      <c r="F1123" s="55"/>
      <c r="G1123" s="68"/>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2" t="str">
        <f aca="false">IFERROR(IF($B1124="","",IF(INDEX(Einheiten!$B$4:$B$63,MATCH($B1124,Einheiten!$A$4:$A$63,0))=0,"",INDEX(Einheiten!$B$4:$B$63,MATCH($B1124,Einheiten!$A$4:$A$63,0)))),"")</f>
        <v/>
      </c>
      <c r="B1124" s="54"/>
      <c r="C1124" s="73" t="str">
        <f aca="false">IFERROR(IF($D1124="","",INDEX(Übungen!$B$4:$B$23,MATCH($D1124,Übungen!$A$4:$A$23,0))),"")</f>
        <v/>
      </c>
      <c r="D1124" s="56"/>
      <c r="E1124" s="67"/>
      <c r="F1124" s="55"/>
      <c r="G1124" s="68"/>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2" t="str">
        <f aca="false">IFERROR(IF($B1125="","",IF(INDEX(Einheiten!$B$4:$B$63,MATCH($B1125,Einheiten!$A$4:$A$63,0))=0,"",INDEX(Einheiten!$B$4:$B$63,MATCH($B1125,Einheiten!$A$4:$A$63,0)))),"")</f>
        <v/>
      </c>
      <c r="B1125" s="54"/>
      <c r="C1125" s="73" t="str">
        <f aca="false">IFERROR(IF($D1125="","",INDEX(Übungen!$B$4:$B$23,MATCH($D1125,Übungen!$A$4:$A$23,0))),"")</f>
        <v/>
      </c>
      <c r="D1125" s="56"/>
      <c r="E1125" s="67"/>
      <c r="F1125" s="55"/>
      <c r="G1125" s="68"/>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2" t="str">
        <f aca="false">IFERROR(IF($B1126="","",IF(INDEX(Einheiten!$B$4:$B$63,MATCH($B1126,Einheiten!$A$4:$A$63,0))=0,"",INDEX(Einheiten!$B$4:$B$63,MATCH($B1126,Einheiten!$A$4:$A$63,0)))),"")</f>
        <v/>
      </c>
      <c r="B1126" s="54"/>
      <c r="C1126" s="73" t="str">
        <f aca="false">IFERROR(IF($D1126="","",INDEX(Übungen!$B$4:$B$23,MATCH($D1126,Übungen!$A$4:$A$23,0))),"")</f>
        <v/>
      </c>
      <c r="D1126" s="56"/>
      <c r="E1126" s="67"/>
      <c r="F1126" s="55"/>
      <c r="G1126" s="68"/>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2" t="str">
        <f aca="false">IFERROR(IF($B1127="","",IF(INDEX(Einheiten!$B$4:$B$63,MATCH($B1127,Einheiten!$A$4:$A$63,0))=0,"",INDEX(Einheiten!$B$4:$B$63,MATCH($B1127,Einheiten!$A$4:$A$63,0)))),"")</f>
        <v/>
      </c>
      <c r="B1127" s="54"/>
      <c r="C1127" s="73" t="str">
        <f aca="false">IFERROR(IF($D1127="","",INDEX(Übungen!$B$4:$B$23,MATCH($D1127,Übungen!$A$4:$A$23,0))),"")</f>
        <v/>
      </c>
      <c r="D1127" s="56"/>
      <c r="E1127" s="67"/>
      <c r="F1127" s="55"/>
      <c r="G1127" s="68"/>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2" t="str">
        <f aca="false">IFERROR(IF($B1128="","",IF(INDEX(Einheiten!$B$4:$B$63,MATCH($B1128,Einheiten!$A$4:$A$63,0))=0,"",INDEX(Einheiten!$B$4:$B$63,MATCH($B1128,Einheiten!$A$4:$A$63,0)))),"")</f>
        <v/>
      </c>
      <c r="B1128" s="54"/>
      <c r="C1128" s="73" t="str">
        <f aca="false">IFERROR(IF($D1128="","",INDEX(Übungen!$B$4:$B$23,MATCH($D1128,Übungen!$A$4:$A$23,0))),"")</f>
        <v/>
      </c>
      <c r="D1128" s="56"/>
      <c r="E1128" s="67"/>
      <c r="F1128" s="55"/>
      <c r="G1128" s="68"/>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2" t="str">
        <f aca="false">IFERROR(IF($B1129="","",IF(INDEX(Einheiten!$B$4:$B$63,MATCH($B1129,Einheiten!$A$4:$A$63,0))=0,"",INDEX(Einheiten!$B$4:$B$63,MATCH($B1129,Einheiten!$A$4:$A$63,0)))),"")</f>
        <v/>
      </c>
      <c r="B1129" s="54"/>
      <c r="C1129" s="73" t="str">
        <f aca="false">IFERROR(IF($D1129="","",INDEX(Übungen!$B$4:$B$23,MATCH($D1129,Übungen!$A$4:$A$23,0))),"")</f>
        <v/>
      </c>
      <c r="D1129" s="56"/>
      <c r="E1129" s="67"/>
      <c r="F1129" s="55"/>
      <c r="G1129" s="68"/>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2" t="str">
        <f aca="false">IFERROR(IF($B1130="","",IF(INDEX(Einheiten!$B$4:$B$63,MATCH($B1130,Einheiten!$A$4:$A$63,0))=0,"",INDEX(Einheiten!$B$4:$B$63,MATCH($B1130,Einheiten!$A$4:$A$63,0)))),"")</f>
        <v/>
      </c>
      <c r="B1130" s="54"/>
      <c r="C1130" s="73" t="str">
        <f aca="false">IFERROR(IF($D1130="","",INDEX(Übungen!$B$4:$B$23,MATCH($D1130,Übungen!$A$4:$A$23,0))),"")</f>
        <v/>
      </c>
      <c r="D1130" s="56"/>
      <c r="E1130" s="67"/>
      <c r="F1130" s="55"/>
      <c r="G1130" s="68"/>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2" t="str">
        <f aca="false">IFERROR(IF($B1131="","",IF(INDEX(Einheiten!$B$4:$B$63,MATCH($B1131,Einheiten!$A$4:$A$63,0))=0,"",INDEX(Einheiten!$B$4:$B$63,MATCH($B1131,Einheiten!$A$4:$A$63,0)))),"")</f>
        <v/>
      </c>
      <c r="B1131" s="54"/>
      <c r="C1131" s="73" t="str">
        <f aca="false">IFERROR(IF($D1131="","",INDEX(Übungen!$B$4:$B$23,MATCH($D1131,Übungen!$A$4:$A$23,0))),"")</f>
        <v/>
      </c>
      <c r="D1131" s="56"/>
      <c r="E1131" s="67"/>
      <c r="F1131" s="55"/>
      <c r="G1131" s="68"/>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2" t="str">
        <f aca="false">IFERROR(IF($B1132="","",IF(INDEX(Einheiten!$B$4:$B$63,MATCH($B1132,Einheiten!$A$4:$A$63,0))=0,"",INDEX(Einheiten!$B$4:$B$63,MATCH($B1132,Einheiten!$A$4:$A$63,0)))),"")</f>
        <v/>
      </c>
      <c r="B1132" s="54"/>
      <c r="C1132" s="73" t="str">
        <f aca="false">IFERROR(IF($D1132="","",INDEX(Übungen!$B$4:$B$23,MATCH($D1132,Übungen!$A$4:$A$23,0))),"")</f>
        <v/>
      </c>
      <c r="D1132" s="56"/>
      <c r="E1132" s="67"/>
      <c r="F1132" s="55"/>
      <c r="G1132" s="68"/>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2" t="str">
        <f aca="false">IFERROR(IF($B1133="","",IF(INDEX(Einheiten!$B$4:$B$63,MATCH($B1133,Einheiten!$A$4:$A$63,0))=0,"",INDEX(Einheiten!$B$4:$B$63,MATCH($B1133,Einheiten!$A$4:$A$63,0)))),"")</f>
        <v/>
      </c>
      <c r="B1133" s="54"/>
      <c r="C1133" s="73" t="str">
        <f aca="false">IFERROR(IF($D1133="","",INDEX(Übungen!$B$4:$B$23,MATCH($D1133,Übungen!$A$4:$A$23,0))),"")</f>
        <v/>
      </c>
      <c r="D1133" s="56"/>
      <c r="E1133" s="67"/>
      <c r="F1133" s="55"/>
      <c r="G1133" s="68"/>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2" t="str">
        <f aca="false">IFERROR(IF($B1134="","",IF(INDEX(Einheiten!$B$4:$B$63,MATCH($B1134,Einheiten!$A$4:$A$63,0))=0,"",INDEX(Einheiten!$B$4:$B$63,MATCH($B1134,Einheiten!$A$4:$A$63,0)))),"")</f>
        <v/>
      </c>
      <c r="B1134" s="54"/>
      <c r="C1134" s="73" t="str">
        <f aca="false">IFERROR(IF($D1134="","",INDEX(Übungen!$B$4:$B$23,MATCH($D1134,Übungen!$A$4:$A$23,0))),"")</f>
        <v/>
      </c>
      <c r="D1134" s="56"/>
      <c r="E1134" s="67"/>
      <c r="F1134" s="55"/>
      <c r="G1134" s="68"/>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2" t="str">
        <f aca="false">IFERROR(IF($B1135="","",IF(INDEX(Einheiten!$B$4:$B$63,MATCH($B1135,Einheiten!$A$4:$A$63,0))=0,"",INDEX(Einheiten!$B$4:$B$63,MATCH($B1135,Einheiten!$A$4:$A$63,0)))),"")</f>
        <v/>
      </c>
      <c r="B1135" s="54"/>
      <c r="C1135" s="73" t="str">
        <f aca="false">IFERROR(IF($D1135="","",INDEX(Übungen!$B$4:$B$23,MATCH($D1135,Übungen!$A$4:$A$23,0))),"")</f>
        <v/>
      </c>
      <c r="D1135" s="56"/>
      <c r="E1135" s="67"/>
      <c r="F1135" s="55"/>
      <c r="G1135" s="68"/>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2" t="str">
        <f aca="false">IFERROR(IF($B1136="","",IF(INDEX(Einheiten!$B$4:$B$63,MATCH($B1136,Einheiten!$A$4:$A$63,0))=0,"",INDEX(Einheiten!$B$4:$B$63,MATCH($B1136,Einheiten!$A$4:$A$63,0)))),"")</f>
        <v/>
      </c>
      <c r="B1136" s="54"/>
      <c r="C1136" s="73" t="str">
        <f aca="false">IFERROR(IF($D1136="","",INDEX(Übungen!$B$4:$B$23,MATCH($D1136,Übungen!$A$4:$A$23,0))),"")</f>
        <v/>
      </c>
      <c r="D1136" s="56"/>
      <c r="E1136" s="67"/>
      <c r="F1136" s="55"/>
      <c r="G1136" s="68"/>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2" t="str">
        <f aca="false">IFERROR(IF($B1137="","",IF(INDEX(Einheiten!$B$4:$B$63,MATCH($B1137,Einheiten!$A$4:$A$63,0))=0,"",INDEX(Einheiten!$B$4:$B$63,MATCH($B1137,Einheiten!$A$4:$A$63,0)))),"")</f>
        <v/>
      </c>
      <c r="B1137" s="54"/>
      <c r="C1137" s="73" t="str">
        <f aca="false">IFERROR(IF($D1137="","",INDEX(Übungen!$B$4:$B$23,MATCH($D1137,Übungen!$A$4:$A$23,0))),"")</f>
        <v/>
      </c>
      <c r="D1137" s="56"/>
      <c r="E1137" s="67"/>
      <c r="F1137" s="55"/>
      <c r="G1137" s="68"/>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2" t="str">
        <f aca="false">IFERROR(IF($B1138="","",IF(INDEX(Einheiten!$B$4:$B$63,MATCH($B1138,Einheiten!$A$4:$A$63,0))=0,"",INDEX(Einheiten!$B$4:$B$63,MATCH($B1138,Einheiten!$A$4:$A$63,0)))),"")</f>
        <v/>
      </c>
      <c r="B1138" s="54"/>
      <c r="C1138" s="73" t="str">
        <f aca="false">IFERROR(IF($D1138="","",INDEX(Übungen!$B$4:$B$23,MATCH($D1138,Übungen!$A$4:$A$23,0))),"")</f>
        <v/>
      </c>
      <c r="D1138" s="56"/>
      <c r="E1138" s="67"/>
      <c r="F1138" s="55"/>
      <c r="G1138" s="68"/>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2" t="str">
        <f aca="false">IFERROR(IF($B1139="","",IF(INDEX(Einheiten!$B$4:$B$63,MATCH($B1139,Einheiten!$A$4:$A$63,0))=0,"",INDEX(Einheiten!$B$4:$B$63,MATCH($B1139,Einheiten!$A$4:$A$63,0)))),"")</f>
        <v/>
      </c>
      <c r="B1139" s="54"/>
      <c r="C1139" s="73" t="str">
        <f aca="false">IFERROR(IF($D1139="","",INDEX(Übungen!$B$4:$B$23,MATCH($D1139,Übungen!$A$4:$A$23,0))),"")</f>
        <v/>
      </c>
      <c r="D1139" s="56"/>
      <c r="E1139" s="67"/>
      <c r="F1139" s="55"/>
      <c r="G1139" s="68"/>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2" t="str">
        <f aca="false">IFERROR(IF($B1140="","",IF(INDEX(Einheiten!$B$4:$B$63,MATCH($B1140,Einheiten!$A$4:$A$63,0))=0,"",INDEX(Einheiten!$B$4:$B$63,MATCH($B1140,Einheiten!$A$4:$A$63,0)))),"")</f>
        <v/>
      </c>
      <c r="B1140" s="54"/>
      <c r="C1140" s="73" t="str">
        <f aca="false">IFERROR(IF($D1140="","",INDEX(Übungen!$B$4:$B$23,MATCH($D1140,Übungen!$A$4:$A$23,0))),"")</f>
        <v/>
      </c>
      <c r="D1140" s="56"/>
      <c r="E1140" s="67"/>
      <c r="F1140" s="55"/>
      <c r="G1140" s="68"/>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2" t="str">
        <f aca="false">IFERROR(IF($B1141="","",IF(INDEX(Einheiten!$B$4:$B$63,MATCH($B1141,Einheiten!$A$4:$A$63,0))=0,"",INDEX(Einheiten!$B$4:$B$63,MATCH($B1141,Einheiten!$A$4:$A$63,0)))),"")</f>
        <v/>
      </c>
      <c r="B1141" s="54"/>
      <c r="C1141" s="73" t="str">
        <f aca="false">IFERROR(IF($D1141="","",INDEX(Übungen!$B$4:$B$23,MATCH($D1141,Übungen!$A$4:$A$23,0))),"")</f>
        <v/>
      </c>
      <c r="D1141" s="56"/>
      <c r="E1141" s="67"/>
      <c r="F1141" s="55"/>
      <c r="G1141" s="68"/>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2" t="str">
        <f aca="false">IFERROR(IF($B1142="","",IF(INDEX(Einheiten!$B$4:$B$63,MATCH($B1142,Einheiten!$A$4:$A$63,0))=0,"",INDEX(Einheiten!$B$4:$B$63,MATCH($B1142,Einheiten!$A$4:$A$63,0)))),"")</f>
        <v/>
      </c>
      <c r="B1142" s="54"/>
      <c r="C1142" s="73" t="str">
        <f aca="false">IFERROR(IF($D1142="","",INDEX(Übungen!$B$4:$B$23,MATCH($D1142,Übungen!$A$4:$A$23,0))),"")</f>
        <v/>
      </c>
      <c r="D1142" s="56"/>
      <c r="E1142" s="67"/>
      <c r="F1142" s="55"/>
      <c r="G1142" s="68"/>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2" t="str">
        <f aca="false">IFERROR(IF($B1143="","",IF(INDEX(Einheiten!$B$4:$B$63,MATCH($B1143,Einheiten!$A$4:$A$63,0))=0,"",INDEX(Einheiten!$B$4:$B$63,MATCH($B1143,Einheiten!$A$4:$A$63,0)))),"")</f>
        <v/>
      </c>
      <c r="B1143" s="54"/>
      <c r="C1143" s="73" t="str">
        <f aca="false">IFERROR(IF($D1143="","",INDEX(Übungen!$B$4:$B$23,MATCH($D1143,Übungen!$A$4:$A$23,0))),"")</f>
        <v/>
      </c>
      <c r="D1143" s="56"/>
      <c r="E1143" s="67"/>
      <c r="F1143" s="55"/>
      <c r="G1143" s="68"/>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2" t="str">
        <f aca="false">IFERROR(IF($B1144="","",IF(INDEX(Einheiten!$B$4:$B$63,MATCH($B1144,Einheiten!$A$4:$A$63,0))=0,"",INDEX(Einheiten!$B$4:$B$63,MATCH($B1144,Einheiten!$A$4:$A$63,0)))),"")</f>
        <v/>
      </c>
      <c r="B1144" s="54"/>
      <c r="C1144" s="73" t="str">
        <f aca="false">IFERROR(IF($D1144="","",INDEX(Übungen!$B$4:$B$23,MATCH($D1144,Übungen!$A$4:$A$23,0))),"")</f>
        <v/>
      </c>
      <c r="D1144" s="56"/>
      <c r="E1144" s="67"/>
      <c r="F1144" s="55"/>
      <c r="G1144" s="68"/>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2" t="str">
        <f aca="false">IFERROR(IF($B1145="","",IF(INDEX(Einheiten!$B$4:$B$63,MATCH($B1145,Einheiten!$A$4:$A$63,0))=0,"",INDEX(Einheiten!$B$4:$B$63,MATCH($B1145,Einheiten!$A$4:$A$63,0)))),"")</f>
        <v/>
      </c>
      <c r="B1145" s="54"/>
      <c r="C1145" s="73" t="str">
        <f aca="false">IFERROR(IF($D1145="","",INDEX(Übungen!$B$4:$B$23,MATCH($D1145,Übungen!$A$4:$A$23,0))),"")</f>
        <v/>
      </c>
      <c r="D1145" s="56"/>
      <c r="E1145" s="67"/>
      <c r="F1145" s="55"/>
      <c r="G1145" s="68"/>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2" t="str">
        <f aca="false">IFERROR(IF($B1146="","",IF(INDEX(Einheiten!$B$4:$B$63,MATCH($B1146,Einheiten!$A$4:$A$63,0))=0,"",INDEX(Einheiten!$B$4:$B$63,MATCH($B1146,Einheiten!$A$4:$A$63,0)))),"")</f>
        <v/>
      </c>
      <c r="B1146" s="54"/>
      <c r="C1146" s="73" t="str">
        <f aca="false">IFERROR(IF($D1146="","",INDEX(Übungen!$B$4:$B$23,MATCH($D1146,Übungen!$A$4:$A$23,0))),"")</f>
        <v/>
      </c>
      <c r="D1146" s="56"/>
      <c r="E1146" s="67"/>
      <c r="F1146" s="55"/>
      <c r="G1146" s="68"/>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2" t="str">
        <f aca="false">IFERROR(IF($B1147="","",IF(INDEX(Einheiten!$B$4:$B$63,MATCH($B1147,Einheiten!$A$4:$A$63,0))=0,"",INDEX(Einheiten!$B$4:$B$63,MATCH($B1147,Einheiten!$A$4:$A$63,0)))),"")</f>
        <v/>
      </c>
      <c r="B1147" s="54"/>
      <c r="C1147" s="73" t="str">
        <f aca="false">IFERROR(IF($D1147="","",INDEX(Übungen!$B$4:$B$23,MATCH($D1147,Übungen!$A$4:$A$23,0))),"")</f>
        <v/>
      </c>
      <c r="D1147" s="56"/>
      <c r="E1147" s="67"/>
      <c r="F1147" s="55"/>
      <c r="G1147" s="68"/>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2" t="str">
        <f aca="false">IFERROR(IF($B1148="","",IF(INDEX(Einheiten!$B$4:$B$63,MATCH($B1148,Einheiten!$A$4:$A$63,0))=0,"",INDEX(Einheiten!$B$4:$B$63,MATCH($B1148,Einheiten!$A$4:$A$63,0)))),"")</f>
        <v/>
      </c>
      <c r="B1148" s="54"/>
      <c r="C1148" s="73" t="str">
        <f aca="false">IFERROR(IF($D1148="","",INDEX(Übungen!$B$4:$B$23,MATCH($D1148,Übungen!$A$4:$A$23,0))),"")</f>
        <v/>
      </c>
      <c r="D1148" s="56"/>
      <c r="E1148" s="67"/>
      <c r="F1148" s="55"/>
      <c r="G1148" s="68"/>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2" t="str">
        <f aca="false">IFERROR(IF($B1149="","",IF(INDEX(Einheiten!$B$4:$B$63,MATCH($B1149,Einheiten!$A$4:$A$63,0))=0,"",INDEX(Einheiten!$B$4:$B$63,MATCH($B1149,Einheiten!$A$4:$A$63,0)))),"")</f>
        <v/>
      </c>
      <c r="B1149" s="54"/>
      <c r="C1149" s="73" t="str">
        <f aca="false">IFERROR(IF($D1149="","",INDEX(Übungen!$B$4:$B$23,MATCH($D1149,Übungen!$A$4:$A$23,0))),"")</f>
        <v/>
      </c>
      <c r="D1149" s="56"/>
      <c r="E1149" s="67"/>
      <c r="F1149" s="55"/>
      <c r="G1149" s="68"/>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2" t="str">
        <f aca="false">IFERROR(IF($B1150="","",IF(INDEX(Einheiten!$B$4:$B$63,MATCH($B1150,Einheiten!$A$4:$A$63,0))=0,"",INDEX(Einheiten!$B$4:$B$63,MATCH($B1150,Einheiten!$A$4:$A$63,0)))),"")</f>
        <v/>
      </c>
      <c r="B1150" s="54"/>
      <c r="C1150" s="73" t="str">
        <f aca="false">IFERROR(IF($D1150="","",INDEX(Übungen!$B$4:$B$23,MATCH($D1150,Übungen!$A$4:$A$23,0))),"")</f>
        <v/>
      </c>
      <c r="D1150" s="56"/>
      <c r="E1150" s="67"/>
      <c r="F1150" s="55"/>
      <c r="G1150" s="68"/>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2" t="str">
        <f aca="false">IFERROR(IF($B1151="","",IF(INDEX(Einheiten!$B$4:$B$63,MATCH($B1151,Einheiten!$A$4:$A$63,0))=0,"",INDEX(Einheiten!$B$4:$B$63,MATCH($B1151,Einheiten!$A$4:$A$63,0)))),"")</f>
        <v/>
      </c>
      <c r="B1151" s="54"/>
      <c r="C1151" s="73" t="str">
        <f aca="false">IFERROR(IF($D1151="","",INDEX(Übungen!$B$4:$B$23,MATCH($D1151,Übungen!$A$4:$A$23,0))),"")</f>
        <v/>
      </c>
      <c r="D1151" s="56"/>
      <c r="E1151" s="67"/>
      <c r="F1151" s="55"/>
      <c r="G1151" s="68"/>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2" t="str">
        <f aca="false">IFERROR(IF($B1152="","",IF(INDEX(Einheiten!$B$4:$B$63,MATCH($B1152,Einheiten!$A$4:$A$63,0))=0,"",INDEX(Einheiten!$B$4:$B$63,MATCH($B1152,Einheiten!$A$4:$A$63,0)))),"")</f>
        <v/>
      </c>
      <c r="B1152" s="54"/>
      <c r="C1152" s="73" t="str">
        <f aca="false">IFERROR(IF($D1152="","",INDEX(Übungen!$B$4:$B$23,MATCH($D1152,Übungen!$A$4:$A$23,0))),"")</f>
        <v/>
      </c>
      <c r="D1152" s="56"/>
      <c r="E1152" s="67"/>
      <c r="F1152" s="55"/>
      <c r="G1152" s="68"/>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2" t="str">
        <f aca="false">IFERROR(IF($B1153="","",IF(INDEX(Einheiten!$B$4:$B$63,MATCH($B1153,Einheiten!$A$4:$A$63,0))=0,"",INDEX(Einheiten!$B$4:$B$63,MATCH($B1153,Einheiten!$A$4:$A$63,0)))),"")</f>
        <v/>
      </c>
      <c r="B1153" s="54"/>
      <c r="C1153" s="73" t="str">
        <f aca="false">IFERROR(IF($D1153="","",INDEX(Übungen!$B$4:$B$23,MATCH($D1153,Übungen!$A$4:$A$23,0))),"")</f>
        <v/>
      </c>
      <c r="D1153" s="56"/>
      <c r="E1153" s="67"/>
      <c r="F1153" s="55"/>
      <c r="G1153" s="68"/>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2" t="str">
        <f aca="false">IFERROR(IF($B1154="","",IF(INDEX(Einheiten!$B$4:$B$63,MATCH($B1154,Einheiten!$A$4:$A$63,0))=0,"",INDEX(Einheiten!$B$4:$B$63,MATCH($B1154,Einheiten!$A$4:$A$63,0)))),"")</f>
        <v/>
      </c>
      <c r="B1154" s="54"/>
      <c r="C1154" s="73" t="str">
        <f aca="false">IFERROR(IF($D1154="","",INDEX(Übungen!$B$4:$B$23,MATCH($D1154,Übungen!$A$4:$A$23,0))),"")</f>
        <v/>
      </c>
      <c r="D1154" s="56"/>
      <c r="E1154" s="67"/>
      <c r="F1154" s="55"/>
      <c r="G1154" s="68"/>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2" t="str">
        <f aca="false">IFERROR(IF($B1155="","",IF(INDEX(Einheiten!$B$4:$B$63,MATCH($B1155,Einheiten!$A$4:$A$63,0))=0,"",INDEX(Einheiten!$B$4:$B$63,MATCH($B1155,Einheiten!$A$4:$A$63,0)))),"")</f>
        <v/>
      </c>
      <c r="B1155" s="54"/>
      <c r="C1155" s="73" t="str">
        <f aca="false">IFERROR(IF($D1155="","",INDEX(Übungen!$B$4:$B$23,MATCH($D1155,Übungen!$A$4:$A$23,0))),"")</f>
        <v/>
      </c>
      <c r="D1155" s="56"/>
      <c r="E1155" s="67"/>
      <c r="F1155" s="55"/>
      <c r="G1155" s="68"/>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2" t="str">
        <f aca="false">IFERROR(IF($B1156="","",IF(INDEX(Einheiten!$B$4:$B$63,MATCH($B1156,Einheiten!$A$4:$A$63,0))=0,"",INDEX(Einheiten!$B$4:$B$63,MATCH($B1156,Einheiten!$A$4:$A$63,0)))),"")</f>
        <v/>
      </c>
      <c r="B1156" s="54"/>
      <c r="C1156" s="73" t="str">
        <f aca="false">IFERROR(IF($D1156="","",INDEX(Übungen!$B$4:$B$23,MATCH($D1156,Übungen!$A$4:$A$23,0))),"")</f>
        <v/>
      </c>
      <c r="D1156" s="56"/>
      <c r="E1156" s="67"/>
      <c r="F1156" s="55"/>
      <c r="G1156" s="68"/>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2" t="str">
        <f aca="false">IFERROR(IF($B1157="","",IF(INDEX(Einheiten!$B$4:$B$63,MATCH($B1157,Einheiten!$A$4:$A$63,0))=0,"",INDEX(Einheiten!$B$4:$B$63,MATCH($B1157,Einheiten!$A$4:$A$63,0)))),"")</f>
        <v/>
      </c>
      <c r="B1157" s="54"/>
      <c r="C1157" s="73" t="str">
        <f aca="false">IFERROR(IF($D1157="","",INDEX(Übungen!$B$4:$B$23,MATCH($D1157,Übungen!$A$4:$A$23,0))),"")</f>
        <v/>
      </c>
      <c r="D1157" s="56"/>
      <c r="E1157" s="67"/>
      <c r="F1157" s="55"/>
      <c r="G1157" s="68"/>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2" t="str">
        <f aca="false">IFERROR(IF($B1158="","",IF(INDEX(Einheiten!$B$4:$B$63,MATCH($B1158,Einheiten!$A$4:$A$63,0))=0,"",INDEX(Einheiten!$B$4:$B$63,MATCH($B1158,Einheiten!$A$4:$A$63,0)))),"")</f>
        <v/>
      </c>
      <c r="B1158" s="54"/>
      <c r="C1158" s="73" t="str">
        <f aca="false">IFERROR(IF($D1158="","",INDEX(Übungen!$B$4:$B$23,MATCH($D1158,Übungen!$A$4:$A$23,0))),"")</f>
        <v/>
      </c>
      <c r="D1158" s="56"/>
      <c r="E1158" s="67"/>
      <c r="F1158" s="55"/>
      <c r="G1158" s="68"/>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2" t="str">
        <f aca="false">IFERROR(IF($B1159="","",IF(INDEX(Einheiten!$B$4:$B$63,MATCH($B1159,Einheiten!$A$4:$A$63,0))=0,"",INDEX(Einheiten!$B$4:$B$63,MATCH($B1159,Einheiten!$A$4:$A$63,0)))),"")</f>
        <v/>
      </c>
      <c r="B1159" s="54"/>
      <c r="C1159" s="73" t="str">
        <f aca="false">IFERROR(IF($D1159="","",INDEX(Übungen!$B$4:$B$23,MATCH($D1159,Übungen!$A$4:$A$23,0))),"")</f>
        <v/>
      </c>
      <c r="D1159" s="56"/>
      <c r="E1159" s="67"/>
      <c r="F1159" s="55"/>
      <c r="G1159" s="68"/>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2" t="str">
        <f aca="false">IFERROR(IF($B1160="","",IF(INDEX(Einheiten!$B$4:$B$63,MATCH($B1160,Einheiten!$A$4:$A$63,0))=0,"",INDEX(Einheiten!$B$4:$B$63,MATCH($B1160,Einheiten!$A$4:$A$63,0)))),"")</f>
        <v/>
      </c>
      <c r="B1160" s="54"/>
      <c r="C1160" s="73" t="str">
        <f aca="false">IFERROR(IF($D1160="","",INDEX(Übungen!$B$4:$B$23,MATCH($D1160,Übungen!$A$4:$A$23,0))),"")</f>
        <v/>
      </c>
      <c r="D1160" s="56"/>
      <c r="E1160" s="67"/>
      <c r="F1160" s="55"/>
      <c r="G1160" s="68"/>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2" t="str">
        <f aca="false">IFERROR(IF($B1161="","",IF(INDEX(Einheiten!$B$4:$B$63,MATCH($B1161,Einheiten!$A$4:$A$63,0))=0,"",INDEX(Einheiten!$B$4:$B$63,MATCH($B1161,Einheiten!$A$4:$A$63,0)))),"")</f>
        <v/>
      </c>
      <c r="B1161" s="54"/>
      <c r="C1161" s="73" t="str">
        <f aca="false">IFERROR(IF($D1161="","",INDEX(Übungen!$B$4:$B$23,MATCH($D1161,Übungen!$A$4:$A$23,0))),"")</f>
        <v/>
      </c>
      <c r="D1161" s="56"/>
      <c r="E1161" s="67"/>
      <c r="F1161" s="55"/>
      <c r="G1161" s="68"/>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2" t="str">
        <f aca="false">IFERROR(IF($B1162="","",IF(INDEX(Einheiten!$B$4:$B$63,MATCH($B1162,Einheiten!$A$4:$A$63,0))=0,"",INDEX(Einheiten!$B$4:$B$63,MATCH($B1162,Einheiten!$A$4:$A$63,0)))),"")</f>
        <v/>
      </c>
      <c r="B1162" s="54"/>
      <c r="C1162" s="73" t="str">
        <f aca="false">IFERROR(IF($D1162="","",INDEX(Übungen!$B$4:$B$23,MATCH($D1162,Übungen!$A$4:$A$23,0))),"")</f>
        <v/>
      </c>
      <c r="D1162" s="56"/>
      <c r="E1162" s="67"/>
      <c r="F1162" s="55"/>
      <c r="G1162" s="68"/>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2" t="str">
        <f aca="false">IFERROR(IF($B1163="","",IF(INDEX(Einheiten!$B$4:$B$63,MATCH($B1163,Einheiten!$A$4:$A$63,0))=0,"",INDEX(Einheiten!$B$4:$B$63,MATCH($B1163,Einheiten!$A$4:$A$63,0)))),"")</f>
        <v/>
      </c>
      <c r="B1163" s="54"/>
      <c r="C1163" s="73" t="str">
        <f aca="false">IFERROR(IF($D1163="","",INDEX(Übungen!$B$4:$B$23,MATCH($D1163,Übungen!$A$4:$A$23,0))),"")</f>
        <v/>
      </c>
      <c r="D1163" s="56"/>
      <c r="E1163" s="67"/>
      <c r="F1163" s="55"/>
      <c r="G1163" s="68"/>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2" t="str">
        <f aca="false">IFERROR(IF($B1164="","",IF(INDEX(Einheiten!$B$4:$B$63,MATCH($B1164,Einheiten!$A$4:$A$63,0))=0,"",INDEX(Einheiten!$B$4:$B$63,MATCH($B1164,Einheiten!$A$4:$A$63,0)))),"")</f>
        <v/>
      </c>
      <c r="B1164" s="54"/>
      <c r="C1164" s="73" t="str">
        <f aca="false">IFERROR(IF($D1164="","",INDEX(Übungen!$B$4:$B$23,MATCH($D1164,Übungen!$A$4:$A$23,0))),"")</f>
        <v/>
      </c>
      <c r="D1164" s="56"/>
      <c r="E1164" s="67"/>
      <c r="F1164" s="55"/>
      <c r="G1164" s="68"/>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2" t="str">
        <f aca="false">IFERROR(IF($B1165="","",IF(INDEX(Einheiten!$B$4:$B$63,MATCH($B1165,Einheiten!$A$4:$A$63,0))=0,"",INDEX(Einheiten!$B$4:$B$63,MATCH($B1165,Einheiten!$A$4:$A$63,0)))),"")</f>
        <v/>
      </c>
      <c r="B1165" s="54"/>
      <c r="C1165" s="73" t="str">
        <f aca="false">IFERROR(IF($D1165="","",INDEX(Übungen!$B$4:$B$23,MATCH($D1165,Übungen!$A$4:$A$23,0))),"")</f>
        <v/>
      </c>
      <c r="D1165" s="56"/>
      <c r="E1165" s="67"/>
      <c r="F1165" s="55"/>
      <c r="G1165" s="68"/>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2" t="str">
        <f aca="false">IFERROR(IF($B1166="","",IF(INDEX(Einheiten!$B$4:$B$63,MATCH($B1166,Einheiten!$A$4:$A$63,0))=0,"",INDEX(Einheiten!$B$4:$B$63,MATCH($B1166,Einheiten!$A$4:$A$63,0)))),"")</f>
        <v/>
      </c>
      <c r="B1166" s="54"/>
      <c r="C1166" s="73" t="str">
        <f aca="false">IFERROR(IF($D1166="","",INDEX(Übungen!$B$4:$B$23,MATCH($D1166,Übungen!$A$4:$A$23,0))),"")</f>
        <v/>
      </c>
      <c r="D1166" s="56"/>
      <c r="E1166" s="67"/>
      <c r="F1166" s="55"/>
      <c r="G1166" s="68"/>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2" t="str">
        <f aca="false">IFERROR(IF($B1167="","",IF(INDEX(Einheiten!$B$4:$B$63,MATCH($B1167,Einheiten!$A$4:$A$63,0))=0,"",INDEX(Einheiten!$B$4:$B$63,MATCH($B1167,Einheiten!$A$4:$A$63,0)))),"")</f>
        <v/>
      </c>
      <c r="B1167" s="54"/>
      <c r="C1167" s="73" t="str">
        <f aca="false">IFERROR(IF($D1167="","",INDEX(Übungen!$B$4:$B$23,MATCH($D1167,Übungen!$A$4:$A$23,0))),"")</f>
        <v/>
      </c>
      <c r="D1167" s="56"/>
      <c r="E1167" s="67"/>
      <c r="F1167" s="55"/>
      <c r="G1167" s="68"/>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2" t="str">
        <f aca="false">IFERROR(IF($B1168="","",IF(INDEX(Einheiten!$B$4:$B$63,MATCH($B1168,Einheiten!$A$4:$A$63,0))=0,"",INDEX(Einheiten!$B$4:$B$63,MATCH($B1168,Einheiten!$A$4:$A$63,0)))),"")</f>
        <v/>
      </c>
      <c r="B1168" s="54"/>
      <c r="C1168" s="73" t="str">
        <f aca="false">IFERROR(IF($D1168="","",INDEX(Übungen!$B$4:$B$23,MATCH($D1168,Übungen!$A$4:$A$23,0))),"")</f>
        <v/>
      </c>
      <c r="D1168" s="56"/>
      <c r="E1168" s="67"/>
      <c r="F1168" s="55"/>
      <c r="G1168" s="68"/>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2" t="str">
        <f aca="false">IFERROR(IF($B1169="","",IF(INDEX(Einheiten!$B$4:$B$63,MATCH($B1169,Einheiten!$A$4:$A$63,0))=0,"",INDEX(Einheiten!$B$4:$B$63,MATCH($B1169,Einheiten!$A$4:$A$63,0)))),"")</f>
        <v/>
      </c>
      <c r="B1169" s="54"/>
      <c r="C1169" s="73" t="str">
        <f aca="false">IFERROR(IF($D1169="","",INDEX(Übungen!$B$4:$B$23,MATCH($D1169,Übungen!$A$4:$A$23,0))),"")</f>
        <v/>
      </c>
      <c r="D1169" s="56"/>
      <c r="E1169" s="67"/>
      <c r="F1169" s="55"/>
      <c r="G1169" s="68"/>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2" t="str">
        <f aca="false">IFERROR(IF($B1170="","",IF(INDEX(Einheiten!$B$4:$B$63,MATCH($B1170,Einheiten!$A$4:$A$63,0))=0,"",INDEX(Einheiten!$B$4:$B$63,MATCH($B1170,Einheiten!$A$4:$A$63,0)))),"")</f>
        <v/>
      </c>
      <c r="B1170" s="54"/>
      <c r="C1170" s="73" t="str">
        <f aca="false">IFERROR(IF($D1170="","",INDEX(Übungen!$B$4:$B$23,MATCH($D1170,Übungen!$A$4:$A$23,0))),"")</f>
        <v/>
      </c>
      <c r="D1170" s="56"/>
      <c r="E1170" s="67"/>
      <c r="F1170" s="55"/>
      <c r="G1170" s="68"/>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2" t="str">
        <f aca="false">IFERROR(IF($B1171="","",IF(INDEX(Einheiten!$B$4:$B$63,MATCH($B1171,Einheiten!$A$4:$A$63,0))=0,"",INDEX(Einheiten!$B$4:$B$63,MATCH($B1171,Einheiten!$A$4:$A$63,0)))),"")</f>
        <v/>
      </c>
      <c r="B1171" s="54"/>
      <c r="C1171" s="73" t="str">
        <f aca="false">IFERROR(IF($D1171="","",INDEX(Übungen!$B$4:$B$23,MATCH($D1171,Übungen!$A$4:$A$23,0))),"")</f>
        <v/>
      </c>
      <c r="D1171" s="56"/>
      <c r="E1171" s="67"/>
      <c r="F1171" s="55"/>
      <c r="G1171" s="68"/>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2" t="str">
        <f aca="false">IFERROR(IF($B1172="","",IF(INDEX(Einheiten!$B$4:$B$63,MATCH($B1172,Einheiten!$A$4:$A$63,0))=0,"",INDEX(Einheiten!$B$4:$B$63,MATCH($B1172,Einheiten!$A$4:$A$63,0)))),"")</f>
        <v/>
      </c>
      <c r="B1172" s="54"/>
      <c r="C1172" s="73" t="str">
        <f aca="false">IFERROR(IF($D1172="","",INDEX(Übungen!$B$4:$B$23,MATCH($D1172,Übungen!$A$4:$A$23,0))),"")</f>
        <v/>
      </c>
      <c r="D1172" s="56"/>
      <c r="E1172" s="67"/>
      <c r="F1172" s="55"/>
      <c r="G1172" s="68"/>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2" t="str">
        <f aca="false">IFERROR(IF($B1173="","",IF(INDEX(Einheiten!$B$4:$B$63,MATCH($B1173,Einheiten!$A$4:$A$63,0))=0,"",INDEX(Einheiten!$B$4:$B$63,MATCH($B1173,Einheiten!$A$4:$A$63,0)))),"")</f>
        <v/>
      </c>
      <c r="B1173" s="54"/>
      <c r="C1173" s="73" t="str">
        <f aca="false">IFERROR(IF($D1173="","",INDEX(Übungen!$B$4:$B$23,MATCH($D1173,Übungen!$A$4:$A$23,0))),"")</f>
        <v/>
      </c>
      <c r="D1173" s="56"/>
      <c r="E1173" s="67"/>
      <c r="F1173" s="55"/>
      <c r="G1173" s="68"/>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2" t="str">
        <f aca="false">IFERROR(IF($B1174="","",IF(INDEX(Einheiten!$B$4:$B$63,MATCH($B1174,Einheiten!$A$4:$A$63,0))=0,"",INDEX(Einheiten!$B$4:$B$63,MATCH($B1174,Einheiten!$A$4:$A$63,0)))),"")</f>
        <v/>
      </c>
      <c r="B1174" s="54"/>
      <c r="C1174" s="73" t="str">
        <f aca="false">IFERROR(IF($D1174="","",INDEX(Übungen!$B$4:$B$23,MATCH($D1174,Übungen!$A$4:$A$23,0))),"")</f>
        <v/>
      </c>
      <c r="D1174" s="56"/>
      <c r="E1174" s="67"/>
      <c r="F1174" s="55"/>
      <c r="G1174" s="68"/>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2" t="str">
        <f aca="false">IFERROR(IF($B1175="","",IF(INDEX(Einheiten!$B$4:$B$63,MATCH($B1175,Einheiten!$A$4:$A$63,0))=0,"",INDEX(Einheiten!$B$4:$B$63,MATCH($B1175,Einheiten!$A$4:$A$63,0)))),"")</f>
        <v/>
      </c>
      <c r="B1175" s="54"/>
      <c r="C1175" s="73" t="str">
        <f aca="false">IFERROR(IF($D1175="","",INDEX(Übungen!$B$4:$B$23,MATCH($D1175,Übungen!$A$4:$A$23,0))),"")</f>
        <v/>
      </c>
      <c r="D1175" s="56"/>
      <c r="E1175" s="67"/>
      <c r="F1175" s="55"/>
      <c r="G1175" s="68"/>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2" t="str">
        <f aca="false">IFERROR(IF($B1176="","",IF(INDEX(Einheiten!$B$4:$B$63,MATCH($B1176,Einheiten!$A$4:$A$63,0))=0,"",INDEX(Einheiten!$B$4:$B$63,MATCH($B1176,Einheiten!$A$4:$A$63,0)))),"")</f>
        <v/>
      </c>
      <c r="B1176" s="54"/>
      <c r="C1176" s="73" t="str">
        <f aca="false">IFERROR(IF($D1176="","",INDEX(Übungen!$B$4:$B$23,MATCH($D1176,Übungen!$A$4:$A$23,0))),"")</f>
        <v/>
      </c>
      <c r="D1176" s="56"/>
      <c r="E1176" s="67"/>
      <c r="F1176" s="55"/>
      <c r="G1176" s="68"/>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2" t="str">
        <f aca="false">IFERROR(IF($B1177="","",IF(INDEX(Einheiten!$B$4:$B$63,MATCH($B1177,Einheiten!$A$4:$A$63,0))=0,"",INDEX(Einheiten!$B$4:$B$63,MATCH($B1177,Einheiten!$A$4:$A$63,0)))),"")</f>
        <v/>
      </c>
      <c r="B1177" s="54"/>
      <c r="C1177" s="73" t="str">
        <f aca="false">IFERROR(IF($D1177="","",INDEX(Übungen!$B$4:$B$23,MATCH($D1177,Übungen!$A$4:$A$23,0))),"")</f>
        <v/>
      </c>
      <c r="D1177" s="56"/>
      <c r="E1177" s="67"/>
      <c r="F1177" s="55"/>
      <c r="G1177" s="68"/>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2" t="str">
        <f aca="false">IFERROR(IF($B1178="","",IF(INDEX(Einheiten!$B$4:$B$63,MATCH($B1178,Einheiten!$A$4:$A$63,0))=0,"",INDEX(Einheiten!$B$4:$B$63,MATCH($B1178,Einheiten!$A$4:$A$63,0)))),"")</f>
        <v/>
      </c>
      <c r="B1178" s="54"/>
      <c r="C1178" s="73" t="str">
        <f aca="false">IFERROR(IF($D1178="","",INDEX(Übungen!$B$4:$B$23,MATCH($D1178,Übungen!$A$4:$A$23,0))),"")</f>
        <v/>
      </c>
      <c r="D1178" s="56"/>
      <c r="E1178" s="67"/>
      <c r="F1178" s="55"/>
      <c r="G1178" s="68"/>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2" t="str">
        <f aca="false">IFERROR(IF($B1179="","",IF(INDEX(Einheiten!$B$4:$B$63,MATCH($B1179,Einheiten!$A$4:$A$63,0))=0,"",INDEX(Einheiten!$B$4:$B$63,MATCH($B1179,Einheiten!$A$4:$A$63,0)))),"")</f>
        <v/>
      </c>
      <c r="B1179" s="54"/>
      <c r="C1179" s="73" t="str">
        <f aca="false">IFERROR(IF($D1179="","",INDEX(Übungen!$B$4:$B$23,MATCH($D1179,Übungen!$A$4:$A$23,0))),"")</f>
        <v/>
      </c>
      <c r="D1179" s="56"/>
      <c r="E1179" s="67"/>
      <c r="F1179" s="55"/>
      <c r="G1179" s="68"/>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2" t="str">
        <f aca="false">IFERROR(IF($B1180="","",IF(INDEX(Einheiten!$B$4:$B$63,MATCH($B1180,Einheiten!$A$4:$A$63,0))=0,"",INDEX(Einheiten!$B$4:$B$63,MATCH($B1180,Einheiten!$A$4:$A$63,0)))),"")</f>
        <v/>
      </c>
      <c r="B1180" s="54"/>
      <c r="C1180" s="73" t="str">
        <f aca="false">IFERROR(IF($D1180="","",INDEX(Übungen!$B$4:$B$23,MATCH($D1180,Übungen!$A$4:$A$23,0))),"")</f>
        <v/>
      </c>
      <c r="D1180" s="56"/>
      <c r="E1180" s="67"/>
      <c r="F1180" s="55"/>
      <c r="G1180" s="68"/>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2" t="str">
        <f aca="false">IFERROR(IF($B1181="","",IF(INDEX(Einheiten!$B$4:$B$63,MATCH($B1181,Einheiten!$A$4:$A$63,0))=0,"",INDEX(Einheiten!$B$4:$B$63,MATCH($B1181,Einheiten!$A$4:$A$63,0)))),"")</f>
        <v/>
      </c>
      <c r="B1181" s="54"/>
      <c r="C1181" s="73" t="str">
        <f aca="false">IFERROR(IF($D1181="","",INDEX(Übungen!$B$4:$B$23,MATCH($D1181,Übungen!$A$4:$A$23,0))),"")</f>
        <v/>
      </c>
      <c r="D1181" s="56"/>
      <c r="E1181" s="67"/>
      <c r="F1181" s="55"/>
      <c r="G1181" s="68"/>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2" t="str">
        <f aca="false">IFERROR(IF($B1182="","",IF(INDEX(Einheiten!$B$4:$B$63,MATCH($B1182,Einheiten!$A$4:$A$63,0))=0,"",INDEX(Einheiten!$B$4:$B$63,MATCH($B1182,Einheiten!$A$4:$A$63,0)))),"")</f>
        <v/>
      </c>
      <c r="B1182" s="54"/>
      <c r="C1182" s="73" t="str">
        <f aca="false">IFERROR(IF($D1182="","",INDEX(Übungen!$B$4:$B$23,MATCH($D1182,Übungen!$A$4:$A$23,0))),"")</f>
        <v/>
      </c>
      <c r="D1182" s="56"/>
      <c r="E1182" s="67"/>
      <c r="F1182" s="55"/>
      <c r="G1182" s="68"/>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2" t="str">
        <f aca="false">IFERROR(IF($B1183="","",IF(INDEX(Einheiten!$B$4:$B$63,MATCH($B1183,Einheiten!$A$4:$A$63,0))=0,"",INDEX(Einheiten!$B$4:$B$63,MATCH($B1183,Einheiten!$A$4:$A$63,0)))),"")</f>
        <v/>
      </c>
      <c r="B1183" s="54"/>
      <c r="C1183" s="73" t="str">
        <f aca="false">IFERROR(IF($D1183="","",INDEX(Übungen!$B$4:$B$23,MATCH($D1183,Übungen!$A$4:$A$23,0))),"")</f>
        <v/>
      </c>
      <c r="D1183" s="56"/>
      <c r="E1183" s="67"/>
      <c r="F1183" s="55"/>
      <c r="G1183" s="68"/>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2" t="str">
        <f aca="false">IFERROR(IF($B1184="","",IF(INDEX(Einheiten!$B$4:$B$63,MATCH($B1184,Einheiten!$A$4:$A$63,0))=0,"",INDEX(Einheiten!$B$4:$B$63,MATCH($B1184,Einheiten!$A$4:$A$63,0)))),"")</f>
        <v/>
      </c>
      <c r="B1184" s="54"/>
      <c r="C1184" s="73" t="str">
        <f aca="false">IFERROR(IF($D1184="","",INDEX(Übungen!$B$4:$B$23,MATCH($D1184,Übungen!$A$4:$A$23,0))),"")</f>
        <v/>
      </c>
      <c r="D1184" s="56"/>
      <c r="E1184" s="67"/>
      <c r="F1184" s="55"/>
      <c r="G1184" s="68"/>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2" t="str">
        <f aca="false">IFERROR(IF($B1185="","",IF(INDEX(Einheiten!$B$4:$B$63,MATCH($B1185,Einheiten!$A$4:$A$63,0))=0,"",INDEX(Einheiten!$B$4:$B$63,MATCH($B1185,Einheiten!$A$4:$A$63,0)))),"")</f>
        <v/>
      </c>
      <c r="B1185" s="54"/>
      <c r="C1185" s="73" t="str">
        <f aca="false">IFERROR(IF($D1185="","",INDEX(Übungen!$B$4:$B$23,MATCH($D1185,Übungen!$A$4:$A$23,0))),"")</f>
        <v/>
      </c>
      <c r="D1185" s="56"/>
      <c r="E1185" s="67"/>
      <c r="F1185" s="55"/>
      <c r="G1185" s="68"/>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2" t="str">
        <f aca="false">IFERROR(IF($B1186="","",IF(INDEX(Einheiten!$B$4:$B$63,MATCH($B1186,Einheiten!$A$4:$A$63,0))=0,"",INDEX(Einheiten!$B$4:$B$63,MATCH($B1186,Einheiten!$A$4:$A$63,0)))),"")</f>
        <v/>
      </c>
      <c r="B1186" s="54"/>
      <c r="C1186" s="73" t="str">
        <f aca="false">IFERROR(IF($D1186="","",INDEX(Übungen!$B$4:$B$23,MATCH($D1186,Übungen!$A$4:$A$23,0))),"")</f>
        <v/>
      </c>
      <c r="D1186" s="56"/>
      <c r="E1186" s="67"/>
      <c r="F1186" s="55"/>
      <c r="G1186" s="68"/>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2" t="str">
        <f aca="false">IFERROR(IF($B1187="","",IF(INDEX(Einheiten!$B$4:$B$63,MATCH($B1187,Einheiten!$A$4:$A$63,0))=0,"",INDEX(Einheiten!$B$4:$B$63,MATCH($B1187,Einheiten!$A$4:$A$63,0)))),"")</f>
        <v/>
      </c>
      <c r="B1187" s="54"/>
      <c r="C1187" s="73" t="str">
        <f aca="false">IFERROR(IF($D1187="","",INDEX(Übungen!$B$4:$B$23,MATCH($D1187,Übungen!$A$4:$A$23,0))),"")</f>
        <v/>
      </c>
      <c r="D1187" s="56"/>
      <c r="E1187" s="67"/>
      <c r="F1187" s="55"/>
      <c r="G1187" s="68"/>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2" t="str">
        <f aca="false">IFERROR(IF($B1188="","",IF(INDEX(Einheiten!$B$4:$B$63,MATCH($B1188,Einheiten!$A$4:$A$63,0))=0,"",INDEX(Einheiten!$B$4:$B$63,MATCH($B1188,Einheiten!$A$4:$A$63,0)))),"")</f>
        <v/>
      </c>
      <c r="B1188" s="54"/>
      <c r="C1188" s="73" t="str">
        <f aca="false">IFERROR(IF($D1188="","",INDEX(Übungen!$B$4:$B$23,MATCH($D1188,Übungen!$A$4:$A$23,0))),"")</f>
        <v/>
      </c>
      <c r="D1188" s="56"/>
      <c r="E1188" s="67"/>
      <c r="F1188" s="55"/>
      <c r="G1188" s="68"/>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2" t="str">
        <f aca="false">IFERROR(IF($B1189="","",IF(INDEX(Einheiten!$B$4:$B$63,MATCH($B1189,Einheiten!$A$4:$A$63,0))=0,"",INDEX(Einheiten!$B$4:$B$63,MATCH($B1189,Einheiten!$A$4:$A$63,0)))),"")</f>
        <v/>
      </c>
      <c r="B1189" s="54"/>
      <c r="C1189" s="73" t="str">
        <f aca="false">IFERROR(IF($D1189="","",INDEX(Übungen!$B$4:$B$23,MATCH($D1189,Übungen!$A$4:$A$23,0))),"")</f>
        <v/>
      </c>
      <c r="D1189" s="56"/>
      <c r="E1189" s="67"/>
      <c r="F1189" s="55"/>
      <c r="G1189" s="68"/>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2" t="str">
        <f aca="false">IFERROR(IF($B1190="","",IF(INDEX(Einheiten!$B$4:$B$63,MATCH($B1190,Einheiten!$A$4:$A$63,0))=0,"",INDEX(Einheiten!$B$4:$B$63,MATCH($B1190,Einheiten!$A$4:$A$63,0)))),"")</f>
        <v/>
      </c>
      <c r="B1190" s="54"/>
      <c r="C1190" s="73" t="str">
        <f aca="false">IFERROR(IF($D1190="","",INDEX(Übungen!$B$4:$B$23,MATCH($D1190,Übungen!$A$4:$A$23,0))),"")</f>
        <v/>
      </c>
      <c r="D1190" s="56"/>
      <c r="E1190" s="67"/>
      <c r="F1190" s="55"/>
      <c r="G1190" s="68"/>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2" t="str">
        <f aca="false">IFERROR(IF($B1191="","",IF(INDEX(Einheiten!$B$4:$B$63,MATCH($B1191,Einheiten!$A$4:$A$63,0))=0,"",INDEX(Einheiten!$B$4:$B$63,MATCH($B1191,Einheiten!$A$4:$A$63,0)))),"")</f>
        <v/>
      </c>
      <c r="B1191" s="54"/>
      <c r="C1191" s="73" t="str">
        <f aca="false">IFERROR(IF($D1191="","",INDEX(Übungen!$B$4:$B$23,MATCH($D1191,Übungen!$A$4:$A$23,0))),"")</f>
        <v/>
      </c>
      <c r="D1191" s="56"/>
      <c r="E1191" s="67"/>
      <c r="F1191" s="55"/>
      <c r="G1191" s="68"/>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2" t="str">
        <f aca="false">IFERROR(IF($B1192="","",IF(INDEX(Einheiten!$B$4:$B$63,MATCH($B1192,Einheiten!$A$4:$A$63,0))=0,"",INDEX(Einheiten!$B$4:$B$63,MATCH($B1192,Einheiten!$A$4:$A$63,0)))),"")</f>
        <v/>
      </c>
      <c r="B1192" s="54"/>
      <c r="C1192" s="73" t="str">
        <f aca="false">IFERROR(IF($D1192="","",INDEX(Übungen!$B$4:$B$23,MATCH($D1192,Übungen!$A$4:$A$23,0))),"")</f>
        <v/>
      </c>
      <c r="D1192" s="56"/>
      <c r="E1192" s="67"/>
      <c r="F1192" s="55"/>
      <c r="G1192" s="68"/>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2" t="str">
        <f aca="false">IFERROR(IF($B1193="","",IF(INDEX(Einheiten!$B$4:$B$63,MATCH($B1193,Einheiten!$A$4:$A$63,0))=0,"",INDEX(Einheiten!$B$4:$B$63,MATCH($B1193,Einheiten!$A$4:$A$63,0)))),"")</f>
        <v/>
      </c>
      <c r="B1193" s="54"/>
      <c r="C1193" s="73" t="str">
        <f aca="false">IFERROR(IF($D1193="","",INDEX(Übungen!$B$4:$B$23,MATCH($D1193,Übungen!$A$4:$A$23,0))),"")</f>
        <v/>
      </c>
      <c r="D1193" s="56"/>
      <c r="E1193" s="67"/>
      <c r="F1193" s="55"/>
      <c r="G1193" s="68"/>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2" t="str">
        <f aca="false">IFERROR(IF($B1194="","",IF(INDEX(Einheiten!$B$4:$B$63,MATCH($B1194,Einheiten!$A$4:$A$63,0))=0,"",INDEX(Einheiten!$B$4:$B$63,MATCH($B1194,Einheiten!$A$4:$A$63,0)))),"")</f>
        <v/>
      </c>
      <c r="B1194" s="54"/>
      <c r="C1194" s="73" t="str">
        <f aca="false">IFERROR(IF($D1194="","",INDEX(Übungen!$B$4:$B$23,MATCH($D1194,Übungen!$A$4:$A$23,0))),"")</f>
        <v/>
      </c>
      <c r="D1194" s="56"/>
      <c r="E1194" s="67"/>
      <c r="F1194" s="55"/>
      <c r="G1194" s="68"/>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2" t="str">
        <f aca="false">IFERROR(IF($B1195="","",IF(INDEX(Einheiten!$B$4:$B$63,MATCH($B1195,Einheiten!$A$4:$A$63,0))=0,"",INDEX(Einheiten!$B$4:$B$63,MATCH($B1195,Einheiten!$A$4:$A$63,0)))),"")</f>
        <v/>
      </c>
      <c r="B1195" s="54"/>
      <c r="C1195" s="73" t="str">
        <f aca="false">IFERROR(IF($D1195="","",INDEX(Übungen!$B$4:$B$23,MATCH($D1195,Übungen!$A$4:$A$23,0))),"")</f>
        <v/>
      </c>
      <c r="D1195" s="56"/>
      <c r="E1195" s="67"/>
      <c r="F1195" s="55"/>
      <c r="G1195" s="68"/>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2" t="str">
        <f aca="false">IFERROR(IF($B1196="","",IF(INDEX(Einheiten!$B$4:$B$63,MATCH($B1196,Einheiten!$A$4:$A$63,0))=0,"",INDEX(Einheiten!$B$4:$B$63,MATCH($B1196,Einheiten!$A$4:$A$63,0)))),"")</f>
        <v/>
      </c>
      <c r="B1196" s="54"/>
      <c r="C1196" s="73" t="str">
        <f aca="false">IFERROR(IF($D1196="","",INDEX(Übungen!$B$4:$B$23,MATCH($D1196,Übungen!$A$4:$A$23,0))),"")</f>
        <v/>
      </c>
      <c r="D1196" s="56"/>
      <c r="E1196" s="67"/>
      <c r="F1196" s="55"/>
      <c r="G1196" s="68"/>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2" t="str">
        <f aca="false">IFERROR(IF($B1197="","",IF(INDEX(Einheiten!$B$4:$B$63,MATCH($B1197,Einheiten!$A$4:$A$63,0))=0,"",INDEX(Einheiten!$B$4:$B$63,MATCH($B1197,Einheiten!$A$4:$A$63,0)))),"")</f>
        <v/>
      </c>
      <c r="B1197" s="54"/>
      <c r="C1197" s="73" t="str">
        <f aca="false">IFERROR(IF($D1197="","",INDEX(Übungen!$B$4:$B$23,MATCH($D1197,Übungen!$A$4:$A$23,0))),"")</f>
        <v/>
      </c>
      <c r="D1197" s="56"/>
      <c r="E1197" s="67"/>
      <c r="F1197" s="55"/>
      <c r="G1197" s="68"/>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2" t="str">
        <f aca="false">IFERROR(IF($B1198="","",IF(INDEX(Einheiten!$B$4:$B$63,MATCH($B1198,Einheiten!$A$4:$A$63,0))=0,"",INDEX(Einheiten!$B$4:$B$63,MATCH($B1198,Einheiten!$A$4:$A$63,0)))),"")</f>
        <v/>
      </c>
      <c r="B1198" s="54"/>
      <c r="C1198" s="73" t="str">
        <f aca="false">IFERROR(IF($D1198="","",INDEX(Übungen!$B$4:$B$23,MATCH($D1198,Übungen!$A$4:$A$23,0))),"")</f>
        <v/>
      </c>
      <c r="D1198" s="56"/>
      <c r="E1198" s="67"/>
      <c r="F1198" s="55"/>
      <c r="G1198" s="68"/>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2" t="str">
        <f aca="false">IFERROR(IF($B1199="","",IF(INDEX(Einheiten!$B$4:$B$63,MATCH($B1199,Einheiten!$A$4:$A$63,0))=0,"",INDEX(Einheiten!$B$4:$B$63,MATCH($B1199,Einheiten!$A$4:$A$63,0)))),"")</f>
        <v/>
      </c>
      <c r="B1199" s="54"/>
      <c r="C1199" s="73" t="str">
        <f aca="false">IFERROR(IF($D1199="","",INDEX(Übungen!$B$4:$B$23,MATCH($D1199,Übungen!$A$4:$A$23,0))),"")</f>
        <v/>
      </c>
      <c r="D1199" s="56"/>
      <c r="E1199" s="67"/>
      <c r="F1199" s="55"/>
      <c r="G1199" s="68"/>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2" t="str">
        <f aca="false">IFERROR(IF($B1200="","",IF(INDEX(Einheiten!$B$4:$B$63,MATCH($B1200,Einheiten!$A$4:$A$63,0))=0,"",INDEX(Einheiten!$B$4:$B$63,MATCH($B1200,Einheiten!$A$4:$A$63,0)))),"")</f>
        <v/>
      </c>
      <c r="B1200" s="54"/>
      <c r="C1200" s="73" t="str">
        <f aca="false">IFERROR(IF($D1200="","",INDEX(Übungen!$B$4:$B$23,MATCH($D1200,Übungen!$A$4:$A$23,0))),"")</f>
        <v/>
      </c>
      <c r="D1200" s="56"/>
      <c r="E1200" s="67"/>
      <c r="F1200" s="55"/>
      <c r="G1200" s="68"/>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2" t="str">
        <f aca="false">IFERROR(IF($B1201="","",IF(INDEX(Einheiten!$B$4:$B$63,MATCH($B1201,Einheiten!$A$4:$A$63,0))=0,"",INDEX(Einheiten!$B$4:$B$63,MATCH($B1201,Einheiten!$A$4:$A$63,0)))),"")</f>
        <v/>
      </c>
      <c r="B1201" s="54"/>
      <c r="C1201" s="73" t="str">
        <f aca="false">IFERROR(IF($D1201="","",INDEX(Übungen!$B$4:$B$23,MATCH($D1201,Übungen!$A$4:$A$23,0))),"")</f>
        <v/>
      </c>
      <c r="D1201" s="56"/>
      <c r="E1201" s="67"/>
      <c r="F1201" s="55"/>
      <c r="G1201" s="68"/>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2" t="str">
        <f aca="false">IFERROR(IF($B1202="","",IF(INDEX(Einheiten!$B$4:$B$63,MATCH($B1202,Einheiten!$A$4:$A$63,0))=0,"",INDEX(Einheiten!$B$4:$B$63,MATCH($B1202,Einheiten!$A$4:$A$63,0)))),"")</f>
        <v/>
      </c>
      <c r="B1202" s="54"/>
      <c r="C1202" s="73" t="str">
        <f aca="false">IFERROR(IF($D1202="","",INDEX(Übungen!$B$4:$B$23,MATCH($D1202,Übungen!$A$4:$A$23,0))),"")</f>
        <v/>
      </c>
      <c r="D1202" s="56"/>
      <c r="E1202" s="67"/>
      <c r="F1202" s="55"/>
      <c r="G1202" s="68"/>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2" t="str">
        <f aca="false">IFERROR(IF($B1203="","",IF(INDEX(Einheiten!$B$4:$B$63,MATCH($B1203,Einheiten!$A$4:$A$63,0))=0,"",INDEX(Einheiten!$B$4:$B$63,MATCH($B1203,Einheiten!$A$4:$A$63,0)))),"")</f>
        <v/>
      </c>
      <c r="B1203" s="54"/>
      <c r="C1203" s="73" t="str">
        <f aca="false">IFERROR(IF($D1203="","",INDEX(Übungen!$B$4:$B$23,MATCH($D1203,Übungen!$A$4:$A$23,0))),"")</f>
        <v/>
      </c>
      <c r="D1203" s="56"/>
      <c r="E1203" s="67"/>
      <c r="F1203" s="55"/>
      <c r="G1203" s="68"/>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431</v>
      </c>
      <c r="B1" s="1"/>
      <c r="C1" s="1"/>
      <c r="D1" s="1"/>
      <c r="E1" s="1"/>
      <c r="F1" s="1"/>
      <c r="G1" s="1"/>
      <c r="H1" s="1"/>
      <c r="I1" s="1"/>
      <c r="J1" s="1"/>
      <c r="K1" s="1"/>
      <c r="L1" s="1"/>
      <c r="M1" s="1"/>
      <c r="N1" s="1"/>
      <c r="O1" s="1"/>
      <c r="P1" s="1"/>
      <c r="Q1" s="1"/>
      <c r="R1" s="1"/>
    </row>
    <row r="2" customFormat="false" ht="15" hidden="false" customHeight="true" outlineLevel="0" collapsed="false">
      <c r="A2" s="2" t="s">
        <v>432</v>
      </c>
      <c r="B2" s="2"/>
      <c r="C2" s="2"/>
      <c r="D2" s="2"/>
      <c r="E2" s="2"/>
      <c r="F2" s="2"/>
      <c r="G2" s="2"/>
      <c r="H2" s="2"/>
      <c r="I2" s="2"/>
      <c r="J2" s="2"/>
      <c r="K2" s="2"/>
      <c r="L2" s="2"/>
      <c r="M2" s="2"/>
      <c r="N2" s="2"/>
      <c r="O2" s="2"/>
      <c r="P2" s="2"/>
      <c r="Q2" s="2"/>
      <c r="R2" s="2"/>
    </row>
    <row r="3" customFormat="false" ht="18" hidden="false" customHeight="true" outlineLevel="0" collapsed="false">
      <c r="A3" s="30" t="s">
        <v>433</v>
      </c>
      <c r="B3" s="74" t="n">
        <v>1</v>
      </c>
      <c r="C3" s="7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5"/>
      <c r="E3" s="75"/>
      <c r="F3" s="75"/>
      <c r="G3" s="75"/>
      <c r="H3" s="75"/>
      <c r="I3" s="75"/>
      <c r="J3" s="75"/>
      <c r="K3" s="75"/>
      <c r="L3" s="75"/>
      <c r="M3" s="75"/>
      <c r="N3" s="75"/>
      <c r="O3" s="75"/>
      <c r="P3" s="75"/>
      <c r="Q3" s="75"/>
      <c r="R3" s="75"/>
    </row>
    <row r="4" customFormat="false" ht="19.5" hidden="false" customHeight="true" outlineLevel="0" collapsed="false">
      <c r="A4" s="3" t="s">
        <v>434</v>
      </c>
      <c r="B4" s="3"/>
      <c r="C4" s="3"/>
      <c r="D4" s="3"/>
      <c r="E4" s="3"/>
      <c r="F4" s="3"/>
      <c r="G4" s="3"/>
      <c r="H4" s="3"/>
      <c r="I4" s="3"/>
      <c r="J4" s="3"/>
      <c r="K4" s="3"/>
      <c r="L4" s="3"/>
      <c r="M4" s="3"/>
      <c r="N4" s="3"/>
      <c r="O4" s="3"/>
      <c r="P4" s="3"/>
      <c r="Q4" s="3"/>
      <c r="R4" s="3"/>
    </row>
    <row r="5" customFormat="false" ht="21.75" hidden="false" customHeight="true" outlineLevel="0" collapsed="false">
      <c r="A5" s="13" t="s">
        <v>168</v>
      </c>
      <c r="B5" s="76" t="n">
        <f aca="false">$B$3</f>
        <v>1</v>
      </c>
      <c r="C5" s="76" t="n">
        <f aca="false">B5+1</f>
        <v>2</v>
      </c>
      <c r="D5" s="76" t="n">
        <f aca="false">C5+1</f>
        <v>3</v>
      </c>
      <c r="E5" s="76" t="n">
        <f aca="false">D5+1</f>
        <v>4</v>
      </c>
      <c r="F5" s="76" t="n">
        <f aca="false">E5+1</f>
        <v>5</v>
      </c>
      <c r="G5" s="76" t="n">
        <f aca="false">F5+1</f>
        <v>6</v>
      </c>
      <c r="H5" s="76" t="n">
        <f aca="false">G5+1</f>
        <v>7</v>
      </c>
      <c r="I5" s="76" t="n">
        <f aca="false">H5+1</f>
        <v>8</v>
      </c>
      <c r="J5" s="76" t="n">
        <f aca="false">I5+1</f>
        <v>9</v>
      </c>
      <c r="K5" s="76" t="n">
        <f aca="false">J5+1</f>
        <v>10</v>
      </c>
      <c r="L5" s="76" t="n">
        <f aca="false">K5+1</f>
        <v>11</v>
      </c>
      <c r="M5" s="76" t="n">
        <f aca="false">L5+1</f>
        <v>12</v>
      </c>
      <c r="N5" s="76" t="n">
        <f aca="false">M5+1</f>
        <v>13</v>
      </c>
      <c r="O5" s="76" t="n">
        <f aca="false">N5+1</f>
        <v>14</v>
      </c>
      <c r="P5" s="76" t="n">
        <f aca="false">O5+1</f>
        <v>15</v>
      </c>
      <c r="Q5" s="76" t="n">
        <f aca="false">P5+1</f>
        <v>16</v>
      </c>
      <c r="R5" s="13" t="s">
        <v>435</v>
      </c>
    </row>
    <row r="6" customFormat="false" ht="16.5" hidden="false" customHeight="true" outlineLevel="0" collapsed="false">
      <c r="A6" s="34" t="str">
        <f aca="false">IF(Übungen!$A4="","",Übungen!$A4)</f>
        <v>Beinpresse eng</v>
      </c>
      <c r="B6" s="77" t="str">
        <f aca="false">IF($A6="","",IF(SUMIFS(Log!$I$4:$I$1203,Log!$D$4:$D$1203,$A6,Log!$B$4:$B$1203,B$5,Log!$E$4:$E$1203,"A")=0,"",SUMIFS(Log!$I$4:$I$1203,Log!$D$4:$D$1203,$A6,Log!$B$4:$B$1203,B$5,Log!$E$4:$E$1203,"A")))</f>
        <v/>
      </c>
      <c r="C6" s="77" t="str">
        <f aca="false">IF($A6="","",IF(SUMIFS(Log!$I$4:$I$1203,Log!$D$4:$D$1203,$A6,Log!$B$4:$B$1203,C$5,Log!$E$4:$E$1203,"A")=0,"",SUMIFS(Log!$I$4:$I$1203,Log!$D$4:$D$1203,$A6,Log!$B$4:$B$1203,C$5,Log!$E$4:$E$1203,"A")))</f>
        <v/>
      </c>
      <c r="D6" s="77" t="str">
        <f aca="false">IF($A6="","",IF(SUMIFS(Log!$I$4:$I$1203,Log!$D$4:$D$1203,$A6,Log!$B$4:$B$1203,D$5,Log!$E$4:$E$1203,"A")=0,"",SUMIFS(Log!$I$4:$I$1203,Log!$D$4:$D$1203,$A6,Log!$B$4:$B$1203,D$5,Log!$E$4:$E$1203,"A")))</f>
        <v/>
      </c>
      <c r="E6" s="77" t="str">
        <f aca="false">IF($A6="","",IF(SUMIFS(Log!$I$4:$I$1203,Log!$D$4:$D$1203,$A6,Log!$B$4:$B$1203,E$5,Log!$E$4:$E$1203,"A")=0,"",SUMIFS(Log!$I$4:$I$1203,Log!$D$4:$D$1203,$A6,Log!$B$4:$B$1203,E$5,Log!$E$4:$E$1203,"A")))</f>
        <v/>
      </c>
      <c r="F6" s="77" t="n">
        <f aca="false">IF($A6="","",IF(SUMIFS(Log!$I$4:$I$1203,Log!$D$4:$D$1203,$A6,Log!$B$4:$B$1203,F$5,Log!$E$4:$E$1203,"A")=0,"",SUMIFS(Log!$I$4:$I$1203,Log!$D$4:$D$1203,$A6,Log!$B$4:$B$1203,F$5,Log!$E$4:$E$1203,"A")))</f>
        <v>5766</v>
      </c>
      <c r="G6" s="77" t="n">
        <f aca="false">IF($A6="","",IF(SUMIFS(Log!$I$4:$I$1203,Log!$D$4:$D$1203,$A6,Log!$B$4:$B$1203,G$5,Log!$E$4:$E$1203,"A")=0,"",SUMIFS(Log!$I$4:$I$1203,Log!$D$4:$D$1203,$A6,Log!$B$4:$B$1203,G$5,Log!$E$4:$E$1203,"A")))</f>
        <v>7358</v>
      </c>
      <c r="H6" s="77" t="str">
        <f aca="false">IF($A6="","",IF(SUMIFS(Log!$I$4:$I$1203,Log!$D$4:$D$1203,$A6,Log!$B$4:$B$1203,H$5,Log!$E$4:$E$1203,"A")=0,"",SUMIFS(Log!$I$4:$I$1203,Log!$D$4:$D$1203,$A6,Log!$B$4:$B$1203,H$5,Log!$E$4:$E$1203,"A")))</f>
        <v/>
      </c>
      <c r="I6" s="77" t="n">
        <f aca="false">IF($A6="","",IF(SUMIFS(Log!$I$4:$I$1203,Log!$D$4:$D$1203,$A6,Log!$B$4:$B$1203,I$5,Log!$E$4:$E$1203,"A")=0,"",SUMIFS(Log!$I$4:$I$1203,Log!$D$4:$D$1203,$A6,Log!$B$4:$B$1203,I$5,Log!$E$4:$E$1203,"A")))</f>
        <v>7752</v>
      </c>
      <c r="J6" s="77" t="str">
        <f aca="false">IF($A6="","",IF(SUMIFS(Log!$I$4:$I$1203,Log!$D$4:$D$1203,$A6,Log!$B$4:$B$1203,J$5,Log!$E$4:$E$1203,"A")=0,"",SUMIFS(Log!$I$4:$I$1203,Log!$D$4:$D$1203,$A6,Log!$B$4:$B$1203,J$5,Log!$E$4:$E$1203,"A")))</f>
        <v/>
      </c>
      <c r="K6" s="77" t="n">
        <f aca="false">IF($A6="","",IF(SUMIFS(Log!$I$4:$I$1203,Log!$D$4:$D$1203,$A6,Log!$B$4:$B$1203,K$5,Log!$E$4:$E$1203,"A")=0,"",SUMIFS(Log!$I$4:$I$1203,Log!$D$4:$D$1203,$A6,Log!$B$4:$B$1203,K$5,Log!$E$4:$E$1203,"A")))</f>
        <v>8800</v>
      </c>
      <c r="L6" s="77" t="str">
        <f aca="false">IF($A6="","",IF(SUMIFS(Log!$I$4:$I$1203,Log!$D$4:$D$1203,$A6,Log!$B$4:$B$1203,L$5,Log!$E$4:$E$1203,"A")=0,"",SUMIFS(Log!$I$4:$I$1203,Log!$D$4:$D$1203,$A6,Log!$B$4:$B$1203,L$5,Log!$E$4:$E$1203,"A")))</f>
        <v/>
      </c>
      <c r="M6" s="77" t="n">
        <f aca="false">IF($A6="","",IF(SUMIFS(Log!$I$4:$I$1203,Log!$D$4:$D$1203,$A6,Log!$B$4:$B$1203,M$5,Log!$E$4:$E$1203,"A")=0,"",SUMIFS(Log!$I$4:$I$1203,Log!$D$4:$D$1203,$A6,Log!$B$4:$B$1203,M$5,Log!$E$4:$E$1203,"A")))</f>
        <v>6000</v>
      </c>
      <c r="N6" s="77" t="str">
        <f aca="false">IF($A6="","",IF(SUMIFS(Log!$I$4:$I$1203,Log!$D$4:$D$1203,$A6,Log!$B$4:$B$1203,N$5,Log!$E$4:$E$1203,"A")=0,"",SUMIFS(Log!$I$4:$I$1203,Log!$D$4:$D$1203,$A6,Log!$B$4:$B$1203,N$5,Log!$E$4:$E$1203,"A")))</f>
        <v/>
      </c>
      <c r="O6" s="77" t="str">
        <f aca="false">IF($A6="","",IF(SUMIFS(Log!$I$4:$I$1203,Log!$D$4:$D$1203,$A6,Log!$B$4:$B$1203,O$5,Log!$E$4:$E$1203,"A")=0,"",SUMIFS(Log!$I$4:$I$1203,Log!$D$4:$D$1203,$A6,Log!$B$4:$B$1203,O$5,Log!$E$4:$E$1203,"A")))</f>
        <v/>
      </c>
      <c r="P6" s="77" t="str">
        <f aca="false">IF($A6="","",IF(SUMIFS(Log!$I$4:$I$1203,Log!$D$4:$D$1203,$A6,Log!$B$4:$B$1203,P$5,Log!$E$4:$E$1203,"A")=0,"",SUMIFS(Log!$I$4:$I$1203,Log!$D$4:$D$1203,$A6,Log!$B$4:$B$1203,P$5,Log!$E$4:$E$1203,"A")))</f>
        <v/>
      </c>
      <c r="Q6" s="77" t="n">
        <f aca="false">IF($A6="","",IF(SUMIFS(Log!$I$4:$I$1203,Log!$D$4:$D$1203,$A6,Log!$B$4:$B$1203,Q$5,Log!$E$4:$E$1203,"A")=0,"",SUMIFS(Log!$I$4:$I$1203,Log!$D$4:$D$1203,$A6,Log!$B$4:$B$1203,Q$5,Log!$E$4:$E$1203,"A")))</f>
        <v>4100</v>
      </c>
      <c r="R6" s="78" t="n">
        <f aca="false">IF($A6="","",IF(SUMIFS(Log!$I$4:$I$1203,Log!$D$4:$D$1203,$A6,Log!$E$4:$E$1203,"A")=0,"",SUMIFS(Log!$I$4:$I$1203,Log!$D$4:$D$1203,$A6,Log!$E$4:$E$1203,"A")))</f>
        <v>45176</v>
      </c>
    </row>
    <row r="7" customFormat="false" ht="16.5" hidden="false" customHeight="true" outlineLevel="0" collapsed="false">
      <c r="A7" s="40" t="str">
        <f aca="false">IF(Übungen!$A5="","",Übungen!$A5)</f>
        <v>Split Squat</v>
      </c>
      <c r="B7" s="79" t="n">
        <f aca="false">IF($A7="","",IF(SUMIFS(Log!$I$4:$I$1203,Log!$D$4:$D$1203,$A7,Log!$B$4:$B$1203,B$5,Log!$E$4:$E$1203,"A")=0,"",SUMIFS(Log!$I$4:$I$1203,Log!$D$4:$D$1203,$A7,Log!$B$4:$B$1203,B$5,Log!$E$4:$E$1203,"A")))</f>
        <v>1610</v>
      </c>
      <c r="C7" s="79" t="n">
        <f aca="false">IF($A7="","",IF(SUMIFS(Log!$I$4:$I$1203,Log!$D$4:$D$1203,$A7,Log!$B$4:$B$1203,C$5,Log!$E$4:$E$1203,"A")=0,"",SUMIFS(Log!$I$4:$I$1203,Log!$D$4:$D$1203,$A7,Log!$B$4:$B$1203,C$5,Log!$E$4:$E$1203,"A")))</f>
        <v>1575</v>
      </c>
      <c r="D7" s="79" t="n">
        <f aca="false">IF($A7="","",IF(SUMIFS(Log!$I$4:$I$1203,Log!$D$4:$D$1203,$A7,Log!$B$4:$B$1203,D$5,Log!$E$4:$E$1203,"A")=0,"",SUMIFS(Log!$I$4:$I$1203,Log!$D$4:$D$1203,$A7,Log!$B$4:$B$1203,D$5,Log!$E$4:$E$1203,"A")))</f>
        <v>2275</v>
      </c>
      <c r="E7" s="79" t="n">
        <f aca="false">IF($A7="","",IF(SUMIFS(Log!$I$4:$I$1203,Log!$D$4:$D$1203,$A7,Log!$B$4:$B$1203,E$5,Log!$E$4:$E$1203,"A")=0,"",SUMIFS(Log!$I$4:$I$1203,Log!$D$4:$D$1203,$A7,Log!$B$4:$B$1203,E$5,Log!$E$4:$E$1203,"A")))</f>
        <v>1640</v>
      </c>
      <c r="F7" s="79" t="n">
        <f aca="false">IF($A7="","",IF(SUMIFS(Log!$I$4:$I$1203,Log!$D$4:$D$1203,$A7,Log!$B$4:$B$1203,F$5,Log!$E$4:$E$1203,"A")=0,"",SUMIFS(Log!$I$4:$I$1203,Log!$D$4:$D$1203,$A7,Log!$B$4:$B$1203,F$5,Log!$E$4:$E$1203,"A")))</f>
        <v>1760</v>
      </c>
      <c r="G7" s="79" t="n">
        <f aca="false">IF($A7="","",IF(SUMIFS(Log!$I$4:$I$1203,Log!$D$4:$D$1203,$A7,Log!$B$4:$B$1203,G$5,Log!$E$4:$E$1203,"A")=0,"",SUMIFS(Log!$I$4:$I$1203,Log!$D$4:$D$1203,$A7,Log!$B$4:$B$1203,G$5,Log!$E$4:$E$1203,"A")))</f>
        <v>2700</v>
      </c>
      <c r="H7" s="79" t="str">
        <f aca="false">IF($A7="","",IF(SUMIFS(Log!$I$4:$I$1203,Log!$D$4:$D$1203,$A7,Log!$B$4:$B$1203,H$5,Log!$E$4:$E$1203,"A")=0,"",SUMIFS(Log!$I$4:$I$1203,Log!$D$4:$D$1203,$A7,Log!$B$4:$B$1203,H$5,Log!$E$4:$E$1203,"A")))</f>
        <v/>
      </c>
      <c r="I7" s="79" t="n">
        <f aca="false">IF($A7="","",IF(SUMIFS(Log!$I$4:$I$1203,Log!$D$4:$D$1203,$A7,Log!$B$4:$B$1203,I$5,Log!$E$4:$E$1203,"A")=0,"",SUMIFS(Log!$I$4:$I$1203,Log!$D$4:$D$1203,$A7,Log!$B$4:$B$1203,I$5,Log!$E$4:$E$1203,"A")))</f>
        <v>2035</v>
      </c>
      <c r="J7" s="79" t="str">
        <f aca="false">IF($A7="","",IF(SUMIFS(Log!$I$4:$I$1203,Log!$D$4:$D$1203,$A7,Log!$B$4:$B$1203,J$5,Log!$E$4:$E$1203,"A")=0,"",SUMIFS(Log!$I$4:$I$1203,Log!$D$4:$D$1203,$A7,Log!$B$4:$B$1203,J$5,Log!$E$4:$E$1203,"A")))</f>
        <v/>
      </c>
      <c r="K7" s="79" t="n">
        <f aca="false">IF($A7="","",IF(SUMIFS(Log!$I$4:$I$1203,Log!$D$4:$D$1203,$A7,Log!$B$4:$B$1203,K$5,Log!$E$4:$E$1203,"A")=0,"",SUMIFS(Log!$I$4:$I$1203,Log!$D$4:$D$1203,$A7,Log!$B$4:$B$1203,K$5,Log!$E$4:$E$1203,"A")))</f>
        <v>1865</v>
      </c>
      <c r="L7" s="79" t="str">
        <f aca="false">IF($A7="","",IF(SUMIFS(Log!$I$4:$I$1203,Log!$D$4:$D$1203,$A7,Log!$B$4:$B$1203,L$5,Log!$E$4:$E$1203,"A")=0,"",SUMIFS(Log!$I$4:$I$1203,Log!$D$4:$D$1203,$A7,Log!$B$4:$B$1203,L$5,Log!$E$4:$E$1203,"A")))</f>
        <v/>
      </c>
      <c r="M7" s="79" t="n">
        <f aca="false">IF($A7="","",IF(SUMIFS(Log!$I$4:$I$1203,Log!$D$4:$D$1203,$A7,Log!$B$4:$B$1203,M$5,Log!$E$4:$E$1203,"A")=0,"",SUMIFS(Log!$I$4:$I$1203,Log!$D$4:$D$1203,$A7,Log!$B$4:$B$1203,M$5,Log!$E$4:$E$1203,"A")))</f>
        <v>1370</v>
      </c>
      <c r="N7" s="79" t="str">
        <f aca="false">IF($A7="","",IF(SUMIFS(Log!$I$4:$I$1203,Log!$D$4:$D$1203,$A7,Log!$B$4:$B$1203,N$5,Log!$E$4:$E$1203,"A")=0,"",SUMIFS(Log!$I$4:$I$1203,Log!$D$4:$D$1203,$A7,Log!$B$4:$B$1203,N$5,Log!$E$4:$E$1203,"A")))</f>
        <v/>
      </c>
      <c r="O7" s="79" t="str">
        <f aca="false">IF($A7="","",IF(SUMIFS(Log!$I$4:$I$1203,Log!$D$4:$D$1203,$A7,Log!$B$4:$B$1203,O$5,Log!$E$4:$E$1203,"A")=0,"",SUMIFS(Log!$I$4:$I$1203,Log!$D$4:$D$1203,$A7,Log!$B$4:$B$1203,O$5,Log!$E$4:$E$1203,"A")))</f>
        <v/>
      </c>
      <c r="P7" s="79" t="str">
        <f aca="false">IF($A7="","",IF(SUMIFS(Log!$I$4:$I$1203,Log!$D$4:$D$1203,$A7,Log!$B$4:$B$1203,P$5,Log!$E$4:$E$1203,"A")=0,"",SUMIFS(Log!$I$4:$I$1203,Log!$D$4:$D$1203,$A7,Log!$B$4:$B$1203,P$5,Log!$E$4:$E$1203,"A")))</f>
        <v/>
      </c>
      <c r="Q7" s="79" t="n">
        <f aca="false">IF($A7="","",IF(SUMIFS(Log!$I$4:$I$1203,Log!$D$4:$D$1203,$A7,Log!$B$4:$B$1203,Q$5,Log!$E$4:$E$1203,"A")=0,"",SUMIFS(Log!$I$4:$I$1203,Log!$D$4:$D$1203,$A7,Log!$B$4:$B$1203,Q$5,Log!$E$4:$E$1203,"A")))</f>
        <v>1760</v>
      </c>
      <c r="R7" s="78" t="n">
        <f aca="false">IF($A7="","",IF(SUMIFS(Log!$I$4:$I$1203,Log!$D$4:$D$1203,$A7,Log!$E$4:$E$1203,"A")=0,"",SUMIFS(Log!$I$4:$I$1203,Log!$D$4:$D$1203,$A7,Log!$E$4:$E$1203,"A")))</f>
        <v>20460</v>
      </c>
    </row>
    <row r="8" customFormat="false" ht="16.5" hidden="false" customHeight="true" outlineLevel="0" collapsed="false">
      <c r="A8" s="34" t="str">
        <f aca="false">IF(Übungen!$A6="","",Übungen!$A6)</f>
        <v>Beinstrecker</v>
      </c>
      <c r="B8" s="77" t="n">
        <f aca="false">IF($A8="","",IF(SUMIFS(Log!$I$4:$I$1203,Log!$D$4:$D$1203,$A8,Log!$B$4:$B$1203,B$5,Log!$E$4:$E$1203,"A")=0,"",SUMIFS(Log!$I$4:$I$1203,Log!$D$4:$D$1203,$A8,Log!$B$4:$B$1203,B$5,Log!$E$4:$E$1203,"A")))</f>
        <v>1205</v>
      </c>
      <c r="C8" s="77" t="n">
        <f aca="false">IF($A8="","",IF(SUMIFS(Log!$I$4:$I$1203,Log!$D$4:$D$1203,$A8,Log!$B$4:$B$1203,C$5,Log!$E$4:$E$1203,"A")=0,"",SUMIFS(Log!$I$4:$I$1203,Log!$D$4:$D$1203,$A8,Log!$B$4:$B$1203,C$5,Log!$E$4:$E$1203,"A")))</f>
        <v>1630</v>
      </c>
      <c r="D8" s="77" t="n">
        <f aca="false">IF($A8="","",IF(SUMIFS(Log!$I$4:$I$1203,Log!$D$4:$D$1203,$A8,Log!$B$4:$B$1203,D$5,Log!$E$4:$E$1203,"A")=0,"",SUMIFS(Log!$I$4:$I$1203,Log!$D$4:$D$1203,$A8,Log!$B$4:$B$1203,D$5,Log!$E$4:$E$1203,"A")))</f>
        <v>1430</v>
      </c>
      <c r="E8" s="77" t="n">
        <f aca="false">IF($A8="","",IF(SUMIFS(Log!$I$4:$I$1203,Log!$D$4:$D$1203,$A8,Log!$B$4:$B$1203,E$5,Log!$E$4:$E$1203,"A")=0,"",SUMIFS(Log!$I$4:$I$1203,Log!$D$4:$D$1203,$A8,Log!$B$4:$B$1203,E$5,Log!$E$4:$E$1203,"A")))</f>
        <v>1600</v>
      </c>
      <c r="F8" s="77" t="n">
        <f aca="false">IF($A8="","",IF(SUMIFS(Log!$I$4:$I$1203,Log!$D$4:$D$1203,$A8,Log!$B$4:$B$1203,F$5,Log!$E$4:$E$1203,"A")=0,"",SUMIFS(Log!$I$4:$I$1203,Log!$D$4:$D$1203,$A8,Log!$B$4:$B$1203,F$5,Log!$E$4:$E$1203,"A")))</f>
        <v>1570</v>
      </c>
      <c r="G8" s="77" t="n">
        <f aca="false">IF($A8="","",IF(SUMIFS(Log!$I$4:$I$1203,Log!$D$4:$D$1203,$A8,Log!$B$4:$B$1203,G$5,Log!$E$4:$E$1203,"A")=0,"",SUMIFS(Log!$I$4:$I$1203,Log!$D$4:$D$1203,$A8,Log!$B$4:$B$1203,G$5,Log!$E$4:$E$1203,"A")))</f>
        <v>1670</v>
      </c>
      <c r="H8" s="77" t="str">
        <f aca="false">IF($A8="","",IF(SUMIFS(Log!$I$4:$I$1203,Log!$D$4:$D$1203,$A8,Log!$B$4:$B$1203,H$5,Log!$E$4:$E$1203,"A")=0,"",SUMIFS(Log!$I$4:$I$1203,Log!$D$4:$D$1203,$A8,Log!$B$4:$B$1203,H$5,Log!$E$4:$E$1203,"A")))</f>
        <v/>
      </c>
      <c r="I8" s="77" t="n">
        <f aca="false">IF($A8="","",IF(SUMIFS(Log!$I$4:$I$1203,Log!$D$4:$D$1203,$A8,Log!$B$4:$B$1203,I$5,Log!$E$4:$E$1203,"A")=0,"",SUMIFS(Log!$I$4:$I$1203,Log!$D$4:$D$1203,$A8,Log!$B$4:$B$1203,I$5,Log!$E$4:$E$1203,"A")))</f>
        <v>1920</v>
      </c>
      <c r="J8" s="77" t="str">
        <f aca="false">IF($A8="","",IF(SUMIFS(Log!$I$4:$I$1203,Log!$D$4:$D$1203,$A8,Log!$B$4:$B$1203,J$5,Log!$E$4:$E$1203,"A")=0,"",SUMIFS(Log!$I$4:$I$1203,Log!$D$4:$D$1203,$A8,Log!$B$4:$B$1203,J$5,Log!$E$4:$E$1203,"A")))</f>
        <v/>
      </c>
      <c r="K8" s="77" t="n">
        <f aca="false">IF($A8="","",IF(SUMIFS(Log!$I$4:$I$1203,Log!$D$4:$D$1203,$A8,Log!$B$4:$B$1203,K$5,Log!$E$4:$E$1203,"A")=0,"",SUMIFS(Log!$I$4:$I$1203,Log!$D$4:$D$1203,$A8,Log!$B$4:$B$1203,K$5,Log!$E$4:$E$1203,"A")))</f>
        <v>2015</v>
      </c>
      <c r="L8" s="77" t="str">
        <f aca="false">IF($A8="","",IF(SUMIFS(Log!$I$4:$I$1203,Log!$D$4:$D$1203,$A8,Log!$B$4:$B$1203,L$5,Log!$E$4:$E$1203,"A")=0,"",SUMIFS(Log!$I$4:$I$1203,Log!$D$4:$D$1203,$A8,Log!$B$4:$B$1203,L$5,Log!$E$4:$E$1203,"A")))</f>
        <v/>
      </c>
      <c r="M8" s="77" t="n">
        <f aca="false">IF($A8="","",IF(SUMIFS(Log!$I$4:$I$1203,Log!$D$4:$D$1203,$A8,Log!$B$4:$B$1203,M$5,Log!$E$4:$E$1203,"A")=0,"",SUMIFS(Log!$I$4:$I$1203,Log!$D$4:$D$1203,$A8,Log!$B$4:$B$1203,M$5,Log!$E$4:$E$1203,"A")))</f>
        <v>1700</v>
      </c>
      <c r="N8" s="77" t="str">
        <f aca="false">IF($A8="","",IF(SUMIFS(Log!$I$4:$I$1203,Log!$D$4:$D$1203,$A8,Log!$B$4:$B$1203,N$5,Log!$E$4:$E$1203,"A")=0,"",SUMIFS(Log!$I$4:$I$1203,Log!$D$4:$D$1203,$A8,Log!$B$4:$B$1203,N$5,Log!$E$4:$E$1203,"A")))</f>
        <v/>
      </c>
      <c r="O8" s="77" t="str">
        <f aca="false">IF($A8="","",IF(SUMIFS(Log!$I$4:$I$1203,Log!$D$4:$D$1203,$A8,Log!$B$4:$B$1203,O$5,Log!$E$4:$E$1203,"A")=0,"",SUMIFS(Log!$I$4:$I$1203,Log!$D$4:$D$1203,$A8,Log!$B$4:$B$1203,O$5,Log!$E$4:$E$1203,"A")))</f>
        <v/>
      </c>
      <c r="P8" s="77" t="str">
        <f aca="false">IF($A8="","",IF(SUMIFS(Log!$I$4:$I$1203,Log!$D$4:$D$1203,$A8,Log!$B$4:$B$1203,P$5,Log!$E$4:$E$1203,"A")=0,"",SUMIFS(Log!$I$4:$I$1203,Log!$D$4:$D$1203,$A8,Log!$B$4:$B$1203,P$5,Log!$E$4:$E$1203,"A")))</f>
        <v/>
      </c>
      <c r="Q8" s="77" t="n">
        <f aca="false">IF($A8="","",IF(SUMIFS(Log!$I$4:$I$1203,Log!$D$4:$D$1203,$A8,Log!$B$4:$B$1203,Q$5,Log!$E$4:$E$1203,"A")=0,"",SUMIFS(Log!$I$4:$I$1203,Log!$D$4:$D$1203,$A8,Log!$B$4:$B$1203,Q$5,Log!$E$4:$E$1203,"A")))</f>
        <v>1395</v>
      </c>
      <c r="R8" s="78" t="n">
        <f aca="false">IF($A8="","",IF(SUMIFS(Log!$I$4:$I$1203,Log!$D$4:$D$1203,$A8,Log!$E$4:$E$1203,"A")=0,"",SUMIFS(Log!$I$4:$I$1203,Log!$D$4:$D$1203,$A8,Log!$E$4:$E$1203,"A")))</f>
        <v>17570</v>
      </c>
    </row>
    <row r="9" customFormat="false" ht="16.5" hidden="false" customHeight="true" outlineLevel="0" collapsed="false">
      <c r="A9" s="40" t="str">
        <f aca="false">IF(Übungen!$A7="","",Übungen!$A7)</f>
        <v>Adduktion</v>
      </c>
      <c r="B9" s="79" t="n">
        <f aca="false">IF($A9="","",IF(SUMIFS(Log!$I$4:$I$1203,Log!$D$4:$D$1203,$A9,Log!$B$4:$B$1203,B$5,Log!$E$4:$E$1203,"A")=0,"",SUMIFS(Log!$I$4:$I$1203,Log!$D$4:$D$1203,$A9,Log!$B$4:$B$1203,B$5,Log!$E$4:$E$1203,"A")))</f>
        <v>4117.5</v>
      </c>
      <c r="C9" s="79" t="n">
        <f aca="false">IF($A9="","",IF(SUMIFS(Log!$I$4:$I$1203,Log!$D$4:$D$1203,$A9,Log!$B$4:$B$1203,C$5,Log!$E$4:$E$1203,"A")=0,"",SUMIFS(Log!$I$4:$I$1203,Log!$D$4:$D$1203,$A9,Log!$B$4:$B$1203,C$5,Log!$E$4:$E$1203,"A")))</f>
        <v>5490</v>
      </c>
      <c r="D9" s="79" t="n">
        <f aca="false">IF($A9="","",IF(SUMIFS(Log!$I$4:$I$1203,Log!$D$4:$D$1203,$A9,Log!$B$4:$B$1203,D$5,Log!$E$4:$E$1203,"A")=0,"",SUMIFS(Log!$I$4:$I$1203,Log!$D$4:$D$1203,$A9,Log!$B$4:$B$1203,D$5,Log!$E$4:$E$1203,"A")))</f>
        <v>5337.5</v>
      </c>
      <c r="E9" s="79" t="n">
        <f aca="false">IF($A9="","",IF(SUMIFS(Log!$I$4:$I$1203,Log!$D$4:$D$1203,$A9,Log!$B$4:$B$1203,E$5,Log!$E$4:$E$1203,"A")=0,"",SUMIFS(Log!$I$4:$I$1203,Log!$D$4:$D$1203,$A9,Log!$B$4:$B$1203,E$5,Log!$E$4:$E$1203,"A")))</f>
        <v>6862.5</v>
      </c>
      <c r="F9" s="79" t="n">
        <f aca="false">IF($A9="","",IF(SUMIFS(Log!$I$4:$I$1203,Log!$D$4:$D$1203,$A9,Log!$B$4:$B$1203,F$5,Log!$E$4:$E$1203,"A")=0,"",SUMIFS(Log!$I$4:$I$1203,Log!$D$4:$D$1203,$A9,Log!$B$4:$B$1203,F$5,Log!$E$4:$E$1203,"A")))</f>
        <v>2600</v>
      </c>
      <c r="G9" s="79" t="n">
        <f aca="false">IF($A9="","",IF(SUMIFS(Log!$I$4:$I$1203,Log!$D$4:$D$1203,$A9,Log!$B$4:$B$1203,G$5,Log!$E$4:$E$1203,"A")=0,"",SUMIFS(Log!$I$4:$I$1203,Log!$D$4:$D$1203,$A9,Log!$B$4:$B$1203,G$5,Log!$E$4:$E$1203,"A")))</f>
        <v>2844</v>
      </c>
      <c r="H9" s="79" t="str">
        <f aca="false">IF($A9="","",IF(SUMIFS(Log!$I$4:$I$1203,Log!$D$4:$D$1203,$A9,Log!$B$4:$B$1203,H$5,Log!$E$4:$E$1203,"A")=0,"",SUMIFS(Log!$I$4:$I$1203,Log!$D$4:$D$1203,$A9,Log!$B$4:$B$1203,H$5,Log!$E$4:$E$1203,"A")))</f>
        <v/>
      </c>
      <c r="I9" s="79" t="n">
        <f aca="false">IF($A9="","",IF(SUMIFS(Log!$I$4:$I$1203,Log!$D$4:$D$1203,$A9,Log!$B$4:$B$1203,I$5,Log!$E$4:$E$1203,"A")=0,"",SUMIFS(Log!$I$4:$I$1203,Log!$D$4:$D$1203,$A9,Log!$B$4:$B$1203,I$5,Log!$E$4:$E$1203,"A")))</f>
        <v>3146.5</v>
      </c>
      <c r="J9" s="79" t="str">
        <f aca="false">IF($A9="","",IF(SUMIFS(Log!$I$4:$I$1203,Log!$D$4:$D$1203,$A9,Log!$B$4:$B$1203,J$5,Log!$E$4:$E$1203,"A")=0,"",SUMIFS(Log!$I$4:$I$1203,Log!$D$4:$D$1203,$A9,Log!$B$4:$B$1203,J$5,Log!$E$4:$E$1203,"A")))</f>
        <v/>
      </c>
      <c r="K9" s="79" t="str">
        <f aca="false">IF($A9="","",IF(SUMIFS(Log!$I$4:$I$1203,Log!$D$4:$D$1203,$A9,Log!$B$4:$B$1203,K$5,Log!$E$4:$E$1203,"A")=0,"",SUMIFS(Log!$I$4:$I$1203,Log!$D$4:$D$1203,$A9,Log!$B$4:$B$1203,K$5,Log!$E$4:$E$1203,"A")))</f>
        <v/>
      </c>
      <c r="L9" s="79" t="str">
        <f aca="false">IF($A9="","",IF(SUMIFS(Log!$I$4:$I$1203,Log!$D$4:$D$1203,$A9,Log!$B$4:$B$1203,L$5,Log!$E$4:$E$1203,"A")=0,"",SUMIFS(Log!$I$4:$I$1203,Log!$D$4:$D$1203,$A9,Log!$B$4:$B$1203,L$5,Log!$E$4:$E$1203,"A")))</f>
        <v/>
      </c>
      <c r="M9" s="79" t="str">
        <f aca="false">IF($A9="","",IF(SUMIFS(Log!$I$4:$I$1203,Log!$D$4:$D$1203,$A9,Log!$B$4:$B$1203,M$5,Log!$E$4:$E$1203,"A")=0,"",SUMIFS(Log!$I$4:$I$1203,Log!$D$4:$D$1203,$A9,Log!$B$4:$B$1203,M$5,Log!$E$4:$E$1203,"A")))</f>
        <v/>
      </c>
      <c r="N9" s="79" t="str">
        <f aca="false">IF($A9="","",IF(SUMIFS(Log!$I$4:$I$1203,Log!$D$4:$D$1203,$A9,Log!$B$4:$B$1203,N$5,Log!$E$4:$E$1203,"A")=0,"",SUMIFS(Log!$I$4:$I$1203,Log!$D$4:$D$1203,$A9,Log!$B$4:$B$1203,N$5,Log!$E$4:$E$1203,"A")))</f>
        <v/>
      </c>
      <c r="O9" s="79" t="str">
        <f aca="false">IF($A9="","",IF(SUMIFS(Log!$I$4:$I$1203,Log!$D$4:$D$1203,$A9,Log!$B$4:$B$1203,O$5,Log!$E$4:$E$1203,"A")=0,"",SUMIFS(Log!$I$4:$I$1203,Log!$D$4:$D$1203,$A9,Log!$B$4:$B$1203,O$5,Log!$E$4:$E$1203,"A")))</f>
        <v/>
      </c>
      <c r="P9" s="79" t="str">
        <f aca="false">IF($A9="","",IF(SUMIFS(Log!$I$4:$I$1203,Log!$D$4:$D$1203,$A9,Log!$B$4:$B$1203,P$5,Log!$E$4:$E$1203,"A")=0,"",SUMIFS(Log!$I$4:$I$1203,Log!$D$4:$D$1203,$A9,Log!$B$4:$B$1203,P$5,Log!$E$4:$E$1203,"A")))</f>
        <v/>
      </c>
      <c r="Q9" s="79" t="str">
        <f aca="false">IF($A9="","",IF(SUMIFS(Log!$I$4:$I$1203,Log!$D$4:$D$1203,$A9,Log!$B$4:$B$1203,Q$5,Log!$E$4:$E$1203,"A")=0,"",SUMIFS(Log!$I$4:$I$1203,Log!$D$4:$D$1203,$A9,Log!$B$4:$B$1203,Q$5,Log!$E$4:$E$1203,"A")))</f>
        <v/>
      </c>
      <c r="R9" s="78" t="n">
        <f aca="false">IF($A9="","",IF(SUMIFS(Log!$I$4:$I$1203,Log!$D$4:$D$1203,$A9,Log!$E$4:$E$1203,"A")=0,"",SUMIFS(Log!$I$4:$I$1203,Log!$D$4:$D$1203,$A9,Log!$E$4:$E$1203,"A")))</f>
        <v>30398</v>
      </c>
    </row>
    <row r="10" customFormat="false" ht="16.5" hidden="false" customHeight="true" outlineLevel="0" collapsed="false">
      <c r="A10" s="34" t="str">
        <f aca="false">IF(Übungen!$A8="","",Übungen!$A8)</f>
        <v>Reverse V-Squat</v>
      </c>
      <c r="B10" s="77" t="str">
        <f aca="false">IF($A10="","",IF(SUMIFS(Log!$I$4:$I$1203,Log!$D$4:$D$1203,$A10,Log!$B$4:$B$1203,B$5,Log!$E$4:$E$1203,"A")=0,"",SUMIFS(Log!$I$4:$I$1203,Log!$D$4:$D$1203,$A10,Log!$B$4:$B$1203,B$5,Log!$E$4:$E$1203,"A")))</f>
        <v/>
      </c>
      <c r="C10" s="77" t="str">
        <f aca="false">IF($A10="","",IF(SUMIFS(Log!$I$4:$I$1203,Log!$D$4:$D$1203,$A10,Log!$B$4:$B$1203,C$5,Log!$E$4:$E$1203,"A")=0,"",SUMIFS(Log!$I$4:$I$1203,Log!$D$4:$D$1203,$A10,Log!$B$4:$B$1203,C$5,Log!$E$4:$E$1203,"A")))</f>
        <v/>
      </c>
      <c r="D10" s="77" t="str">
        <f aca="false">IF($A10="","",IF(SUMIFS(Log!$I$4:$I$1203,Log!$D$4:$D$1203,$A10,Log!$B$4:$B$1203,D$5,Log!$E$4:$E$1203,"A")=0,"",SUMIFS(Log!$I$4:$I$1203,Log!$D$4:$D$1203,$A10,Log!$B$4:$B$1203,D$5,Log!$E$4:$E$1203,"A")))</f>
        <v/>
      </c>
      <c r="E10" s="77" t="str">
        <f aca="false">IF($A10="","",IF(SUMIFS(Log!$I$4:$I$1203,Log!$D$4:$D$1203,$A10,Log!$B$4:$B$1203,E$5,Log!$E$4:$E$1203,"A")=0,"",SUMIFS(Log!$I$4:$I$1203,Log!$D$4:$D$1203,$A10,Log!$B$4:$B$1203,E$5,Log!$E$4:$E$1203,"A")))</f>
        <v/>
      </c>
      <c r="F10" s="77" t="str">
        <f aca="false">IF($A10="","",IF(SUMIFS(Log!$I$4:$I$1203,Log!$D$4:$D$1203,$A10,Log!$B$4:$B$1203,F$5,Log!$E$4:$E$1203,"A")=0,"",SUMIFS(Log!$I$4:$I$1203,Log!$D$4:$D$1203,$A10,Log!$B$4:$B$1203,F$5,Log!$E$4:$E$1203,"A")))</f>
        <v/>
      </c>
      <c r="G10" s="77" t="str">
        <f aca="false">IF($A10="","",IF(SUMIFS(Log!$I$4:$I$1203,Log!$D$4:$D$1203,$A10,Log!$B$4:$B$1203,G$5,Log!$E$4:$E$1203,"A")=0,"",SUMIFS(Log!$I$4:$I$1203,Log!$D$4:$D$1203,$A10,Log!$B$4:$B$1203,G$5,Log!$E$4:$E$1203,"A")))</f>
        <v/>
      </c>
      <c r="H10" s="77" t="str">
        <f aca="false">IF($A10="","",IF(SUMIFS(Log!$I$4:$I$1203,Log!$D$4:$D$1203,$A10,Log!$B$4:$B$1203,H$5,Log!$E$4:$E$1203,"A")=0,"",SUMIFS(Log!$I$4:$I$1203,Log!$D$4:$D$1203,$A10,Log!$B$4:$B$1203,H$5,Log!$E$4:$E$1203,"A")))</f>
        <v/>
      </c>
      <c r="I10" s="77" t="str">
        <f aca="false">IF($A10="","",IF(SUMIFS(Log!$I$4:$I$1203,Log!$D$4:$D$1203,$A10,Log!$B$4:$B$1203,I$5,Log!$E$4:$E$1203,"A")=0,"",SUMIFS(Log!$I$4:$I$1203,Log!$D$4:$D$1203,$A10,Log!$B$4:$B$1203,I$5,Log!$E$4:$E$1203,"A")))</f>
        <v/>
      </c>
      <c r="J10" s="77" t="str">
        <f aca="false">IF($A10="","",IF(SUMIFS(Log!$I$4:$I$1203,Log!$D$4:$D$1203,$A10,Log!$B$4:$B$1203,J$5,Log!$E$4:$E$1203,"A")=0,"",SUMIFS(Log!$I$4:$I$1203,Log!$D$4:$D$1203,$A10,Log!$B$4:$B$1203,J$5,Log!$E$4:$E$1203,"A")))</f>
        <v/>
      </c>
      <c r="K10" s="77" t="str">
        <f aca="false">IF($A10="","",IF(SUMIFS(Log!$I$4:$I$1203,Log!$D$4:$D$1203,$A10,Log!$B$4:$B$1203,K$5,Log!$E$4:$E$1203,"A")=0,"",SUMIFS(Log!$I$4:$I$1203,Log!$D$4:$D$1203,$A10,Log!$B$4:$B$1203,K$5,Log!$E$4:$E$1203,"A")))</f>
        <v/>
      </c>
      <c r="L10" s="77" t="str">
        <f aca="false">IF($A10="","",IF(SUMIFS(Log!$I$4:$I$1203,Log!$D$4:$D$1203,$A10,Log!$B$4:$B$1203,L$5,Log!$E$4:$E$1203,"A")=0,"",SUMIFS(Log!$I$4:$I$1203,Log!$D$4:$D$1203,$A10,Log!$B$4:$B$1203,L$5,Log!$E$4:$E$1203,"A")))</f>
        <v/>
      </c>
      <c r="M10" s="77" t="str">
        <f aca="false">IF($A10="","",IF(SUMIFS(Log!$I$4:$I$1203,Log!$D$4:$D$1203,$A10,Log!$B$4:$B$1203,M$5,Log!$E$4:$E$1203,"A")=0,"",SUMIFS(Log!$I$4:$I$1203,Log!$D$4:$D$1203,$A10,Log!$B$4:$B$1203,M$5,Log!$E$4:$E$1203,"A")))</f>
        <v/>
      </c>
      <c r="N10" s="77" t="n">
        <f aca="false">IF($A10="","",IF(SUMIFS(Log!$I$4:$I$1203,Log!$D$4:$D$1203,$A10,Log!$B$4:$B$1203,N$5,Log!$E$4:$E$1203,"A")=0,"",SUMIFS(Log!$I$4:$I$1203,Log!$D$4:$D$1203,$A10,Log!$B$4:$B$1203,N$5,Log!$E$4:$E$1203,"A")))</f>
        <v>4220</v>
      </c>
      <c r="O10" s="77" t="n">
        <f aca="false">IF($A10="","",IF(SUMIFS(Log!$I$4:$I$1203,Log!$D$4:$D$1203,$A10,Log!$B$4:$B$1203,O$5,Log!$E$4:$E$1203,"A")=0,"",SUMIFS(Log!$I$4:$I$1203,Log!$D$4:$D$1203,$A10,Log!$B$4:$B$1203,O$5,Log!$E$4:$E$1203,"A")))</f>
        <v>3463</v>
      </c>
      <c r="P10" s="77" t="str">
        <f aca="false">IF($A10="","",IF(SUMIFS(Log!$I$4:$I$1203,Log!$D$4:$D$1203,$A10,Log!$B$4:$B$1203,P$5,Log!$E$4:$E$1203,"A")=0,"",SUMIFS(Log!$I$4:$I$1203,Log!$D$4:$D$1203,$A10,Log!$B$4:$B$1203,P$5,Log!$E$4:$E$1203,"A")))</f>
        <v/>
      </c>
      <c r="Q10" s="77" t="str">
        <f aca="false">IF($A10="","",IF(SUMIFS(Log!$I$4:$I$1203,Log!$D$4:$D$1203,$A10,Log!$B$4:$B$1203,Q$5,Log!$E$4:$E$1203,"A")=0,"",SUMIFS(Log!$I$4:$I$1203,Log!$D$4:$D$1203,$A10,Log!$B$4:$B$1203,Q$5,Log!$E$4:$E$1203,"A")))</f>
        <v/>
      </c>
      <c r="R10" s="78"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79" t="str">
        <f aca="false">IF($A11="","",IF(SUMIFS(Log!$I$4:$I$1203,Log!$D$4:$D$1203,$A11,Log!$B$4:$B$1203,B$5,Log!$E$4:$E$1203,"A")=0,"",SUMIFS(Log!$I$4:$I$1203,Log!$D$4:$D$1203,$A11,Log!$B$4:$B$1203,B$5,Log!$E$4:$E$1203,"A")))</f>
        <v/>
      </c>
      <c r="C11" s="79" t="str">
        <f aca="false">IF($A11="","",IF(SUMIFS(Log!$I$4:$I$1203,Log!$D$4:$D$1203,$A11,Log!$B$4:$B$1203,C$5,Log!$E$4:$E$1203,"A")=0,"",SUMIFS(Log!$I$4:$I$1203,Log!$D$4:$D$1203,$A11,Log!$B$4:$B$1203,C$5,Log!$E$4:$E$1203,"A")))</f>
        <v/>
      </c>
      <c r="D11" s="79" t="str">
        <f aca="false">IF($A11="","",IF(SUMIFS(Log!$I$4:$I$1203,Log!$D$4:$D$1203,$A11,Log!$B$4:$B$1203,D$5,Log!$E$4:$E$1203,"A")=0,"",SUMIFS(Log!$I$4:$I$1203,Log!$D$4:$D$1203,$A11,Log!$B$4:$B$1203,D$5,Log!$E$4:$E$1203,"A")))</f>
        <v/>
      </c>
      <c r="E11" s="79" t="str">
        <f aca="false">IF($A11="","",IF(SUMIFS(Log!$I$4:$I$1203,Log!$D$4:$D$1203,$A11,Log!$B$4:$B$1203,E$5,Log!$E$4:$E$1203,"A")=0,"",SUMIFS(Log!$I$4:$I$1203,Log!$D$4:$D$1203,$A11,Log!$B$4:$B$1203,E$5,Log!$E$4:$E$1203,"A")))</f>
        <v/>
      </c>
      <c r="F11" s="79" t="n">
        <f aca="false">IF($A11="","",IF(SUMIFS(Log!$I$4:$I$1203,Log!$D$4:$D$1203,$A11,Log!$B$4:$B$1203,F$5,Log!$E$4:$E$1203,"A")=0,"",SUMIFS(Log!$I$4:$I$1203,Log!$D$4:$D$1203,$A11,Log!$B$4:$B$1203,F$5,Log!$E$4:$E$1203,"A")))</f>
        <v>3740</v>
      </c>
      <c r="G11" s="79" t="str">
        <f aca="false">IF($A11="","",IF(SUMIFS(Log!$I$4:$I$1203,Log!$D$4:$D$1203,$A11,Log!$B$4:$B$1203,G$5,Log!$E$4:$E$1203,"A")=0,"",SUMIFS(Log!$I$4:$I$1203,Log!$D$4:$D$1203,$A11,Log!$B$4:$B$1203,G$5,Log!$E$4:$E$1203,"A")))</f>
        <v/>
      </c>
      <c r="H11" s="79" t="n">
        <f aca="false">IF($A11="","",IF(SUMIFS(Log!$I$4:$I$1203,Log!$D$4:$D$1203,$A11,Log!$B$4:$B$1203,H$5,Log!$E$4:$E$1203,"A")=0,"",SUMIFS(Log!$I$4:$I$1203,Log!$D$4:$D$1203,$A11,Log!$B$4:$B$1203,H$5,Log!$E$4:$E$1203,"A")))</f>
        <v>2810</v>
      </c>
      <c r="I11" s="79" t="str">
        <f aca="false">IF($A11="","",IF(SUMIFS(Log!$I$4:$I$1203,Log!$D$4:$D$1203,$A11,Log!$B$4:$B$1203,I$5,Log!$E$4:$E$1203,"A")=0,"",SUMIFS(Log!$I$4:$I$1203,Log!$D$4:$D$1203,$A11,Log!$B$4:$B$1203,I$5,Log!$E$4:$E$1203,"A")))</f>
        <v/>
      </c>
      <c r="J11" s="79" t="n">
        <f aca="false">IF($A11="","",IF(SUMIFS(Log!$I$4:$I$1203,Log!$D$4:$D$1203,$A11,Log!$B$4:$B$1203,J$5,Log!$E$4:$E$1203,"A")=0,"",SUMIFS(Log!$I$4:$I$1203,Log!$D$4:$D$1203,$A11,Log!$B$4:$B$1203,J$5,Log!$E$4:$E$1203,"A")))</f>
        <v>2665</v>
      </c>
      <c r="K11" s="79" t="str">
        <f aca="false">IF($A11="","",IF(SUMIFS(Log!$I$4:$I$1203,Log!$D$4:$D$1203,$A11,Log!$B$4:$B$1203,K$5,Log!$E$4:$E$1203,"A")=0,"",SUMIFS(Log!$I$4:$I$1203,Log!$D$4:$D$1203,$A11,Log!$B$4:$B$1203,K$5,Log!$E$4:$E$1203,"A")))</f>
        <v/>
      </c>
      <c r="L11" s="79" t="n">
        <f aca="false">IF($A11="","",IF(SUMIFS(Log!$I$4:$I$1203,Log!$D$4:$D$1203,$A11,Log!$B$4:$B$1203,L$5,Log!$E$4:$E$1203,"A")=0,"",SUMIFS(Log!$I$4:$I$1203,Log!$D$4:$D$1203,$A11,Log!$B$4:$B$1203,L$5,Log!$E$4:$E$1203,"A")))</f>
        <v>1540</v>
      </c>
      <c r="M11" s="79" t="str">
        <f aca="false">IF($A11="","",IF(SUMIFS(Log!$I$4:$I$1203,Log!$D$4:$D$1203,$A11,Log!$B$4:$B$1203,M$5,Log!$E$4:$E$1203,"A")=0,"",SUMIFS(Log!$I$4:$I$1203,Log!$D$4:$D$1203,$A11,Log!$B$4:$B$1203,M$5,Log!$E$4:$E$1203,"A")))</f>
        <v/>
      </c>
      <c r="N11" s="79" t="str">
        <f aca="false">IF($A11="","",IF(SUMIFS(Log!$I$4:$I$1203,Log!$D$4:$D$1203,$A11,Log!$B$4:$B$1203,N$5,Log!$E$4:$E$1203,"A")=0,"",SUMIFS(Log!$I$4:$I$1203,Log!$D$4:$D$1203,$A11,Log!$B$4:$B$1203,N$5,Log!$E$4:$E$1203,"A")))</f>
        <v/>
      </c>
      <c r="O11" s="79" t="str">
        <f aca="false">IF($A11="","",IF(SUMIFS(Log!$I$4:$I$1203,Log!$D$4:$D$1203,$A11,Log!$B$4:$B$1203,O$5,Log!$E$4:$E$1203,"A")=0,"",SUMIFS(Log!$I$4:$I$1203,Log!$D$4:$D$1203,$A11,Log!$B$4:$B$1203,O$5,Log!$E$4:$E$1203,"A")))</f>
        <v/>
      </c>
      <c r="P11" s="79" t="str">
        <f aca="false">IF($A11="","",IF(SUMIFS(Log!$I$4:$I$1203,Log!$D$4:$D$1203,$A11,Log!$B$4:$B$1203,P$5,Log!$E$4:$E$1203,"A")=0,"",SUMIFS(Log!$I$4:$I$1203,Log!$D$4:$D$1203,$A11,Log!$B$4:$B$1203,P$5,Log!$E$4:$E$1203,"A")))</f>
        <v/>
      </c>
      <c r="Q11" s="79" t="str">
        <f aca="false">IF($A11="","",IF(SUMIFS(Log!$I$4:$I$1203,Log!$D$4:$D$1203,$A11,Log!$B$4:$B$1203,Q$5,Log!$E$4:$E$1203,"A")=0,"",SUMIFS(Log!$I$4:$I$1203,Log!$D$4:$D$1203,$A11,Log!$B$4:$B$1203,Q$5,Log!$E$4:$E$1203,"A")))</f>
        <v/>
      </c>
      <c r="R11" s="78" t="n">
        <f aca="false">IF($A11="","",IF(SUMIFS(Log!$I$4:$I$1203,Log!$D$4:$D$1203,$A11,Log!$E$4:$E$1203,"A")=0,"",SUMIFS(Log!$I$4:$I$1203,Log!$D$4:$D$1203,$A11,Log!$E$4:$E$1203,"A")))</f>
        <v>10755</v>
      </c>
    </row>
    <row r="12" customFormat="false" ht="16.5" hidden="false" customHeight="true" outlineLevel="0" collapsed="false">
      <c r="A12" s="34" t="str">
        <f aca="false">IF(Übungen!$A10="","",Übungen!$A10)</f>
        <v>Rumänisches Kreuzheben KH</v>
      </c>
      <c r="B12" s="77" t="str">
        <f aca="false">IF($A12="","",IF(SUMIFS(Log!$I$4:$I$1203,Log!$D$4:$D$1203,$A12,Log!$B$4:$B$1203,B$5,Log!$E$4:$E$1203,"A")=0,"",SUMIFS(Log!$I$4:$I$1203,Log!$D$4:$D$1203,$A12,Log!$B$4:$B$1203,B$5,Log!$E$4:$E$1203,"A")))</f>
        <v/>
      </c>
      <c r="C12" s="77" t="str">
        <f aca="false">IF($A12="","",IF(SUMIFS(Log!$I$4:$I$1203,Log!$D$4:$D$1203,$A12,Log!$B$4:$B$1203,C$5,Log!$E$4:$E$1203,"A")=0,"",SUMIFS(Log!$I$4:$I$1203,Log!$D$4:$D$1203,$A12,Log!$B$4:$B$1203,C$5,Log!$E$4:$E$1203,"A")))</f>
        <v/>
      </c>
      <c r="D12" s="77" t="str">
        <f aca="false">IF($A12="","",IF(SUMIFS(Log!$I$4:$I$1203,Log!$D$4:$D$1203,$A12,Log!$B$4:$B$1203,D$5,Log!$E$4:$E$1203,"A")=0,"",SUMIFS(Log!$I$4:$I$1203,Log!$D$4:$D$1203,$A12,Log!$B$4:$B$1203,D$5,Log!$E$4:$E$1203,"A")))</f>
        <v/>
      </c>
      <c r="E12" s="77" t="str">
        <f aca="false">IF($A12="","",IF(SUMIFS(Log!$I$4:$I$1203,Log!$D$4:$D$1203,$A12,Log!$B$4:$B$1203,E$5,Log!$E$4:$E$1203,"A")=0,"",SUMIFS(Log!$I$4:$I$1203,Log!$D$4:$D$1203,$A12,Log!$B$4:$B$1203,E$5,Log!$E$4:$E$1203,"A")))</f>
        <v/>
      </c>
      <c r="F12" s="77" t="str">
        <f aca="false">IF($A12="","",IF(SUMIFS(Log!$I$4:$I$1203,Log!$D$4:$D$1203,$A12,Log!$B$4:$B$1203,F$5,Log!$E$4:$E$1203,"A")=0,"",SUMIFS(Log!$I$4:$I$1203,Log!$D$4:$D$1203,$A12,Log!$B$4:$B$1203,F$5,Log!$E$4:$E$1203,"A")))</f>
        <v/>
      </c>
      <c r="G12" s="77" t="str">
        <f aca="false">IF($A12="","",IF(SUMIFS(Log!$I$4:$I$1203,Log!$D$4:$D$1203,$A12,Log!$B$4:$B$1203,G$5,Log!$E$4:$E$1203,"A")=0,"",SUMIFS(Log!$I$4:$I$1203,Log!$D$4:$D$1203,$A12,Log!$B$4:$B$1203,G$5,Log!$E$4:$E$1203,"A")))</f>
        <v/>
      </c>
      <c r="H12" s="77" t="str">
        <f aca="false">IF($A12="","",IF(SUMIFS(Log!$I$4:$I$1203,Log!$D$4:$D$1203,$A12,Log!$B$4:$B$1203,H$5,Log!$E$4:$E$1203,"A")=0,"",SUMIFS(Log!$I$4:$I$1203,Log!$D$4:$D$1203,$A12,Log!$B$4:$B$1203,H$5,Log!$E$4:$E$1203,"A")))</f>
        <v/>
      </c>
      <c r="I12" s="77" t="str">
        <f aca="false">IF($A12="","",IF(SUMIFS(Log!$I$4:$I$1203,Log!$D$4:$D$1203,$A12,Log!$B$4:$B$1203,I$5,Log!$E$4:$E$1203,"A")=0,"",SUMIFS(Log!$I$4:$I$1203,Log!$D$4:$D$1203,$A12,Log!$B$4:$B$1203,I$5,Log!$E$4:$E$1203,"A")))</f>
        <v/>
      </c>
      <c r="J12" s="77" t="str">
        <f aca="false">IF($A12="","",IF(SUMIFS(Log!$I$4:$I$1203,Log!$D$4:$D$1203,$A12,Log!$B$4:$B$1203,J$5,Log!$E$4:$E$1203,"A")=0,"",SUMIFS(Log!$I$4:$I$1203,Log!$D$4:$D$1203,$A12,Log!$B$4:$B$1203,J$5,Log!$E$4:$E$1203,"A")))</f>
        <v/>
      </c>
      <c r="K12" s="77" t="str">
        <f aca="false">IF($A12="","",IF(SUMIFS(Log!$I$4:$I$1203,Log!$D$4:$D$1203,$A12,Log!$B$4:$B$1203,K$5,Log!$E$4:$E$1203,"A")=0,"",SUMIFS(Log!$I$4:$I$1203,Log!$D$4:$D$1203,$A12,Log!$B$4:$B$1203,K$5,Log!$E$4:$E$1203,"A")))</f>
        <v/>
      </c>
      <c r="L12" s="77" t="str">
        <f aca="false">IF($A12="","",IF(SUMIFS(Log!$I$4:$I$1203,Log!$D$4:$D$1203,$A12,Log!$B$4:$B$1203,L$5,Log!$E$4:$E$1203,"A")=0,"",SUMIFS(Log!$I$4:$I$1203,Log!$D$4:$D$1203,$A12,Log!$B$4:$B$1203,L$5,Log!$E$4:$E$1203,"A")))</f>
        <v/>
      </c>
      <c r="M12" s="77" t="str">
        <f aca="false">IF($A12="","",IF(SUMIFS(Log!$I$4:$I$1203,Log!$D$4:$D$1203,$A12,Log!$B$4:$B$1203,M$5,Log!$E$4:$E$1203,"A")=0,"",SUMIFS(Log!$I$4:$I$1203,Log!$D$4:$D$1203,$A12,Log!$B$4:$B$1203,M$5,Log!$E$4:$E$1203,"A")))</f>
        <v/>
      </c>
      <c r="N12" s="77" t="str">
        <f aca="false">IF($A12="","",IF(SUMIFS(Log!$I$4:$I$1203,Log!$D$4:$D$1203,$A12,Log!$B$4:$B$1203,N$5,Log!$E$4:$E$1203,"A")=0,"",SUMIFS(Log!$I$4:$I$1203,Log!$D$4:$D$1203,$A12,Log!$B$4:$B$1203,N$5,Log!$E$4:$E$1203,"A")))</f>
        <v/>
      </c>
      <c r="O12" s="77" t="n">
        <f aca="false">IF($A12="","",IF(SUMIFS(Log!$I$4:$I$1203,Log!$D$4:$D$1203,$A12,Log!$B$4:$B$1203,O$5,Log!$E$4:$E$1203,"A")=0,"",SUMIFS(Log!$I$4:$I$1203,Log!$D$4:$D$1203,$A12,Log!$B$4:$B$1203,O$5,Log!$E$4:$E$1203,"A")))</f>
        <v>480</v>
      </c>
      <c r="P12" s="77" t="str">
        <f aca="false">IF($A12="","",IF(SUMIFS(Log!$I$4:$I$1203,Log!$D$4:$D$1203,$A12,Log!$B$4:$B$1203,P$5,Log!$E$4:$E$1203,"A")=0,"",SUMIFS(Log!$I$4:$I$1203,Log!$D$4:$D$1203,$A12,Log!$B$4:$B$1203,P$5,Log!$E$4:$E$1203,"A")))</f>
        <v/>
      </c>
      <c r="Q12" s="77" t="str">
        <f aca="false">IF($A12="","",IF(SUMIFS(Log!$I$4:$I$1203,Log!$D$4:$D$1203,$A12,Log!$B$4:$B$1203,Q$5,Log!$E$4:$E$1203,"A")=0,"",SUMIFS(Log!$I$4:$I$1203,Log!$D$4:$D$1203,$A12,Log!$B$4:$B$1203,Q$5,Log!$E$4:$E$1203,"A")))</f>
        <v/>
      </c>
      <c r="R12" s="78"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79" t="str">
        <f aca="false">IF($A13="","",IF(SUMIFS(Log!$I$4:$I$1203,Log!$D$4:$D$1203,$A13,Log!$B$4:$B$1203,B$5,Log!$E$4:$E$1203,"A")=0,"",SUMIFS(Log!$I$4:$I$1203,Log!$D$4:$D$1203,$A13,Log!$B$4:$B$1203,B$5,Log!$E$4:$E$1203,"A")))</f>
        <v/>
      </c>
      <c r="C13" s="79" t="str">
        <f aca="false">IF($A13="","",IF(SUMIFS(Log!$I$4:$I$1203,Log!$D$4:$D$1203,$A13,Log!$B$4:$B$1203,C$5,Log!$E$4:$E$1203,"A")=0,"",SUMIFS(Log!$I$4:$I$1203,Log!$D$4:$D$1203,$A13,Log!$B$4:$B$1203,C$5,Log!$E$4:$E$1203,"A")))</f>
        <v/>
      </c>
      <c r="D13" s="79" t="str">
        <f aca="false">IF($A13="","",IF(SUMIFS(Log!$I$4:$I$1203,Log!$D$4:$D$1203,$A13,Log!$B$4:$B$1203,D$5,Log!$E$4:$E$1203,"A")=0,"",SUMIFS(Log!$I$4:$I$1203,Log!$D$4:$D$1203,$A13,Log!$B$4:$B$1203,D$5,Log!$E$4:$E$1203,"A")))</f>
        <v/>
      </c>
      <c r="E13" s="79" t="str">
        <f aca="false">IF($A13="","",IF(SUMIFS(Log!$I$4:$I$1203,Log!$D$4:$D$1203,$A13,Log!$B$4:$B$1203,E$5,Log!$E$4:$E$1203,"A")=0,"",SUMIFS(Log!$I$4:$I$1203,Log!$D$4:$D$1203,$A13,Log!$B$4:$B$1203,E$5,Log!$E$4:$E$1203,"A")))</f>
        <v/>
      </c>
      <c r="F13" s="79" t="str">
        <f aca="false">IF($A13="","",IF(SUMIFS(Log!$I$4:$I$1203,Log!$D$4:$D$1203,$A13,Log!$B$4:$B$1203,F$5,Log!$E$4:$E$1203,"A")=0,"",SUMIFS(Log!$I$4:$I$1203,Log!$D$4:$D$1203,$A13,Log!$B$4:$B$1203,F$5,Log!$E$4:$E$1203,"A")))</f>
        <v/>
      </c>
      <c r="G13" s="79" t="str">
        <f aca="false">IF($A13="","",IF(SUMIFS(Log!$I$4:$I$1203,Log!$D$4:$D$1203,$A13,Log!$B$4:$B$1203,G$5,Log!$E$4:$E$1203,"A")=0,"",SUMIFS(Log!$I$4:$I$1203,Log!$D$4:$D$1203,$A13,Log!$B$4:$B$1203,G$5,Log!$E$4:$E$1203,"A")))</f>
        <v/>
      </c>
      <c r="H13" s="79" t="str">
        <f aca="false">IF($A13="","",IF(SUMIFS(Log!$I$4:$I$1203,Log!$D$4:$D$1203,$A13,Log!$B$4:$B$1203,H$5,Log!$E$4:$E$1203,"A")=0,"",SUMIFS(Log!$I$4:$I$1203,Log!$D$4:$D$1203,$A13,Log!$B$4:$B$1203,H$5,Log!$E$4:$E$1203,"A")))</f>
        <v/>
      </c>
      <c r="I13" s="79" t="str">
        <f aca="false">IF($A13="","",IF(SUMIFS(Log!$I$4:$I$1203,Log!$D$4:$D$1203,$A13,Log!$B$4:$B$1203,I$5,Log!$E$4:$E$1203,"A")=0,"",SUMIFS(Log!$I$4:$I$1203,Log!$D$4:$D$1203,$A13,Log!$B$4:$B$1203,I$5,Log!$E$4:$E$1203,"A")))</f>
        <v/>
      </c>
      <c r="J13" s="79" t="str">
        <f aca="false">IF($A13="","",IF(SUMIFS(Log!$I$4:$I$1203,Log!$D$4:$D$1203,$A13,Log!$B$4:$B$1203,J$5,Log!$E$4:$E$1203,"A")=0,"",SUMIFS(Log!$I$4:$I$1203,Log!$D$4:$D$1203,$A13,Log!$B$4:$B$1203,J$5,Log!$E$4:$E$1203,"A")))</f>
        <v/>
      </c>
      <c r="K13" s="79" t="str">
        <f aca="false">IF($A13="","",IF(SUMIFS(Log!$I$4:$I$1203,Log!$D$4:$D$1203,$A13,Log!$B$4:$B$1203,K$5,Log!$E$4:$E$1203,"A")=0,"",SUMIFS(Log!$I$4:$I$1203,Log!$D$4:$D$1203,$A13,Log!$B$4:$B$1203,K$5,Log!$E$4:$E$1203,"A")))</f>
        <v/>
      </c>
      <c r="L13" s="79" t="str">
        <f aca="false">IF($A13="","",IF(SUMIFS(Log!$I$4:$I$1203,Log!$D$4:$D$1203,$A13,Log!$B$4:$B$1203,L$5,Log!$E$4:$E$1203,"A")=0,"",SUMIFS(Log!$I$4:$I$1203,Log!$D$4:$D$1203,$A13,Log!$B$4:$B$1203,L$5,Log!$E$4:$E$1203,"A")))</f>
        <v/>
      </c>
      <c r="M13" s="79" t="str">
        <f aca="false">IF($A13="","",IF(SUMIFS(Log!$I$4:$I$1203,Log!$D$4:$D$1203,$A13,Log!$B$4:$B$1203,M$5,Log!$E$4:$E$1203,"A")=0,"",SUMIFS(Log!$I$4:$I$1203,Log!$D$4:$D$1203,$A13,Log!$B$4:$B$1203,M$5,Log!$E$4:$E$1203,"A")))</f>
        <v/>
      </c>
      <c r="N13" s="79" t="str">
        <f aca="false">IF($A13="","",IF(SUMIFS(Log!$I$4:$I$1203,Log!$D$4:$D$1203,$A13,Log!$B$4:$B$1203,N$5,Log!$E$4:$E$1203,"A")=0,"",SUMIFS(Log!$I$4:$I$1203,Log!$D$4:$D$1203,$A13,Log!$B$4:$B$1203,N$5,Log!$E$4:$E$1203,"A")))</f>
        <v/>
      </c>
      <c r="O13" s="79" t="str">
        <f aca="false">IF($A13="","",IF(SUMIFS(Log!$I$4:$I$1203,Log!$D$4:$D$1203,$A13,Log!$B$4:$B$1203,O$5,Log!$E$4:$E$1203,"A")=0,"",SUMIFS(Log!$I$4:$I$1203,Log!$D$4:$D$1203,$A13,Log!$B$4:$B$1203,O$5,Log!$E$4:$E$1203,"A")))</f>
        <v/>
      </c>
      <c r="P13" s="79" t="str">
        <f aca="false">IF($A13="","",IF(SUMIFS(Log!$I$4:$I$1203,Log!$D$4:$D$1203,$A13,Log!$B$4:$B$1203,P$5,Log!$E$4:$E$1203,"A")=0,"",SUMIFS(Log!$I$4:$I$1203,Log!$D$4:$D$1203,$A13,Log!$B$4:$B$1203,P$5,Log!$E$4:$E$1203,"A")))</f>
        <v/>
      </c>
      <c r="Q13" s="79" t="str">
        <f aca="false">IF($A13="","",IF(SUMIFS(Log!$I$4:$I$1203,Log!$D$4:$D$1203,$A13,Log!$B$4:$B$1203,Q$5,Log!$E$4:$E$1203,"A")=0,"",SUMIFS(Log!$I$4:$I$1203,Log!$D$4:$D$1203,$A13,Log!$B$4:$B$1203,Q$5,Log!$E$4:$E$1203,"A")))</f>
        <v/>
      </c>
      <c r="R13" s="78" t="str">
        <f aca="false">IF($A13="","",IF(SUMIFS(Log!$I$4:$I$1203,Log!$D$4:$D$1203,$A13,Log!$E$4:$E$1203,"A")=0,"",SUMIFS(Log!$I$4:$I$1203,Log!$D$4:$D$1203,$A13,Log!$E$4:$E$1203,"A")))</f>
        <v/>
      </c>
    </row>
    <row r="14" customFormat="false" ht="16.5" hidden="false" customHeight="true" outlineLevel="0" collapsed="false">
      <c r="A14" s="34" t="str">
        <f aca="false">IF(Übungen!$A12="","",Übungen!$A12)</f>
        <v>Hip Thrust</v>
      </c>
      <c r="B14" s="77" t="n">
        <f aca="false">IF($A14="","",IF(SUMIFS(Log!$I$4:$I$1203,Log!$D$4:$D$1203,$A14,Log!$B$4:$B$1203,B$5,Log!$E$4:$E$1203,"A")=0,"",SUMIFS(Log!$I$4:$I$1203,Log!$D$4:$D$1203,$A14,Log!$B$4:$B$1203,B$5,Log!$E$4:$E$1203,"A")))</f>
        <v>4560</v>
      </c>
      <c r="C14" s="77" t="n">
        <f aca="false">IF($A14="","",IF(SUMIFS(Log!$I$4:$I$1203,Log!$D$4:$D$1203,$A14,Log!$B$4:$B$1203,C$5,Log!$E$4:$E$1203,"A")=0,"",SUMIFS(Log!$I$4:$I$1203,Log!$D$4:$D$1203,$A14,Log!$B$4:$B$1203,C$5,Log!$E$4:$E$1203,"A")))</f>
        <v>4080</v>
      </c>
      <c r="D14" s="77" t="n">
        <f aca="false">IF($A14="","",IF(SUMIFS(Log!$I$4:$I$1203,Log!$D$4:$D$1203,$A14,Log!$B$4:$B$1203,D$5,Log!$E$4:$E$1203,"A")=0,"",SUMIFS(Log!$I$4:$I$1203,Log!$D$4:$D$1203,$A14,Log!$B$4:$B$1203,D$5,Log!$E$4:$E$1203,"A")))</f>
        <v>4940</v>
      </c>
      <c r="E14" s="77" t="n">
        <f aca="false">IF($A14="","",IF(SUMIFS(Log!$I$4:$I$1203,Log!$D$4:$D$1203,$A14,Log!$B$4:$B$1203,E$5,Log!$E$4:$E$1203,"A")=0,"",SUMIFS(Log!$I$4:$I$1203,Log!$D$4:$D$1203,$A14,Log!$B$4:$B$1203,E$5,Log!$E$4:$E$1203,"A")))</f>
        <v>6480</v>
      </c>
      <c r="F14" s="77" t="n">
        <f aca="false">IF($A14="","",IF(SUMIFS(Log!$I$4:$I$1203,Log!$D$4:$D$1203,$A14,Log!$B$4:$B$1203,F$5,Log!$E$4:$E$1203,"A")=0,"",SUMIFS(Log!$I$4:$I$1203,Log!$D$4:$D$1203,$A14,Log!$B$4:$B$1203,F$5,Log!$E$4:$E$1203,"A")))</f>
        <v>5020</v>
      </c>
      <c r="G14" s="77" t="str">
        <f aca="false">IF($A14="","",IF(SUMIFS(Log!$I$4:$I$1203,Log!$D$4:$D$1203,$A14,Log!$B$4:$B$1203,G$5,Log!$E$4:$E$1203,"A")=0,"",SUMIFS(Log!$I$4:$I$1203,Log!$D$4:$D$1203,$A14,Log!$B$4:$B$1203,G$5,Log!$E$4:$E$1203,"A")))</f>
        <v/>
      </c>
      <c r="H14" s="77" t="n">
        <f aca="false">IF($A14="","",IF(SUMIFS(Log!$I$4:$I$1203,Log!$D$4:$D$1203,$A14,Log!$B$4:$B$1203,H$5,Log!$E$4:$E$1203,"A")=0,"",SUMIFS(Log!$I$4:$I$1203,Log!$D$4:$D$1203,$A14,Log!$B$4:$B$1203,H$5,Log!$E$4:$E$1203,"A")))</f>
        <v>6880</v>
      </c>
      <c r="I14" s="77" t="str">
        <f aca="false">IF($A14="","",IF(SUMIFS(Log!$I$4:$I$1203,Log!$D$4:$D$1203,$A14,Log!$B$4:$B$1203,I$5,Log!$E$4:$E$1203,"A")=0,"",SUMIFS(Log!$I$4:$I$1203,Log!$D$4:$D$1203,$A14,Log!$B$4:$B$1203,I$5,Log!$E$4:$E$1203,"A")))</f>
        <v/>
      </c>
      <c r="J14" s="77" t="str">
        <f aca="false">IF($A14="","",IF(SUMIFS(Log!$I$4:$I$1203,Log!$D$4:$D$1203,$A14,Log!$B$4:$B$1203,J$5,Log!$E$4:$E$1203,"A")=0,"",SUMIFS(Log!$I$4:$I$1203,Log!$D$4:$D$1203,$A14,Log!$B$4:$B$1203,J$5,Log!$E$4:$E$1203,"A")))</f>
        <v/>
      </c>
      <c r="K14" s="77" t="str">
        <f aca="false">IF($A14="","",IF(SUMIFS(Log!$I$4:$I$1203,Log!$D$4:$D$1203,$A14,Log!$B$4:$B$1203,K$5,Log!$E$4:$E$1203,"A")=0,"",SUMIFS(Log!$I$4:$I$1203,Log!$D$4:$D$1203,$A14,Log!$B$4:$B$1203,K$5,Log!$E$4:$E$1203,"A")))</f>
        <v/>
      </c>
      <c r="L14" s="77" t="n">
        <f aca="false">IF($A14="","",IF(SUMIFS(Log!$I$4:$I$1203,Log!$D$4:$D$1203,$A14,Log!$B$4:$B$1203,L$5,Log!$E$4:$E$1203,"A")=0,"",SUMIFS(Log!$I$4:$I$1203,Log!$D$4:$D$1203,$A14,Log!$B$4:$B$1203,L$5,Log!$E$4:$E$1203,"A")))</f>
        <v>5480</v>
      </c>
      <c r="M14" s="77" t="str">
        <f aca="false">IF($A14="","",IF(SUMIFS(Log!$I$4:$I$1203,Log!$D$4:$D$1203,$A14,Log!$B$4:$B$1203,M$5,Log!$E$4:$E$1203,"A")=0,"",SUMIFS(Log!$I$4:$I$1203,Log!$D$4:$D$1203,$A14,Log!$B$4:$B$1203,M$5,Log!$E$4:$E$1203,"A")))</f>
        <v/>
      </c>
      <c r="N14" s="77" t="n">
        <f aca="false">IF($A14="","",IF(SUMIFS(Log!$I$4:$I$1203,Log!$D$4:$D$1203,$A14,Log!$B$4:$B$1203,N$5,Log!$E$4:$E$1203,"A")=0,"",SUMIFS(Log!$I$4:$I$1203,Log!$D$4:$D$1203,$A14,Log!$B$4:$B$1203,N$5,Log!$E$4:$E$1203,"A")))</f>
        <v>6340</v>
      </c>
      <c r="O14" s="77" t="n">
        <f aca="false">IF($A14="","",IF(SUMIFS(Log!$I$4:$I$1203,Log!$D$4:$D$1203,$A14,Log!$B$4:$B$1203,O$5,Log!$E$4:$E$1203,"A")=0,"",SUMIFS(Log!$I$4:$I$1203,Log!$D$4:$D$1203,$A14,Log!$B$4:$B$1203,O$5,Log!$E$4:$E$1203,"A")))</f>
        <v>4590</v>
      </c>
      <c r="P14" s="77" t="str">
        <f aca="false">IF($A14="","",IF(SUMIFS(Log!$I$4:$I$1203,Log!$D$4:$D$1203,$A14,Log!$B$4:$B$1203,P$5,Log!$E$4:$E$1203,"A")=0,"",SUMIFS(Log!$I$4:$I$1203,Log!$D$4:$D$1203,$A14,Log!$B$4:$B$1203,P$5,Log!$E$4:$E$1203,"A")))</f>
        <v/>
      </c>
      <c r="Q14" s="77" t="str">
        <f aca="false">IF($A14="","",IF(SUMIFS(Log!$I$4:$I$1203,Log!$D$4:$D$1203,$A14,Log!$B$4:$B$1203,Q$5,Log!$E$4:$E$1203,"A")=0,"",SUMIFS(Log!$I$4:$I$1203,Log!$D$4:$D$1203,$A14,Log!$B$4:$B$1203,Q$5,Log!$E$4:$E$1203,"A")))</f>
        <v/>
      </c>
      <c r="R14" s="78"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79" t="str">
        <f aca="false">IF($A15="","",IF(SUMIFS(Log!$I$4:$I$1203,Log!$D$4:$D$1203,$A15,Log!$B$4:$B$1203,B$5,Log!$E$4:$E$1203,"A")=0,"",SUMIFS(Log!$I$4:$I$1203,Log!$D$4:$D$1203,$A15,Log!$B$4:$B$1203,B$5,Log!$E$4:$E$1203,"A")))</f>
        <v/>
      </c>
      <c r="C15" s="79" t="str">
        <f aca="false">IF($A15="","",IF(SUMIFS(Log!$I$4:$I$1203,Log!$D$4:$D$1203,$A15,Log!$B$4:$B$1203,C$5,Log!$E$4:$E$1203,"A")=0,"",SUMIFS(Log!$I$4:$I$1203,Log!$D$4:$D$1203,$A15,Log!$B$4:$B$1203,C$5,Log!$E$4:$E$1203,"A")))</f>
        <v/>
      </c>
      <c r="D15" s="79" t="str">
        <f aca="false">IF($A15="","",IF(SUMIFS(Log!$I$4:$I$1203,Log!$D$4:$D$1203,$A15,Log!$B$4:$B$1203,D$5,Log!$E$4:$E$1203,"A")=0,"",SUMIFS(Log!$I$4:$I$1203,Log!$D$4:$D$1203,$A15,Log!$B$4:$B$1203,D$5,Log!$E$4:$E$1203,"A")))</f>
        <v/>
      </c>
      <c r="E15" s="79" t="str">
        <f aca="false">IF($A15="","",IF(SUMIFS(Log!$I$4:$I$1203,Log!$D$4:$D$1203,$A15,Log!$B$4:$B$1203,E$5,Log!$E$4:$E$1203,"A")=0,"",SUMIFS(Log!$I$4:$I$1203,Log!$D$4:$D$1203,$A15,Log!$B$4:$B$1203,E$5,Log!$E$4:$E$1203,"A")))</f>
        <v/>
      </c>
      <c r="F15" s="79" t="str">
        <f aca="false">IF($A15="","",IF(SUMIFS(Log!$I$4:$I$1203,Log!$D$4:$D$1203,$A15,Log!$B$4:$B$1203,F$5,Log!$E$4:$E$1203,"A")=0,"",SUMIFS(Log!$I$4:$I$1203,Log!$D$4:$D$1203,$A15,Log!$B$4:$B$1203,F$5,Log!$E$4:$E$1203,"A")))</f>
        <v/>
      </c>
      <c r="G15" s="79" t="str">
        <f aca="false">IF($A15="","",IF(SUMIFS(Log!$I$4:$I$1203,Log!$D$4:$D$1203,$A15,Log!$B$4:$B$1203,G$5,Log!$E$4:$E$1203,"A")=0,"",SUMIFS(Log!$I$4:$I$1203,Log!$D$4:$D$1203,$A15,Log!$B$4:$B$1203,G$5,Log!$E$4:$E$1203,"A")))</f>
        <v/>
      </c>
      <c r="H15" s="79" t="n">
        <f aca="false">IF($A15="","",IF(SUMIFS(Log!$I$4:$I$1203,Log!$D$4:$D$1203,$A15,Log!$B$4:$B$1203,H$5,Log!$E$4:$E$1203,"A")=0,"",SUMIFS(Log!$I$4:$I$1203,Log!$D$4:$D$1203,$A15,Log!$B$4:$B$1203,H$5,Log!$E$4:$E$1203,"A")))</f>
        <v>3732</v>
      </c>
      <c r="I15" s="79" t="str">
        <f aca="false">IF($A15="","",IF(SUMIFS(Log!$I$4:$I$1203,Log!$D$4:$D$1203,$A15,Log!$B$4:$B$1203,I$5,Log!$E$4:$E$1203,"A")=0,"",SUMIFS(Log!$I$4:$I$1203,Log!$D$4:$D$1203,$A15,Log!$B$4:$B$1203,I$5,Log!$E$4:$E$1203,"A")))</f>
        <v/>
      </c>
      <c r="J15" s="79" t="n">
        <f aca="false">IF($A15="","",IF(SUMIFS(Log!$I$4:$I$1203,Log!$D$4:$D$1203,$A15,Log!$B$4:$B$1203,J$5,Log!$E$4:$E$1203,"A")=0,"",SUMIFS(Log!$I$4:$I$1203,Log!$D$4:$D$1203,$A15,Log!$B$4:$B$1203,J$5,Log!$E$4:$E$1203,"A")))</f>
        <v>5190</v>
      </c>
      <c r="K15" s="79" t="str">
        <f aca="false">IF($A15="","",IF(SUMIFS(Log!$I$4:$I$1203,Log!$D$4:$D$1203,$A15,Log!$B$4:$B$1203,K$5,Log!$E$4:$E$1203,"A")=0,"",SUMIFS(Log!$I$4:$I$1203,Log!$D$4:$D$1203,$A15,Log!$B$4:$B$1203,K$5,Log!$E$4:$E$1203,"A")))</f>
        <v/>
      </c>
      <c r="L15" s="79" t="n">
        <f aca="false">IF($A15="","",IF(SUMIFS(Log!$I$4:$I$1203,Log!$D$4:$D$1203,$A15,Log!$B$4:$B$1203,L$5,Log!$E$4:$E$1203,"A")=0,"",SUMIFS(Log!$I$4:$I$1203,Log!$D$4:$D$1203,$A15,Log!$B$4:$B$1203,L$5,Log!$E$4:$E$1203,"A")))</f>
        <v>5202</v>
      </c>
      <c r="M15" s="79" t="str">
        <f aca="false">IF($A15="","",IF(SUMIFS(Log!$I$4:$I$1203,Log!$D$4:$D$1203,$A15,Log!$B$4:$B$1203,M$5,Log!$E$4:$E$1203,"A")=0,"",SUMIFS(Log!$I$4:$I$1203,Log!$D$4:$D$1203,$A15,Log!$B$4:$B$1203,M$5,Log!$E$4:$E$1203,"A")))</f>
        <v/>
      </c>
      <c r="N15" s="79" t="n">
        <f aca="false">IF($A15="","",IF(SUMIFS(Log!$I$4:$I$1203,Log!$D$4:$D$1203,$A15,Log!$B$4:$B$1203,N$5,Log!$E$4:$E$1203,"A")=0,"",SUMIFS(Log!$I$4:$I$1203,Log!$D$4:$D$1203,$A15,Log!$B$4:$B$1203,N$5,Log!$E$4:$E$1203,"A")))</f>
        <v>1176</v>
      </c>
      <c r="O15" s="79" t="n">
        <f aca="false">IF($A15="","",IF(SUMIFS(Log!$I$4:$I$1203,Log!$D$4:$D$1203,$A15,Log!$B$4:$B$1203,O$5,Log!$E$4:$E$1203,"A")=0,"",SUMIFS(Log!$I$4:$I$1203,Log!$D$4:$D$1203,$A15,Log!$B$4:$B$1203,O$5,Log!$E$4:$E$1203,"A")))</f>
        <v>2737</v>
      </c>
      <c r="P15" s="79" t="str">
        <f aca="false">IF($A15="","",IF(SUMIFS(Log!$I$4:$I$1203,Log!$D$4:$D$1203,$A15,Log!$B$4:$B$1203,P$5,Log!$E$4:$E$1203,"A")=0,"",SUMIFS(Log!$I$4:$I$1203,Log!$D$4:$D$1203,$A15,Log!$B$4:$B$1203,P$5,Log!$E$4:$E$1203,"A")))</f>
        <v/>
      </c>
      <c r="Q15" s="79" t="str">
        <f aca="false">IF($A15="","",IF(SUMIFS(Log!$I$4:$I$1203,Log!$D$4:$D$1203,$A15,Log!$B$4:$B$1203,Q$5,Log!$E$4:$E$1203,"A")=0,"",SUMIFS(Log!$I$4:$I$1203,Log!$D$4:$D$1203,$A15,Log!$B$4:$B$1203,Q$5,Log!$E$4:$E$1203,"A")))</f>
        <v/>
      </c>
      <c r="R15" s="78" t="n">
        <f aca="false">IF($A15="","",IF(SUMIFS(Log!$I$4:$I$1203,Log!$D$4:$D$1203,$A15,Log!$E$4:$E$1203,"A")=0,"",SUMIFS(Log!$I$4:$I$1203,Log!$D$4:$D$1203,$A15,Log!$E$4:$E$1203,"A")))</f>
        <v>18037</v>
      </c>
    </row>
    <row r="16" customFormat="false" ht="16.5" hidden="false" customHeight="true" outlineLevel="0" collapsed="false">
      <c r="A16" s="34" t="str">
        <f aca="false">IF(Übungen!$A14="","",Übungen!$A14)</f>
        <v>Beinbeuger</v>
      </c>
      <c r="B16" s="77" t="n">
        <f aca="false">IF($A16="","",IF(SUMIFS(Log!$I$4:$I$1203,Log!$D$4:$D$1203,$A16,Log!$B$4:$B$1203,B$5,Log!$E$4:$E$1203,"A")=0,"",SUMIFS(Log!$I$4:$I$1203,Log!$D$4:$D$1203,$A16,Log!$B$4:$B$1203,B$5,Log!$E$4:$E$1203,"A")))</f>
        <v>1130</v>
      </c>
      <c r="C16" s="77" t="n">
        <f aca="false">IF($A16="","",IF(SUMIFS(Log!$I$4:$I$1203,Log!$D$4:$D$1203,$A16,Log!$B$4:$B$1203,C$5,Log!$E$4:$E$1203,"A")=0,"",SUMIFS(Log!$I$4:$I$1203,Log!$D$4:$D$1203,$A16,Log!$B$4:$B$1203,C$5,Log!$E$4:$E$1203,"A")))</f>
        <v>1150</v>
      </c>
      <c r="D16" s="77" t="n">
        <f aca="false">IF($A16="","",IF(SUMIFS(Log!$I$4:$I$1203,Log!$D$4:$D$1203,$A16,Log!$B$4:$B$1203,D$5,Log!$E$4:$E$1203,"A")=0,"",SUMIFS(Log!$I$4:$I$1203,Log!$D$4:$D$1203,$A16,Log!$B$4:$B$1203,D$5,Log!$E$4:$E$1203,"A")))</f>
        <v>1275</v>
      </c>
      <c r="E16" s="77" t="str">
        <f aca="false">IF($A16="","",IF(SUMIFS(Log!$I$4:$I$1203,Log!$D$4:$D$1203,$A16,Log!$B$4:$B$1203,E$5,Log!$E$4:$E$1203,"A")=0,"",SUMIFS(Log!$I$4:$I$1203,Log!$D$4:$D$1203,$A16,Log!$B$4:$B$1203,E$5,Log!$E$4:$E$1203,"A")))</f>
        <v/>
      </c>
      <c r="F16" s="77" t="n">
        <f aca="false">IF($A16="","",IF(SUMIFS(Log!$I$4:$I$1203,Log!$D$4:$D$1203,$A16,Log!$B$4:$B$1203,F$5,Log!$E$4:$E$1203,"A")=0,"",SUMIFS(Log!$I$4:$I$1203,Log!$D$4:$D$1203,$A16,Log!$B$4:$B$1203,F$5,Log!$E$4:$E$1203,"A")))</f>
        <v>1080</v>
      </c>
      <c r="G16" s="77" t="str">
        <f aca="false">IF($A16="","",IF(SUMIFS(Log!$I$4:$I$1203,Log!$D$4:$D$1203,$A16,Log!$B$4:$B$1203,G$5,Log!$E$4:$E$1203,"A")=0,"",SUMIFS(Log!$I$4:$I$1203,Log!$D$4:$D$1203,$A16,Log!$B$4:$B$1203,G$5,Log!$E$4:$E$1203,"A")))</f>
        <v/>
      </c>
      <c r="H16" s="77" t="n">
        <f aca="false">IF($A16="","",IF(SUMIFS(Log!$I$4:$I$1203,Log!$D$4:$D$1203,$A16,Log!$B$4:$B$1203,H$5,Log!$E$4:$E$1203,"A")=0,"",SUMIFS(Log!$I$4:$I$1203,Log!$D$4:$D$1203,$A16,Log!$B$4:$B$1203,H$5,Log!$E$4:$E$1203,"A")))</f>
        <v>1025</v>
      </c>
      <c r="I16" s="77" t="str">
        <f aca="false">IF($A16="","",IF(SUMIFS(Log!$I$4:$I$1203,Log!$D$4:$D$1203,$A16,Log!$B$4:$B$1203,I$5,Log!$E$4:$E$1203,"A")=0,"",SUMIFS(Log!$I$4:$I$1203,Log!$D$4:$D$1203,$A16,Log!$B$4:$B$1203,I$5,Log!$E$4:$E$1203,"A")))</f>
        <v/>
      </c>
      <c r="J16" s="77" t="n">
        <f aca="false">IF($A16="","",IF(SUMIFS(Log!$I$4:$I$1203,Log!$D$4:$D$1203,$A16,Log!$B$4:$B$1203,J$5,Log!$E$4:$E$1203,"A")=0,"",SUMIFS(Log!$I$4:$I$1203,Log!$D$4:$D$1203,$A16,Log!$B$4:$B$1203,J$5,Log!$E$4:$E$1203,"A")))</f>
        <v>1010</v>
      </c>
      <c r="K16" s="77" t="str">
        <f aca="false">IF($A16="","",IF(SUMIFS(Log!$I$4:$I$1203,Log!$D$4:$D$1203,$A16,Log!$B$4:$B$1203,K$5,Log!$E$4:$E$1203,"A")=0,"",SUMIFS(Log!$I$4:$I$1203,Log!$D$4:$D$1203,$A16,Log!$B$4:$B$1203,K$5,Log!$E$4:$E$1203,"A")))</f>
        <v/>
      </c>
      <c r="L16" s="77" t="str">
        <f aca="false">IF($A16="","",IF(SUMIFS(Log!$I$4:$I$1203,Log!$D$4:$D$1203,$A16,Log!$B$4:$B$1203,L$5,Log!$E$4:$E$1203,"A")=0,"",SUMIFS(Log!$I$4:$I$1203,Log!$D$4:$D$1203,$A16,Log!$B$4:$B$1203,L$5,Log!$E$4:$E$1203,"A")))</f>
        <v/>
      </c>
      <c r="M16" s="77" t="str">
        <f aca="false">IF($A16="","",IF(SUMIFS(Log!$I$4:$I$1203,Log!$D$4:$D$1203,$A16,Log!$B$4:$B$1203,M$5,Log!$E$4:$E$1203,"A")=0,"",SUMIFS(Log!$I$4:$I$1203,Log!$D$4:$D$1203,$A16,Log!$B$4:$B$1203,M$5,Log!$E$4:$E$1203,"A")))</f>
        <v/>
      </c>
      <c r="N16" s="77" t="n">
        <f aca="false">IF($A16="","",IF(SUMIFS(Log!$I$4:$I$1203,Log!$D$4:$D$1203,$A16,Log!$B$4:$B$1203,N$5,Log!$E$4:$E$1203,"A")=0,"",SUMIFS(Log!$I$4:$I$1203,Log!$D$4:$D$1203,$A16,Log!$B$4:$B$1203,N$5,Log!$E$4:$E$1203,"A")))</f>
        <v>617.5</v>
      </c>
      <c r="O16" s="77" t="n">
        <f aca="false">IF($A16="","",IF(SUMIFS(Log!$I$4:$I$1203,Log!$D$4:$D$1203,$A16,Log!$B$4:$B$1203,O$5,Log!$E$4:$E$1203,"A")=0,"",SUMIFS(Log!$I$4:$I$1203,Log!$D$4:$D$1203,$A16,Log!$B$4:$B$1203,O$5,Log!$E$4:$E$1203,"A")))</f>
        <v>726</v>
      </c>
      <c r="P16" s="77" t="str">
        <f aca="false">IF($A16="","",IF(SUMIFS(Log!$I$4:$I$1203,Log!$D$4:$D$1203,$A16,Log!$B$4:$B$1203,P$5,Log!$E$4:$E$1203,"A")=0,"",SUMIFS(Log!$I$4:$I$1203,Log!$D$4:$D$1203,$A16,Log!$B$4:$B$1203,P$5,Log!$E$4:$E$1203,"A")))</f>
        <v/>
      </c>
      <c r="Q16" s="77" t="str">
        <f aca="false">IF($A16="","",IF(SUMIFS(Log!$I$4:$I$1203,Log!$D$4:$D$1203,$A16,Log!$B$4:$B$1203,Q$5,Log!$E$4:$E$1203,"A")=0,"",SUMIFS(Log!$I$4:$I$1203,Log!$D$4:$D$1203,$A16,Log!$B$4:$B$1203,Q$5,Log!$E$4:$E$1203,"A")))</f>
        <v/>
      </c>
      <c r="R16" s="78"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79" t="n">
        <f aca="false">IF($A17="","",IF(SUMIFS(Log!$I$4:$I$1203,Log!$D$4:$D$1203,$A17,Log!$B$4:$B$1203,B$5,Log!$E$4:$E$1203,"A")=0,"",SUMIFS(Log!$I$4:$I$1203,Log!$D$4:$D$1203,$A17,Log!$B$4:$B$1203,B$5,Log!$E$4:$E$1203,"A")))</f>
        <v>1078</v>
      </c>
      <c r="C17" s="79" t="n">
        <f aca="false">IF($A17="","",IF(SUMIFS(Log!$I$4:$I$1203,Log!$D$4:$D$1203,$A17,Log!$B$4:$B$1203,C$5,Log!$E$4:$E$1203,"A")=0,"",SUMIFS(Log!$I$4:$I$1203,Log!$D$4:$D$1203,$A17,Log!$B$4:$B$1203,C$5,Log!$E$4:$E$1203,"A")))</f>
        <v>975</v>
      </c>
      <c r="D17" s="79" t="str">
        <f aca="false">IF($A17="","",IF(SUMIFS(Log!$I$4:$I$1203,Log!$D$4:$D$1203,$A17,Log!$B$4:$B$1203,D$5,Log!$E$4:$E$1203,"A")=0,"",SUMIFS(Log!$I$4:$I$1203,Log!$D$4:$D$1203,$A17,Log!$B$4:$B$1203,D$5,Log!$E$4:$E$1203,"A")))</f>
        <v/>
      </c>
      <c r="E17" s="79" t="str">
        <f aca="false">IF($A17="","",IF(SUMIFS(Log!$I$4:$I$1203,Log!$D$4:$D$1203,$A17,Log!$B$4:$B$1203,E$5,Log!$E$4:$E$1203,"A")=0,"",SUMIFS(Log!$I$4:$I$1203,Log!$D$4:$D$1203,$A17,Log!$B$4:$B$1203,E$5,Log!$E$4:$E$1203,"A")))</f>
        <v/>
      </c>
      <c r="F17" s="79" t="n">
        <f aca="false">IF($A17="","",IF(SUMIFS(Log!$I$4:$I$1203,Log!$D$4:$D$1203,$A17,Log!$B$4:$B$1203,F$5,Log!$E$4:$E$1203,"A")=0,"",SUMIFS(Log!$I$4:$I$1203,Log!$D$4:$D$1203,$A17,Log!$B$4:$B$1203,F$5,Log!$E$4:$E$1203,"A")))</f>
        <v>720</v>
      </c>
      <c r="G17" s="79" t="str">
        <f aca="false">IF($A17="","",IF(SUMIFS(Log!$I$4:$I$1203,Log!$D$4:$D$1203,$A17,Log!$B$4:$B$1203,G$5,Log!$E$4:$E$1203,"A")=0,"",SUMIFS(Log!$I$4:$I$1203,Log!$D$4:$D$1203,$A17,Log!$B$4:$B$1203,G$5,Log!$E$4:$E$1203,"A")))</f>
        <v/>
      </c>
      <c r="H17" s="79" t="str">
        <f aca="false">IF($A17="","",IF(SUMIFS(Log!$I$4:$I$1203,Log!$D$4:$D$1203,$A17,Log!$B$4:$B$1203,H$5,Log!$E$4:$E$1203,"A")=0,"",SUMIFS(Log!$I$4:$I$1203,Log!$D$4:$D$1203,$A17,Log!$B$4:$B$1203,H$5,Log!$E$4:$E$1203,"A")))</f>
        <v/>
      </c>
      <c r="I17" s="79" t="str">
        <f aca="false">IF($A17="","",IF(SUMIFS(Log!$I$4:$I$1203,Log!$D$4:$D$1203,$A17,Log!$B$4:$B$1203,I$5,Log!$E$4:$E$1203,"A")=0,"",SUMIFS(Log!$I$4:$I$1203,Log!$D$4:$D$1203,$A17,Log!$B$4:$B$1203,I$5,Log!$E$4:$E$1203,"A")))</f>
        <v/>
      </c>
      <c r="J17" s="79" t="str">
        <f aca="false">IF($A17="","",IF(SUMIFS(Log!$I$4:$I$1203,Log!$D$4:$D$1203,$A17,Log!$B$4:$B$1203,J$5,Log!$E$4:$E$1203,"A")=0,"",SUMIFS(Log!$I$4:$I$1203,Log!$D$4:$D$1203,$A17,Log!$B$4:$B$1203,J$5,Log!$E$4:$E$1203,"A")))</f>
        <v/>
      </c>
      <c r="K17" s="79" t="str">
        <f aca="false">IF($A17="","",IF(SUMIFS(Log!$I$4:$I$1203,Log!$D$4:$D$1203,$A17,Log!$B$4:$B$1203,K$5,Log!$E$4:$E$1203,"A")=0,"",SUMIFS(Log!$I$4:$I$1203,Log!$D$4:$D$1203,$A17,Log!$B$4:$B$1203,K$5,Log!$E$4:$E$1203,"A")))</f>
        <v/>
      </c>
      <c r="L17" s="79" t="str">
        <f aca="false">IF($A17="","",IF(SUMIFS(Log!$I$4:$I$1203,Log!$D$4:$D$1203,$A17,Log!$B$4:$B$1203,L$5,Log!$E$4:$E$1203,"A")=0,"",SUMIFS(Log!$I$4:$I$1203,Log!$D$4:$D$1203,$A17,Log!$B$4:$B$1203,L$5,Log!$E$4:$E$1203,"A")))</f>
        <v/>
      </c>
      <c r="M17" s="79" t="str">
        <f aca="false">IF($A17="","",IF(SUMIFS(Log!$I$4:$I$1203,Log!$D$4:$D$1203,$A17,Log!$B$4:$B$1203,M$5,Log!$E$4:$E$1203,"A")=0,"",SUMIFS(Log!$I$4:$I$1203,Log!$D$4:$D$1203,$A17,Log!$B$4:$B$1203,M$5,Log!$E$4:$E$1203,"A")))</f>
        <v/>
      </c>
      <c r="N17" s="79" t="str">
        <f aca="false">IF($A17="","",IF(SUMIFS(Log!$I$4:$I$1203,Log!$D$4:$D$1203,$A17,Log!$B$4:$B$1203,N$5,Log!$E$4:$E$1203,"A")=0,"",SUMIFS(Log!$I$4:$I$1203,Log!$D$4:$D$1203,$A17,Log!$B$4:$B$1203,N$5,Log!$E$4:$E$1203,"A")))</f>
        <v/>
      </c>
      <c r="O17" s="79" t="str">
        <f aca="false">IF($A17="","",IF(SUMIFS(Log!$I$4:$I$1203,Log!$D$4:$D$1203,$A17,Log!$B$4:$B$1203,O$5,Log!$E$4:$E$1203,"A")=0,"",SUMIFS(Log!$I$4:$I$1203,Log!$D$4:$D$1203,$A17,Log!$B$4:$B$1203,O$5,Log!$E$4:$E$1203,"A")))</f>
        <v/>
      </c>
      <c r="P17" s="79" t="str">
        <f aca="false">IF($A17="","",IF(SUMIFS(Log!$I$4:$I$1203,Log!$D$4:$D$1203,$A17,Log!$B$4:$B$1203,P$5,Log!$E$4:$E$1203,"A")=0,"",SUMIFS(Log!$I$4:$I$1203,Log!$D$4:$D$1203,$A17,Log!$B$4:$B$1203,P$5,Log!$E$4:$E$1203,"A")))</f>
        <v/>
      </c>
      <c r="Q17" s="79" t="str">
        <f aca="false">IF($A17="","",IF(SUMIFS(Log!$I$4:$I$1203,Log!$D$4:$D$1203,$A17,Log!$B$4:$B$1203,Q$5,Log!$E$4:$E$1203,"A")=0,"",SUMIFS(Log!$I$4:$I$1203,Log!$D$4:$D$1203,$A17,Log!$B$4:$B$1203,Q$5,Log!$E$4:$E$1203,"A")))</f>
        <v/>
      </c>
      <c r="R17" s="78" t="n">
        <f aca="false">IF($A17="","",IF(SUMIFS(Log!$I$4:$I$1203,Log!$D$4:$D$1203,$A17,Log!$E$4:$E$1203,"A")=0,"",SUMIFS(Log!$I$4:$I$1203,Log!$D$4:$D$1203,$A17,Log!$E$4:$E$1203,"A")))</f>
        <v>2773</v>
      </c>
    </row>
    <row r="18" customFormat="false" ht="16.5" hidden="false" customHeight="true" outlineLevel="0" collapsed="false">
      <c r="A18" s="34" t="str">
        <f aca="false">IF(Übungen!$A16="","",Übungen!$A16)</f>
        <v>Waden</v>
      </c>
      <c r="B18" s="77" t="n">
        <f aca="false">IF($A18="","",IF(SUMIFS(Log!$I$4:$I$1203,Log!$D$4:$D$1203,$A18,Log!$B$4:$B$1203,B$5,Log!$E$4:$E$1203,"A")=0,"",SUMIFS(Log!$I$4:$I$1203,Log!$D$4:$D$1203,$A18,Log!$B$4:$B$1203,B$5,Log!$E$4:$E$1203,"A")))</f>
        <v>3465</v>
      </c>
      <c r="C18" s="77" t="n">
        <f aca="false">IF($A18="","",IF(SUMIFS(Log!$I$4:$I$1203,Log!$D$4:$D$1203,$A18,Log!$B$4:$B$1203,C$5,Log!$E$4:$E$1203,"A")=0,"",SUMIFS(Log!$I$4:$I$1203,Log!$D$4:$D$1203,$A18,Log!$B$4:$B$1203,C$5,Log!$E$4:$E$1203,"A")))</f>
        <v>3480</v>
      </c>
      <c r="D18" s="77" t="str">
        <f aca="false">IF($A18="","",IF(SUMIFS(Log!$I$4:$I$1203,Log!$D$4:$D$1203,$A18,Log!$B$4:$B$1203,D$5,Log!$E$4:$E$1203,"A")=0,"",SUMIFS(Log!$I$4:$I$1203,Log!$D$4:$D$1203,$A18,Log!$B$4:$B$1203,D$5,Log!$E$4:$E$1203,"A")))</f>
        <v/>
      </c>
      <c r="E18" s="77" t="str">
        <f aca="false">IF($A18="","",IF(SUMIFS(Log!$I$4:$I$1203,Log!$D$4:$D$1203,$A18,Log!$B$4:$B$1203,E$5,Log!$E$4:$E$1203,"A")=0,"",SUMIFS(Log!$I$4:$I$1203,Log!$D$4:$D$1203,$A18,Log!$B$4:$B$1203,E$5,Log!$E$4:$E$1203,"A")))</f>
        <v/>
      </c>
      <c r="F18" s="77" t="n">
        <f aca="false">IF($A18="","",IF(SUMIFS(Log!$I$4:$I$1203,Log!$D$4:$D$1203,$A18,Log!$B$4:$B$1203,F$5,Log!$E$4:$E$1203,"A")=0,"",SUMIFS(Log!$I$4:$I$1203,Log!$D$4:$D$1203,$A18,Log!$B$4:$B$1203,F$5,Log!$E$4:$E$1203,"A")))</f>
        <v>3105</v>
      </c>
      <c r="G18" s="77" t="str">
        <f aca="false">IF($A18="","",IF(SUMIFS(Log!$I$4:$I$1203,Log!$D$4:$D$1203,$A18,Log!$B$4:$B$1203,G$5,Log!$E$4:$E$1203,"A")=0,"",SUMIFS(Log!$I$4:$I$1203,Log!$D$4:$D$1203,$A18,Log!$B$4:$B$1203,G$5,Log!$E$4:$E$1203,"A")))</f>
        <v/>
      </c>
      <c r="H18" s="77" t="n">
        <f aca="false">IF($A18="","",IF(SUMIFS(Log!$I$4:$I$1203,Log!$D$4:$D$1203,$A18,Log!$B$4:$B$1203,H$5,Log!$E$4:$E$1203,"A")=0,"",SUMIFS(Log!$I$4:$I$1203,Log!$D$4:$D$1203,$A18,Log!$B$4:$B$1203,H$5,Log!$E$4:$E$1203,"A")))</f>
        <v>3720</v>
      </c>
      <c r="I18" s="77" t="str">
        <f aca="false">IF($A18="","",IF(SUMIFS(Log!$I$4:$I$1203,Log!$D$4:$D$1203,$A18,Log!$B$4:$B$1203,I$5,Log!$E$4:$E$1203,"A")=0,"",SUMIFS(Log!$I$4:$I$1203,Log!$D$4:$D$1203,$A18,Log!$B$4:$B$1203,I$5,Log!$E$4:$E$1203,"A")))</f>
        <v/>
      </c>
      <c r="J18" s="77" t="n">
        <f aca="false">IF($A18="","",IF(SUMIFS(Log!$I$4:$I$1203,Log!$D$4:$D$1203,$A18,Log!$B$4:$B$1203,J$5,Log!$E$4:$E$1203,"A")=0,"",SUMIFS(Log!$I$4:$I$1203,Log!$D$4:$D$1203,$A18,Log!$B$4:$B$1203,J$5,Log!$E$4:$E$1203,"A")))</f>
        <v>1650</v>
      </c>
      <c r="K18" s="77" t="str">
        <f aca="false">IF($A18="","",IF(SUMIFS(Log!$I$4:$I$1203,Log!$D$4:$D$1203,$A18,Log!$B$4:$B$1203,K$5,Log!$E$4:$E$1203,"A")=0,"",SUMIFS(Log!$I$4:$I$1203,Log!$D$4:$D$1203,$A18,Log!$B$4:$B$1203,K$5,Log!$E$4:$E$1203,"A")))</f>
        <v/>
      </c>
      <c r="L18" s="77" t="n">
        <f aca="false">IF($A18="","",IF(SUMIFS(Log!$I$4:$I$1203,Log!$D$4:$D$1203,$A18,Log!$B$4:$B$1203,L$5,Log!$E$4:$E$1203,"A")=0,"",SUMIFS(Log!$I$4:$I$1203,Log!$D$4:$D$1203,$A18,Log!$B$4:$B$1203,L$5,Log!$E$4:$E$1203,"A")))</f>
        <v>2880</v>
      </c>
      <c r="M18" s="77" t="str">
        <f aca="false">IF($A18="","",IF(SUMIFS(Log!$I$4:$I$1203,Log!$D$4:$D$1203,$A18,Log!$B$4:$B$1203,M$5,Log!$E$4:$E$1203,"A")=0,"",SUMIFS(Log!$I$4:$I$1203,Log!$D$4:$D$1203,$A18,Log!$B$4:$B$1203,M$5,Log!$E$4:$E$1203,"A")))</f>
        <v/>
      </c>
      <c r="N18" s="77" t="n">
        <f aca="false">IF($A18="","",IF(SUMIFS(Log!$I$4:$I$1203,Log!$D$4:$D$1203,$A18,Log!$B$4:$B$1203,N$5,Log!$E$4:$E$1203,"A")=0,"",SUMIFS(Log!$I$4:$I$1203,Log!$D$4:$D$1203,$A18,Log!$B$4:$B$1203,N$5,Log!$E$4:$E$1203,"A")))</f>
        <v>2160</v>
      </c>
      <c r="O18" s="77" t="n">
        <f aca="false">IF($A18="","",IF(SUMIFS(Log!$I$4:$I$1203,Log!$D$4:$D$1203,$A18,Log!$B$4:$B$1203,O$5,Log!$E$4:$E$1203,"A")=0,"",SUMIFS(Log!$I$4:$I$1203,Log!$D$4:$D$1203,$A18,Log!$B$4:$B$1203,O$5,Log!$E$4:$E$1203,"A")))</f>
        <v>3059</v>
      </c>
      <c r="P18" s="77" t="str">
        <f aca="false">IF($A18="","",IF(SUMIFS(Log!$I$4:$I$1203,Log!$D$4:$D$1203,$A18,Log!$B$4:$B$1203,P$5,Log!$E$4:$E$1203,"A")=0,"",SUMIFS(Log!$I$4:$I$1203,Log!$D$4:$D$1203,$A18,Log!$B$4:$B$1203,P$5,Log!$E$4:$E$1203,"A")))</f>
        <v/>
      </c>
      <c r="Q18" s="77" t="str">
        <f aca="false">IF($A18="","",IF(SUMIFS(Log!$I$4:$I$1203,Log!$D$4:$D$1203,$A18,Log!$B$4:$B$1203,Q$5,Log!$E$4:$E$1203,"A")=0,"",SUMIFS(Log!$I$4:$I$1203,Log!$D$4:$D$1203,$A18,Log!$B$4:$B$1203,Q$5,Log!$E$4:$E$1203,"A")))</f>
        <v/>
      </c>
      <c r="R18" s="78"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79" t="str">
        <f aca="false">IF($A19="","",IF(SUMIFS(Log!$I$4:$I$1203,Log!$D$4:$D$1203,$A19,Log!$B$4:$B$1203,B$5,Log!$E$4:$E$1203,"A")=0,"",SUMIFS(Log!$I$4:$I$1203,Log!$D$4:$D$1203,$A19,Log!$B$4:$B$1203,B$5,Log!$E$4:$E$1203,"A")))</f>
        <v/>
      </c>
      <c r="C19" s="79" t="str">
        <f aca="false">IF($A19="","",IF(SUMIFS(Log!$I$4:$I$1203,Log!$D$4:$D$1203,$A19,Log!$B$4:$B$1203,C$5,Log!$E$4:$E$1203,"A")=0,"",SUMIFS(Log!$I$4:$I$1203,Log!$D$4:$D$1203,$A19,Log!$B$4:$B$1203,C$5,Log!$E$4:$E$1203,"A")))</f>
        <v/>
      </c>
      <c r="D19" s="79" t="str">
        <f aca="false">IF($A19="","",IF(SUMIFS(Log!$I$4:$I$1203,Log!$D$4:$D$1203,$A19,Log!$B$4:$B$1203,D$5,Log!$E$4:$E$1203,"A")=0,"",SUMIFS(Log!$I$4:$I$1203,Log!$D$4:$D$1203,$A19,Log!$B$4:$B$1203,D$5,Log!$E$4:$E$1203,"A")))</f>
        <v/>
      </c>
      <c r="E19" s="79" t="str">
        <f aca="false">IF($A19="","",IF(SUMIFS(Log!$I$4:$I$1203,Log!$D$4:$D$1203,$A19,Log!$B$4:$B$1203,E$5,Log!$E$4:$E$1203,"A")=0,"",SUMIFS(Log!$I$4:$I$1203,Log!$D$4:$D$1203,$A19,Log!$B$4:$B$1203,E$5,Log!$E$4:$E$1203,"A")))</f>
        <v/>
      </c>
      <c r="F19" s="79" t="str">
        <f aca="false">IF($A19="","",IF(SUMIFS(Log!$I$4:$I$1203,Log!$D$4:$D$1203,$A19,Log!$B$4:$B$1203,F$5,Log!$E$4:$E$1203,"A")=0,"",SUMIFS(Log!$I$4:$I$1203,Log!$D$4:$D$1203,$A19,Log!$B$4:$B$1203,F$5,Log!$E$4:$E$1203,"A")))</f>
        <v/>
      </c>
      <c r="G19" s="79" t="str">
        <f aca="false">IF($A19="","",IF(SUMIFS(Log!$I$4:$I$1203,Log!$D$4:$D$1203,$A19,Log!$B$4:$B$1203,G$5,Log!$E$4:$E$1203,"A")=0,"",SUMIFS(Log!$I$4:$I$1203,Log!$D$4:$D$1203,$A19,Log!$B$4:$B$1203,G$5,Log!$E$4:$E$1203,"A")))</f>
        <v/>
      </c>
      <c r="H19" s="79" t="str">
        <f aca="false">IF($A19="","",IF(SUMIFS(Log!$I$4:$I$1203,Log!$D$4:$D$1203,$A19,Log!$B$4:$B$1203,H$5,Log!$E$4:$E$1203,"A")=0,"",SUMIFS(Log!$I$4:$I$1203,Log!$D$4:$D$1203,$A19,Log!$B$4:$B$1203,H$5,Log!$E$4:$E$1203,"A")))</f>
        <v/>
      </c>
      <c r="I19" s="79" t="str">
        <f aca="false">IF($A19="","",IF(SUMIFS(Log!$I$4:$I$1203,Log!$D$4:$D$1203,$A19,Log!$B$4:$B$1203,I$5,Log!$E$4:$E$1203,"A")=0,"",SUMIFS(Log!$I$4:$I$1203,Log!$D$4:$D$1203,$A19,Log!$B$4:$B$1203,I$5,Log!$E$4:$E$1203,"A")))</f>
        <v/>
      </c>
      <c r="J19" s="79" t="str">
        <f aca="false">IF($A19="","",IF(SUMIFS(Log!$I$4:$I$1203,Log!$D$4:$D$1203,$A19,Log!$B$4:$B$1203,J$5,Log!$E$4:$E$1203,"A")=0,"",SUMIFS(Log!$I$4:$I$1203,Log!$D$4:$D$1203,$A19,Log!$B$4:$B$1203,J$5,Log!$E$4:$E$1203,"A")))</f>
        <v/>
      </c>
      <c r="K19" s="79" t="str">
        <f aca="false">IF($A19="","",IF(SUMIFS(Log!$I$4:$I$1203,Log!$D$4:$D$1203,$A19,Log!$B$4:$B$1203,K$5,Log!$E$4:$E$1203,"A")=0,"",SUMIFS(Log!$I$4:$I$1203,Log!$D$4:$D$1203,$A19,Log!$B$4:$B$1203,K$5,Log!$E$4:$E$1203,"A")))</f>
        <v/>
      </c>
      <c r="L19" s="79" t="str">
        <f aca="false">IF($A19="","",IF(SUMIFS(Log!$I$4:$I$1203,Log!$D$4:$D$1203,$A19,Log!$B$4:$B$1203,L$5,Log!$E$4:$E$1203,"A")=0,"",SUMIFS(Log!$I$4:$I$1203,Log!$D$4:$D$1203,$A19,Log!$B$4:$B$1203,L$5,Log!$E$4:$E$1203,"A")))</f>
        <v/>
      </c>
      <c r="M19" s="79" t="str">
        <f aca="false">IF($A19="","",IF(SUMIFS(Log!$I$4:$I$1203,Log!$D$4:$D$1203,$A19,Log!$B$4:$B$1203,M$5,Log!$E$4:$E$1203,"A")=0,"",SUMIFS(Log!$I$4:$I$1203,Log!$D$4:$D$1203,$A19,Log!$B$4:$B$1203,M$5,Log!$E$4:$E$1203,"A")))</f>
        <v/>
      </c>
      <c r="N19" s="79" t="str">
        <f aca="false">IF($A19="","",IF(SUMIFS(Log!$I$4:$I$1203,Log!$D$4:$D$1203,$A19,Log!$B$4:$B$1203,N$5,Log!$E$4:$E$1203,"A")=0,"",SUMIFS(Log!$I$4:$I$1203,Log!$D$4:$D$1203,$A19,Log!$B$4:$B$1203,N$5,Log!$E$4:$E$1203,"A")))</f>
        <v/>
      </c>
      <c r="O19" s="79" t="str">
        <f aca="false">IF($A19="","",IF(SUMIFS(Log!$I$4:$I$1203,Log!$D$4:$D$1203,$A19,Log!$B$4:$B$1203,O$5,Log!$E$4:$E$1203,"A")=0,"",SUMIFS(Log!$I$4:$I$1203,Log!$D$4:$D$1203,$A19,Log!$B$4:$B$1203,O$5,Log!$E$4:$E$1203,"A")))</f>
        <v/>
      </c>
      <c r="P19" s="79" t="n">
        <f aca="false">IF($A19="","",IF(SUMIFS(Log!$I$4:$I$1203,Log!$D$4:$D$1203,$A19,Log!$B$4:$B$1203,P$5,Log!$E$4:$E$1203,"A")=0,"",SUMIFS(Log!$I$4:$I$1203,Log!$D$4:$D$1203,$A19,Log!$B$4:$B$1203,P$5,Log!$E$4:$E$1203,"A")))</f>
        <v>2200</v>
      </c>
      <c r="Q19" s="79" t="str">
        <f aca="false">IF($A19="","",IF(SUMIFS(Log!$I$4:$I$1203,Log!$D$4:$D$1203,$A19,Log!$B$4:$B$1203,Q$5,Log!$E$4:$E$1203,"A")=0,"",SUMIFS(Log!$I$4:$I$1203,Log!$D$4:$D$1203,$A19,Log!$B$4:$B$1203,Q$5,Log!$E$4:$E$1203,"A")))</f>
        <v/>
      </c>
      <c r="R19" s="78" t="n">
        <f aca="false">IF($A19="","",IF(SUMIFS(Log!$I$4:$I$1203,Log!$D$4:$D$1203,$A19,Log!$E$4:$E$1203,"A")=0,"",SUMIFS(Log!$I$4:$I$1203,Log!$D$4:$D$1203,$A19,Log!$E$4:$E$1203,"A")))</f>
        <v>2200</v>
      </c>
    </row>
    <row r="20" customFormat="false" ht="16.5" hidden="false" customHeight="true" outlineLevel="0" collapsed="false">
      <c r="A20" s="34" t="str">
        <f aca="false">IF(Übungen!$A18="","",Übungen!$A18)</f>
        <v>Hip Thrust Bülach</v>
      </c>
      <c r="B20" s="77" t="str">
        <f aca="false">IF($A20="","",IF(SUMIFS(Log!$I$4:$I$1203,Log!$D$4:$D$1203,$A20,Log!$B$4:$B$1203,B$5,Log!$E$4:$E$1203,"A")=0,"",SUMIFS(Log!$I$4:$I$1203,Log!$D$4:$D$1203,$A20,Log!$B$4:$B$1203,B$5,Log!$E$4:$E$1203,"A")))</f>
        <v/>
      </c>
      <c r="C20" s="77" t="str">
        <f aca="false">IF($A20="","",IF(SUMIFS(Log!$I$4:$I$1203,Log!$D$4:$D$1203,$A20,Log!$B$4:$B$1203,C$5,Log!$E$4:$E$1203,"A")=0,"",SUMIFS(Log!$I$4:$I$1203,Log!$D$4:$D$1203,$A20,Log!$B$4:$B$1203,C$5,Log!$E$4:$E$1203,"A")))</f>
        <v/>
      </c>
      <c r="D20" s="77" t="str">
        <f aca="false">IF($A20="","",IF(SUMIFS(Log!$I$4:$I$1203,Log!$D$4:$D$1203,$A20,Log!$B$4:$B$1203,D$5,Log!$E$4:$E$1203,"A")=0,"",SUMIFS(Log!$I$4:$I$1203,Log!$D$4:$D$1203,$A20,Log!$B$4:$B$1203,D$5,Log!$E$4:$E$1203,"A")))</f>
        <v/>
      </c>
      <c r="E20" s="77" t="str">
        <f aca="false">IF($A20="","",IF(SUMIFS(Log!$I$4:$I$1203,Log!$D$4:$D$1203,$A20,Log!$B$4:$B$1203,E$5,Log!$E$4:$E$1203,"A")=0,"",SUMIFS(Log!$I$4:$I$1203,Log!$D$4:$D$1203,$A20,Log!$B$4:$B$1203,E$5,Log!$E$4:$E$1203,"A")))</f>
        <v/>
      </c>
      <c r="F20" s="77" t="str">
        <f aca="false">IF($A20="","",IF(SUMIFS(Log!$I$4:$I$1203,Log!$D$4:$D$1203,$A20,Log!$B$4:$B$1203,F$5,Log!$E$4:$E$1203,"A")=0,"",SUMIFS(Log!$I$4:$I$1203,Log!$D$4:$D$1203,$A20,Log!$B$4:$B$1203,F$5,Log!$E$4:$E$1203,"A")))</f>
        <v/>
      </c>
      <c r="G20" s="77" t="str">
        <f aca="false">IF($A20="","",IF(SUMIFS(Log!$I$4:$I$1203,Log!$D$4:$D$1203,$A20,Log!$B$4:$B$1203,G$5,Log!$E$4:$E$1203,"A")=0,"",SUMIFS(Log!$I$4:$I$1203,Log!$D$4:$D$1203,$A20,Log!$B$4:$B$1203,G$5,Log!$E$4:$E$1203,"A")))</f>
        <v/>
      </c>
      <c r="H20" s="77" t="str">
        <f aca="false">IF($A20="","",IF(SUMIFS(Log!$I$4:$I$1203,Log!$D$4:$D$1203,$A20,Log!$B$4:$B$1203,H$5,Log!$E$4:$E$1203,"A")=0,"",SUMIFS(Log!$I$4:$I$1203,Log!$D$4:$D$1203,$A20,Log!$B$4:$B$1203,H$5,Log!$E$4:$E$1203,"A")))</f>
        <v/>
      </c>
      <c r="I20" s="77" t="str">
        <f aca="false">IF($A20="","",IF(SUMIFS(Log!$I$4:$I$1203,Log!$D$4:$D$1203,$A20,Log!$B$4:$B$1203,I$5,Log!$E$4:$E$1203,"A")=0,"",SUMIFS(Log!$I$4:$I$1203,Log!$D$4:$D$1203,$A20,Log!$B$4:$B$1203,I$5,Log!$E$4:$E$1203,"A")))</f>
        <v/>
      </c>
      <c r="J20" s="77" t="str">
        <f aca="false">IF($A20="","",IF(SUMIFS(Log!$I$4:$I$1203,Log!$D$4:$D$1203,$A20,Log!$B$4:$B$1203,J$5,Log!$E$4:$E$1203,"A")=0,"",SUMIFS(Log!$I$4:$I$1203,Log!$D$4:$D$1203,$A20,Log!$B$4:$B$1203,J$5,Log!$E$4:$E$1203,"A")))</f>
        <v/>
      </c>
      <c r="K20" s="77" t="str">
        <f aca="false">IF($A20="","",IF(SUMIFS(Log!$I$4:$I$1203,Log!$D$4:$D$1203,$A20,Log!$B$4:$B$1203,K$5,Log!$E$4:$E$1203,"A")=0,"",SUMIFS(Log!$I$4:$I$1203,Log!$D$4:$D$1203,$A20,Log!$B$4:$B$1203,K$5,Log!$E$4:$E$1203,"A")))</f>
        <v/>
      </c>
      <c r="L20" s="77" t="str">
        <f aca="false">IF($A20="","",IF(SUMIFS(Log!$I$4:$I$1203,Log!$D$4:$D$1203,$A20,Log!$B$4:$B$1203,L$5,Log!$E$4:$E$1203,"A")=0,"",SUMIFS(Log!$I$4:$I$1203,Log!$D$4:$D$1203,$A20,Log!$B$4:$B$1203,L$5,Log!$E$4:$E$1203,"A")))</f>
        <v/>
      </c>
      <c r="M20" s="77" t="str">
        <f aca="false">IF($A20="","",IF(SUMIFS(Log!$I$4:$I$1203,Log!$D$4:$D$1203,$A20,Log!$B$4:$B$1203,M$5,Log!$E$4:$E$1203,"A")=0,"",SUMIFS(Log!$I$4:$I$1203,Log!$D$4:$D$1203,$A20,Log!$B$4:$B$1203,M$5,Log!$E$4:$E$1203,"A")))</f>
        <v/>
      </c>
      <c r="N20" s="77" t="str">
        <f aca="false">IF($A20="","",IF(SUMIFS(Log!$I$4:$I$1203,Log!$D$4:$D$1203,$A20,Log!$B$4:$B$1203,N$5,Log!$E$4:$E$1203,"A")=0,"",SUMIFS(Log!$I$4:$I$1203,Log!$D$4:$D$1203,$A20,Log!$B$4:$B$1203,N$5,Log!$E$4:$E$1203,"A")))</f>
        <v/>
      </c>
      <c r="O20" s="77" t="str">
        <f aca="false">IF($A20="","",IF(SUMIFS(Log!$I$4:$I$1203,Log!$D$4:$D$1203,$A20,Log!$B$4:$B$1203,O$5,Log!$E$4:$E$1203,"A")=0,"",SUMIFS(Log!$I$4:$I$1203,Log!$D$4:$D$1203,$A20,Log!$B$4:$B$1203,O$5,Log!$E$4:$E$1203,"A")))</f>
        <v/>
      </c>
      <c r="P20" s="77" t="n">
        <f aca="false">IF($A20="","",IF(SUMIFS(Log!$I$4:$I$1203,Log!$D$4:$D$1203,$A20,Log!$B$4:$B$1203,P$5,Log!$E$4:$E$1203,"A")=0,"",SUMIFS(Log!$I$4:$I$1203,Log!$D$4:$D$1203,$A20,Log!$B$4:$B$1203,P$5,Log!$E$4:$E$1203,"A")))</f>
        <v>6000</v>
      </c>
      <c r="Q20" s="77" t="str">
        <f aca="false">IF($A20="","",IF(SUMIFS(Log!$I$4:$I$1203,Log!$D$4:$D$1203,$A20,Log!$B$4:$B$1203,Q$5,Log!$E$4:$E$1203,"A")=0,"",SUMIFS(Log!$I$4:$I$1203,Log!$D$4:$D$1203,$A20,Log!$B$4:$B$1203,Q$5,Log!$E$4:$E$1203,"A")))</f>
        <v/>
      </c>
      <c r="R20" s="78"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79" t="str">
        <f aca="false">IF($A21="","",IF(SUMIFS(Log!$I$4:$I$1203,Log!$D$4:$D$1203,$A21,Log!$B$4:$B$1203,B$5,Log!$E$4:$E$1203,"A")=0,"",SUMIFS(Log!$I$4:$I$1203,Log!$D$4:$D$1203,$A21,Log!$B$4:$B$1203,B$5,Log!$E$4:$E$1203,"A")))</f>
        <v/>
      </c>
      <c r="C21" s="79" t="str">
        <f aca="false">IF($A21="","",IF(SUMIFS(Log!$I$4:$I$1203,Log!$D$4:$D$1203,$A21,Log!$B$4:$B$1203,C$5,Log!$E$4:$E$1203,"A")=0,"",SUMIFS(Log!$I$4:$I$1203,Log!$D$4:$D$1203,$A21,Log!$B$4:$B$1203,C$5,Log!$E$4:$E$1203,"A")))</f>
        <v/>
      </c>
      <c r="D21" s="79" t="str">
        <f aca="false">IF($A21="","",IF(SUMIFS(Log!$I$4:$I$1203,Log!$D$4:$D$1203,$A21,Log!$B$4:$B$1203,D$5,Log!$E$4:$E$1203,"A")=0,"",SUMIFS(Log!$I$4:$I$1203,Log!$D$4:$D$1203,$A21,Log!$B$4:$B$1203,D$5,Log!$E$4:$E$1203,"A")))</f>
        <v/>
      </c>
      <c r="E21" s="79" t="str">
        <f aca="false">IF($A21="","",IF(SUMIFS(Log!$I$4:$I$1203,Log!$D$4:$D$1203,$A21,Log!$B$4:$B$1203,E$5,Log!$E$4:$E$1203,"A")=0,"",SUMIFS(Log!$I$4:$I$1203,Log!$D$4:$D$1203,$A21,Log!$B$4:$B$1203,E$5,Log!$E$4:$E$1203,"A")))</f>
        <v/>
      </c>
      <c r="F21" s="79" t="str">
        <f aca="false">IF($A21="","",IF(SUMIFS(Log!$I$4:$I$1203,Log!$D$4:$D$1203,$A21,Log!$B$4:$B$1203,F$5,Log!$E$4:$E$1203,"A")=0,"",SUMIFS(Log!$I$4:$I$1203,Log!$D$4:$D$1203,$A21,Log!$B$4:$B$1203,F$5,Log!$E$4:$E$1203,"A")))</f>
        <v/>
      </c>
      <c r="G21" s="79" t="str">
        <f aca="false">IF($A21="","",IF(SUMIFS(Log!$I$4:$I$1203,Log!$D$4:$D$1203,$A21,Log!$B$4:$B$1203,G$5,Log!$E$4:$E$1203,"A")=0,"",SUMIFS(Log!$I$4:$I$1203,Log!$D$4:$D$1203,$A21,Log!$B$4:$B$1203,G$5,Log!$E$4:$E$1203,"A")))</f>
        <v/>
      </c>
      <c r="H21" s="79" t="str">
        <f aca="false">IF($A21="","",IF(SUMIFS(Log!$I$4:$I$1203,Log!$D$4:$D$1203,$A21,Log!$B$4:$B$1203,H$5,Log!$E$4:$E$1203,"A")=0,"",SUMIFS(Log!$I$4:$I$1203,Log!$D$4:$D$1203,$A21,Log!$B$4:$B$1203,H$5,Log!$E$4:$E$1203,"A")))</f>
        <v/>
      </c>
      <c r="I21" s="79" t="str">
        <f aca="false">IF($A21="","",IF(SUMIFS(Log!$I$4:$I$1203,Log!$D$4:$D$1203,$A21,Log!$B$4:$B$1203,I$5,Log!$E$4:$E$1203,"A")=0,"",SUMIFS(Log!$I$4:$I$1203,Log!$D$4:$D$1203,$A21,Log!$B$4:$B$1203,I$5,Log!$E$4:$E$1203,"A")))</f>
        <v/>
      </c>
      <c r="J21" s="79" t="str">
        <f aca="false">IF($A21="","",IF(SUMIFS(Log!$I$4:$I$1203,Log!$D$4:$D$1203,$A21,Log!$B$4:$B$1203,J$5,Log!$E$4:$E$1203,"A")=0,"",SUMIFS(Log!$I$4:$I$1203,Log!$D$4:$D$1203,$A21,Log!$B$4:$B$1203,J$5,Log!$E$4:$E$1203,"A")))</f>
        <v/>
      </c>
      <c r="K21" s="79" t="str">
        <f aca="false">IF($A21="","",IF(SUMIFS(Log!$I$4:$I$1203,Log!$D$4:$D$1203,$A21,Log!$B$4:$B$1203,K$5,Log!$E$4:$E$1203,"A")=0,"",SUMIFS(Log!$I$4:$I$1203,Log!$D$4:$D$1203,$A21,Log!$B$4:$B$1203,K$5,Log!$E$4:$E$1203,"A")))</f>
        <v/>
      </c>
      <c r="L21" s="79" t="str">
        <f aca="false">IF($A21="","",IF(SUMIFS(Log!$I$4:$I$1203,Log!$D$4:$D$1203,$A21,Log!$B$4:$B$1203,L$5,Log!$E$4:$E$1203,"A")=0,"",SUMIFS(Log!$I$4:$I$1203,Log!$D$4:$D$1203,$A21,Log!$B$4:$B$1203,L$5,Log!$E$4:$E$1203,"A")))</f>
        <v/>
      </c>
      <c r="M21" s="79" t="str">
        <f aca="false">IF($A21="","",IF(SUMIFS(Log!$I$4:$I$1203,Log!$D$4:$D$1203,$A21,Log!$B$4:$B$1203,M$5,Log!$E$4:$E$1203,"A")=0,"",SUMIFS(Log!$I$4:$I$1203,Log!$D$4:$D$1203,$A21,Log!$B$4:$B$1203,M$5,Log!$E$4:$E$1203,"A")))</f>
        <v/>
      </c>
      <c r="N21" s="79" t="str">
        <f aca="false">IF($A21="","",IF(SUMIFS(Log!$I$4:$I$1203,Log!$D$4:$D$1203,$A21,Log!$B$4:$B$1203,N$5,Log!$E$4:$E$1203,"A")=0,"",SUMIFS(Log!$I$4:$I$1203,Log!$D$4:$D$1203,$A21,Log!$B$4:$B$1203,N$5,Log!$E$4:$E$1203,"A")))</f>
        <v/>
      </c>
      <c r="O21" s="79" t="str">
        <f aca="false">IF($A21="","",IF(SUMIFS(Log!$I$4:$I$1203,Log!$D$4:$D$1203,$A21,Log!$B$4:$B$1203,O$5,Log!$E$4:$E$1203,"A")=0,"",SUMIFS(Log!$I$4:$I$1203,Log!$D$4:$D$1203,$A21,Log!$B$4:$B$1203,O$5,Log!$E$4:$E$1203,"A")))</f>
        <v/>
      </c>
      <c r="P21" s="79" t="n">
        <f aca="false">IF($A21="","",IF(SUMIFS(Log!$I$4:$I$1203,Log!$D$4:$D$1203,$A21,Log!$B$4:$B$1203,P$5,Log!$E$4:$E$1203,"A")=0,"",SUMIFS(Log!$I$4:$I$1203,Log!$D$4:$D$1203,$A21,Log!$B$4:$B$1203,P$5,Log!$E$4:$E$1203,"A")))</f>
        <v>854</v>
      </c>
      <c r="Q21" s="79" t="str">
        <f aca="false">IF($A21="","",IF(SUMIFS(Log!$I$4:$I$1203,Log!$D$4:$D$1203,$A21,Log!$B$4:$B$1203,Q$5,Log!$E$4:$E$1203,"A")=0,"",SUMIFS(Log!$I$4:$I$1203,Log!$D$4:$D$1203,$A21,Log!$B$4:$B$1203,Q$5,Log!$E$4:$E$1203,"A")))</f>
        <v/>
      </c>
      <c r="R21" s="78" t="n">
        <f aca="false">IF($A21="","",IF(SUMIFS(Log!$I$4:$I$1203,Log!$D$4:$D$1203,$A21,Log!$E$4:$E$1203,"A")=0,"",SUMIFS(Log!$I$4:$I$1203,Log!$D$4:$D$1203,$A21,Log!$E$4:$E$1203,"A")))</f>
        <v>854</v>
      </c>
    </row>
    <row r="22" customFormat="false" ht="16.5" hidden="false" customHeight="true" outlineLevel="0" collapsed="false">
      <c r="A22" s="34" t="str">
        <f aca="false">IF(Übungen!$A20="","",Übungen!$A20)</f>
        <v>Lunges</v>
      </c>
      <c r="B22" s="77" t="str">
        <f aca="false">IF($A22="","",IF(SUMIFS(Log!$I$4:$I$1203,Log!$D$4:$D$1203,$A22,Log!$B$4:$B$1203,B$5,Log!$E$4:$E$1203,"A")=0,"",SUMIFS(Log!$I$4:$I$1203,Log!$D$4:$D$1203,$A22,Log!$B$4:$B$1203,B$5,Log!$E$4:$E$1203,"A")))</f>
        <v/>
      </c>
      <c r="C22" s="77" t="str">
        <f aca="false">IF($A22="","",IF(SUMIFS(Log!$I$4:$I$1203,Log!$D$4:$D$1203,$A22,Log!$B$4:$B$1203,C$5,Log!$E$4:$E$1203,"A")=0,"",SUMIFS(Log!$I$4:$I$1203,Log!$D$4:$D$1203,$A22,Log!$B$4:$B$1203,C$5,Log!$E$4:$E$1203,"A")))</f>
        <v/>
      </c>
      <c r="D22" s="77" t="str">
        <f aca="false">IF($A22="","",IF(SUMIFS(Log!$I$4:$I$1203,Log!$D$4:$D$1203,$A22,Log!$B$4:$B$1203,D$5,Log!$E$4:$E$1203,"A")=0,"",SUMIFS(Log!$I$4:$I$1203,Log!$D$4:$D$1203,$A22,Log!$B$4:$B$1203,D$5,Log!$E$4:$E$1203,"A")))</f>
        <v/>
      </c>
      <c r="E22" s="77" t="str">
        <f aca="false">IF($A22="","",IF(SUMIFS(Log!$I$4:$I$1203,Log!$D$4:$D$1203,$A22,Log!$B$4:$B$1203,E$5,Log!$E$4:$E$1203,"A")=0,"",SUMIFS(Log!$I$4:$I$1203,Log!$D$4:$D$1203,$A22,Log!$B$4:$B$1203,E$5,Log!$E$4:$E$1203,"A")))</f>
        <v/>
      </c>
      <c r="F22" s="77" t="str">
        <f aca="false">IF($A22="","",IF(SUMIFS(Log!$I$4:$I$1203,Log!$D$4:$D$1203,$A22,Log!$B$4:$B$1203,F$5,Log!$E$4:$E$1203,"A")=0,"",SUMIFS(Log!$I$4:$I$1203,Log!$D$4:$D$1203,$A22,Log!$B$4:$B$1203,F$5,Log!$E$4:$E$1203,"A")))</f>
        <v/>
      </c>
      <c r="G22" s="77" t="str">
        <f aca="false">IF($A22="","",IF(SUMIFS(Log!$I$4:$I$1203,Log!$D$4:$D$1203,$A22,Log!$B$4:$B$1203,G$5,Log!$E$4:$E$1203,"A")=0,"",SUMIFS(Log!$I$4:$I$1203,Log!$D$4:$D$1203,$A22,Log!$B$4:$B$1203,G$5,Log!$E$4:$E$1203,"A")))</f>
        <v/>
      </c>
      <c r="H22" s="77" t="str">
        <f aca="false">IF($A22="","",IF(SUMIFS(Log!$I$4:$I$1203,Log!$D$4:$D$1203,$A22,Log!$B$4:$B$1203,H$5,Log!$E$4:$E$1203,"A")=0,"",SUMIFS(Log!$I$4:$I$1203,Log!$D$4:$D$1203,$A22,Log!$B$4:$B$1203,H$5,Log!$E$4:$E$1203,"A")))</f>
        <v/>
      </c>
      <c r="I22" s="77" t="str">
        <f aca="false">IF($A22="","",IF(SUMIFS(Log!$I$4:$I$1203,Log!$D$4:$D$1203,$A22,Log!$B$4:$B$1203,I$5,Log!$E$4:$E$1203,"A")=0,"",SUMIFS(Log!$I$4:$I$1203,Log!$D$4:$D$1203,$A22,Log!$B$4:$B$1203,I$5,Log!$E$4:$E$1203,"A")))</f>
        <v/>
      </c>
      <c r="J22" s="77" t="str">
        <f aca="false">IF($A22="","",IF(SUMIFS(Log!$I$4:$I$1203,Log!$D$4:$D$1203,$A22,Log!$B$4:$B$1203,J$5,Log!$E$4:$E$1203,"A")=0,"",SUMIFS(Log!$I$4:$I$1203,Log!$D$4:$D$1203,$A22,Log!$B$4:$B$1203,J$5,Log!$E$4:$E$1203,"A")))</f>
        <v/>
      </c>
      <c r="K22" s="77" t="str">
        <f aca="false">IF($A22="","",IF(SUMIFS(Log!$I$4:$I$1203,Log!$D$4:$D$1203,$A22,Log!$B$4:$B$1203,K$5,Log!$E$4:$E$1203,"A")=0,"",SUMIFS(Log!$I$4:$I$1203,Log!$D$4:$D$1203,$A22,Log!$B$4:$B$1203,K$5,Log!$E$4:$E$1203,"A")))</f>
        <v/>
      </c>
      <c r="L22" s="77" t="str">
        <f aca="false">IF($A22="","",IF(SUMIFS(Log!$I$4:$I$1203,Log!$D$4:$D$1203,$A22,Log!$B$4:$B$1203,L$5,Log!$E$4:$E$1203,"A")=0,"",SUMIFS(Log!$I$4:$I$1203,Log!$D$4:$D$1203,$A22,Log!$B$4:$B$1203,L$5,Log!$E$4:$E$1203,"A")))</f>
        <v/>
      </c>
      <c r="M22" s="77" t="str">
        <f aca="false">IF($A22="","",IF(SUMIFS(Log!$I$4:$I$1203,Log!$D$4:$D$1203,$A22,Log!$B$4:$B$1203,M$5,Log!$E$4:$E$1203,"A")=0,"",SUMIFS(Log!$I$4:$I$1203,Log!$D$4:$D$1203,$A22,Log!$B$4:$B$1203,M$5,Log!$E$4:$E$1203,"A")))</f>
        <v/>
      </c>
      <c r="N22" s="77" t="str">
        <f aca="false">IF($A22="","",IF(SUMIFS(Log!$I$4:$I$1203,Log!$D$4:$D$1203,$A22,Log!$B$4:$B$1203,N$5,Log!$E$4:$E$1203,"A")=0,"",SUMIFS(Log!$I$4:$I$1203,Log!$D$4:$D$1203,$A22,Log!$B$4:$B$1203,N$5,Log!$E$4:$E$1203,"A")))</f>
        <v/>
      </c>
      <c r="O22" s="77" t="str">
        <f aca="false">IF($A22="","",IF(SUMIFS(Log!$I$4:$I$1203,Log!$D$4:$D$1203,$A22,Log!$B$4:$B$1203,O$5,Log!$E$4:$E$1203,"A")=0,"",SUMIFS(Log!$I$4:$I$1203,Log!$D$4:$D$1203,$A22,Log!$B$4:$B$1203,O$5,Log!$E$4:$E$1203,"A")))</f>
        <v/>
      </c>
      <c r="P22" s="77" t="str">
        <f aca="false">IF($A22="","",IF(SUMIFS(Log!$I$4:$I$1203,Log!$D$4:$D$1203,$A22,Log!$B$4:$B$1203,P$5,Log!$E$4:$E$1203,"A")=0,"",SUMIFS(Log!$I$4:$I$1203,Log!$D$4:$D$1203,$A22,Log!$B$4:$B$1203,P$5,Log!$E$4:$E$1203,"A")))</f>
        <v/>
      </c>
      <c r="Q22" s="77" t="str">
        <f aca="false">IF($A22="","",IF(SUMIFS(Log!$I$4:$I$1203,Log!$D$4:$D$1203,$A22,Log!$B$4:$B$1203,Q$5,Log!$E$4:$E$1203,"A")=0,"",SUMIFS(Log!$I$4:$I$1203,Log!$D$4:$D$1203,$A22,Log!$B$4:$B$1203,Q$5,Log!$E$4:$E$1203,"A")))</f>
        <v/>
      </c>
      <c r="R22" s="78" t="str">
        <f aca="false">IF($A22="","",IF(SUMIFS(Log!$I$4:$I$1203,Log!$D$4:$D$1203,$A22,Log!$E$4:$E$1203,"A")=0,"",SUMIFS(Log!$I$4:$I$1203,Log!$D$4:$D$1203,$A22,Log!$E$4:$E$1203,"A")))</f>
        <v/>
      </c>
    </row>
    <row r="23" customFormat="false" ht="16.5" hidden="false" customHeight="true" outlineLevel="0" collapsed="false">
      <c r="A23" s="40" t="str">
        <f aca="false">IF(Übungen!$A21="","",Übungen!$A21)</f>
        <v>Kickback</v>
      </c>
      <c r="B23" s="79" t="n">
        <f aca="false">IF($A23="","",IF(SUMIFS(Log!$I$4:$I$1203,Log!$D$4:$D$1203,$A23,Log!$B$4:$B$1203,B$5,Log!$E$4:$E$1203,"A")=0,"",SUMIFS(Log!$I$4:$I$1203,Log!$D$4:$D$1203,$A23,Log!$B$4:$B$1203,B$5,Log!$E$4:$E$1203,"A")))</f>
        <v>1974</v>
      </c>
      <c r="C23" s="79" t="n">
        <f aca="false">IF($A23="","",IF(SUMIFS(Log!$I$4:$I$1203,Log!$D$4:$D$1203,$A23,Log!$B$4:$B$1203,C$5,Log!$E$4:$E$1203,"A")=0,"",SUMIFS(Log!$I$4:$I$1203,Log!$D$4:$D$1203,$A23,Log!$B$4:$B$1203,C$5,Log!$E$4:$E$1203,"A")))</f>
        <v>1274</v>
      </c>
      <c r="D23" s="79" t="n">
        <f aca="false">IF($A23="","",IF(SUMIFS(Log!$I$4:$I$1203,Log!$D$4:$D$1203,$A23,Log!$B$4:$B$1203,D$5,Log!$E$4:$E$1203,"A")=0,"",SUMIFS(Log!$I$4:$I$1203,Log!$D$4:$D$1203,$A23,Log!$B$4:$B$1203,D$5,Log!$E$4:$E$1203,"A")))</f>
        <v>2086</v>
      </c>
      <c r="E23" s="79" t="n">
        <f aca="false">IF($A23="","",IF(SUMIFS(Log!$I$4:$I$1203,Log!$D$4:$D$1203,$A23,Log!$B$4:$B$1203,E$5,Log!$E$4:$E$1203,"A")=0,"",SUMIFS(Log!$I$4:$I$1203,Log!$D$4:$D$1203,$A23,Log!$B$4:$B$1203,E$5,Log!$E$4:$E$1203,"A")))</f>
        <v>1785</v>
      </c>
      <c r="F23" s="79" t="str">
        <f aca="false">IF($A23="","",IF(SUMIFS(Log!$I$4:$I$1203,Log!$D$4:$D$1203,$A23,Log!$B$4:$B$1203,F$5,Log!$E$4:$E$1203,"A")=0,"",SUMIFS(Log!$I$4:$I$1203,Log!$D$4:$D$1203,$A23,Log!$B$4:$B$1203,F$5,Log!$E$4:$E$1203,"A")))</f>
        <v/>
      </c>
      <c r="G23" s="79" t="str">
        <f aca="false">IF($A23="","",IF(SUMIFS(Log!$I$4:$I$1203,Log!$D$4:$D$1203,$A23,Log!$B$4:$B$1203,G$5,Log!$E$4:$E$1203,"A")=0,"",SUMIFS(Log!$I$4:$I$1203,Log!$D$4:$D$1203,$A23,Log!$B$4:$B$1203,G$5,Log!$E$4:$E$1203,"A")))</f>
        <v/>
      </c>
      <c r="H23" s="79" t="str">
        <f aca="false">IF($A23="","",IF(SUMIFS(Log!$I$4:$I$1203,Log!$D$4:$D$1203,$A23,Log!$B$4:$B$1203,H$5,Log!$E$4:$E$1203,"A")=0,"",SUMIFS(Log!$I$4:$I$1203,Log!$D$4:$D$1203,$A23,Log!$B$4:$B$1203,H$5,Log!$E$4:$E$1203,"A")))</f>
        <v/>
      </c>
      <c r="I23" s="79" t="str">
        <f aca="false">IF($A23="","",IF(SUMIFS(Log!$I$4:$I$1203,Log!$D$4:$D$1203,$A23,Log!$B$4:$B$1203,I$5,Log!$E$4:$E$1203,"A")=0,"",SUMIFS(Log!$I$4:$I$1203,Log!$D$4:$D$1203,$A23,Log!$B$4:$B$1203,I$5,Log!$E$4:$E$1203,"A")))</f>
        <v/>
      </c>
      <c r="J23" s="79" t="str">
        <f aca="false">IF($A23="","",IF(SUMIFS(Log!$I$4:$I$1203,Log!$D$4:$D$1203,$A23,Log!$B$4:$B$1203,J$5,Log!$E$4:$E$1203,"A")=0,"",SUMIFS(Log!$I$4:$I$1203,Log!$D$4:$D$1203,$A23,Log!$B$4:$B$1203,J$5,Log!$E$4:$E$1203,"A")))</f>
        <v/>
      </c>
      <c r="K23" s="79" t="str">
        <f aca="false">IF($A23="","",IF(SUMIFS(Log!$I$4:$I$1203,Log!$D$4:$D$1203,$A23,Log!$B$4:$B$1203,K$5,Log!$E$4:$E$1203,"A")=0,"",SUMIFS(Log!$I$4:$I$1203,Log!$D$4:$D$1203,$A23,Log!$B$4:$B$1203,K$5,Log!$E$4:$E$1203,"A")))</f>
        <v/>
      </c>
      <c r="L23" s="79" t="str">
        <f aca="false">IF($A23="","",IF(SUMIFS(Log!$I$4:$I$1203,Log!$D$4:$D$1203,$A23,Log!$B$4:$B$1203,L$5,Log!$E$4:$E$1203,"A")=0,"",SUMIFS(Log!$I$4:$I$1203,Log!$D$4:$D$1203,$A23,Log!$B$4:$B$1203,L$5,Log!$E$4:$E$1203,"A")))</f>
        <v/>
      </c>
      <c r="M23" s="79" t="str">
        <f aca="false">IF($A23="","",IF(SUMIFS(Log!$I$4:$I$1203,Log!$D$4:$D$1203,$A23,Log!$B$4:$B$1203,M$5,Log!$E$4:$E$1203,"A")=0,"",SUMIFS(Log!$I$4:$I$1203,Log!$D$4:$D$1203,$A23,Log!$B$4:$B$1203,M$5,Log!$E$4:$E$1203,"A")))</f>
        <v/>
      </c>
      <c r="N23" s="79" t="str">
        <f aca="false">IF($A23="","",IF(SUMIFS(Log!$I$4:$I$1203,Log!$D$4:$D$1203,$A23,Log!$B$4:$B$1203,N$5,Log!$E$4:$E$1203,"A")=0,"",SUMIFS(Log!$I$4:$I$1203,Log!$D$4:$D$1203,$A23,Log!$B$4:$B$1203,N$5,Log!$E$4:$E$1203,"A")))</f>
        <v/>
      </c>
      <c r="O23" s="79" t="str">
        <f aca="false">IF($A23="","",IF(SUMIFS(Log!$I$4:$I$1203,Log!$D$4:$D$1203,$A23,Log!$B$4:$B$1203,O$5,Log!$E$4:$E$1203,"A")=0,"",SUMIFS(Log!$I$4:$I$1203,Log!$D$4:$D$1203,$A23,Log!$B$4:$B$1203,O$5,Log!$E$4:$E$1203,"A")))</f>
        <v/>
      </c>
      <c r="P23" s="79" t="str">
        <f aca="false">IF($A23="","",IF(SUMIFS(Log!$I$4:$I$1203,Log!$D$4:$D$1203,$A23,Log!$B$4:$B$1203,P$5,Log!$E$4:$E$1203,"A")=0,"",SUMIFS(Log!$I$4:$I$1203,Log!$D$4:$D$1203,$A23,Log!$B$4:$B$1203,P$5,Log!$E$4:$E$1203,"A")))</f>
        <v/>
      </c>
      <c r="Q23" s="79" t="str">
        <f aca="false">IF($A23="","",IF(SUMIFS(Log!$I$4:$I$1203,Log!$D$4:$D$1203,$A23,Log!$B$4:$B$1203,Q$5,Log!$E$4:$E$1203,"A")=0,"",SUMIFS(Log!$I$4:$I$1203,Log!$D$4:$D$1203,$A23,Log!$B$4:$B$1203,Q$5,Log!$E$4:$E$1203,"A")))</f>
        <v/>
      </c>
      <c r="R23" s="78" t="n">
        <f aca="false">IF($A23="","",IF(SUMIFS(Log!$I$4:$I$1203,Log!$D$4:$D$1203,$A23,Log!$E$4:$E$1203,"A")=0,"",SUMIFS(Log!$I$4:$I$1203,Log!$D$4:$D$1203,$A23,Log!$E$4:$E$1203,"A")))</f>
        <v>7119</v>
      </c>
    </row>
    <row r="24" customFormat="false" ht="16.5" hidden="false" customHeight="true" outlineLevel="0" collapsed="false">
      <c r="A24" s="34" t="str">
        <f aca="false">IF(Übungen!$A22="","",Übungen!$A22)</f>
        <v/>
      </c>
      <c r="B24" s="77" t="str">
        <f aca="false">IF($A24="","",IF(SUMIFS(Log!$I$4:$I$1203,Log!$D$4:$D$1203,$A24,Log!$B$4:$B$1203,B$5,Log!$E$4:$E$1203,"A")=0,"",SUMIFS(Log!$I$4:$I$1203,Log!$D$4:$D$1203,$A24,Log!$B$4:$B$1203,B$5,Log!$E$4:$E$1203,"A")))</f>
        <v/>
      </c>
      <c r="C24" s="77" t="str">
        <f aca="false">IF($A24="","",IF(SUMIFS(Log!$I$4:$I$1203,Log!$D$4:$D$1203,$A24,Log!$B$4:$B$1203,C$5,Log!$E$4:$E$1203,"A")=0,"",SUMIFS(Log!$I$4:$I$1203,Log!$D$4:$D$1203,$A24,Log!$B$4:$B$1203,C$5,Log!$E$4:$E$1203,"A")))</f>
        <v/>
      </c>
      <c r="D24" s="77" t="str">
        <f aca="false">IF($A24="","",IF(SUMIFS(Log!$I$4:$I$1203,Log!$D$4:$D$1203,$A24,Log!$B$4:$B$1203,D$5,Log!$E$4:$E$1203,"A")=0,"",SUMIFS(Log!$I$4:$I$1203,Log!$D$4:$D$1203,$A24,Log!$B$4:$B$1203,D$5,Log!$E$4:$E$1203,"A")))</f>
        <v/>
      </c>
      <c r="E24" s="77" t="str">
        <f aca="false">IF($A24="","",IF(SUMIFS(Log!$I$4:$I$1203,Log!$D$4:$D$1203,$A24,Log!$B$4:$B$1203,E$5,Log!$E$4:$E$1203,"A")=0,"",SUMIFS(Log!$I$4:$I$1203,Log!$D$4:$D$1203,$A24,Log!$B$4:$B$1203,E$5,Log!$E$4:$E$1203,"A")))</f>
        <v/>
      </c>
      <c r="F24" s="77" t="str">
        <f aca="false">IF($A24="","",IF(SUMIFS(Log!$I$4:$I$1203,Log!$D$4:$D$1203,$A24,Log!$B$4:$B$1203,F$5,Log!$E$4:$E$1203,"A")=0,"",SUMIFS(Log!$I$4:$I$1203,Log!$D$4:$D$1203,$A24,Log!$B$4:$B$1203,F$5,Log!$E$4:$E$1203,"A")))</f>
        <v/>
      </c>
      <c r="G24" s="77" t="str">
        <f aca="false">IF($A24="","",IF(SUMIFS(Log!$I$4:$I$1203,Log!$D$4:$D$1203,$A24,Log!$B$4:$B$1203,G$5,Log!$E$4:$E$1203,"A")=0,"",SUMIFS(Log!$I$4:$I$1203,Log!$D$4:$D$1203,$A24,Log!$B$4:$B$1203,G$5,Log!$E$4:$E$1203,"A")))</f>
        <v/>
      </c>
      <c r="H24" s="77" t="str">
        <f aca="false">IF($A24="","",IF(SUMIFS(Log!$I$4:$I$1203,Log!$D$4:$D$1203,$A24,Log!$B$4:$B$1203,H$5,Log!$E$4:$E$1203,"A")=0,"",SUMIFS(Log!$I$4:$I$1203,Log!$D$4:$D$1203,$A24,Log!$B$4:$B$1203,H$5,Log!$E$4:$E$1203,"A")))</f>
        <v/>
      </c>
      <c r="I24" s="77" t="str">
        <f aca="false">IF($A24="","",IF(SUMIFS(Log!$I$4:$I$1203,Log!$D$4:$D$1203,$A24,Log!$B$4:$B$1203,I$5,Log!$E$4:$E$1203,"A")=0,"",SUMIFS(Log!$I$4:$I$1203,Log!$D$4:$D$1203,$A24,Log!$B$4:$B$1203,I$5,Log!$E$4:$E$1203,"A")))</f>
        <v/>
      </c>
      <c r="J24" s="77" t="str">
        <f aca="false">IF($A24="","",IF(SUMIFS(Log!$I$4:$I$1203,Log!$D$4:$D$1203,$A24,Log!$B$4:$B$1203,J$5,Log!$E$4:$E$1203,"A")=0,"",SUMIFS(Log!$I$4:$I$1203,Log!$D$4:$D$1203,$A24,Log!$B$4:$B$1203,J$5,Log!$E$4:$E$1203,"A")))</f>
        <v/>
      </c>
      <c r="K24" s="77" t="str">
        <f aca="false">IF($A24="","",IF(SUMIFS(Log!$I$4:$I$1203,Log!$D$4:$D$1203,$A24,Log!$B$4:$B$1203,K$5,Log!$E$4:$E$1203,"A")=0,"",SUMIFS(Log!$I$4:$I$1203,Log!$D$4:$D$1203,$A24,Log!$B$4:$B$1203,K$5,Log!$E$4:$E$1203,"A")))</f>
        <v/>
      </c>
      <c r="L24" s="77" t="str">
        <f aca="false">IF($A24="","",IF(SUMIFS(Log!$I$4:$I$1203,Log!$D$4:$D$1203,$A24,Log!$B$4:$B$1203,L$5,Log!$E$4:$E$1203,"A")=0,"",SUMIFS(Log!$I$4:$I$1203,Log!$D$4:$D$1203,$A24,Log!$B$4:$B$1203,L$5,Log!$E$4:$E$1203,"A")))</f>
        <v/>
      </c>
      <c r="M24" s="77" t="str">
        <f aca="false">IF($A24="","",IF(SUMIFS(Log!$I$4:$I$1203,Log!$D$4:$D$1203,$A24,Log!$B$4:$B$1203,M$5,Log!$E$4:$E$1203,"A")=0,"",SUMIFS(Log!$I$4:$I$1203,Log!$D$4:$D$1203,$A24,Log!$B$4:$B$1203,M$5,Log!$E$4:$E$1203,"A")))</f>
        <v/>
      </c>
      <c r="N24" s="77" t="str">
        <f aca="false">IF($A24="","",IF(SUMIFS(Log!$I$4:$I$1203,Log!$D$4:$D$1203,$A24,Log!$B$4:$B$1203,N$5,Log!$E$4:$E$1203,"A")=0,"",SUMIFS(Log!$I$4:$I$1203,Log!$D$4:$D$1203,$A24,Log!$B$4:$B$1203,N$5,Log!$E$4:$E$1203,"A")))</f>
        <v/>
      </c>
      <c r="O24" s="77" t="str">
        <f aca="false">IF($A24="","",IF(SUMIFS(Log!$I$4:$I$1203,Log!$D$4:$D$1203,$A24,Log!$B$4:$B$1203,O$5,Log!$E$4:$E$1203,"A")=0,"",SUMIFS(Log!$I$4:$I$1203,Log!$D$4:$D$1203,$A24,Log!$B$4:$B$1203,O$5,Log!$E$4:$E$1203,"A")))</f>
        <v/>
      </c>
      <c r="P24" s="77" t="str">
        <f aca="false">IF($A24="","",IF(SUMIFS(Log!$I$4:$I$1203,Log!$D$4:$D$1203,$A24,Log!$B$4:$B$1203,P$5,Log!$E$4:$E$1203,"A")=0,"",SUMIFS(Log!$I$4:$I$1203,Log!$D$4:$D$1203,$A24,Log!$B$4:$B$1203,P$5,Log!$E$4:$E$1203,"A")))</f>
        <v/>
      </c>
      <c r="Q24" s="77" t="str">
        <f aca="false">IF($A24="","",IF(SUMIFS(Log!$I$4:$I$1203,Log!$D$4:$D$1203,$A24,Log!$B$4:$B$1203,Q$5,Log!$E$4:$E$1203,"A")=0,"",SUMIFS(Log!$I$4:$I$1203,Log!$D$4:$D$1203,$A24,Log!$B$4:$B$1203,Q$5,Log!$E$4:$E$1203,"A")))</f>
        <v/>
      </c>
      <c r="R24" s="78" t="str">
        <f aca="false">IF($A24="","",IF(SUMIFS(Log!$I$4:$I$1203,Log!$D$4:$D$1203,$A24,Log!$E$4:$E$1203,"A")=0,"",SUMIFS(Log!$I$4:$I$1203,Log!$D$4:$D$1203,$A24,Log!$E$4:$E$1203,"A")))</f>
        <v/>
      </c>
    </row>
    <row r="25" customFormat="false" ht="16.5" hidden="false" customHeight="true" outlineLevel="0" collapsed="false">
      <c r="A25" s="40" t="str">
        <f aca="false">IF(Übungen!$A23="","",Übungen!$A23)</f>
        <v/>
      </c>
      <c r="B25" s="79" t="str">
        <f aca="false">IF($A25="","",IF(SUMIFS(Log!$I$4:$I$1203,Log!$D$4:$D$1203,$A25,Log!$B$4:$B$1203,B$5,Log!$E$4:$E$1203,"A")=0,"",SUMIFS(Log!$I$4:$I$1203,Log!$D$4:$D$1203,$A25,Log!$B$4:$B$1203,B$5,Log!$E$4:$E$1203,"A")))</f>
        <v/>
      </c>
      <c r="C25" s="79" t="str">
        <f aca="false">IF($A25="","",IF(SUMIFS(Log!$I$4:$I$1203,Log!$D$4:$D$1203,$A25,Log!$B$4:$B$1203,C$5,Log!$E$4:$E$1203,"A")=0,"",SUMIFS(Log!$I$4:$I$1203,Log!$D$4:$D$1203,$A25,Log!$B$4:$B$1203,C$5,Log!$E$4:$E$1203,"A")))</f>
        <v/>
      </c>
      <c r="D25" s="79" t="str">
        <f aca="false">IF($A25="","",IF(SUMIFS(Log!$I$4:$I$1203,Log!$D$4:$D$1203,$A25,Log!$B$4:$B$1203,D$5,Log!$E$4:$E$1203,"A")=0,"",SUMIFS(Log!$I$4:$I$1203,Log!$D$4:$D$1203,$A25,Log!$B$4:$B$1203,D$5,Log!$E$4:$E$1203,"A")))</f>
        <v/>
      </c>
      <c r="E25" s="79" t="str">
        <f aca="false">IF($A25="","",IF(SUMIFS(Log!$I$4:$I$1203,Log!$D$4:$D$1203,$A25,Log!$B$4:$B$1203,E$5,Log!$E$4:$E$1203,"A")=0,"",SUMIFS(Log!$I$4:$I$1203,Log!$D$4:$D$1203,$A25,Log!$B$4:$B$1203,E$5,Log!$E$4:$E$1203,"A")))</f>
        <v/>
      </c>
      <c r="F25" s="79" t="str">
        <f aca="false">IF($A25="","",IF(SUMIFS(Log!$I$4:$I$1203,Log!$D$4:$D$1203,$A25,Log!$B$4:$B$1203,F$5,Log!$E$4:$E$1203,"A")=0,"",SUMIFS(Log!$I$4:$I$1203,Log!$D$4:$D$1203,$A25,Log!$B$4:$B$1203,F$5,Log!$E$4:$E$1203,"A")))</f>
        <v/>
      </c>
      <c r="G25" s="79" t="str">
        <f aca="false">IF($A25="","",IF(SUMIFS(Log!$I$4:$I$1203,Log!$D$4:$D$1203,$A25,Log!$B$4:$B$1203,G$5,Log!$E$4:$E$1203,"A")=0,"",SUMIFS(Log!$I$4:$I$1203,Log!$D$4:$D$1203,$A25,Log!$B$4:$B$1203,G$5,Log!$E$4:$E$1203,"A")))</f>
        <v/>
      </c>
      <c r="H25" s="79" t="str">
        <f aca="false">IF($A25="","",IF(SUMIFS(Log!$I$4:$I$1203,Log!$D$4:$D$1203,$A25,Log!$B$4:$B$1203,H$5,Log!$E$4:$E$1203,"A")=0,"",SUMIFS(Log!$I$4:$I$1203,Log!$D$4:$D$1203,$A25,Log!$B$4:$B$1203,H$5,Log!$E$4:$E$1203,"A")))</f>
        <v/>
      </c>
      <c r="I25" s="79" t="str">
        <f aca="false">IF($A25="","",IF(SUMIFS(Log!$I$4:$I$1203,Log!$D$4:$D$1203,$A25,Log!$B$4:$B$1203,I$5,Log!$E$4:$E$1203,"A")=0,"",SUMIFS(Log!$I$4:$I$1203,Log!$D$4:$D$1203,$A25,Log!$B$4:$B$1203,I$5,Log!$E$4:$E$1203,"A")))</f>
        <v/>
      </c>
      <c r="J25" s="79" t="str">
        <f aca="false">IF($A25="","",IF(SUMIFS(Log!$I$4:$I$1203,Log!$D$4:$D$1203,$A25,Log!$B$4:$B$1203,J$5,Log!$E$4:$E$1203,"A")=0,"",SUMIFS(Log!$I$4:$I$1203,Log!$D$4:$D$1203,$A25,Log!$B$4:$B$1203,J$5,Log!$E$4:$E$1203,"A")))</f>
        <v/>
      </c>
      <c r="K25" s="79" t="str">
        <f aca="false">IF($A25="","",IF(SUMIFS(Log!$I$4:$I$1203,Log!$D$4:$D$1203,$A25,Log!$B$4:$B$1203,K$5,Log!$E$4:$E$1203,"A")=0,"",SUMIFS(Log!$I$4:$I$1203,Log!$D$4:$D$1203,$A25,Log!$B$4:$B$1203,K$5,Log!$E$4:$E$1203,"A")))</f>
        <v/>
      </c>
      <c r="L25" s="79" t="str">
        <f aca="false">IF($A25="","",IF(SUMIFS(Log!$I$4:$I$1203,Log!$D$4:$D$1203,$A25,Log!$B$4:$B$1203,L$5,Log!$E$4:$E$1203,"A")=0,"",SUMIFS(Log!$I$4:$I$1203,Log!$D$4:$D$1203,$A25,Log!$B$4:$B$1203,L$5,Log!$E$4:$E$1203,"A")))</f>
        <v/>
      </c>
      <c r="M25" s="79" t="str">
        <f aca="false">IF($A25="","",IF(SUMIFS(Log!$I$4:$I$1203,Log!$D$4:$D$1203,$A25,Log!$B$4:$B$1203,M$5,Log!$E$4:$E$1203,"A")=0,"",SUMIFS(Log!$I$4:$I$1203,Log!$D$4:$D$1203,$A25,Log!$B$4:$B$1203,M$5,Log!$E$4:$E$1203,"A")))</f>
        <v/>
      </c>
      <c r="N25" s="79" t="str">
        <f aca="false">IF($A25="","",IF(SUMIFS(Log!$I$4:$I$1203,Log!$D$4:$D$1203,$A25,Log!$B$4:$B$1203,N$5,Log!$E$4:$E$1203,"A")=0,"",SUMIFS(Log!$I$4:$I$1203,Log!$D$4:$D$1203,$A25,Log!$B$4:$B$1203,N$5,Log!$E$4:$E$1203,"A")))</f>
        <v/>
      </c>
      <c r="O25" s="79" t="str">
        <f aca="false">IF($A25="","",IF(SUMIFS(Log!$I$4:$I$1203,Log!$D$4:$D$1203,$A25,Log!$B$4:$B$1203,O$5,Log!$E$4:$E$1203,"A")=0,"",SUMIFS(Log!$I$4:$I$1203,Log!$D$4:$D$1203,$A25,Log!$B$4:$B$1203,O$5,Log!$E$4:$E$1203,"A")))</f>
        <v/>
      </c>
      <c r="P25" s="79" t="str">
        <f aca="false">IF($A25="","",IF(SUMIFS(Log!$I$4:$I$1203,Log!$D$4:$D$1203,$A25,Log!$B$4:$B$1203,P$5,Log!$E$4:$E$1203,"A")=0,"",SUMIFS(Log!$I$4:$I$1203,Log!$D$4:$D$1203,$A25,Log!$B$4:$B$1203,P$5,Log!$E$4:$E$1203,"A")))</f>
        <v/>
      </c>
      <c r="Q25" s="79" t="str">
        <f aca="false">IF($A25="","",IF(SUMIFS(Log!$I$4:$I$1203,Log!$D$4:$D$1203,$A25,Log!$B$4:$B$1203,Q$5,Log!$E$4:$E$1203,"A")=0,"",SUMIFS(Log!$I$4:$I$1203,Log!$D$4:$D$1203,$A25,Log!$B$4:$B$1203,Q$5,Log!$E$4:$E$1203,"A")))</f>
        <v/>
      </c>
      <c r="R25" s="78" t="str">
        <f aca="false">IF($A25="","",IF(SUMIFS(Log!$I$4:$I$1203,Log!$D$4:$D$1203,$A25,Log!$E$4:$E$1203,"A")=0,"",SUMIFS(Log!$I$4:$I$1203,Log!$D$4:$D$1203,$A25,Log!$E$4:$E$1203,"A")))</f>
        <v/>
      </c>
    </row>
    <row r="28" customFormat="false" ht="19.5" hidden="false" customHeight="true" outlineLevel="0" collapsed="false">
      <c r="A28" s="3" t="s">
        <v>436</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168</v>
      </c>
      <c r="B29" s="76" t="n">
        <f aca="false">$B$3</f>
        <v>1</v>
      </c>
      <c r="C29" s="76" t="n">
        <f aca="false">B29+1</f>
        <v>2</v>
      </c>
      <c r="D29" s="76" t="n">
        <f aca="false">C29+1</f>
        <v>3</v>
      </c>
      <c r="E29" s="76" t="n">
        <f aca="false">D29+1</f>
        <v>4</v>
      </c>
      <c r="F29" s="76" t="n">
        <f aca="false">E29+1</f>
        <v>5</v>
      </c>
      <c r="G29" s="76" t="n">
        <f aca="false">F29+1</f>
        <v>6</v>
      </c>
      <c r="H29" s="76" t="n">
        <f aca="false">G29+1</f>
        <v>7</v>
      </c>
      <c r="I29" s="76" t="n">
        <f aca="false">H29+1</f>
        <v>8</v>
      </c>
      <c r="J29" s="76" t="n">
        <f aca="false">I29+1</f>
        <v>9</v>
      </c>
      <c r="K29" s="76" t="n">
        <f aca="false">J29+1</f>
        <v>10</v>
      </c>
      <c r="L29" s="76" t="n">
        <f aca="false">K29+1</f>
        <v>11</v>
      </c>
      <c r="M29" s="76" t="n">
        <f aca="false">L29+1</f>
        <v>12</v>
      </c>
      <c r="N29" s="76" t="n">
        <f aca="false">M29+1</f>
        <v>13</v>
      </c>
      <c r="O29" s="76" t="n">
        <f aca="false">N29+1</f>
        <v>14</v>
      </c>
      <c r="P29" s="76" t="n">
        <f aca="false">O29+1</f>
        <v>15</v>
      </c>
      <c r="Q29" s="76" t="n">
        <f aca="false">P29+1</f>
        <v>16</v>
      </c>
      <c r="R29" s="13" t="s">
        <v>437</v>
      </c>
    </row>
    <row r="30" customFormat="false" ht="16.5" hidden="false" customHeight="true" outlineLevel="0" collapsed="false">
      <c r="A30" s="34" t="str">
        <f aca="false">IF(Übungen!$A4="","",Übungen!$A4)</f>
        <v>Beinpresse eng</v>
      </c>
      <c r="B30" s="80" t="str">
        <f aca="false">IF($A30="","",IF(SUMPRODUCT(MAX((Log!$D$4:$D$1203=$A30)*(Log!$B$4:$B$1203=B$29)*(Log!$E$4:$E$1203="A")*(Log!$F$4:$F$1203&lt;&gt;"")*Log!$F$4:$F$1203))=0,"",SUMPRODUCT(MAX((Log!$D$4:$D$1203=$A30)*(Log!$B$4:$B$1203=B$29)*(Log!$E$4:$E$1203="A")*(Log!$F$4:$F$1203&lt;&gt;"")*Log!$F$4:$F$1203))))</f>
        <v/>
      </c>
      <c r="C30" s="80" t="str">
        <f aca="false">IF($A30="","",IF(SUMPRODUCT(MAX((Log!$D$4:$D$1203=$A30)*(Log!$B$4:$B$1203=C$29)*(Log!$E$4:$E$1203="A")*(Log!$F$4:$F$1203&lt;&gt;"")*Log!$F$4:$F$1203))=0,"",SUMPRODUCT(MAX((Log!$D$4:$D$1203=$A30)*(Log!$B$4:$B$1203=C$29)*(Log!$E$4:$E$1203="A")*(Log!$F$4:$F$1203&lt;&gt;"")*Log!$F$4:$F$1203))))</f>
        <v/>
      </c>
      <c r="D30" s="80" t="str">
        <f aca="false">IF($A30="","",IF(SUMPRODUCT(MAX((Log!$D$4:$D$1203=$A30)*(Log!$B$4:$B$1203=D$29)*(Log!$E$4:$E$1203="A")*(Log!$F$4:$F$1203&lt;&gt;"")*Log!$F$4:$F$1203))=0,"",SUMPRODUCT(MAX((Log!$D$4:$D$1203=$A30)*(Log!$B$4:$B$1203=D$29)*(Log!$E$4:$E$1203="A")*(Log!$F$4:$F$1203&lt;&gt;"")*Log!$F$4:$F$1203))))</f>
        <v/>
      </c>
      <c r="E30" s="80" t="str">
        <f aca="false">IF($A30="","",IF(SUMPRODUCT(MAX((Log!$D$4:$D$1203=$A30)*(Log!$B$4:$B$1203=E$29)*(Log!$E$4:$E$1203="A")*(Log!$F$4:$F$1203&lt;&gt;"")*Log!$F$4:$F$1203))=0,"",SUMPRODUCT(MAX((Log!$D$4:$D$1203=$A30)*(Log!$B$4:$B$1203=E$29)*(Log!$E$4:$E$1203="A")*(Log!$F$4:$F$1203&lt;&gt;"")*Log!$F$4:$F$1203))))</f>
        <v/>
      </c>
      <c r="F30" s="80" t="n">
        <f aca="false">IF($A30="","",IF(SUMPRODUCT(MAX((Log!$D$4:$D$1203=$A30)*(Log!$B$4:$B$1203=F$29)*(Log!$E$4:$E$1203="A")*(Log!$F$4:$F$1203&lt;&gt;"")*Log!$F$4:$F$1203))=0,"",SUMPRODUCT(MAX((Log!$D$4:$D$1203=$A30)*(Log!$B$4:$B$1203=F$29)*(Log!$E$4:$E$1203="A")*(Log!$F$4:$F$1203&lt;&gt;"")*Log!$F$4:$F$1203))))</f>
        <v>273</v>
      </c>
      <c r="G30" s="80" t="n">
        <f aca="false">IF($A30="","",IF(SUMPRODUCT(MAX((Log!$D$4:$D$1203=$A30)*(Log!$B$4:$B$1203=G$29)*(Log!$E$4:$E$1203="A")*(Log!$F$4:$F$1203&lt;&gt;"")*Log!$F$4:$F$1203))=0,"",SUMPRODUCT(MAX((Log!$D$4:$D$1203=$A30)*(Log!$B$4:$B$1203=G$29)*(Log!$E$4:$E$1203="A")*(Log!$F$4:$F$1203&lt;&gt;"")*Log!$F$4:$F$1203))))</f>
        <v>303</v>
      </c>
      <c r="H30" s="80" t="str">
        <f aca="false">IF($A30="","",IF(SUMPRODUCT(MAX((Log!$D$4:$D$1203=$A30)*(Log!$B$4:$B$1203=H$29)*(Log!$E$4:$E$1203="A")*(Log!$F$4:$F$1203&lt;&gt;"")*Log!$F$4:$F$1203))=0,"",SUMPRODUCT(MAX((Log!$D$4:$D$1203=$A30)*(Log!$B$4:$B$1203=H$29)*(Log!$E$4:$E$1203="A")*(Log!$F$4:$F$1203&lt;&gt;"")*Log!$F$4:$F$1203))))</f>
        <v/>
      </c>
      <c r="I30" s="80" t="n">
        <f aca="false">IF($A30="","",IF(SUMPRODUCT(MAX((Log!$D$4:$D$1203=$A30)*(Log!$B$4:$B$1203=I$29)*(Log!$E$4:$E$1203="A")*(Log!$F$4:$F$1203&lt;&gt;"")*Log!$F$4:$F$1203))=0,"",SUMPRODUCT(MAX((Log!$D$4:$D$1203=$A30)*(Log!$B$4:$B$1203=I$29)*(Log!$E$4:$E$1203="A")*(Log!$F$4:$F$1203&lt;&gt;"")*Log!$F$4:$F$1203))))</f>
        <v>333</v>
      </c>
      <c r="J30" s="80" t="str">
        <f aca="false">IF($A30="","",IF(SUMPRODUCT(MAX((Log!$D$4:$D$1203=$A30)*(Log!$B$4:$B$1203=J$29)*(Log!$E$4:$E$1203="A")*(Log!$F$4:$F$1203&lt;&gt;"")*Log!$F$4:$F$1203))=0,"",SUMPRODUCT(MAX((Log!$D$4:$D$1203=$A30)*(Log!$B$4:$B$1203=J$29)*(Log!$E$4:$E$1203="A")*(Log!$F$4:$F$1203&lt;&gt;"")*Log!$F$4:$F$1203))))</f>
        <v/>
      </c>
      <c r="K30" s="80" t="n">
        <f aca="false">IF($A30="","",IF(SUMPRODUCT(MAX((Log!$D$4:$D$1203=$A30)*(Log!$B$4:$B$1203=K$29)*(Log!$E$4:$E$1203="A")*(Log!$F$4:$F$1203&lt;&gt;"")*Log!$F$4:$F$1203))=0,"",SUMPRODUCT(MAX((Log!$D$4:$D$1203=$A30)*(Log!$B$4:$B$1203=K$29)*(Log!$E$4:$E$1203="A")*(Log!$F$4:$F$1203&lt;&gt;"")*Log!$F$4:$F$1203))))</f>
        <v>330</v>
      </c>
      <c r="L30" s="80" t="str">
        <f aca="false">IF($A30="","",IF(SUMPRODUCT(MAX((Log!$D$4:$D$1203=$A30)*(Log!$B$4:$B$1203=L$29)*(Log!$E$4:$E$1203="A")*(Log!$F$4:$F$1203&lt;&gt;"")*Log!$F$4:$F$1203))=0,"",SUMPRODUCT(MAX((Log!$D$4:$D$1203=$A30)*(Log!$B$4:$B$1203=L$29)*(Log!$E$4:$E$1203="A")*(Log!$F$4:$F$1203&lt;&gt;"")*Log!$F$4:$F$1203))))</f>
        <v/>
      </c>
      <c r="M30" s="80" t="n">
        <f aca="false">IF($A30="","",IF(SUMPRODUCT(MAX((Log!$D$4:$D$1203=$A30)*(Log!$B$4:$B$1203=M$29)*(Log!$E$4:$E$1203="A")*(Log!$F$4:$F$1203&lt;&gt;"")*Log!$F$4:$F$1203))=0,"",SUMPRODUCT(MAX((Log!$D$4:$D$1203=$A30)*(Log!$B$4:$B$1203=M$29)*(Log!$E$4:$E$1203="A")*(Log!$F$4:$F$1203&lt;&gt;"")*Log!$F$4:$F$1203))))</f>
        <v>250</v>
      </c>
      <c r="N30" s="80" t="str">
        <f aca="false">IF($A30="","",IF(SUMPRODUCT(MAX((Log!$D$4:$D$1203=$A30)*(Log!$B$4:$B$1203=N$29)*(Log!$E$4:$E$1203="A")*(Log!$F$4:$F$1203&lt;&gt;"")*Log!$F$4:$F$1203))=0,"",SUMPRODUCT(MAX((Log!$D$4:$D$1203=$A30)*(Log!$B$4:$B$1203=N$29)*(Log!$E$4:$E$1203="A")*(Log!$F$4:$F$1203&lt;&gt;"")*Log!$F$4:$F$1203))))</f>
        <v/>
      </c>
      <c r="O30" s="80" t="str">
        <f aca="false">IF($A30="","",IF(SUMPRODUCT(MAX((Log!$D$4:$D$1203=$A30)*(Log!$B$4:$B$1203=O$29)*(Log!$E$4:$E$1203="A")*(Log!$F$4:$F$1203&lt;&gt;"")*Log!$F$4:$F$1203))=0,"",SUMPRODUCT(MAX((Log!$D$4:$D$1203=$A30)*(Log!$B$4:$B$1203=O$29)*(Log!$E$4:$E$1203="A")*(Log!$F$4:$F$1203&lt;&gt;"")*Log!$F$4:$F$1203))))</f>
        <v/>
      </c>
      <c r="P30" s="80" t="str">
        <f aca="false">IF($A30="","",IF(SUMPRODUCT(MAX((Log!$D$4:$D$1203=$A30)*(Log!$B$4:$B$1203=P$29)*(Log!$E$4:$E$1203="A")*(Log!$F$4:$F$1203&lt;&gt;"")*Log!$F$4:$F$1203))=0,"",SUMPRODUCT(MAX((Log!$D$4:$D$1203=$A30)*(Log!$B$4:$B$1203=P$29)*(Log!$E$4:$E$1203="A")*(Log!$F$4:$F$1203&lt;&gt;"")*Log!$F$4:$F$1203))))</f>
        <v/>
      </c>
      <c r="Q30" s="80" t="n">
        <f aca="false">IF($A30="","",IF(SUMPRODUCT(MAX((Log!$D$4:$D$1203=$A30)*(Log!$B$4:$B$1203=Q$29)*(Log!$E$4:$E$1203="A")*(Log!$F$4:$F$1203&lt;&gt;"")*Log!$F$4:$F$1203))=0,"",SUMPRODUCT(MAX((Log!$D$4:$D$1203=$A30)*(Log!$B$4:$B$1203=Q$29)*(Log!$E$4:$E$1203="A")*(Log!$F$4:$F$1203&lt;&gt;"")*Log!$F$4:$F$1203))))</f>
        <v>300</v>
      </c>
      <c r="R30" s="81"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2" t="n">
        <f aca="false">IF($A31="","",IF(SUMPRODUCT(MAX((Log!$D$4:$D$1203=$A31)*(Log!$B$4:$B$1203=B$29)*(Log!$E$4:$E$1203="A")*(Log!$F$4:$F$1203&lt;&gt;"")*Log!$F$4:$F$1203))=0,"",SUMPRODUCT(MAX((Log!$D$4:$D$1203=$A31)*(Log!$B$4:$B$1203=B$29)*(Log!$E$4:$E$1203="A")*(Log!$F$4:$F$1203&lt;&gt;"")*Log!$F$4:$F$1203))))</f>
        <v>100</v>
      </c>
      <c r="C31" s="82" t="n">
        <f aca="false">IF($A31="","",IF(SUMPRODUCT(MAX((Log!$D$4:$D$1203=$A31)*(Log!$B$4:$B$1203=C$29)*(Log!$E$4:$E$1203="A")*(Log!$F$4:$F$1203&lt;&gt;"")*Log!$F$4:$F$1203))=0,"",SUMPRODUCT(MAX((Log!$D$4:$D$1203=$A31)*(Log!$B$4:$B$1203=C$29)*(Log!$E$4:$E$1203="A")*(Log!$F$4:$F$1203&lt;&gt;"")*Log!$F$4:$F$1203))))</f>
        <v>105</v>
      </c>
      <c r="D31" s="82" t="n">
        <f aca="false">IF($A31="","",IF(SUMPRODUCT(MAX((Log!$D$4:$D$1203=$A31)*(Log!$B$4:$B$1203=D$29)*(Log!$E$4:$E$1203="A")*(Log!$F$4:$F$1203&lt;&gt;"")*Log!$F$4:$F$1203))=0,"",SUMPRODUCT(MAX((Log!$D$4:$D$1203=$A31)*(Log!$B$4:$B$1203=D$29)*(Log!$E$4:$E$1203="A")*(Log!$F$4:$F$1203&lt;&gt;"")*Log!$F$4:$F$1203))))</f>
        <v>100</v>
      </c>
      <c r="E31" s="82" t="n">
        <f aca="false">IF($A31="","",IF(SUMPRODUCT(MAX((Log!$D$4:$D$1203=$A31)*(Log!$B$4:$B$1203=E$29)*(Log!$E$4:$E$1203="A")*(Log!$F$4:$F$1203&lt;&gt;"")*Log!$F$4:$F$1203))=0,"",SUMPRODUCT(MAX((Log!$D$4:$D$1203=$A31)*(Log!$B$4:$B$1203=E$29)*(Log!$E$4:$E$1203="A")*(Log!$F$4:$F$1203&lt;&gt;"")*Log!$F$4:$F$1203))))</f>
        <v>80</v>
      </c>
      <c r="F31" s="82" t="n">
        <f aca="false">IF($A31="","",IF(SUMPRODUCT(MAX((Log!$D$4:$D$1203=$A31)*(Log!$B$4:$B$1203=F$29)*(Log!$E$4:$E$1203="A")*(Log!$F$4:$F$1203&lt;&gt;"")*Log!$F$4:$F$1203))=0,"",SUMPRODUCT(MAX((Log!$D$4:$D$1203=$A31)*(Log!$B$4:$B$1203=F$29)*(Log!$E$4:$E$1203="A")*(Log!$F$4:$F$1203&lt;&gt;"")*Log!$F$4:$F$1203))))</f>
        <v>100</v>
      </c>
      <c r="G31" s="82" t="n">
        <f aca="false">IF($A31="","",IF(SUMPRODUCT(MAX((Log!$D$4:$D$1203=$A31)*(Log!$B$4:$B$1203=G$29)*(Log!$E$4:$E$1203="A")*(Log!$F$4:$F$1203&lt;&gt;"")*Log!$F$4:$F$1203))=0,"",SUMPRODUCT(MAX((Log!$D$4:$D$1203=$A31)*(Log!$B$4:$B$1203=G$29)*(Log!$E$4:$E$1203="A")*(Log!$F$4:$F$1203&lt;&gt;"")*Log!$F$4:$F$1203))))</f>
        <v>100</v>
      </c>
      <c r="H31" s="82" t="str">
        <f aca="false">IF($A31="","",IF(SUMPRODUCT(MAX((Log!$D$4:$D$1203=$A31)*(Log!$B$4:$B$1203=H$29)*(Log!$E$4:$E$1203="A")*(Log!$F$4:$F$1203&lt;&gt;"")*Log!$F$4:$F$1203))=0,"",SUMPRODUCT(MAX((Log!$D$4:$D$1203=$A31)*(Log!$B$4:$B$1203=H$29)*(Log!$E$4:$E$1203="A")*(Log!$F$4:$F$1203&lt;&gt;"")*Log!$F$4:$F$1203))))</f>
        <v/>
      </c>
      <c r="I31" s="82" t="n">
        <f aca="false">IF($A31="","",IF(SUMPRODUCT(MAX((Log!$D$4:$D$1203=$A31)*(Log!$B$4:$B$1203=I$29)*(Log!$E$4:$E$1203="A")*(Log!$F$4:$F$1203&lt;&gt;"")*Log!$F$4:$F$1203))=0,"",SUMPRODUCT(MAX((Log!$D$4:$D$1203=$A31)*(Log!$B$4:$B$1203=I$29)*(Log!$E$4:$E$1203="A")*(Log!$F$4:$F$1203&lt;&gt;"")*Log!$F$4:$F$1203))))</f>
        <v>115</v>
      </c>
      <c r="J31" s="82" t="str">
        <f aca="false">IF($A31="","",IF(SUMPRODUCT(MAX((Log!$D$4:$D$1203=$A31)*(Log!$B$4:$B$1203=J$29)*(Log!$E$4:$E$1203="A")*(Log!$F$4:$F$1203&lt;&gt;"")*Log!$F$4:$F$1203))=0,"",SUMPRODUCT(MAX((Log!$D$4:$D$1203=$A31)*(Log!$B$4:$B$1203=J$29)*(Log!$E$4:$E$1203="A")*(Log!$F$4:$F$1203&lt;&gt;"")*Log!$F$4:$F$1203))))</f>
        <v/>
      </c>
      <c r="K31" s="82" t="n">
        <f aca="false">IF($A31="","",IF(SUMPRODUCT(MAX((Log!$D$4:$D$1203=$A31)*(Log!$B$4:$B$1203=K$29)*(Log!$E$4:$E$1203="A")*(Log!$F$4:$F$1203&lt;&gt;"")*Log!$F$4:$F$1203))=0,"",SUMPRODUCT(MAX((Log!$D$4:$D$1203=$A31)*(Log!$B$4:$B$1203=K$29)*(Log!$E$4:$E$1203="A")*(Log!$F$4:$F$1203&lt;&gt;"")*Log!$F$4:$F$1203))))</f>
        <v>115</v>
      </c>
      <c r="L31" s="82" t="str">
        <f aca="false">IF($A31="","",IF(SUMPRODUCT(MAX((Log!$D$4:$D$1203=$A31)*(Log!$B$4:$B$1203=L$29)*(Log!$E$4:$E$1203="A")*(Log!$F$4:$F$1203&lt;&gt;"")*Log!$F$4:$F$1203))=0,"",SUMPRODUCT(MAX((Log!$D$4:$D$1203=$A31)*(Log!$B$4:$B$1203=L$29)*(Log!$E$4:$E$1203="A")*(Log!$F$4:$F$1203&lt;&gt;"")*Log!$F$4:$F$1203))))</f>
        <v/>
      </c>
      <c r="M31" s="82" t="n">
        <f aca="false">IF($A31="","",IF(SUMPRODUCT(MAX((Log!$D$4:$D$1203=$A31)*(Log!$B$4:$B$1203=M$29)*(Log!$E$4:$E$1203="A")*(Log!$F$4:$F$1203&lt;&gt;"")*Log!$F$4:$F$1203))=0,"",SUMPRODUCT(MAX((Log!$D$4:$D$1203=$A31)*(Log!$B$4:$B$1203=M$29)*(Log!$E$4:$E$1203="A")*(Log!$F$4:$F$1203&lt;&gt;"")*Log!$F$4:$F$1203))))</f>
        <v>80</v>
      </c>
      <c r="N31" s="82" t="str">
        <f aca="false">IF($A31="","",IF(SUMPRODUCT(MAX((Log!$D$4:$D$1203=$A31)*(Log!$B$4:$B$1203=N$29)*(Log!$E$4:$E$1203="A")*(Log!$F$4:$F$1203&lt;&gt;"")*Log!$F$4:$F$1203))=0,"",SUMPRODUCT(MAX((Log!$D$4:$D$1203=$A31)*(Log!$B$4:$B$1203=N$29)*(Log!$E$4:$E$1203="A")*(Log!$F$4:$F$1203&lt;&gt;"")*Log!$F$4:$F$1203))))</f>
        <v/>
      </c>
      <c r="O31" s="82" t="str">
        <f aca="false">IF($A31="","",IF(SUMPRODUCT(MAX((Log!$D$4:$D$1203=$A31)*(Log!$B$4:$B$1203=O$29)*(Log!$E$4:$E$1203="A")*(Log!$F$4:$F$1203&lt;&gt;"")*Log!$F$4:$F$1203))=0,"",SUMPRODUCT(MAX((Log!$D$4:$D$1203=$A31)*(Log!$B$4:$B$1203=O$29)*(Log!$E$4:$E$1203="A")*(Log!$F$4:$F$1203&lt;&gt;"")*Log!$F$4:$F$1203))))</f>
        <v/>
      </c>
      <c r="P31" s="82" t="str">
        <f aca="false">IF($A31="","",IF(SUMPRODUCT(MAX((Log!$D$4:$D$1203=$A31)*(Log!$B$4:$B$1203=P$29)*(Log!$E$4:$E$1203="A")*(Log!$F$4:$F$1203&lt;&gt;"")*Log!$F$4:$F$1203))=0,"",SUMPRODUCT(MAX((Log!$D$4:$D$1203=$A31)*(Log!$B$4:$B$1203=P$29)*(Log!$E$4:$E$1203="A")*(Log!$F$4:$F$1203&lt;&gt;"")*Log!$F$4:$F$1203))))</f>
        <v/>
      </c>
      <c r="Q31" s="82" t="n">
        <f aca="false">IF($A31="","",IF(SUMPRODUCT(MAX((Log!$D$4:$D$1203=$A31)*(Log!$B$4:$B$1203=Q$29)*(Log!$E$4:$E$1203="A")*(Log!$F$4:$F$1203&lt;&gt;"")*Log!$F$4:$F$1203))=0,"",SUMPRODUCT(MAX((Log!$D$4:$D$1203=$A31)*(Log!$B$4:$B$1203=Q$29)*(Log!$E$4:$E$1203="A")*(Log!$F$4:$F$1203&lt;&gt;"")*Log!$F$4:$F$1203))))</f>
        <v>100</v>
      </c>
      <c r="R31" s="81" t="n">
        <f aca="false">IF($A31="","",IF(SUMPRODUCT(MAX((Log!$D$4:$D$1203=$A31)*(Log!$E$4:$E$1203="A")*(Log!$F$4:$F$1203&lt;&gt;"")*Log!$F$4:$F$1203))=0,"",SUMPRODUCT(MAX((Log!$D$4:$D$1203=$A31)*(Log!$E$4:$E$1203="A")*(Log!$F$4:$F$1203&lt;&gt;"")*Log!$F$4:$F$1203))))</f>
        <v>120</v>
      </c>
    </row>
    <row r="32" customFormat="false" ht="16.5" hidden="false" customHeight="true" outlineLevel="0" collapsed="false">
      <c r="A32" s="34" t="str">
        <f aca="false">IF(Übungen!$A6="","",Übungen!$A6)</f>
        <v>Beinstrecker</v>
      </c>
      <c r="B32" s="80" t="n">
        <f aca="false">IF($A32="","",IF(SUMPRODUCT(MAX((Log!$D$4:$D$1203=$A32)*(Log!$B$4:$B$1203=B$29)*(Log!$E$4:$E$1203="A")*(Log!$F$4:$F$1203&lt;&gt;"")*Log!$F$4:$F$1203))=0,"",SUMPRODUCT(MAX((Log!$D$4:$D$1203=$A32)*(Log!$B$4:$B$1203=B$29)*(Log!$E$4:$E$1203="A")*(Log!$F$4:$F$1203&lt;&gt;"")*Log!$F$4:$F$1203))))</f>
        <v>75</v>
      </c>
      <c r="C32" s="80" t="n">
        <f aca="false">IF($A32="","",IF(SUMPRODUCT(MAX((Log!$D$4:$D$1203=$A32)*(Log!$B$4:$B$1203=C$29)*(Log!$E$4:$E$1203="A")*(Log!$F$4:$F$1203&lt;&gt;"")*Log!$F$4:$F$1203))=0,"",SUMPRODUCT(MAX((Log!$D$4:$D$1203=$A32)*(Log!$B$4:$B$1203=C$29)*(Log!$E$4:$E$1203="A")*(Log!$F$4:$F$1203&lt;&gt;"")*Log!$F$4:$F$1203))))</f>
        <v>80</v>
      </c>
      <c r="D32" s="80" t="n">
        <f aca="false">IF($A32="","",IF(SUMPRODUCT(MAX((Log!$D$4:$D$1203=$A32)*(Log!$B$4:$B$1203=D$29)*(Log!$E$4:$E$1203="A")*(Log!$F$4:$F$1203&lt;&gt;"")*Log!$F$4:$F$1203))=0,"",SUMPRODUCT(MAX((Log!$D$4:$D$1203=$A32)*(Log!$B$4:$B$1203=D$29)*(Log!$E$4:$E$1203="A")*(Log!$F$4:$F$1203&lt;&gt;"")*Log!$F$4:$F$1203))))</f>
        <v>85</v>
      </c>
      <c r="E32" s="80" t="n">
        <f aca="false">IF($A32="","",IF(SUMPRODUCT(MAX((Log!$D$4:$D$1203=$A32)*(Log!$B$4:$B$1203=E$29)*(Log!$E$4:$E$1203="A")*(Log!$F$4:$F$1203&lt;&gt;"")*Log!$F$4:$F$1203))=0,"",SUMPRODUCT(MAX((Log!$D$4:$D$1203=$A32)*(Log!$B$4:$B$1203=E$29)*(Log!$E$4:$E$1203="A")*(Log!$F$4:$F$1203&lt;&gt;"")*Log!$F$4:$F$1203))))</f>
        <v>80</v>
      </c>
      <c r="F32" s="80" t="n">
        <f aca="false">IF($A32="","",IF(SUMPRODUCT(MAX((Log!$D$4:$D$1203=$A32)*(Log!$B$4:$B$1203=F$29)*(Log!$E$4:$E$1203="A")*(Log!$F$4:$F$1203&lt;&gt;"")*Log!$F$4:$F$1203))=0,"",SUMPRODUCT(MAX((Log!$D$4:$D$1203=$A32)*(Log!$B$4:$B$1203=F$29)*(Log!$E$4:$E$1203="A")*(Log!$F$4:$F$1203&lt;&gt;"")*Log!$F$4:$F$1203))))</f>
        <v>80</v>
      </c>
      <c r="G32" s="80" t="n">
        <f aca="false">IF($A32="","",IF(SUMPRODUCT(MAX((Log!$D$4:$D$1203=$A32)*(Log!$B$4:$B$1203=G$29)*(Log!$E$4:$E$1203="A")*(Log!$F$4:$F$1203&lt;&gt;"")*Log!$F$4:$F$1203))=0,"",SUMPRODUCT(MAX((Log!$D$4:$D$1203=$A32)*(Log!$B$4:$B$1203=G$29)*(Log!$E$4:$E$1203="A")*(Log!$F$4:$F$1203&lt;&gt;"")*Log!$F$4:$F$1203))))</f>
        <v>95</v>
      </c>
      <c r="H32" s="80" t="str">
        <f aca="false">IF($A32="","",IF(SUMPRODUCT(MAX((Log!$D$4:$D$1203=$A32)*(Log!$B$4:$B$1203=H$29)*(Log!$E$4:$E$1203="A")*(Log!$F$4:$F$1203&lt;&gt;"")*Log!$F$4:$F$1203))=0,"",SUMPRODUCT(MAX((Log!$D$4:$D$1203=$A32)*(Log!$B$4:$B$1203=H$29)*(Log!$E$4:$E$1203="A")*(Log!$F$4:$F$1203&lt;&gt;"")*Log!$F$4:$F$1203))))</f>
        <v/>
      </c>
      <c r="I32" s="80" t="n">
        <f aca="false">IF($A32="","",IF(SUMPRODUCT(MAX((Log!$D$4:$D$1203=$A32)*(Log!$B$4:$B$1203=I$29)*(Log!$E$4:$E$1203="A")*(Log!$F$4:$F$1203&lt;&gt;"")*Log!$F$4:$F$1203))=0,"",SUMPRODUCT(MAX((Log!$D$4:$D$1203=$A32)*(Log!$B$4:$B$1203=I$29)*(Log!$E$4:$E$1203="A")*(Log!$F$4:$F$1203&lt;&gt;"")*Log!$F$4:$F$1203))))</f>
        <v>80</v>
      </c>
      <c r="J32" s="80" t="str">
        <f aca="false">IF($A32="","",IF(SUMPRODUCT(MAX((Log!$D$4:$D$1203=$A32)*(Log!$B$4:$B$1203=J$29)*(Log!$E$4:$E$1203="A")*(Log!$F$4:$F$1203&lt;&gt;"")*Log!$F$4:$F$1203))=0,"",SUMPRODUCT(MAX((Log!$D$4:$D$1203=$A32)*(Log!$B$4:$B$1203=J$29)*(Log!$E$4:$E$1203="A")*(Log!$F$4:$F$1203&lt;&gt;"")*Log!$F$4:$F$1203))))</f>
        <v/>
      </c>
      <c r="K32" s="80" t="n">
        <f aca="false">IF($A32="","",IF(SUMPRODUCT(MAX((Log!$D$4:$D$1203=$A32)*(Log!$B$4:$B$1203=K$29)*(Log!$E$4:$E$1203="A")*(Log!$F$4:$F$1203&lt;&gt;"")*Log!$F$4:$F$1203))=0,"",SUMPRODUCT(MAX((Log!$D$4:$D$1203=$A32)*(Log!$B$4:$B$1203=K$29)*(Log!$E$4:$E$1203="A")*(Log!$F$4:$F$1203&lt;&gt;"")*Log!$F$4:$F$1203))))</f>
        <v>90</v>
      </c>
      <c r="L32" s="80" t="str">
        <f aca="false">IF($A32="","",IF(SUMPRODUCT(MAX((Log!$D$4:$D$1203=$A32)*(Log!$B$4:$B$1203=L$29)*(Log!$E$4:$E$1203="A")*(Log!$F$4:$F$1203&lt;&gt;"")*Log!$F$4:$F$1203))=0,"",SUMPRODUCT(MAX((Log!$D$4:$D$1203=$A32)*(Log!$B$4:$B$1203=L$29)*(Log!$E$4:$E$1203="A")*(Log!$F$4:$F$1203&lt;&gt;"")*Log!$F$4:$F$1203))))</f>
        <v/>
      </c>
      <c r="M32" s="80" t="n">
        <f aca="false">IF($A32="","",IF(SUMPRODUCT(MAX((Log!$D$4:$D$1203=$A32)*(Log!$B$4:$B$1203=M$29)*(Log!$E$4:$E$1203="A")*(Log!$F$4:$F$1203&lt;&gt;"")*Log!$F$4:$F$1203))=0,"",SUMPRODUCT(MAX((Log!$D$4:$D$1203=$A32)*(Log!$B$4:$B$1203=M$29)*(Log!$E$4:$E$1203="A")*(Log!$F$4:$F$1203&lt;&gt;"")*Log!$F$4:$F$1203))))</f>
        <v>77.5</v>
      </c>
      <c r="N32" s="80" t="str">
        <f aca="false">IF($A32="","",IF(SUMPRODUCT(MAX((Log!$D$4:$D$1203=$A32)*(Log!$B$4:$B$1203=N$29)*(Log!$E$4:$E$1203="A")*(Log!$F$4:$F$1203&lt;&gt;"")*Log!$F$4:$F$1203))=0,"",SUMPRODUCT(MAX((Log!$D$4:$D$1203=$A32)*(Log!$B$4:$B$1203=N$29)*(Log!$E$4:$E$1203="A")*(Log!$F$4:$F$1203&lt;&gt;"")*Log!$F$4:$F$1203))))</f>
        <v/>
      </c>
      <c r="O32" s="80" t="str">
        <f aca="false">IF($A32="","",IF(SUMPRODUCT(MAX((Log!$D$4:$D$1203=$A32)*(Log!$B$4:$B$1203=O$29)*(Log!$E$4:$E$1203="A")*(Log!$F$4:$F$1203&lt;&gt;"")*Log!$F$4:$F$1203))=0,"",SUMPRODUCT(MAX((Log!$D$4:$D$1203=$A32)*(Log!$B$4:$B$1203=O$29)*(Log!$E$4:$E$1203="A")*(Log!$F$4:$F$1203&lt;&gt;"")*Log!$F$4:$F$1203))))</f>
        <v/>
      </c>
      <c r="P32" s="80" t="str">
        <f aca="false">IF($A32="","",IF(SUMPRODUCT(MAX((Log!$D$4:$D$1203=$A32)*(Log!$B$4:$B$1203=P$29)*(Log!$E$4:$E$1203="A")*(Log!$F$4:$F$1203&lt;&gt;"")*Log!$F$4:$F$1203))=0,"",SUMPRODUCT(MAX((Log!$D$4:$D$1203=$A32)*(Log!$B$4:$B$1203=P$29)*(Log!$E$4:$E$1203="A")*(Log!$F$4:$F$1203&lt;&gt;"")*Log!$F$4:$F$1203))))</f>
        <v/>
      </c>
      <c r="Q32" s="80" t="n">
        <f aca="false">IF($A32="","",IF(SUMPRODUCT(MAX((Log!$D$4:$D$1203=$A32)*(Log!$B$4:$B$1203=Q$29)*(Log!$E$4:$E$1203="A")*(Log!$F$4:$F$1203&lt;&gt;"")*Log!$F$4:$F$1203))=0,"",SUMPRODUCT(MAX((Log!$D$4:$D$1203=$A32)*(Log!$B$4:$B$1203=Q$29)*(Log!$E$4:$E$1203="A")*(Log!$F$4:$F$1203&lt;&gt;"")*Log!$F$4:$F$1203))))</f>
        <v>80</v>
      </c>
      <c r="R32" s="81"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2" t="n">
        <f aca="false">IF($A33="","",IF(SUMPRODUCT(MAX((Log!$D$4:$D$1203=$A33)*(Log!$B$4:$B$1203=B$29)*(Log!$E$4:$E$1203="A")*(Log!$F$4:$F$1203&lt;&gt;"")*Log!$F$4:$F$1203))=0,"",SUMPRODUCT(MAX((Log!$D$4:$D$1203=$A33)*(Log!$B$4:$B$1203=B$29)*(Log!$E$4:$E$1203="A")*(Log!$F$4:$F$1203&lt;&gt;"")*Log!$F$4:$F$1203))))</f>
        <v>152.5</v>
      </c>
      <c r="C33" s="82" t="n">
        <f aca="false">IF($A33="","",IF(SUMPRODUCT(MAX((Log!$D$4:$D$1203=$A33)*(Log!$B$4:$B$1203=C$29)*(Log!$E$4:$E$1203="A")*(Log!$F$4:$F$1203&lt;&gt;"")*Log!$F$4:$F$1203))=0,"",SUMPRODUCT(MAX((Log!$D$4:$D$1203=$A33)*(Log!$B$4:$B$1203=C$29)*(Log!$E$4:$E$1203="A")*(Log!$F$4:$F$1203&lt;&gt;"")*Log!$F$4:$F$1203))))</f>
        <v>152.5</v>
      </c>
      <c r="D33" s="82" t="n">
        <f aca="false">IF($A33="","",IF(SUMPRODUCT(MAX((Log!$D$4:$D$1203=$A33)*(Log!$B$4:$B$1203=D$29)*(Log!$E$4:$E$1203="A")*(Log!$F$4:$F$1203&lt;&gt;"")*Log!$F$4:$F$1203))=0,"",SUMPRODUCT(MAX((Log!$D$4:$D$1203=$A33)*(Log!$B$4:$B$1203=D$29)*(Log!$E$4:$E$1203="A")*(Log!$F$4:$F$1203&lt;&gt;"")*Log!$F$4:$F$1203))))</f>
        <v>152.5</v>
      </c>
      <c r="E33" s="82" t="n">
        <f aca="false">IF($A33="","",IF(SUMPRODUCT(MAX((Log!$D$4:$D$1203=$A33)*(Log!$B$4:$B$1203=E$29)*(Log!$E$4:$E$1203="A")*(Log!$F$4:$F$1203&lt;&gt;"")*Log!$F$4:$F$1203))=0,"",SUMPRODUCT(MAX((Log!$D$4:$D$1203=$A33)*(Log!$B$4:$B$1203=E$29)*(Log!$E$4:$E$1203="A")*(Log!$F$4:$F$1203&lt;&gt;"")*Log!$F$4:$F$1203))))</f>
        <v>152.5</v>
      </c>
      <c r="F33" s="82" t="n">
        <f aca="false">IF($A33="","",IF(SUMPRODUCT(MAX((Log!$D$4:$D$1203=$A33)*(Log!$B$4:$B$1203=F$29)*(Log!$E$4:$E$1203="A")*(Log!$F$4:$F$1203&lt;&gt;"")*Log!$F$4:$F$1203))=0,"",SUMPRODUCT(MAX((Log!$D$4:$D$1203=$A33)*(Log!$B$4:$B$1203=F$29)*(Log!$E$4:$E$1203="A")*(Log!$F$4:$F$1203&lt;&gt;"")*Log!$F$4:$F$1203))))</f>
        <v>162.5</v>
      </c>
      <c r="G33" s="82" t="n">
        <f aca="false">IF($A33="","",IF(SUMPRODUCT(MAX((Log!$D$4:$D$1203=$A33)*(Log!$B$4:$B$1203=G$29)*(Log!$E$4:$E$1203="A")*(Log!$F$4:$F$1203&lt;&gt;"")*Log!$F$4:$F$1203))=0,"",SUMPRODUCT(MAX((Log!$D$4:$D$1203=$A33)*(Log!$B$4:$B$1203=G$29)*(Log!$E$4:$E$1203="A")*(Log!$F$4:$F$1203&lt;&gt;"")*Log!$F$4:$F$1203))))</f>
        <v>180</v>
      </c>
      <c r="H33" s="82" t="str">
        <f aca="false">IF($A33="","",IF(SUMPRODUCT(MAX((Log!$D$4:$D$1203=$A33)*(Log!$B$4:$B$1203=H$29)*(Log!$E$4:$E$1203="A")*(Log!$F$4:$F$1203&lt;&gt;"")*Log!$F$4:$F$1203))=0,"",SUMPRODUCT(MAX((Log!$D$4:$D$1203=$A33)*(Log!$B$4:$B$1203=H$29)*(Log!$E$4:$E$1203="A")*(Log!$F$4:$F$1203&lt;&gt;"")*Log!$F$4:$F$1203))))</f>
        <v/>
      </c>
      <c r="I33" s="82" t="n">
        <f aca="false">IF($A33="","",IF(SUMPRODUCT(MAX((Log!$D$4:$D$1203=$A33)*(Log!$B$4:$B$1203=I$29)*(Log!$E$4:$E$1203="A")*(Log!$F$4:$F$1203&lt;&gt;"")*Log!$F$4:$F$1203))=0,"",SUMPRODUCT(MAX((Log!$D$4:$D$1203=$A33)*(Log!$B$4:$B$1203=I$29)*(Log!$E$4:$E$1203="A")*(Log!$F$4:$F$1203&lt;&gt;"")*Log!$F$4:$F$1203))))</f>
        <v>185</v>
      </c>
      <c r="J33" s="82" t="str">
        <f aca="false">IF($A33="","",IF(SUMPRODUCT(MAX((Log!$D$4:$D$1203=$A33)*(Log!$B$4:$B$1203=J$29)*(Log!$E$4:$E$1203="A")*(Log!$F$4:$F$1203&lt;&gt;"")*Log!$F$4:$F$1203))=0,"",SUMPRODUCT(MAX((Log!$D$4:$D$1203=$A33)*(Log!$B$4:$B$1203=J$29)*(Log!$E$4:$E$1203="A")*(Log!$F$4:$F$1203&lt;&gt;"")*Log!$F$4:$F$1203))))</f>
        <v/>
      </c>
      <c r="K33" s="82" t="str">
        <f aca="false">IF($A33="","",IF(SUMPRODUCT(MAX((Log!$D$4:$D$1203=$A33)*(Log!$B$4:$B$1203=K$29)*(Log!$E$4:$E$1203="A")*(Log!$F$4:$F$1203&lt;&gt;"")*Log!$F$4:$F$1203))=0,"",SUMPRODUCT(MAX((Log!$D$4:$D$1203=$A33)*(Log!$B$4:$B$1203=K$29)*(Log!$E$4:$E$1203="A")*(Log!$F$4:$F$1203&lt;&gt;"")*Log!$F$4:$F$1203))))</f>
        <v/>
      </c>
      <c r="L33" s="82" t="str">
        <f aca="false">IF($A33="","",IF(SUMPRODUCT(MAX((Log!$D$4:$D$1203=$A33)*(Log!$B$4:$B$1203=L$29)*(Log!$E$4:$E$1203="A")*(Log!$F$4:$F$1203&lt;&gt;"")*Log!$F$4:$F$1203))=0,"",SUMPRODUCT(MAX((Log!$D$4:$D$1203=$A33)*(Log!$B$4:$B$1203=L$29)*(Log!$E$4:$E$1203="A")*(Log!$F$4:$F$1203&lt;&gt;"")*Log!$F$4:$F$1203))))</f>
        <v/>
      </c>
      <c r="M33" s="82" t="str">
        <f aca="false">IF($A33="","",IF(SUMPRODUCT(MAX((Log!$D$4:$D$1203=$A33)*(Log!$B$4:$B$1203=M$29)*(Log!$E$4:$E$1203="A")*(Log!$F$4:$F$1203&lt;&gt;"")*Log!$F$4:$F$1203))=0,"",SUMPRODUCT(MAX((Log!$D$4:$D$1203=$A33)*(Log!$B$4:$B$1203=M$29)*(Log!$E$4:$E$1203="A")*(Log!$F$4:$F$1203&lt;&gt;"")*Log!$F$4:$F$1203))))</f>
        <v/>
      </c>
      <c r="N33" s="82" t="str">
        <f aca="false">IF($A33="","",IF(SUMPRODUCT(MAX((Log!$D$4:$D$1203=$A33)*(Log!$B$4:$B$1203=N$29)*(Log!$E$4:$E$1203="A")*(Log!$F$4:$F$1203&lt;&gt;"")*Log!$F$4:$F$1203))=0,"",SUMPRODUCT(MAX((Log!$D$4:$D$1203=$A33)*(Log!$B$4:$B$1203=N$29)*(Log!$E$4:$E$1203="A")*(Log!$F$4:$F$1203&lt;&gt;"")*Log!$F$4:$F$1203))))</f>
        <v/>
      </c>
      <c r="O33" s="82" t="str">
        <f aca="false">IF($A33="","",IF(SUMPRODUCT(MAX((Log!$D$4:$D$1203=$A33)*(Log!$B$4:$B$1203=O$29)*(Log!$E$4:$E$1203="A")*(Log!$F$4:$F$1203&lt;&gt;"")*Log!$F$4:$F$1203))=0,"",SUMPRODUCT(MAX((Log!$D$4:$D$1203=$A33)*(Log!$B$4:$B$1203=O$29)*(Log!$E$4:$E$1203="A")*(Log!$F$4:$F$1203&lt;&gt;"")*Log!$F$4:$F$1203))))</f>
        <v/>
      </c>
      <c r="P33" s="82" t="str">
        <f aca="false">IF($A33="","",IF(SUMPRODUCT(MAX((Log!$D$4:$D$1203=$A33)*(Log!$B$4:$B$1203=P$29)*(Log!$E$4:$E$1203="A")*(Log!$F$4:$F$1203&lt;&gt;"")*Log!$F$4:$F$1203))=0,"",SUMPRODUCT(MAX((Log!$D$4:$D$1203=$A33)*(Log!$B$4:$B$1203=P$29)*(Log!$E$4:$E$1203="A")*(Log!$F$4:$F$1203&lt;&gt;"")*Log!$F$4:$F$1203))))</f>
        <v/>
      </c>
      <c r="Q33" s="82" t="str">
        <f aca="false">IF($A33="","",IF(SUMPRODUCT(MAX((Log!$D$4:$D$1203=$A33)*(Log!$B$4:$B$1203=Q$29)*(Log!$E$4:$E$1203="A")*(Log!$F$4:$F$1203&lt;&gt;"")*Log!$F$4:$F$1203))=0,"",SUMPRODUCT(MAX((Log!$D$4:$D$1203=$A33)*(Log!$B$4:$B$1203=Q$29)*(Log!$E$4:$E$1203="A")*(Log!$F$4:$F$1203&lt;&gt;"")*Log!$F$4:$F$1203))))</f>
        <v/>
      </c>
      <c r="R33" s="81" t="n">
        <f aca="false">IF($A33="","",IF(SUMPRODUCT(MAX((Log!$D$4:$D$1203=$A33)*(Log!$E$4:$E$1203="A")*(Log!$F$4:$F$1203&lt;&gt;"")*Log!$F$4:$F$1203))=0,"",SUMPRODUCT(MAX((Log!$D$4:$D$1203=$A33)*(Log!$E$4:$E$1203="A")*(Log!$F$4:$F$1203&lt;&gt;"")*Log!$F$4:$F$1203))))</f>
        <v>185</v>
      </c>
    </row>
    <row r="34" customFormat="false" ht="16.5" hidden="false" customHeight="true" outlineLevel="0" collapsed="false">
      <c r="A34" s="34" t="str">
        <f aca="false">IF(Übungen!$A8="","",Übungen!$A8)</f>
        <v>Reverse V-Squat</v>
      </c>
      <c r="B34" s="80" t="str">
        <f aca="false">IF($A34="","",IF(SUMPRODUCT(MAX((Log!$D$4:$D$1203=$A34)*(Log!$B$4:$B$1203=B$29)*(Log!$E$4:$E$1203="A")*(Log!$F$4:$F$1203&lt;&gt;"")*Log!$F$4:$F$1203))=0,"",SUMPRODUCT(MAX((Log!$D$4:$D$1203=$A34)*(Log!$B$4:$B$1203=B$29)*(Log!$E$4:$E$1203="A")*(Log!$F$4:$F$1203&lt;&gt;"")*Log!$F$4:$F$1203))))</f>
        <v/>
      </c>
      <c r="C34" s="80" t="str">
        <f aca="false">IF($A34="","",IF(SUMPRODUCT(MAX((Log!$D$4:$D$1203=$A34)*(Log!$B$4:$B$1203=C$29)*(Log!$E$4:$E$1203="A")*(Log!$F$4:$F$1203&lt;&gt;"")*Log!$F$4:$F$1203))=0,"",SUMPRODUCT(MAX((Log!$D$4:$D$1203=$A34)*(Log!$B$4:$B$1203=C$29)*(Log!$E$4:$E$1203="A")*(Log!$F$4:$F$1203&lt;&gt;"")*Log!$F$4:$F$1203))))</f>
        <v/>
      </c>
      <c r="D34" s="80" t="str">
        <f aca="false">IF($A34="","",IF(SUMPRODUCT(MAX((Log!$D$4:$D$1203=$A34)*(Log!$B$4:$B$1203=D$29)*(Log!$E$4:$E$1203="A")*(Log!$F$4:$F$1203&lt;&gt;"")*Log!$F$4:$F$1203))=0,"",SUMPRODUCT(MAX((Log!$D$4:$D$1203=$A34)*(Log!$B$4:$B$1203=D$29)*(Log!$E$4:$E$1203="A")*(Log!$F$4:$F$1203&lt;&gt;"")*Log!$F$4:$F$1203))))</f>
        <v/>
      </c>
      <c r="E34" s="80" t="str">
        <f aca="false">IF($A34="","",IF(SUMPRODUCT(MAX((Log!$D$4:$D$1203=$A34)*(Log!$B$4:$B$1203=E$29)*(Log!$E$4:$E$1203="A")*(Log!$F$4:$F$1203&lt;&gt;"")*Log!$F$4:$F$1203))=0,"",SUMPRODUCT(MAX((Log!$D$4:$D$1203=$A34)*(Log!$B$4:$B$1203=E$29)*(Log!$E$4:$E$1203="A")*(Log!$F$4:$F$1203&lt;&gt;"")*Log!$F$4:$F$1203))))</f>
        <v/>
      </c>
      <c r="F34" s="80" t="str">
        <f aca="false">IF($A34="","",IF(SUMPRODUCT(MAX((Log!$D$4:$D$1203=$A34)*(Log!$B$4:$B$1203=F$29)*(Log!$E$4:$E$1203="A")*(Log!$F$4:$F$1203&lt;&gt;"")*Log!$F$4:$F$1203))=0,"",SUMPRODUCT(MAX((Log!$D$4:$D$1203=$A34)*(Log!$B$4:$B$1203=F$29)*(Log!$E$4:$E$1203="A")*(Log!$F$4:$F$1203&lt;&gt;"")*Log!$F$4:$F$1203))))</f>
        <v/>
      </c>
      <c r="G34" s="80" t="str">
        <f aca="false">IF($A34="","",IF(SUMPRODUCT(MAX((Log!$D$4:$D$1203=$A34)*(Log!$B$4:$B$1203=G$29)*(Log!$E$4:$E$1203="A")*(Log!$F$4:$F$1203&lt;&gt;"")*Log!$F$4:$F$1203))=0,"",SUMPRODUCT(MAX((Log!$D$4:$D$1203=$A34)*(Log!$B$4:$B$1203=G$29)*(Log!$E$4:$E$1203="A")*(Log!$F$4:$F$1203&lt;&gt;"")*Log!$F$4:$F$1203))))</f>
        <v/>
      </c>
      <c r="H34" s="80" t="str">
        <f aca="false">IF($A34="","",IF(SUMPRODUCT(MAX((Log!$D$4:$D$1203=$A34)*(Log!$B$4:$B$1203=H$29)*(Log!$E$4:$E$1203="A")*(Log!$F$4:$F$1203&lt;&gt;"")*Log!$F$4:$F$1203))=0,"",SUMPRODUCT(MAX((Log!$D$4:$D$1203=$A34)*(Log!$B$4:$B$1203=H$29)*(Log!$E$4:$E$1203="A")*(Log!$F$4:$F$1203&lt;&gt;"")*Log!$F$4:$F$1203))))</f>
        <v/>
      </c>
      <c r="I34" s="80" t="str">
        <f aca="false">IF($A34="","",IF(SUMPRODUCT(MAX((Log!$D$4:$D$1203=$A34)*(Log!$B$4:$B$1203=I$29)*(Log!$E$4:$E$1203="A")*(Log!$F$4:$F$1203&lt;&gt;"")*Log!$F$4:$F$1203))=0,"",SUMPRODUCT(MAX((Log!$D$4:$D$1203=$A34)*(Log!$B$4:$B$1203=I$29)*(Log!$E$4:$E$1203="A")*(Log!$F$4:$F$1203&lt;&gt;"")*Log!$F$4:$F$1203))))</f>
        <v/>
      </c>
      <c r="J34" s="80" t="str">
        <f aca="false">IF($A34="","",IF(SUMPRODUCT(MAX((Log!$D$4:$D$1203=$A34)*(Log!$B$4:$B$1203=J$29)*(Log!$E$4:$E$1203="A")*(Log!$F$4:$F$1203&lt;&gt;"")*Log!$F$4:$F$1203))=0,"",SUMPRODUCT(MAX((Log!$D$4:$D$1203=$A34)*(Log!$B$4:$B$1203=J$29)*(Log!$E$4:$E$1203="A")*(Log!$F$4:$F$1203&lt;&gt;"")*Log!$F$4:$F$1203))))</f>
        <v/>
      </c>
      <c r="K34" s="80" t="str">
        <f aca="false">IF($A34="","",IF(SUMPRODUCT(MAX((Log!$D$4:$D$1203=$A34)*(Log!$B$4:$B$1203=K$29)*(Log!$E$4:$E$1203="A")*(Log!$F$4:$F$1203&lt;&gt;"")*Log!$F$4:$F$1203))=0,"",SUMPRODUCT(MAX((Log!$D$4:$D$1203=$A34)*(Log!$B$4:$B$1203=K$29)*(Log!$E$4:$E$1203="A")*(Log!$F$4:$F$1203&lt;&gt;"")*Log!$F$4:$F$1203))))</f>
        <v/>
      </c>
      <c r="L34" s="80" t="str">
        <f aca="false">IF($A34="","",IF(SUMPRODUCT(MAX((Log!$D$4:$D$1203=$A34)*(Log!$B$4:$B$1203=L$29)*(Log!$E$4:$E$1203="A")*(Log!$F$4:$F$1203&lt;&gt;"")*Log!$F$4:$F$1203))=0,"",SUMPRODUCT(MAX((Log!$D$4:$D$1203=$A34)*(Log!$B$4:$B$1203=L$29)*(Log!$E$4:$E$1203="A")*(Log!$F$4:$F$1203&lt;&gt;"")*Log!$F$4:$F$1203))))</f>
        <v/>
      </c>
      <c r="M34" s="80" t="str">
        <f aca="false">IF($A34="","",IF(SUMPRODUCT(MAX((Log!$D$4:$D$1203=$A34)*(Log!$B$4:$B$1203=M$29)*(Log!$E$4:$E$1203="A")*(Log!$F$4:$F$1203&lt;&gt;"")*Log!$F$4:$F$1203))=0,"",SUMPRODUCT(MAX((Log!$D$4:$D$1203=$A34)*(Log!$B$4:$B$1203=M$29)*(Log!$E$4:$E$1203="A")*(Log!$F$4:$F$1203&lt;&gt;"")*Log!$F$4:$F$1203))))</f>
        <v/>
      </c>
      <c r="N34" s="80" t="n">
        <f aca="false">IF($A34="","",IF(SUMPRODUCT(MAX((Log!$D$4:$D$1203=$A34)*(Log!$B$4:$B$1203=N$29)*(Log!$E$4:$E$1203="A")*(Log!$F$4:$F$1203&lt;&gt;"")*Log!$F$4:$F$1203))=0,"",SUMPRODUCT(MAX((Log!$D$4:$D$1203=$A34)*(Log!$B$4:$B$1203=N$29)*(Log!$E$4:$E$1203="A")*(Log!$F$4:$F$1203&lt;&gt;"")*Log!$F$4:$F$1203))))</f>
        <v>210</v>
      </c>
      <c r="O34" s="80" t="n">
        <f aca="false">IF($A34="","",IF(SUMPRODUCT(MAX((Log!$D$4:$D$1203=$A34)*(Log!$B$4:$B$1203=O$29)*(Log!$E$4:$E$1203="A")*(Log!$F$4:$F$1203&lt;&gt;"")*Log!$F$4:$F$1203))=0,"",SUMPRODUCT(MAX((Log!$D$4:$D$1203=$A34)*(Log!$B$4:$B$1203=O$29)*(Log!$E$4:$E$1203="A")*(Log!$F$4:$F$1203&lt;&gt;"")*Log!$F$4:$F$1203))))</f>
        <v>215</v>
      </c>
      <c r="P34" s="80" t="str">
        <f aca="false">IF($A34="","",IF(SUMPRODUCT(MAX((Log!$D$4:$D$1203=$A34)*(Log!$B$4:$B$1203=P$29)*(Log!$E$4:$E$1203="A")*(Log!$F$4:$F$1203&lt;&gt;"")*Log!$F$4:$F$1203))=0,"",SUMPRODUCT(MAX((Log!$D$4:$D$1203=$A34)*(Log!$B$4:$B$1203=P$29)*(Log!$E$4:$E$1203="A")*(Log!$F$4:$F$1203&lt;&gt;"")*Log!$F$4:$F$1203))))</f>
        <v/>
      </c>
      <c r="Q34" s="80" t="str">
        <f aca="false">IF($A34="","",IF(SUMPRODUCT(MAX((Log!$D$4:$D$1203=$A34)*(Log!$B$4:$B$1203=Q$29)*(Log!$E$4:$E$1203="A")*(Log!$F$4:$F$1203&lt;&gt;"")*Log!$F$4:$F$1203))=0,"",SUMPRODUCT(MAX((Log!$D$4:$D$1203=$A34)*(Log!$B$4:$B$1203=Q$29)*(Log!$E$4:$E$1203="A")*(Log!$F$4:$F$1203&lt;&gt;"")*Log!$F$4:$F$1203))))</f>
        <v/>
      </c>
      <c r="R34" s="81"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2" t="str">
        <f aca="false">IF($A35="","",IF(SUMPRODUCT(MAX((Log!$D$4:$D$1203=$A35)*(Log!$B$4:$B$1203=B$29)*(Log!$E$4:$E$1203="A")*(Log!$F$4:$F$1203&lt;&gt;"")*Log!$F$4:$F$1203))=0,"",SUMPRODUCT(MAX((Log!$D$4:$D$1203=$A35)*(Log!$B$4:$B$1203=B$29)*(Log!$E$4:$E$1203="A")*(Log!$F$4:$F$1203&lt;&gt;"")*Log!$F$4:$F$1203))))</f>
        <v/>
      </c>
      <c r="C35" s="82" t="str">
        <f aca="false">IF($A35="","",IF(SUMPRODUCT(MAX((Log!$D$4:$D$1203=$A35)*(Log!$B$4:$B$1203=C$29)*(Log!$E$4:$E$1203="A")*(Log!$F$4:$F$1203&lt;&gt;"")*Log!$F$4:$F$1203))=0,"",SUMPRODUCT(MAX((Log!$D$4:$D$1203=$A35)*(Log!$B$4:$B$1203=C$29)*(Log!$E$4:$E$1203="A")*(Log!$F$4:$F$1203&lt;&gt;"")*Log!$F$4:$F$1203))))</f>
        <v/>
      </c>
      <c r="D35" s="82" t="str">
        <f aca="false">IF($A35="","",IF(SUMPRODUCT(MAX((Log!$D$4:$D$1203=$A35)*(Log!$B$4:$B$1203=D$29)*(Log!$E$4:$E$1203="A")*(Log!$F$4:$F$1203&lt;&gt;"")*Log!$F$4:$F$1203))=0,"",SUMPRODUCT(MAX((Log!$D$4:$D$1203=$A35)*(Log!$B$4:$B$1203=D$29)*(Log!$E$4:$E$1203="A")*(Log!$F$4:$F$1203&lt;&gt;"")*Log!$F$4:$F$1203))))</f>
        <v/>
      </c>
      <c r="E35" s="82" t="str">
        <f aca="false">IF($A35="","",IF(SUMPRODUCT(MAX((Log!$D$4:$D$1203=$A35)*(Log!$B$4:$B$1203=E$29)*(Log!$E$4:$E$1203="A")*(Log!$F$4:$F$1203&lt;&gt;"")*Log!$F$4:$F$1203))=0,"",SUMPRODUCT(MAX((Log!$D$4:$D$1203=$A35)*(Log!$B$4:$B$1203=E$29)*(Log!$E$4:$E$1203="A")*(Log!$F$4:$F$1203&lt;&gt;"")*Log!$F$4:$F$1203))))</f>
        <v/>
      </c>
      <c r="F35" s="82" t="n">
        <f aca="false">IF($A35="","",IF(SUMPRODUCT(MAX((Log!$D$4:$D$1203=$A35)*(Log!$B$4:$B$1203=F$29)*(Log!$E$4:$E$1203="A")*(Log!$F$4:$F$1203&lt;&gt;"")*Log!$F$4:$F$1203))=0,"",SUMPRODUCT(MAX((Log!$D$4:$D$1203=$A35)*(Log!$B$4:$B$1203=F$29)*(Log!$E$4:$E$1203="A")*(Log!$F$4:$F$1203&lt;&gt;"")*Log!$F$4:$F$1203))))</f>
        <v>110</v>
      </c>
      <c r="G35" s="82" t="str">
        <f aca="false">IF($A35="","",IF(SUMPRODUCT(MAX((Log!$D$4:$D$1203=$A35)*(Log!$B$4:$B$1203=G$29)*(Log!$E$4:$E$1203="A")*(Log!$F$4:$F$1203&lt;&gt;"")*Log!$F$4:$F$1203))=0,"",SUMPRODUCT(MAX((Log!$D$4:$D$1203=$A35)*(Log!$B$4:$B$1203=G$29)*(Log!$E$4:$E$1203="A")*(Log!$F$4:$F$1203&lt;&gt;"")*Log!$F$4:$F$1203))))</f>
        <v/>
      </c>
      <c r="H35" s="82" t="n">
        <f aca="false">IF($A35="","",IF(SUMPRODUCT(MAX((Log!$D$4:$D$1203=$A35)*(Log!$B$4:$B$1203=H$29)*(Log!$E$4:$E$1203="A")*(Log!$F$4:$F$1203&lt;&gt;"")*Log!$F$4:$F$1203))=0,"",SUMPRODUCT(MAX((Log!$D$4:$D$1203=$A35)*(Log!$B$4:$B$1203=H$29)*(Log!$E$4:$E$1203="A")*(Log!$F$4:$F$1203&lt;&gt;"")*Log!$F$4:$F$1203))))</f>
        <v>135</v>
      </c>
      <c r="I35" s="82" t="str">
        <f aca="false">IF($A35="","",IF(SUMPRODUCT(MAX((Log!$D$4:$D$1203=$A35)*(Log!$B$4:$B$1203=I$29)*(Log!$E$4:$E$1203="A")*(Log!$F$4:$F$1203&lt;&gt;"")*Log!$F$4:$F$1203))=0,"",SUMPRODUCT(MAX((Log!$D$4:$D$1203=$A35)*(Log!$B$4:$B$1203=I$29)*(Log!$E$4:$E$1203="A")*(Log!$F$4:$F$1203&lt;&gt;"")*Log!$F$4:$F$1203))))</f>
        <v/>
      </c>
      <c r="J35" s="82" t="n">
        <f aca="false">IF($A35="","",IF(SUMPRODUCT(MAX((Log!$D$4:$D$1203=$A35)*(Log!$B$4:$B$1203=J$29)*(Log!$E$4:$E$1203="A")*(Log!$F$4:$F$1203&lt;&gt;"")*Log!$F$4:$F$1203))=0,"",SUMPRODUCT(MAX((Log!$D$4:$D$1203=$A35)*(Log!$B$4:$B$1203=J$29)*(Log!$E$4:$E$1203="A")*(Log!$F$4:$F$1203&lt;&gt;"")*Log!$F$4:$F$1203))))</f>
        <v>135</v>
      </c>
      <c r="K35" s="82" t="str">
        <f aca="false">IF($A35="","",IF(SUMPRODUCT(MAX((Log!$D$4:$D$1203=$A35)*(Log!$B$4:$B$1203=K$29)*(Log!$E$4:$E$1203="A")*(Log!$F$4:$F$1203&lt;&gt;"")*Log!$F$4:$F$1203))=0,"",SUMPRODUCT(MAX((Log!$D$4:$D$1203=$A35)*(Log!$B$4:$B$1203=K$29)*(Log!$E$4:$E$1203="A")*(Log!$F$4:$F$1203&lt;&gt;"")*Log!$F$4:$F$1203))))</f>
        <v/>
      </c>
      <c r="L35" s="82" t="n">
        <f aca="false">IF($A35="","",IF(SUMPRODUCT(MAX((Log!$D$4:$D$1203=$A35)*(Log!$B$4:$B$1203=L$29)*(Log!$E$4:$E$1203="A")*(Log!$F$4:$F$1203&lt;&gt;"")*Log!$F$4:$F$1203))=0,"",SUMPRODUCT(MAX((Log!$D$4:$D$1203=$A35)*(Log!$B$4:$B$1203=L$29)*(Log!$E$4:$E$1203="A")*(Log!$F$4:$F$1203&lt;&gt;"")*Log!$F$4:$F$1203))))</f>
        <v>115</v>
      </c>
      <c r="M35" s="82" t="str">
        <f aca="false">IF($A35="","",IF(SUMPRODUCT(MAX((Log!$D$4:$D$1203=$A35)*(Log!$B$4:$B$1203=M$29)*(Log!$E$4:$E$1203="A")*(Log!$F$4:$F$1203&lt;&gt;"")*Log!$F$4:$F$1203))=0,"",SUMPRODUCT(MAX((Log!$D$4:$D$1203=$A35)*(Log!$B$4:$B$1203=M$29)*(Log!$E$4:$E$1203="A")*(Log!$F$4:$F$1203&lt;&gt;"")*Log!$F$4:$F$1203))))</f>
        <v/>
      </c>
      <c r="N35" s="82" t="str">
        <f aca="false">IF($A35="","",IF(SUMPRODUCT(MAX((Log!$D$4:$D$1203=$A35)*(Log!$B$4:$B$1203=N$29)*(Log!$E$4:$E$1203="A")*(Log!$F$4:$F$1203&lt;&gt;"")*Log!$F$4:$F$1203))=0,"",SUMPRODUCT(MAX((Log!$D$4:$D$1203=$A35)*(Log!$B$4:$B$1203=N$29)*(Log!$E$4:$E$1203="A")*(Log!$F$4:$F$1203&lt;&gt;"")*Log!$F$4:$F$1203))))</f>
        <v/>
      </c>
      <c r="O35" s="82" t="str">
        <f aca="false">IF($A35="","",IF(SUMPRODUCT(MAX((Log!$D$4:$D$1203=$A35)*(Log!$B$4:$B$1203=O$29)*(Log!$E$4:$E$1203="A")*(Log!$F$4:$F$1203&lt;&gt;"")*Log!$F$4:$F$1203))=0,"",SUMPRODUCT(MAX((Log!$D$4:$D$1203=$A35)*(Log!$B$4:$B$1203=O$29)*(Log!$E$4:$E$1203="A")*(Log!$F$4:$F$1203&lt;&gt;"")*Log!$F$4:$F$1203))))</f>
        <v/>
      </c>
      <c r="P35" s="82" t="str">
        <f aca="false">IF($A35="","",IF(SUMPRODUCT(MAX((Log!$D$4:$D$1203=$A35)*(Log!$B$4:$B$1203=P$29)*(Log!$E$4:$E$1203="A")*(Log!$F$4:$F$1203&lt;&gt;"")*Log!$F$4:$F$1203))=0,"",SUMPRODUCT(MAX((Log!$D$4:$D$1203=$A35)*(Log!$B$4:$B$1203=P$29)*(Log!$E$4:$E$1203="A")*(Log!$F$4:$F$1203&lt;&gt;"")*Log!$F$4:$F$1203))))</f>
        <v/>
      </c>
      <c r="Q35" s="82" t="str">
        <f aca="false">IF($A35="","",IF(SUMPRODUCT(MAX((Log!$D$4:$D$1203=$A35)*(Log!$B$4:$B$1203=Q$29)*(Log!$E$4:$E$1203="A")*(Log!$F$4:$F$1203&lt;&gt;"")*Log!$F$4:$F$1203))=0,"",SUMPRODUCT(MAX((Log!$D$4:$D$1203=$A35)*(Log!$B$4:$B$1203=Q$29)*(Log!$E$4:$E$1203="A")*(Log!$F$4:$F$1203&lt;&gt;"")*Log!$F$4:$F$1203))))</f>
        <v/>
      </c>
      <c r="R35" s="81" t="n">
        <f aca="false">IF($A35="","",IF(SUMPRODUCT(MAX((Log!$D$4:$D$1203=$A35)*(Log!$E$4:$E$1203="A")*(Log!$F$4:$F$1203&lt;&gt;"")*Log!$F$4:$F$1203))=0,"",SUMPRODUCT(MAX((Log!$D$4:$D$1203=$A35)*(Log!$E$4:$E$1203="A")*(Log!$F$4:$F$1203&lt;&gt;"")*Log!$F$4:$F$1203))))</f>
        <v>135</v>
      </c>
    </row>
    <row r="36" customFormat="false" ht="16.5" hidden="false" customHeight="true" outlineLevel="0" collapsed="false">
      <c r="A36" s="34" t="str">
        <f aca="false">IF(Übungen!$A10="","",Übungen!$A10)</f>
        <v>Rumänisches Kreuzheben KH</v>
      </c>
      <c r="B36" s="80" t="str">
        <f aca="false">IF($A36="","",IF(SUMPRODUCT(MAX((Log!$D$4:$D$1203=$A36)*(Log!$B$4:$B$1203=B$29)*(Log!$E$4:$E$1203="A")*(Log!$F$4:$F$1203&lt;&gt;"")*Log!$F$4:$F$1203))=0,"",SUMPRODUCT(MAX((Log!$D$4:$D$1203=$A36)*(Log!$B$4:$B$1203=B$29)*(Log!$E$4:$E$1203="A")*(Log!$F$4:$F$1203&lt;&gt;"")*Log!$F$4:$F$1203))))</f>
        <v/>
      </c>
      <c r="C36" s="80" t="str">
        <f aca="false">IF($A36="","",IF(SUMPRODUCT(MAX((Log!$D$4:$D$1203=$A36)*(Log!$B$4:$B$1203=C$29)*(Log!$E$4:$E$1203="A")*(Log!$F$4:$F$1203&lt;&gt;"")*Log!$F$4:$F$1203))=0,"",SUMPRODUCT(MAX((Log!$D$4:$D$1203=$A36)*(Log!$B$4:$B$1203=C$29)*(Log!$E$4:$E$1203="A")*(Log!$F$4:$F$1203&lt;&gt;"")*Log!$F$4:$F$1203))))</f>
        <v/>
      </c>
      <c r="D36" s="80" t="str">
        <f aca="false">IF($A36="","",IF(SUMPRODUCT(MAX((Log!$D$4:$D$1203=$A36)*(Log!$B$4:$B$1203=D$29)*(Log!$E$4:$E$1203="A")*(Log!$F$4:$F$1203&lt;&gt;"")*Log!$F$4:$F$1203))=0,"",SUMPRODUCT(MAX((Log!$D$4:$D$1203=$A36)*(Log!$B$4:$B$1203=D$29)*(Log!$E$4:$E$1203="A")*(Log!$F$4:$F$1203&lt;&gt;"")*Log!$F$4:$F$1203))))</f>
        <v/>
      </c>
      <c r="E36" s="80" t="str">
        <f aca="false">IF($A36="","",IF(SUMPRODUCT(MAX((Log!$D$4:$D$1203=$A36)*(Log!$B$4:$B$1203=E$29)*(Log!$E$4:$E$1203="A")*(Log!$F$4:$F$1203&lt;&gt;"")*Log!$F$4:$F$1203))=0,"",SUMPRODUCT(MAX((Log!$D$4:$D$1203=$A36)*(Log!$B$4:$B$1203=E$29)*(Log!$E$4:$E$1203="A")*(Log!$F$4:$F$1203&lt;&gt;"")*Log!$F$4:$F$1203))))</f>
        <v/>
      </c>
      <c r="F36" s="80" t="str">
        <f aca="false">IF($A36="","",IF(SUMPRODUCT(MAX((Log!$D$4:$D$1203=$A36)*(Log!$B$4:$B$1203=F$29)*(Log!$E$4:$E$1203="A")*(Log!$F$4:$F$1203&lt;&gt;"")*Log!$F$4:$F$1203))=0,"",SUMPRODUCT(MAX((Log!$D$4:$D$1203=$A36)*(Log!$B$4:$B$1203=F$29)*(Log!$E$4:$E$1203="A")*(Log!$F$4:$F$1203&lt;&gt;"")*Log!$F$4:$F$1203))))</f>
        <v/>
      </c>
      <c r="G36" s="80" t="str">
        <f aca="false">IF($A36="","",IF(SUMPRODUCT(MAX((Log!$D$4:$D$1203=$A36)*(Log!$B$4:$B$1203=G$29)*(Log!$E$4:$E$1203="A")*(Log!$F$4:$F$1203&lt;&gt;"")*Log!$F$4:$F$1203))=0,"",SUMPRODUCT(MAX((Log!$D$4:$D$1203=$A36)*(Log!$B$4:$B$1203=G$29)*(Log!$E$4:$E$1203="A")*(Log!$F$4:$F$1203&lt;&gt;"")*Log!$F$4:$F$1203))))</f>
        <v/>
      </c>
      <c r="H36" s="80" t="str">
        <f aca="false">IF($A36="","",IF(SUMPRODUCT(MAX((Log!$D$4:$D$1203=$A36)*(Log!$B$4:$B$1203=H$29)*(Log!$E$4:$E$1203="A")*(Log!$F$4:$F$1203&lt;&gt;"")*Log!$F$4:$F$1203))=0,"",SUMPRODUCT(MAX((Log!$D$4:$D$1203=$A36)*(Log!$B$4:$B$1203=H$29)*(Log!$E$4:$E$1203="A")*(Log!$F$4:$F$1203&lt;&gt;"")*Log!$F$4:$F$1203))))</f>
        <v/>
      </c>
      <c r="I36" s="80" t="str">
        <f aca="false">IF($A36="","",IF(SUMPRODUCT(MAX((Log!$D$4:$D$1203=$A36)*(Log!$B$4:$B$1203=I$29)*(Log!$E$4:$E$1203="A")*(Log!$F$4:$F$1203&lt;&gt;"")*Log!$F$4:$F$1203))=0,"",SUMPRODUCT(MAX((Log!$D$4:$D$1203=$A36)*(Log!$B$4:$B$1203=I$29)*(Log!$E$4:$E$1203="A")*(Log!$F$4:$F$1203&lt;&gt;"")*Log!$F$4:$F$1203))))</f>
        <v/>
      </c>
      <c r="J36" s="80" t="str">
        <f aca="false">IF($A36="","",IF(SUMPRODUCT(MAX((Log!$D$4:$D$1203=$A36)*(Log!$B$4:$B$1203=J$29)*(Log!$E$4:$E$1203="A")*(Log!$F$4:$F$1203&lt;&gt;"")*Log!$F$4:$F$1203))=0,"",SUMPRODUCT(MAX((Log!$D$4:$D$1203=$A36)*(Log!$B$4:$B$1203=J$29)*(Log!$E$4:$E$1203="A")*(Log!$F$4:$F$1203&lt;&gt;"")*Log!$F$4:$F$1203))))</f>
        <v/>
      </c>
      <c r="K36" s="80" t="str">
        <f aca="false">IF($A36="","",IF(SUMPRODUCT(MAX((Log!$D$4:$D$1203=$A36)*(Log!$B$4:$B$1203=K$29)*(Log!$E$4:$E$1203="A")*(Log!$F$4:$F$1203&lt;&gt;"")*Log!$F$4:$F$1203))=0,"",SUMPRODUCT(MAX((Log!$D$4:$D$1203=$A36)*(Log!$B$4:$B$1203=K$29)*(Log!$E$4:$E$1203="A")*(Log!$F$4:$F$1203&lt;&gt;"")*Log!$F$4:$F$1203))))</f>
        <v/>
      </c>
      <c r="L36" s="80" t="str">
        <f aca="false">IF($A36="","",IF(SUMPRODUCT(MAX((Log!$D$4:$D$1203=$A36)*(Log!$B$4:$B$1203=L$29)*(Log!$E$4:$E$1203="A")*(Log!$F$4:$F$1203&lt;&gt;"")*Log!$F$4:$F$1203))=0,"",SUMPRODUCT(MAX((Log!$D$4:$D$1203=$A36)*(Log!$B$4:$B$1203=L$29)*(Log!$E$4:$E$1203="A")*(Log!$F$4:$F$1203&lt;&gt;"")*Log!$F$4:$F$1203))))</f>
        <v/>
      </c>
      <c r="M36" s="80" t="str">
        <f aca="false">IF($A36="","",IF(SUMPRODUCT(MAX((Log!$D$4:$D$1203=$A36)*(Log!$B$4:$B$1203=M$29)*(Log!$E$4:$E$1203="A")*(Log!$F$4:$F$1203&lt;&gt;"")*Log!$F$4:$F$1203))=0,"",SUMPRODUCT(MAX((Log!$D$4:$D$1203=$A36)*(Log!$B$4:$B$1203=M$29)*(Log!$E$4:$E$1203="A")*(Log!$F$4:$F$1203&lt;&gt;"")*Log!$F$4:$F$1203))))</f>
        <v/>
      </c>
      <c r="N36" s="80" t="str">
        <f aca="false">IF($A36="","",IF(SUMPRODUCT(MAX((Log!$D$4:$D$1203=$A36)*(Log!$B$4:$B$1203=N$29)*(Log!$E$4:$E$1203="A")*(Log!$F$4:$F$1203&lt;&gt;"")*Log!$F$4:$F$1203))=0,"",SUMPRODUCT(MAX((Log!$D$4:$D$1203=$A36)*(Log!$B$4:$B$1203=N$29)*(Log!$E$4:$E$1203="A")*(Log!$F$4:$F$1203&lt;&gt;"")*Log!$F$4:$F$1203))))</f>
        <v/>
      </c>
      <c r="O36" s="80" t="n">
        <f aca="false">IF($A36="","",IF(SUMPRODUCT(MAX((Log!$D$4:$D$1203=$A36)*(Log!$B$4:$B$1203=O$29)*(Log!$E$4:$E$1203="A")*(Log!$F$4:$F$1203&lt;&gt;"")*Log!$F$4:$F$1203))=0,"",SUMPRODUCT(MAX((Log!$D$4:$D$1203=$A36)*(Log!$B$4:$B$1203=O$29)*(Log!$E$4:$E$1203="A")*(Log!$F$4:$F$1203&lt;&gt;"")*Log!$F$4:$F$1203))))</f>
        <v>34</v>
      </c>
      <c r="P36" s="80" t="str">
        <f aca="false">IF($A36="","",IF(SUMPRODUCT(MAX((Log!$D$4:$D$1203=$A36)*(Log!$B$4:$B$1203=P$29)*(Log!$E$4:$E$1203="A")*(Log!$F$4:$F$1203&lt;&gt;"")*Log!$F$4:$F$1203))=0,"",SUMPRODUCT(MAX((Log!$D$4:$D$1203=$A36)*(Log!$B$4:$B$1203=P$29)*(Log!$E$4:$E$1203="A")*(Log!$F$4:$F$1203&lt;&gt;"")*Log!$F$4:$F$1203))))</f>
        <v/>
      </c>
      <c r="Q36" s="80" t="str">
        <f aca="false">IF($A36="","",IF(SUMPRODUCT(MAX((Log!$D$4:$D$1203=$A36)*(Log!$B$4:$B$1203=Q$29)*(Log!$E$4:$E$1203="A")*(Log!$F$4:$F$1203&lt;&gt;"")*Log!$F$4:$F$1203))=0,"",SUMPRODUCT(MAX((Log!$D$4:$D$1203=$A36)*(Log!$B$4:$B$1203=Q$29)*(Log!$E$4:$E$1203="A")*(Log!$F$4:$F$1203&lt;&gt;"")*Log!$F$4:$F$1203))))</f>
        <v/>
      </c>
      <c r="R36" s="81"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2" t="str">
        <f aca="false">IF($A37="","",IF(SUMPRODUCT(MAX((Log!$D$4:$D$1203=$A37)*(Log!$B$4:$B$1203=B$29)*(Log!$E$4:$E$1203="A")*(Log!$F$4:$F$1203&lt;&gt;"")*Log!$F$4:$F$1203))=0,"",SUMPRODUCT(MAX((Log!$D$4:$D$1203=$A37)*(Log!$B$4:$B$1203=B$29)*(Log!$E$4:$E$1203="A")*(Log!$F$4:$F$1203&lt;&gt;"")*Log!$F$4:$F$1203))))</f>
        <v/>
      </c>
      <c r="C37" s="82" t="str">
        <f aca="false">IF($A37="","",IF(SUMPRODUCT(MAX((Log!$D$4:$D$1203=$A37)*(Log!$B$4:$B$1203=C$29)*(Log!$E$4:$E$1203="A")*(Log!$F$4:$F$1203&lt;&gt;"")*Log!$F$4:$F$1203))=0,"",SUMPRODUCT(MAX((Log!$D$4:$D$1203=$A37)*(Log!$B$4:$B$1203=C$29)*(Log!$E$4:$E$1203="A")*(Log!$F$4:$F$1203&lt;&gt;"")*Log!$F$4:$F$1203))))</f>
        <v/>
      </c>
      <c r="D37" s="82" t="str">
        <f aca="false">IF($A37="","",IF(SUMPRODUCT(MAX((Log!$D$4:$D$1203=$A37)*(Log!$B$4:$B$1203=D$29)*(Log!$E$4:$E$1203="A")*(Log!$F$4:$F$1203&lt;&gt;"")*Log!$F$4:$F$1203))=0,"",SUMPRODUCT(MAX((Log!$D$4:$D$1203=$A37)*(Log!$B$4:$B$1203=D$29)*(Log!$E$4:$E$1203="A")*(Log!$F$4:$F$1203&lt;&gt;"")*Log!$F$4:$F$1203))))</f>
        <v/>
      </c>
      <c r="E37" s="82" t="str">
        <f aca="false">IF($A37="","",IF(SUMPRODUCT(MAX((Log!$D$4:$D$1203=$A37)*(Log!$B$4:$B$1203=E$29)*(Log!$E$4:$E$1203="A")*(Log!$F$4:$F$1203&lt;&gt;"")*Log!$F$4:$F$1203))=0,"",SUMPRODUCT(MAX((Log!$D$4:$D$1203=$A37)*(Log!$B$4:$B$1203=E$29)*(Log!$E$4:$E$1203="A")*(Log!$F$4:$F$1203&lt;&gt;"")*Log!$F$4:$F$1203))))</f>
        <v/>
      </c>
      <c r="F37" s="82" t="str">
        <f aca="false">IF($A37="","",IF(SUMPRODUCT(MAX((Log!$D$4:$D$1203=$A37)*(Log!$B$4:$B$1203=F$29)*(Log!$E$4:$E$1203="A")*(Log!$F$4:$F$1203&lt;&gt;"")*Log!$F$4:$F$1203))=0,"",SUMPRODUCT(MAX((Log!$D$4:$D$1203=$A37)*(Log!$B$4:$B$1203=F$29)*(Log!$E$4:$E$1203="A")*(Log!$F$4:$F$1203&lt;&gt;"")*Log!$F$4:$F$1203))))</f>
        <v/>
      </c>
      <c r="G37" s="82" t="str">
        <f aca="false">IF($A37="","",IF(SUMPRODUCT(MAX((Log!$D$4:$D$1203=$A37)*(Log!$B$4:$B$1203=G$29)*(Log!$E$4:$E$1203="A")*(Log!$F$4:$F$1203&lt;&gt;"")*Log!$F$4:$F$1203))=0,"",SUMPRODUCT(MAX((Log!$D$4:$D$1203=$A37)*(Log!$B$4:$B$1203=G$29)*(Log!$E$4:$E$1203="A")*(Log!$F$4:$F$1203&lt;&gt;"")*Log!$F$4:$F$1203))))</f>
        <v/>
      </c>
      <c r="H37" s="82" t="str">
        <f aca="false">IF($A37="","",IF(SUMPRODUCT(MAX((Log!$D$4:$D$1203=$A37)*(Log!$B$4:$B$1203=H$29)*(Log!$E$4:$E$1203="A")*(Log!$F$4:$F$1203&lt;&gt;"")*Log!$F$4:$F$1203))=0,"",SUMPRODUCT(MAX((Log!$D$4:$D$1203=$A37)*(Log!$B$4:$B$1203=H$29)*(Log!$E$4:$E$1203="A")*(Log!$F$4:$F$1203&lt;&gt;"")*Log!$F$4:$F$1203))))</f>
        <v/>
      </c>
      <c r="I37" s="82" t="str">
        <f aca="false">IF($A37="","",IF(SUMPRODUCT(MAX((Log!$D$4:$D$1203=$A37)*(Log!$B$4:$B$1203=I$29)*(Log!$E$4:$E$1203="A")*(Log!$F$4:$F$1203&lt;&gt;"")*Log!$F$4:$F$1203))=0,"",SUMPRODUCT(MAX((Log!$D$4:$D$1203=$A37)*(Log!$B$4:$B$1203=I$29)*(Log!$E$4:$E$1203="A")*(Log!$F$4:$F$1203&lt;&gt;"")*Log!$F$4:$F$1203))))</f>
        <v/>
      </c>
      <c r="J37" s="82" t="str">
        <f aca="false">IF($A37="","",IF(SUMPRODUCT(MAX((Log!$D$4:$D$1203=$A37)*(Log!$B$4:$B$1203=J$29)*(Log!$E$4:$E$1203="A")*(Log!$F$4:$F$1203&lt;&gt;"")*Log!$F$4:$F$1203))=0,"",SUMPRODUCT(MAX((Log!$D$4:$D$1203=$A37)*(Log!$B$4:$B$1203=J$29)*(Log!$E$4:$E$1203="A")*(Log!$F$4:$F$1203&lt;&gt;"")*Log!$F$4:$F$1203))))</f>
        <v/>
      </c>
      <c r="K37" s="82" t="str">
        <f aca="false">IF($A37="","",IF(SUMPRODUCT(MAX((Log!$D$4:$D$1203=$A37)*(Log!$B$4:$B$1203=K$29)*(Log!$E$4:$E$1203="A")*(Log!$F$4:$F$1203&lt;&gt;"")*Log!$F$4:$F$1203))=0,"",SUMPRODUCT(MAX((Log!$D$4:$D$1203=$A37)*(Log!$B$4:$B$1203=K$29)*(Log!$E$4:$E$1203="A")*(Log!$F$4:$F$1203&lt;&gt;"")*Log!$F$4:$F$1203))))</f>
        <v/>
      </c>
      <c r="L37" s="82" t="str">
        <f aca="false">IF($A37="","",IF(SUMPRODUCT(MAX((Log!$D$4:$D$1203=$A37)*(Log!$B$4:$B$1203=L$29)*(Log!$E$4:$E$1203="A")*(Log!$F$4:$F$1203&lt;&gt;"")*Log!$F$4:$F$1203))=0,"",SUMPRODUCT(MAX((Log!$D$4:$D$1203=$A37)*(Log!$B$4:$B$1203=L$29)*(Log!$E$4:$E$1203="A")*(Log!$F$4:$F$1203&lt;&gt;"")*Log!$F$4:$F$1203))))</f>
        <v/>
      </c>
      <c r="M37" s="82" t="str">
        <f aca="false">IF($A37="","",IF(SUMPRODUCT(MAX((Log!$D$4:$D$1203=$A37)*(Log!$B$4:$B$1203=M$29)*(Log!$E$4:$E$1203="A")*(Log!$F$4:$F$1203&lt;&gt;"")*Log!$F$4:$F$1203))=0,"",SUMPRODUCT(MAX((Log!$D$4:$D$1203=$A37)*(Log!$B$4:$B$1203=M$29)*(Log!$E$4:$E$1203="A")*(Log!$F$4:$F$1203&lt;&gt;"")*Log!$F$4:$F$1203))))</f>
        <v/>
      </c>
      <c r="N37" s="82" t="str">
        <f aca="false">IF($A37="","",IF(SUMPRODUCT(MAX((Log!$D$4:$D$1203=$A37)*(Log!$B$4:$B$1203=N$29)*(Log!$E$4:$E$1203="A")*(Log!$F$4:$F$1203&lt;&gt;"")*Log!$F$4:$F$1203))=0,"",SUMPRODUCT(MAX((Log!$D$4:$D$1203=$A37)*(Log!$B$4:$B$1203=N$29)*(Log!$E$4:$E$1203="A")*(Log!$F$4:$F$1203&lt;&gt;"")*Log!$F$4:$F$1203))))</f>
        <v/>
      </c>
      <c r="O37" s="82" t="str">
        <f aca="false">IF($A37="","",IF(SUMPRODUCT(MAX((Log!$D$4:$D$1203=$A37)*(Log!$B$4:$B$1203=O$29)*(Log!$E$4:$E$1203="A")*(Log!$F$4:$F$1203&lt;&gt;"")*Log!$F$4:$F$1203))=0,"",SUMPRODUCT(MAX((Log!$D$4:$D$1203=$A37)*(Log!$B$4:$B$1203=O$29)*(Log!$E$4:$E$1203="A")*(Log!$F$4:$F$1203&lt;&gt;"")*Log!$F$4:$F$1203))))</f>
        <v/>
      </c>
      <c r="P37" s="82" t="str">
        <f aca="false">IF($A37="","",IF(SUMPRODUCT(MAX((Log!$D$4:$D$1203=$A37)*(Log!$B$4:$B$1203=P$29)*(Log!$E$4:$E$1203="A")*(Log!$F$4:$F$1203&lt;&gt;"")*Log!$F$4:$F$1203))=0,"",SUMPRODUCT(MAX((Log!$D$4:$D$1203=$A37)*(Log!$B$4:$B$1203=P$29)*(Log!$E$4:$E$1203="A")*(Log!$F$4:$F$1203&lt;&gt;"")*Log!$F$4:$F$1203))))</f>
        <v/>
      </c>
      <c r="Q37" s="82" t="str">
        <f aca="false">IF($A37="","",IF(SUMPRODUCT(MAX((Log!$D$4:$D$1203=$A37)*(Log!$B$4:$B$1203=Q$29)*(Log!$E$4:$E$1203="A")*(Log!$F$4:$F$1203&lt;&gt;"")*Log!$F$4:$F$1203))=0,"",SUMPRODUCT(MAX((Log!$D$4:$D$1203=$A37)*(Log!$B$4:$B$1203=Q$29)*(Log!$E$4:$E$1203="A")*(Log!$F$4:$F$1203&lt;&gt;"")*Log!$F$4:$F$1203))))</f>
        <v/>
      </c>
      <c r="R37" s="81" t="str">
        <f aca="false">IF($A37="","",IF(SUMPRODUCT(MAX((Log!$D$4:$D$1203=$A37)*(Log!$E$4:$E$1203="A")*(Log!$F$4:$F$1203&lt;&gt;"")*Log!$F$4:$F$1203))=0,"",SUMPRODUCT(MAX((Log!$D$4:$D$1203=$A37)*(Log!$E$4:$E$1203="A")*(Log!$F$4:$F$1203&lt;&gt;"")*Log!$F$4:$F$1203))))</f>
        <v/>
      </c>
    </row>
    <row r="38" customFormat="false" ht="16.5" hidden="false" customHeight="true" outlineLevel="0" collapsed="false">
      <c r="A38" s="34" t="str">
        <f aca="false">IF(Übungen!$A12="","",Übungen!$A12)</f>
        <v>Hip Thrust</v>
      </c>
      <c r="B38" s="80" t="n">
        <f aca="false">IF($A38="","",IF(SUMPRODUCT(MAX((Log!$D$4:$D$1203=$A38)*(Log!$B$4:$B$1203=B$29)*(Log!$E$4:$E$1203="A")*(Log!$F$4:$F$1203&lt;&gt;"")*Log!$F$4:$F$1203))=0,"",SUMPRODUCT(MAX((Log!$D$4:$D$1203=$A38)*(Log!$B$4:$B$1203=B$29)*(Log!$E$4:$E$1203="A")*(Log!$F$4:$F$1203&lt;&gt;"")*Log!$F$4:$F$1203))))</f>
        <v>240</v>
      </c>
      <c r="C38" s="80" t="n">
        <f aca="false">IF($A38="","",IF(SUMPRODUCT(MAX((Log!$D$4:$D$1203=$A38)*(Log!$B$4:$B$1203=C$29)*(Log!$E$4:$E$1203="A")*(Log!$F$4:$F$1203&lt;&gt;"")*Log!$F$4:$F$1203))=0,"",SUMPRODUCT(MAX((Log!$D$4:$D$1203=$A38)*(Log!$B$4:$B$1203=C$29)*(Log!$E$4:$E$1203="A")*(Log!$F$4:$F$1203&lt;&gt;"")*Log!$F$4:$F$1203))))</f>
        <v>280</v>
      </c>
      <c r="D38" s="80" t="n">
        <f aca="false">IF($A38="","",IF(SUMPRODUCT(MAX((Log!$D$4:$D$1203=$A38)*(Log!$B$4:$B$1203=D$29)*(Log!$E$4:$E$1203="A")*(Log!$F$4:$F$1203&lt;&gt;"")*Log!$F$4:$F$1203))=0,"",SUMPRODUCT(MAX((Log!$D$4:$D$1203=$A38)*(Log!$B$4:$B$1203=D$29)*(Log!$E$4:$E$1203="A")*(Log!$F$4:$F$1203&lt;&gt;"")*Log!$F$4:$F$1203))))</f>
        <v>280</v>
      </c>
      <c r="E38" s="80" t="n">
        <f aca="false">IF($A38="","",IF(SUMPRODUCT(MAX((Log!$D$4:$D$1203=$A38)*(Log!$B$4:$B$1203=E$29)*(Log!$E$4:$E$1203="A")*(Log!$F$4:$F$1203&lt;&gt;"")*Log!$F$4:$F$1203))=0,"",SUMPRODUCT(MAX((Log!$D$4:$D$1203=$A38)*(Log!$B$4:$B$1203=E$29)*(Log!$E$4:$E$1203="A")*(Log!$F$4:$F$1203&lt;&gt;"")*Log!$F$4:$F$1203))))</f>
        <v>270</v>
      </c>
      <c r="F38" s="80" t="n">
        <f aca="false">IF($A38="","",IF(SUMPRODUCT(MAX((Log!$D$4:$D$1203=$A38)*(Log!$B$4:$B$1203=F$29)*(Log!$E$4:$E$1203="A")*(Log!$F$4:$F$1203&lt;&gt;"")*Log!$F$4:$F$1203))=0,"",SUMPRODUCT(MAX((Log!$D$4:$D$1203=$A38)*(Log!$B$4:$B$1203=F$29)*(Log!$E$4:$E$1203="A")*(Log!$F$4:$F$1203&lt;&gt;"")*Log!$F$4:$F$1203))))</f>
        <v>190</v>
      </c>
      <c r="G38" s="80" t="str">
        <f aca="false">IF($A38="","",IF(SUMPRODUCT(MAX((Log!$D$4:$D$1203=$A38)*(Log!$B$4:$B$1203=G$29)*(Log!$E$4:$E$1203="A")*(Log!$F$4:$F$1203&lt;&gt;"")*Log!$F$4:$F$1203))=0,"",SUMPRODUCT(MAX((Log!$D$4:$D$1203=$A38)*(Log!$B$4:$B$1203=G$29)*(Log!$E$4:$E$1203="A")*(Log!$F$4:$F$1203&lt;&gt;"")*Log!$F$4:$F$1203))))</f>
        <v/>
      </c>
      <c r="H38" s="80" t="n">
        <f aca="false">IF($A38="","",IF(SUMPRODUCT(MAX((Log!$D$4:$D$1203=$A38)*(Log!$B$4:$B$1203=H$29)*(Log!$E$4:$E$1203="A")*(Log!$F$4:$F$1203&lt;&gt;"")*Log!$F$4:$F$1203))=0,"",SUMPRODUCT(MAX((Log!$D$4:$D$1203=$A38)*(Log!$B$4:$B$1203=H$29)*(Log!$E$4:$E$1203="A")*(Log!$F$4:$F$1203&lt;&gt;"")*Log!$F$4:$F$1203))))</f>
        <v>290</v>
      </c>
      <c r="I38" s="80" t="str">
        <f aca="false">IF($A38="","",IF(SUMPRODUCT(MAX((Log!$D$4:$D$1203=$A38)*(Log!$B$4:$B$1203=I$29)*(Log!$E$4:$E$1203="A")*(Log!$F$4:$F$1203&lt;&gt;"")*Log!$F$4:$F$1203))=0,"",SUMPRODUCT(MAX((Log!$D$4:$D$1203=$A38)*(Log!$B$4:$B$1203=I$29)*(Log!$E$4:$E$1203="A")*(Log!$F$4:$F$1203&lt;&gt;"")*Log!$F$4:$F$1203))))</f>
        <v/>
      </c>
      <c r="J38" s="80" t="str">
        <f aca="false">IF($A38="","",IF(SUMPRODUCT(MAX((Log!$D$4:$D$1203=$A38)*(Log!$B$4:$B$1203=J$29)*(Log!$E$4:$E$1203="A")*(Log!$F$4:$F$1203&lt;&gt;"")*Log!$F$4:$F$1203))=0,"",SUMPRODUCT(MAX((Log!$D$4:$D$1203=$A38)*(Log!$B$4:$B$1203=J$29)*(Log!$E$4:$E$1203="A")*(Log!$F$4:$F$1203&lt;&gt;"")*Log!$F$4:$F$1203))))</f>
        <v/>
      </c>
      <c r="K38" s="80" t="str">
        <f aca="false">IF($A38="","",IF(SUMPRODUCT(MAX((Log!$D$4:$D$1203=$A38)*(Log!$B$4:$B$1203=K$29)*(Log!$E$4:$E$1203="A")*(Log!$F$4:$F$1203&lt;&gt;"")*Log!$F$4:$F$1203))=0,"",SUMPRODUCT(MAX((Log!$D$4:$D$1203=$A38)*(Log!$B$4:$B$1203=K$29)*(Log!$E$4:$E$1203="A")*(Log!$F$4:$F$1203&lt;&gt;"")*Log!$F$4:$F$1203))))</f>
        <v/>
      </c>
      <c r="L38" s="80" t="n">
        <f aca="false">IF($A38="","",IF(SUMPRODUCT(MAX((Log!$D$4:$D$1203=$A38)*(Log!$B$4:$B$1203=L$29)*(Log!$E$4:$E$1203="A")*(Log!$F$4:$F$1203&lt;&gt;"")*Log!$F$4:$F$1203))=0,"",SUMPRODUCT(MAX((Log!$D$4:$D$1203=$A38)*(Log!$B$4:$B$1203=L$29)*(Log!$E$4:$E$1203="A")*(Log!$F$4:$F$1203&lt;&gt;"")*Log!$F$4:$F$1203))))</f>
        <v>250</v>
      </c>
      <c r="M38" s="80" t="str">
        <f aca="false">IF($A38="","",IF(SUMPRODUCT(MAX((Log!$D$4:$D$1203=$A38)*(Log!$B$4:$B$1203=M$29)*(Log!$E$4:$E$1203="A")*(Log!$F$4:$F$1203&lt;&gt;"")*Log!$F$4:$F$1203))=0,"",SUMPRODUCT(MAX((Log!$D$4:$D$1203=$A38)*(Log!$B$4:$B$1203=M$29)*(Log!$E$4:$E$1203="A")*(Log!$F$4:$F$1203&lt;&gt;"")*Log!$F$4:$F$1203))))</f>
        <v/>
      </c>
      <c r="N38" s="80" t="n">
        <f aca="false">IF($A38="","",IF(SUMPRODUCT(MAX((Log!$D$4:$D$1203=$A38)*(Log!$B$4:$B$1203=N$29)*(Log!$E$4:$E$1203="A")*(Log!$F$4:$F$1203&lt;&gt;"")*Log!$F$4:$F$1203))=0,"",SUMPRODUCT(MAX((Log!$D$4:$D$1203=$A38)*(Log!$B$4:$B$1203=N$29)*(Log!$E$4:$E$1203="A")*(Log!$F$4:$F$1203&lt;&gt;"")*Log!$F$4:$F$1203))))</f>
        <v>280</v>
      </c>
      <c r="O38" s="80" t="n">
        <f aca="false">IF($A38="","",IF(SUMPRODUCT(MAX((Log!$D$4:$D$1203=$A38)*(Log!$B$4:$B$1203=O$29)*(Log!$E$4:$E$1203="A")*(Log!$F$4:$F$1203&lt;&gt;"")*Log!$F$4:$F$1203))=0,"",SUMPRODUCT(MAX((Log!$D$4:$D$1203=$A38)*(Log!$B$4:$B$1203=O$29)*(Log!$E$4:$E$1203="A")*(Log!$F$4:$F$1203&lt;&gt;"")*Log!$F$4:$F$1203))))</f>
        <v>285</v>
      </c>
      <c r="P38" s="80" t="str">
        <f aca="false">IF($A38="","",IF(SUMPRODUCT(MAX((Log!$D$4:$D$1203=$A38)*(Log!$B$4:$B$1203=P$29)*(Log!$E$4:$E$1203="A")*(Log!$F$4:$F$1203&lt;&gt;"")*Log!$F$4:$F$1203))=0,"",SUMPRODUCT(MAX((Log!$D$4:$D$1203=$A38)*(Log!$B$4:$B$1203=P$29)*(Log!$E$4:$E$1203="A")*(Log!$F$4:$F$1203&lt;&gt;"")*Log!$F$4:$F$1203))))</f>
        <v/>
      </c>
      <c r="Q38" s="80" t="str">
        <f aca="false">IF($A38="","",IF(SUMPRODUCT(MAX((Log!$D$4:$D$1203=$A38)*(Log!$B$4:$B$1203=Q$29)*(Log!$E$4:$E$1203="A")*(Log!$F$4:$F$1203&lt;&gt;"")*Log!$F$4:$F$1203))=0,"",SUMPRODUCT(MAX((Log!$D$4:$D$1203=$A38)*(Log!$B$4:$B$1203=Q$29)*(Log!$E$4:$E$1203="A")*(Log!$F$4:$F$1203&lt;&gt;"")*Log!$F$4:$F$1203))))</f>
        <v/>
      </c>
      <c r="R38" s="81"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2" t="str">
        <f aca="false">IF($A39="","",IF(SUMPRODUCT(MAX((Log!$D$4:$D$1203=$A39)*(Log!$B$4:$B$1203=B$29)*(Log!$E$4:$E$1203="A")*(Log!$F$4:$F$1203&lt;&gt;"")*Log!$F$4:$F$1203))=0,"",SUMPRODUCT(MAX((Log!$D$4:$D$1203=$A39)*(Log!$B$4:$B$1203=B$29)*(Log!$E$4:$E$1203="A")*(Log!$F$4:$F$1203&lt;&gt;"")*Log!$F$4:$F$1203))))</f>
        <v/>
      </c>
      <c r="C39" s="82" t="str">
        <f aca="false">IF($A39="","",IF(SUMPRODUCT(MAX((Log!$D$4:$D$1203=$A39)*(Log!$B$4:$B$1203=C$29)*(Log!$E$4:$E$1203="A")*(Log!$F$4:$F$1203&lt;&gt;"")*Log!$F$4:$F$1203))=0,"",SUMPRODUCT(MAX((Log!$D$4:$D$1203=$A39)*(Log!$B$4:$B$1203=C$29)*(Log!$E$4:$E$1203="A")*(Log!$F$4:$F$1203&lt;&gt;"")*Log!$F$4:$F$1203))))</f>
        <v/>
      </c>
      <c r="D39" s="82" t="str">
        <f aca="false">IF($A39="","",IF(SUMPRODUCT(MAX((Log!$D$4:$D$1203=$A39)*(Log!$B$4:$B$1203=D$29)*(Log!$E$4:$E$1203="A")*(Log!$F$4:$F$1203&lt;&gt;"")*Log!$F$4:$F$1203))=0,"",SUMPRODUCT(MAX((Log!$D$4:$D$1203=$A39)*(Log!$B$4:$B$1203=D$29)*(Log!$E$4:$E$1203="A")*(Log!$F$4:$F$1203&lt;&gt;"")*Log!$F$4:$F$1203))))</f>
        <v/>
      </c>
      <c r="E39" s="82" t="str">
        <f aca="false">IF($A39="","",IF(SUMPRODUCT(MAX((Log!$D$4:$D$1203=$A39)*(Log!$B$4:$B$1203=E$29)*(Log!$E$4:$E$1203="A")*(Log!$F$4:$F$1203&lt;&gt;"")*Log!$F$4:$F$1203))=0,"",SUMPRODUCT(MAX((Log!$D$4:$D$1203=$A39)*(Log!$B$4:$B$1203=E$29)*(Log!$E$4:$E$1203="A")*(Log!$F$4:$F$1203&lt;&gt;"")*Log!$F$4:$F$1203))))</f>
        <v/>
      </c>
      <c r="F39" s="82" t="str">
        <f aca="false">IF($A39="","",IF(SUMPRODUCT(MAX((Log!$D$4:$D$1203=$A39)*(Log!$B$4:$B$1203=F$29)*(Log!$E$4:$E$1203="A")*(Log!$F$4:$F$1203&lt;&gt;"")*Log!$F$4:$F$1203))=0,"",SUMPRODUCT(MAX((Log!$D$4:$D$1203=$A39)*(Log!$B$4:$B$1203=F$29)*(Log!$E$4:$E$1203="A")*(Log!$F$4:$F$1203&lt;&gt;"")*Log!$F$4:$F$1203))))</f>
        <v/>
      </c>
      <c r="G39" s="82" t="str">
        <f aca="false">IF($A39="","",IF(SUMPRODUCT(MAX((Log!$D$4:$D$1203=$A39)*(Log!$B$4:$B$1203=G$29)*(Log!$E$4:$E$1203="A")*(Log!$F$4:$F$1203&lt;&gt;"")*Log!$F$4:$F$1203))=0,"",SUMPRODUCT(MAX((Log!$D$4:$D$1203=$A39)*(Log!$B$4:$B$1203=G$29)*(Log!$E$4:$E$1203="A")*(Log!$F$4:$F$1203&lt;&gt;"")*Log!$F$4:$F$1203))))</f>
        <v/>
      </c>
      <c r="H39" s="82" t="n">
        <f aca="false">IF($A39="","",IF(SUMPRODUCT(MAX((Log!$D$4:$D$1203=$A39)*(Log!$B$4:$B$1203=H$29)*(Log!$E$4:$E$1203="A")*(Log!$F$4:$F$1203&lt;&gt;"")*Log!$F$4:$F$1203))=0,"",SUMPRODUCT(MAX((Log!$D$4:$D$1203=$A39)*(Log!$B$4:$B$1203=H$29)*(Log!$E$4:$E$1203="A")*(Log!$F$4:$F$1203&lt;&gt;"")*Log!$F$4:$F$1203))))</f>
        <v>141</v>
      </c>
      <c r="I39" s="82" t="str">
        <f aca="false">IF($A39="","",IF(SUMPRODUCT(MAX((Log!$D$4:$D$1203=$A39)*(Log!$B$4:$B$1203=I$29)*(Log!$E$4:$E$1203="A")*(Log!$F$4:$F$1203&lt;&gt;"")*Log!$F$4:$F$1203))=0,"",SUMPRODUCT(MAX((Log!$D$4:$D$1203=$A39)*(Log!$B$4:$B$1203=I$29)*(Log!$E$4:$E$1203="A")*(Log!$F$4:$F$1203&lt;&gt;"")*Log!$F$4:$F$1203))))</f>
        <v/>
      </c>
      <c r="J39" s="82" t="n">
        <f aca="false">IF($A39="","",IF(SUMPRODUCT(MAX((Log!$D$4:$D$1203=$A39)*(Log!$B$4:$B$1203=J$29)*(Log!$E$4:$E$1203="A")*(Log!$F$4:$F$1203&lt;&gt;"")*Log!$F$4:$F$1203))=0,"",SUMPRODUCT(MAX((Log!$D$4:$D$1203=$A39)*(Log!$B$4:$B$1203=J$29)*(Log!$E$4:$E$1203="A")*(Log!$F$4:$F$1203&lt;&gt;"")*Log!$F$4:$F$1203))))</f>
        <v>176</v>
      </c>
      <c r="K39" s="82" t="str">
        <f aca="false">IF($A39="","",IF(SUMPRODUCT(MAX((Log!$D$4:$D$1203=$A39)*(Log!$B$4:$B$1203=K$29)*(Log!$E$4:$E$1203="A")*(Log!$F$4:$F$1203&lt;&gt;"")*Log!$F$4:$F$1203))=0,"",SUMPRODUCT(MAX((Log!$D$4:$D$1203=$A39)*(Log!$B$4:$B$1203=K$29)*(Log!$E$4:$E$1203="A")*(Log!$F$4:$F$1203&lt;&gt;"")*Log!$F$4:$F$1203))))</f>
        <v/>
      </c>
      <c r="L39" s="82" t="n">
        <f aca="false">IF($A39="","",IF(SUMPRODUCT(MAX((Log!$D$4:$D$1203=$A39)*(Log!$B$4:$B$1203=L$29)*(Log!$E$4:$E$1203="A")*(Log!$F$4:$F$1203&lt;&gt;"")*Log!$F$4:$F$1203))=0,"",SUMPRODUCT(MAX((Log!$D$4:$D$1203=$A39)*(Log!$B$4:$B$1203=L$29)*(Log!$E$4:$E$1203="A")*(Log!$F$4:$F$1203&lt;&gt;"")*Log!$F$4:$F$1203))))</f>
        <v>173</v>
      </c>
      <c r="M39" s="82" t="str">
        <f aca="false">IF($A39="","",IF(SUMPRODUCT(MAX((Log!$D$4:$D$1203=$A39)*(Log!$B$4:$B$1203=M$29)*(Log!$E$4:$E$1203="A")*(Log!$F$4:$F$1203&lt;&gt;"")*Log!$F$4:$F$1203))=0,"",SUMPRODUCT(MAX((Log!$D$4:$D$1203=$A39)*(Log!$B$4:$B$1203=M$29)*(Log!$E$4:$E$1203="A")*(Log!$F$4:$F$1203&lt;&gt;"")*Log!$F$4:$F$1203))))</f>
        <v/>
      </c>
      <c r="N39" s="82" t="n">
        <f aca="false">IF($A39="","",IF(SUMPRODUCT(MAX((Log!$D$4:$D$1203=$A39)*(Log!$B$4:$B$1203=N$29)*(Log!$E$4:$E$1203="A")*(Log!$F$4:$F$1203&lt;&gt;"")*Log!$F$4:$F$1203))=0,"",SUMPRODUCT(MAX((Log!$D$4:$D$1203=$A39)*(Log!$B$4:$B$1203=N$29)*(Log!$E$4:$E$1203="A")*(Log!$F$4:$F$1203&lt;&gt;"")*Log!$F$4:$F$1203))))</f>
        <v>168</v>
      </c>
      <c r="O39" s="82" t="n">
        <f aca="false">IF($A39="","",IF(SUMPRODUCT(MAX((Log!$D$4:$D$1203=$A39)*(Log!$B$4:$B$1203=O$29)*(Log!$E$4:$E$1203="A")*(Log!$F$4:$F$1203&lt;&gt;"")*Log!$F$4:$F$1203))=0,"",SUMPRODUCT(MAX((Log!$D$4:$D$1203=$A39)*(Log!$B$4:$B$1203=O$29)*(Log!$E$4:$E$1203="A")*(Log!$F$4:$F$1203&lt;&gt;"")*Log!$F$4:$F$1203))))</f>
        <v>170</v>
      </c>
      <c r="P39" s="82" t="str">
        <f aca="false">IF($A39="","",IF(SUMPRODUCT(MAX((Log!$D$4:$D$1203=$A39)*(Log!$B$4:$B$1203=P$29)*(Log!$E$4:$E$1203="A")*(Log!$F$4:$F$1203&lt;&gt;"")*Log!$F$4:$F$1203))=0,"",SUMPRODUCT(MAX((Log!$D$4:$D$1203=$A39)*(Log!$B$4:$B$1203=P$29)*(Log!$E$4:$E$1203="A")*(Log!$F$4:$F$1203&lt;&gt;"")*Log!$F$4:$F$1203))))</f>
        <v/>
      </c>
      <c r="Q39" s="82" t="str">
        <f aca="false">IF($A39="","",IF(SUMPRODUCT(MAX((Log!$D$4:$D$1203=$A39)*(Log!$B$4:$B$1203=Q$29)*(Log!$E$4:$E$1203="A")*(Log!$F$4:$F$1203&lt;&gt;"")*Log!$F$4:$F$1203))=0,"",SUMPRODUCT(MAX((Log!$D$4:$D$1203=$A39)*(Log!$B$4:$B$1203=Q$29)*(Log!$E$4:$E$1203="A")*(Log!$F$4:$F$1203&lt;&gt;"")*Log!$F$4:$F$1203))))</f>
        <v/>
      </c>
      <c r="R39" s="81" t="n">
        <f aca="false">IF($A39="","",IF(SUMPRODUCT(MAX((Log!$D$4:$D$1203=$A39)*(Log!$E$4:$E$1203="A")*(Log!$F$4:$F$1203&lt;&gt;"")*Log!$F$4:$F$1203))=0,"",SUMPRODUCT(MAX((Log!$D$4:$D$1203=$A39)*(Log!$E$4:$E$1203="A")*(Log!$F$4:$F$1203&lt;&gt;"")*Log!$F$4:$F$1203))))</f>
        <v>176</v>
      </c>
    </row>
    <row r="40" customFormat="false" ht="16.5" hidden="false" customHeight="true" outlineLevel="0" collapsed="false">
      <c r="A40" s="34" t="str">
        <f aca="false">IF(Übungen!$A14="","",Übungen!$A14)</f>
        <v>Beinbeuger</v>
      </c>
      <c r="B40" s="80" t="n">
        <f aca="false">IF($A40="","",IF(SUMPRODUCT(MAX((Log!$D$4:$D$1203=$A40)*(Log!$B$4:$B$1203=B$29)*(Log!$E$4:$E$1203="A")*(Log!$F$4:$F$1203&lt;&gt;"")*Log!$F$4:$F$1203))=0,"",SUMPRODUCT(MAX((Log!$D$4:$D$1203=$A40)*(Log!$B$4:$B$1203=B$29)*(Log!$E$4:$E$1203="A")*(Log!$F$4:$F$1203&lt;&gt;"")*Log!$F$4:$F$1203))))</f>
        <v>50</v>
      </c>
      <c r="C40" s="80" t="n">
        <f aca="false">IF($A40="","",IF(SUMPRODUCT(MAX((Log!$D$4:$D$1203=$A40)*(Log!$B$4:$B$1203=C$29)*(Log!$E$4:$E$1203="A")*(Log!$F$4:$F$1203&lt;&gt;"")*Log!$F$4:$F$1203))=0,"",SUMPRODUCT(MAX((Log!$D$4:$D$1203=$A40)*(Log!$B$4:$B$1203=C$29)*(Log!$E$4:$E$1203="A")*(Log!$F$4:$F$1203&lt;&gt;"")*Log!$F$4:$F$1203))))</f>
        <v>55</v>
      </c>
      <c r="D40" s="80" t="n">
        <f aca="false">IF($A40="","",IF(SUMPRODUCT(MAX((Log!$D$4:$D$1203=$A40)*(Log!$B$4:$B$1203=D$29)*(Log!$E$4:$E$1203="A")*(Log!$F$4:$F$1203&lt;&gt;"")*Log!$F$4:$F$1203))=0,"",SUMPRODUCT(MAX((Log!$D$4:$D$1203=$A40)*(Log!$B$4:$B$1203=D$29)*(Log!$E$4:$E$1203="A")*(Log!$F$4:$F$1203&lt;&gt;"")*Log!$F$4:$F$1203))))</f>
        <v>45</v>
      </c>
      <c r="E40" s="80" t="str">
        <f aca="false">IF($A40="","",IF(SUMPRODUCT(MAX((Log!$D$4:$D$1203=$A40)*(Log!$B$4:$B$1203=E$29)*(Log!$E$4:$E$1203="A")*(Log!$F$4:$F$1203&lt;&gt;"")*Log!$F$4:$F$1203))=0,"",SUMPRODUCT(MAX((Log!$D$4:$D$1203=$A40)*(Log!$B$4:$B$1203=E$29)*(Log!$E$4:$E$1203="A")*(Log!$F$4:$F$1203&lt;&gt;"")*Log!$F$4:$F$1203))))</f>
        <v/>
      </c>
      <c r="F40" s="80" t="n">
        <f aca="false">IF($A40="","",IF(SUMPRODUCT(MAX((Log!$D$4:$D$1203=$A40)*(Log!$B$4:$B$1203=F$29)*(Log!$E$4:$E$1203="A")*(Log!$F$4:$F$1203&lt;&gt;"")*Log!$F$4:$F$1203))=0,"",SUMPRODUCT(MAX((Log!$D$4:$D$1203=$A40)*(Log!$B$4:$B$1203=F$29)*(Log!$E$4:$E$1203="A")*(Log!$F$4:$F$1203&lt;&gt;"")*Log!$F$4:$F$1203))))</f>
        <v>45</v>
      </c>
      <c r="G40" s="80" t="str">
        <f aca="false">IF($A40="","",IF(SUMPRODUCT(MAX((Log!$D$4:$D$1203=$A40)*(Log!$B$4:$B$1203=G$29)*(Log!$E$4:$E$1203="A")*(Log!$F$4:$F$1203&lt;&gt;"")*Log!$F$4:$F$1203))=0,"",SUMPRODUCT(MAX((Log!$D$4:$D$1203=$A40)*(Log!$B$4:$B$1203=G$29)*(Log!$E$4:$E$1203="A")*(Log!$F$4:$F$1203&lt;&gt;"")*Log!$F$4:$F$1203))))</f>
        <v/>
      </c>
      <c r="H40" s="80" t="n">
        <f aca="false">IF($A40="","",IF(SUMPRODUCT(MAX((Log!$D$4:$D$1203=$A40)*(Log!$B$4:$B$1203=H$29)*(Log!$E$4:$E$1203="A")*(Log!$F$4:$F$1203&lt;&gt;"")*Log!$F$4:$F$1203))=0,"",SUMPRODUCT(MAX((Log!$D$4:$D$1203=$A40)*(Log!$B$4:$B$1203=H$29)*(Log!$E$4:$E$1203="A")*(Log!$F$4:$F$1203&lt;&gt;"")*Log!$F$4:$F$1203))))</f>
        <v>52.5</v>
      </c>
      <c r="I40" s="80" t="str">
        <f aca="false">IF($A40="","",IF(SUMPRODUCT(MAX((Log!$D$4:$D$1203=$A40)*(Log!$B$4:$B$1203=I$29)*(Log!$E$4:$E$1203="A")*(Log!$F$4:$F$1203&lt;&gt;"")*Log!$F$4:$F$1203))=0,"",SUMPRODUCT(MAX((Log!$D$4:$D$1203=$A40)*(Log!$B$4:$B$1203=I$29)*(Log!$E$4:$E$1203="A")*(Log!$F$4:$F$1203&lt;&gt;"")*Log!$F$4:$F$1203))))</f>
        <v/>
      </c>
      <c r="J40" s="80" t="n">
        <f aca="false">IF($A40="","",IF(SUMPRODUCT(MAX((Log!$D$4:$D$1203=$A40)*(Log!$B$4:$B$1203=J$29)*(Log!$E$4:$E$1203="A")*(Log!$F$4:$F$1203&lt;&gt;"")*Log!$F$4:$F$1203))=0,"",SUMPRODUCT(MAX((Log!$D$4:$D$1203=$A40)*(Log!$B$4:$B$1203=J$29)*(Log!$E$4:$E$1203="A")*(Log!$F$4:$F$1203&lt;&gt;"")*Log!$F$4:$F$1203))))</f>
        <v>57.5</v>
      </c>
      <c r="K40" s="80" t="str">
        <f aca="false">IF($A40="","",IF(SUMPRODUCT(MAX((Log!$D$4:$D$1203=$A40)*(Log!$B$4:$B$1203=K$29)*(Log!$E$4:$E$1203="A")*(Log!$F$4:$F$1203&lt;&gt;"")*Log!$F$4:$F$1203))=0,"",SUMPRODUCT(MAX((Log!$D$4:$D$1203=$A40)*(Log!$B$4:$B$1203=K$29)*(Log!$E$4:$E$1203="A")*(Log!$F$4:$F$1203&lt;&gt;"")*Log!$F$4:$F$1203))))</f>
        <v/>
      </c>
      <c r="L40" s="80" t="str">
        <f aca="false">IF($A40="","",IF(SUMPRODUCT(MAX((Log!$D$4:$D$1203=$A40)*(Log!$B$4:$B$1203=L$29)*(Log!$E$4:$E$1203="A")*(Log!$F$4:$F$1203&lt;&gt;"")*Log!$F$4:$F$1203))=0,"",SUMPRODUCT(MAX((Log!$D$4:$D$1203=$A40)*(Log!$B$4:$B$1203=L$29)*(Log!$E$4:$E$1203="A")*(Log!$F$4:$F$1203&lt;&gt;"")*Log!$F$4:$F$1203))))</f>
        <v/>
      </c>
      <c r="M40" s="80" t="str">
        <f aca="false">IF($A40="","",IF(SUMPRODUCT(MAX((Log!$D$4:$D$1203=$A40)*(Log!$B$4:$B$1203=M$29)*(Log!$E$4:$E$1203="A")*(Log!$F$4:$F$1203&lt;&gt;"")*Log!$F$4:$F$1203))=0,"",SUMPRODUCT(MAX((Log!$D$4:$D$1203=$A40)*(Log!$B$4:$B$1203=M$29)*(Log!$E$4:$E$1203="A")*(Log!$F$4:$F$1203&lt;&gt;"")*Log!$F$4:$F$1203))))</f>
        <v/>
      </c>
      <c r="N40" s="80" t="n">
        <f aca="false">IF($A40="","",IF(SUMPRODUCT(MAX((Log!$D$4:$D$1203=$A40)*(Log!$B$4:$B$1203=N$29)*(Log!$E$4:$E$1203="A")*(Log!$F$4:$F$1203&lt;&gt;"")*Log!$F$4:$F$1203))=0,"",SUMPRODUCT(MAX((Log!$D$4:$D$1203=$A40)*(Log!$B$4:$B$1203=N$29)*(Log!$E$4:$E$1203="A")*(Log!$F$4:$F$1203&lt;&gt;"")*Log!$F$4:$F$1203))))</f>
        <v>42.5</v>
      </c>
      <c r="O40" s="80" t="n">
        <f aca="false">IF($A40="","",IF(SUMPRODUCT(MAX((Log!$D$4:$D$1203=$A40)*(Log!$B$4:$B$1203=O$29)*(Log!$E$4:$E$1203="A")*(Log!$F$4:$F$1203&lt;&gt;"")*Log!$F$4:$F$1203))=0,"",SUMPRODUCT(MAX((Log!$D$4:$D$1203=$A40)*(Log!$B$4:$B$1203=O$29)*(Log!$E$4:$E$1203="A")*(Log!$F$4:$F$1203&lt;&gt;"")*Log!$F$4:$F$1203))))</f>
        <v>45</v>
      </c>
      <c r="P40" s="80" t="str">
        <f aca="false">IF($A40="","",IF(SUMPRODUCT(MAX((Log!$D$4:$D$1203=$A40)*(Log!$B$4:$B$1203=P$29)*(Log!$E$4:$E$1203="A")*(Log!$F$4:$F$1203&lt;&gt;"")*Log!$F$4:$F$1203))=0,"",SUMPRODUCT(MAX((Log!$D$4:$D$1203=$A40)*(Log!$B$4:$B$1203=P$29)*(Log!$E$4:$E$1203="A")*(Log!$F$4:$F$1203&lt;&gt;"")*Log!$F$4:$F$1203))))</f>
        <v/>
      </c>
      <c r="Q40" s="80" t="str">
        <f aca="false">IF($A40="","",IF(SUMPRODUCT(MAX((Log!$D$4:$D$1203=$A40)*(Log!$B$4:$B$1203=Q$29)*(Log!$E$4:$E$1203="A")*(Log!$F$4:$F$1203&lt;&gt;"")*Log!$F$4:$F$1203))=0,"",SUMPRODUCT(MAX((Log!$D$4:$D$1203=$A40)*(Log!$B$4:$B$1203=Q$29)*(Log!$E$4:$E$1203="A")*(Log!$F$4:$F$1203&lt;&gt;"")*Log!$F$4:$F$1203))))</f>
        <v/>
      </c>
      <c r="R40" s="81"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2" t="n">
        <f aca="false">IF($A41="","",IF(SUMPRODUCT(MAX((Log!$D$4:$D$1203=$A41)*(Log!$B$4:$B$1203=B$29)*(Log!$E$4:$E$1203="A")*(Log!$F$4:$F$1203&lt;&gt;"")*Log!$F$4:$F$1203))=0,"",SUMPRODUCT(MAX((Log!$D$4:$D$1203=$A41)*(Log!$B$4:$B$1203=B$29)*(Log!$E$4:$E$1203="A")*(Log!$F$4:$F$1203&lt;&gt;"")*Log!$F$4:$F$1203))))</f>
        <v>49</v>
      </c>
      <c r="C41" s="82" t="n">
        <f aca="false">IF($A41="","",IF(SUMPRODUCT(MAX((Log!$D$4:$D$1203=$A41)*(Log!$B$4:$B$1203=C$29)*(Log!$E$4:$E$1203="A")*(Log!$F$4:$F$1203&lt;&gt;"")*Log!$F$4:$F$1203))=0,"",SUMPRODUCT(MAX((Log!$D$4:$D$1203=$A41)*(Log!$B$4:$B$1203=C$29)*(Log!$E$4:$E$1203="A")*(Log!$F$4:$F$1203&lt;&gt;"")*Log!$F$4:$F$1203))))</f>
        <v>35</v>
      </c>
      <c r="D41" s="82" t="str">
        <f aca="false">IF($A41="","",IF(SUMPRODUCT(MAX((Log!$D$4:$D$1203=$A41)*(Log!$B$4:$B$1203=D$29)*(Log!$E$4:$E$1203="A")*(Log!$F$4:$F$1203&lt;&gt;"")*Log!$F$4:$F$1203))=0,"",SUMPRODUCT(MAX((Log!$D$4:$D$1203=$A41)*(Log!$B$4:$B$1203=D$29)*(Log!$E$4:$E$1203="A")*(Log!$F$4:$F$1203&lt;&gt;"")*Log!$F$4:$F$1203))))</f>
        <v/>
      </c>
      <c r="E41" s="82" t="str">
        <f aca="false">IF($A41="","",IF(SUMPRODUCT(MAX((Log!$D$4:$D$1203=$A41)*(Log!$B$4:$B$1203=E$29)*(Log!$E$4:$E$1203="A")*(Log!$F$4:$F$1203&lt;&gt;"")*Log!$F$4:$F$1203))=0,"",SUMPRODUCT(MAX((Log!$D$4:$D$1203=$A41)*(Log!$B$4:$B$1203=E$29)*(Log!$E$4:$E$1203="A")*(Log!$F$4:$F$1203&lt;&gt;"")*Log!$F$4:$F$1203))))</f>
        <v/>
      </c>
      <c r="F41" s="82" t="n">
        <f aca="false">IF($A41="","",IF(SUMPRODUCT(MAX((Log!$D$4:$D$1203=$A41)*(Log!$B$4:$B$1203=F$29)*(Log!$E$4:$E$1203="A")*(Log!$F$4:$F$1203&lt;&gt;"")*Log!$F$4:$F$1203))=0,"",SUMPRODUCT(MAX((Log!$D$4:$D$1203=$A41)*(Log!$B$4:$B$1203=F$29)*(Log!$E$4:$E$1203="A")*(Log!$F$4:$F$1203&lt;&gt;"")*Log!$F$4:$F$1203))))</f>
        <v>36</v>
      </c>
      <c r="G41" s="82" t="str">
        <f aca="false">IF($A41="","",IF(SUMPRODUCT(MAX((Log!$D$4:$D$1203=$A41)*(Log!$B$4:$B$1203=G$29)*(Log!$E$4:$E$1203="A")*(Log!$F$4:$F$1203&lt;&gt;"")*Log!$F$4:$F$1203))=0,"",SUMPRODUCT(MAX((Log!$D$4:$D$1203=$A41)*(Log!$B$4:$B$1203=G$29)*(Log!$E$4:$E$1203="A")*(Log!$F$4:$F$1203&lt;&gt;"")*Log!$F$4:$F$1203))))</f>
        <v/>
      </c>
      <c r="H41" s="82" t="str">
        <f aca="false">IF($A41="","",IF(SUMPRODUCT(MAX((Log!$D$4:$D$1203=$A41)*(Log!$B$4:$B$1203=H$29)*(Log!$E$4:$E$1203="A")*(Log!$F$4:$F$1203&lt;&gt;"")*Log!$F$4:$F$1203))=0,"",SUMPRODUCT(MAX((Log!$D$4:$D$1203=$A41)*(Log!$B$4:$B$1203=H$29)*(Log!$E$4:$E$1203="A")*(Log!$F$4:$F$1203&lt;&gt;"")*Log!$F$4:$F$1203))))</f>
        <v/>
      </c>
      <c r="I41" s="82" t="str">
        <f aca="false">IF($A41="","",IF(SUMPRODUCT(MAX((Log!$D$4:$D$1203=$A41)*(Log!$B$4:$B$1203=I$29)*(Log!$E$4:$E$1203="A")*(Log!$F$4:$F$1203&lt;&gt;"")*Log!$F$4:$F$1203))=0,"",SUMPRODUCT(MAX((Log!$D$4:$D$1203=$A41)*(Log!$B$4:$B$1203=I$29)*(Log!$E$4:$E$1203="A")*(Log!$F$4:$F$1203&lt;&gt;"")*Log!$F$4:$F$1203))))</f>
        <v/>
      </c>
      <c r="J41" s="82" t="str">
        <f aca="false">IF($A41="","",IF(SUMPRODUCT(MAX((Log!$D$4:$D$1203=$A41)*(Log!$B$4:$B$1203=J$29)*(Log!$E$4:$E$1203="A")*(Log!$F$4:$F$1203&lt;&gt;"")*Log!$F$4:$F$1203))=0,"",SUMPRODUCT(MAX((Log!$D$4:$D$1203=$A41)*(Log!$B$4:$B$1203=J$29)*(Log!$E$4:$E$1203="A")*(Log!$F$4:$F$1203&lt;&gt;"")*Log!$F$4:$F$1203))))</f>
        <v/>
      </c>
      <c r="K41" s="82" t="str">
        <f aca="false">IF($A41="","",IF(SUMPRODUCT(MAX((Log!$D$4:$D$1203=$A41)*(Log!$B$4:$B$1203=K$29)*(Log!$E$4:$E$1203="A")*(Log!$F$4:$F$1203&lt;&gt;"")*Log!$F$4:$F$1203))=0,"",SUMPRODUCT(MAX((Log!$D$4:$D$1203=$A41)*(Log!$B$4:$B$1203=K$29)*(Log!$E$4:$E$1203="A")*(Log!$F$4:$F$1203&lt;&gt;"")*Log!$F$4:$F$1203))))</f>
        <v/>
      </c>
      <c r="L41" s="82" t="str">
        <f aca="false">IF($A41="","",IF(SUMPRODUCT(MAX((Log!$D$4:$D$1203=$A41)*(Log!$B$4:$B$1203=L$29)*(Log!$E$4:$E$1203="A")*(Log!$F$4:$F$1203&lt;&gt;"")*Log!$F$4:$F$1203))=0,"",SUMPRODUCT(MAX((Log!$D$4:$D$1203=$A41)*(Log!$B$4:$B$1203=L$29)*(Log!$E$4:$E$1203="A")*(Log!$F$4:$F$1203&lt;&gt;"")*Log!$F$4:$F$1203))))</f>
        <v/>
      </c>
      <c r="M41" s="82" t="str">
        <f aca="false">IF($A41="","",IF(SUMPRODUCT(MAX((Log!$D$4:$D$1203=$A41)*(Log!$B$4:$B$1203=M$29)*(Log!$E$4:$E$1203="A")*(Log!$F$4:$F$1203&lt;&gt;"")*Log!$F$4:$F$1203))=0,"",SUMPRODUCT(MAX((Log!$D$4:$D$1203=$A41)*(Log!$B$4:$B$1203=M$29)*(Log!$E$4:$E$1203="A")*(Log!$F$4:$F$1203&lt;&gt;"")*Log!$F$4:$F$1203))))</f>
        <v/>
      </c>
      <c r="N41" s="82" t="str">
        <f aca="false">IF($A41="","",IF(SUMPRODUCT(MAX((Log!$D$4:$D$1203=$A41)*(Log!$B$4:$B$1203=N$29)*(Log!$E$4:$E$1203="A")*(Log!$F$4:$F$1203&lt;&gt;"")*Log!$F$4:$F$1203))=0,"",SUMPRODUCT(MAX((Log!$D$4:$D$1203=$A41)*(Log!$B$4:$B$1203=N$29)*(Log!$E$4:$E$1203="A")*(Log!$F$4:$F$1203&lt;&gt;"")*Log!$F$4:$F$1203))))</f>
        <v/>
      </c>
      <c r="O41" s="82" t="str">
        <f aca="false">IF($A41="","",IF(SUMPRODUCT(MAX((Log!$D$4:$D$1203=$A41)*(Log!$B$4:$B$1203=O$29)*(Log!$E$4:$E$1203="A")*(Log!$F$4:$F$1203&lt;&gt;"")*Log!$F$4:$F$1203))=0,"",SUMPRODUCT(MAX((Log!$D$4:$D$1203=$A41)*(Log!$B$4:$B$1203=O$29)*(Log!$E$4:$E$1203="A")*(Log!$F$4:$F$1203&lt;&gt;"")*Log!$F$4:$F$1203))))</f>
        <v/>
      </c>
      <c r="P41" s="82" t="str">
        <f aca="false">IF($A41="","",IF(SUMPRODUCT(MAX((Log!$D$4:$D$1203=$A41)*(Log!$B$4:$B$1203=P$29)*(Log!$E$4:$E$1203="A")*(Log!$F$4:$F$1203&lt;&gt;"")*Log!$F$4:$F$1203))=0,"",SUMPRODUCT(MAX((Log!$D$4:$D$1203=$A41)*(Log!$B$4:$B$1203=P$29)*(Log!$E$4:$E$1203="A")*(Log!$F$4:$F$1203&lt;&gt;"")*Log!$F$4:$F$1203))))</f>
        <v/>
      </c>
      <c r="Q41" s="82" t="str">
        <f aca="false">IF($A41="","",IF(SUMPRODUCT(MAX((Log!$D$4:$D$1203=$A41)*(Log!$B$4:$B$1203=Q$29)*(Log!$E$4:$E$1203="A")*(Log!$F$4:$F$1203&lt;&gt;"")*Log!$F$4:$F$1203))=0,"",SUMPRODUCT(MAX((Log!$D$4:$D$1203=$A41)*(Log!$B$4:$B$1203=Q$29)*(Log!$E$4:$E$1203="A")*(Log!$F$4:$F$1203&lt;&gt;"")*Log!$F$4:$F$1203))))</f>
        <v/>
      </c>
      <c r="R41" s="81" t="n">
        <f aca="false">IF($A41="","",IF(SUMPRODUCT(MAX((Log!$D$4:$D$1203=$A41)*(Log!$E$4:$E$1203="A")*(Log!$F$4:$F$1203&lt;&gt;"")*Log!$F$4:$F$1203))=0,"",SUMPRODUCT(MAX((Log!$D$4:$D$1203=$A41)*(Log!$E$4:$E$1203="A")*(Log!$F$4:$F$1203&lt;&gt;"")*Log!$F$4:$F$1203))))</f>
        <v>49</v>
      </c>
    </row>
    <row r="42" customFormat="false" ht="16.5" hidden="false" customHeight="true" outlineLevel="0" collapsed="false">
      <c r="A42" s="34" t="str">
        <f aca="false">IF(Übungen!$A16="","",Übungen!$A16)</f>
        <v>Waden</v>
      </c>
      <c r="B42" s="80" t="n">
        <f aca="false">IF($A42="","",IF(SUMPRODUCT(MAX((Log!$D$4:$D$1203=$A42)*(Log!$B$4:$B$1203=B$29)*(Log!$E$4:$E$1203="A")*(Log!$F$4:$F$1203&lt;&gt;"")*Log!$F$4:$F$1203))=0,"",SUMPRODUCT(MAX((Log!$D$4:$D$1203=$A42)*(Log!$B$4:$B$1203=B$29)*(Log!$E$4:$E$1203="A")*(Log!$F$4:$F$1203&lt;&gt;"")*Log!$F$4:$F$1203))))</f>
        <v>145</v>
      </c>
      <c r="C42" s="80" t="n">
        <f aca="false">IF($A42="","",IF(SUMPRODUCT(MAX((Log!$D$4:$D$1203=$A42)*(Log!$B$4:$B$1203=C$29)*(Log!$E$4:$E$1203="A")*(Log!$F$4:$F$1203&lt;&gt;"")*Log!$F$4:$F$1203))=0,"",SUMPRODUCT(MAX((Log!$D$4:$D$1203=$A42)*(Log!$B$4:$B$1203=C$29)*(Log!$E$4:$E$1203="A")*(Log!$F$4:$F$1203&lt;&gt;"")*Log!$F$4:$F$1203))))</f>
        <v>150</v>
      </c>
      <c r="D42" s="80" t="str">
        <f aca="false">IF($A42="","",IF(SUMPRODUCT(MAX((Log!$D$4:$D$1203=$A42)*(Log!$B$4:$B$1203=D$29)*(Log!$E$4:$E$1203="A")*(Log!$F$4:$F$1203&lt;&gt;"")*Log!$F$4:$F$1203))=0,"",SUMPRODUCT(MAX((Log!$D$4:$D$1203=$A42)*(Log!$B$4:$B$1203=D$29)*(Log!$E$4:$E$1203="A")*(Log!$F$4:$F$1203&lt;&gt;"")*Log!$F$4:$F$1203))))</f>
        <v/>
      </c>
      <c r="E42" s="80" t="str">
        <f aca="false">IF($A42="","",IF(SUMPRODUCT(MAX((Log!$D$4:$D$1203=$A42)*(Log!$B$4:$B$1203=E$29)*(Log!$E$4:$E$1203="A")*(Log!$F$4:$F$1203&lt;&gt;"")*Log!$F$4:$F$1203))=0,"",SUMPRODUCT(MAX((Log!$D$4:$D$1203=$A42)*(Log!$B$4:$B$1203=E$29)*(Log!$E$4:$E$1203="A")*(Log!$F$4:$F$1203&lt;&gt;"")*Log!$F$4:$F$1203))))</f>
        <v/>
      </c>
      <c r="F42" s="80" t="n">
        <f aca="false">IF($A42="","",IF(SUMPRODUCT(MAX((Log!$D$4:$D$1203=$A42)*(Log!$B$4:$B$1203=F$29)*(Log!$E$4:$E$1203="A")*(Log!$F$4:$F$1203&lt;&gt;"")*Log!$F$4:$F$1203))=0,"",SUMPRODUCT(MAX((Log!$D$4:$D$1203=$A42)*(Log!$B$4:$B$1203=F$29)*(Log!$E$4:$E$1203="A")*(Log!$F$4:$F$1203&lt;&gt;"")*Log!$F$4:$F$1203))))</f>
        <v>135</v>
      </c>
      <c r="G42" s="80" t="str">
        <f aca="false">IF($A42="","",IF(SUMPRODUCT(MAX((Log!$D$4:$D$1203=$A42)*(Log!$B$4:$B$1203=G$29)*(Log!$E$4:$E$1203="A")*(Log!$F$4:$F$1203&lt;&gt;"")*Log!$F$4:$F$1203))=0,"",SUMPRODUCT(MAX((Log!$D$4:$D$1203=$A42)*(Log!$B$4:$B$1203=G$29)*(Log!$E$4:$E$1203="A")*(Log!$F$4:$F$1203&lt;&gt;"")*Log!$F$4:$F$1203))))</f>
        <v/>
      </c>
      <c r="H42" s="80" t="n">
        <f aca="false">IF($A42="","",IF(SUMPRODUCT(MAX((Log!$D$4:$D$1203=$A42)*(Log!$B$4:$B$1203=H$29)*(Log!$E$4:$E$1203="A")*(Log!$F$4:$F$1203&lt;&gt;"")*Log!$F$4:$F$1203))=0,"",SUMPRODUCT(MAX((Log!$D$4:$D$1203=$A42)*(Log!$B$4:$B$1203=H$29)*(Log!$E$4:$E$1203="A")*(Log!$F$4:$F$1203&lt;&gt;"")*Log!$F$4:$F$1203))))</f>
        <v>160</v>
      </c>
      <c r="I42" s="80" t="str">
        <f aca="false">IF($A42="","",IF(SUMPRODUCT(MAX((Log!$D$4:$D$1203=$A42)*(Log!$B$4:$B$1203=I$29)*(Log!$E$4:$E$1203="A")*(Log!$F$4:$F$1203&lt;&gt;"")*Log!$F$4:$F$1203))=0,"",SUMPRODUCT(MAX((Log!$D$4:$D$1203=$A42)*(Log!$B$4:$B$1203=I$29)*(Log!$E$4:$E$1203="A")*(Log!$F$4:$F$1203&lt;&gt;"")*Log!$F$4:$F$1203))))</f>
        <v/>
      </c>
      <c r="J42" s="80" t="n">
        <f aca="false">IF($A42="","",IF(SUMPRODUCT(MAX((Log!$D$4:$D$1203=$A42)*(Log!$B$4:$B$1203=J$29)*(Log!$E$4:$E$1203="A")*(Log!$F$4:$F$1203&lt;&gt;"")*Log!$F$4:$F$1203))=0,"",SUMPRODUCT(MAX((Log!$D$4:$D$1203=$A42)*(Log!$B$4:$B$1203=J$29)*(Log!$E$4:$E$1203="A")*(Log!$F$4:$F$1203&lt;&gt;"")*Log!$F$4:$F$1203))))</f>
        <v>165</v>
      </c>
      <c r="K42" s="80" t="str">
        <f aca="false">IF($A42="","",IF(SUMPRODUCT(MAX((Log!$D$4:$D$1203=$A42)*(Log!$B$4:$B$1203=K$29)*(Log!$E$4:$E$1203="A")*(Log!$F$4:$F$1203&lt;&gt;"")*Log!$F$4:$F$1203))=0,"",SUMPRODUCT(MAX((Log!$D$4:$D$1203=$A42)*(Log!$B$4:$B$1203=K$29)*(Log!$E$4:$E$1203="A")*(Log!$F$4:$F$1203&lt;&gt;"")*Log!$F$4:$F$1203))))</f>
        <v/>
      </c>
      <c r="L42" s="80" t="n">
        <f aca="false">IF($A42="","",IF(SUMPRODUCT(MAX((Log!$D$4:$D$1203=$A42)*(Log!$B$4:$B$1203=L$29)*(Log!$E$4:$E$1203="A")*(Log!$F$4:$F$1203&lt;&gt;"")*Log!$F$4:$F$1203))=0,"",SUMPRODUCT(MAX((Log!$D$4:$D$1203=$A42)*(Log!$B$4:$B$1203=L$29)*(Log!$E$4:$E$1203="A")*(Log!$F$4:$F$1203&lt;&gt;"")*Log!$F$4:$F$1203))))</f>
        <v>165</v>
      </c>
      <c r="M42" s="80" t="str">
        <f aca="false">IF($A42="","",IF(SUMPRODUCT(MAX((Log!$D$4:$D$1203=$A42)*(Log!$B$4:$B$1203=M$29)*(Log!$E$4:$E$1203="A")*(Log!$F$4:$F$1203&lt;&gt;"")*Log!$F$4:$F$1203))=0,"",SUMPRODUCT(MAX((Log!$D$4:$D$1203=$A42)*(Log!$B$4:$B$1203=M$29)*(Log!$E$4:$E$1203="A")*(Log!$F$4:$F$1203&lt;&gt;"")*Log!$F$4:$F$1203))))</f>
        <v/>
      </c>
      <c r="N42" s="80" t="n">
        <f aca="false">IF($A42="","",IF(SUMPRODUCT(MAX((Log!$D$4:$D$1203=$A42)*(Log!$B$4:$B$1203=N$29)*(Log!$E$4:$E$1203="A")*(Log!$F$4:$F$1203&lt;&gt;"")*Log!$F$4:$F$1203))=0,"",SUMPRODUCT(MAX((Log!$D$4:$D$1203=$A42)*(Log!$B$4:$B$1203=N$29)*(Log!$E$4:$E$1203="A")*(Log!$F$4:$F$1203&lt;&gt;"")*Log!$F$4:$F$1203))))</f>
        <v>185</v>
      </c>
      <c r="O42" s="80" t="n">
        <f aca="false">IF($A42="","",IF(SUMPRODUCT(MAX((Log!$D$4:$D$1203=$A42)*(Log!$B$4:$B$1203=O$29)*(Log!$E$4:$E$1203="A")*(Log!$F$4:$F$1203&lt;&gt;"")*Log!$F$4:$F$1203))=0,"",SUMPRODUCT(MAX((Log!$D$4:$D$1203=$A42)*(Log!$B$4:$B$1203=O$29)*(Log!$E$4:$E$1203="A")*(Log!$F$4:$F$1203&lt;&gt;"")*Log!$F$4:$F$1203))))</f>
        <v>190</v>
      </c>
      <c r="P42" s="80" t="str">
        <f aca="false">IF($A42="","",IF(SUMPRODUCT(MAX((Log!$D$4:$D$1203=$A42)*(Log!$B$4:$B$1203=P$29)*(Log!$E$4:$E$1203="A")*(Log!$F$4:$F$1203&lt;&gt;"")*Log!$F$4:$F$1203))=0,"",SUMPRODUCT(MAX((Log!$D$4:$D$1203=$A42)*(Log!$B$4:$B$1203=P$29)*(Log!$E$4:$E$1203="A")*(Log!$F$4:$F$1203&lt;&gt;"")*Log!$F$4:$F$1203))))</f>
        <v/>
      </c>
      <c r="Q42" s="80" t="str">
        <f aca="false">IF($A42="","",IF(SUMPRODUCT(MAX((Log!$D$4:$D$1203=$A42)*(Log!$B$4:$B$1203=Q$29)*(Log!$E$4:$E$1203="A")*(Log!$F$4:$F$1203&lt;&gt;"")*Log!$F$4:$F$1203))=0,"",SUMPRODUCT(MAX((Log!$D$4:$D$1203=$A42)*(Log!$B$4:$B$1203=Q$29)*(Log!$E$4:$E$1203="A")*(Log!$F$4:$F$1203&lt;&gt;"")*Log!$F$4:$F$1203))))</f>
        <v/>
      </c>
      <c r="R42" s="81"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2" t="str">
        <f aca="false">IF($A43="","",IF(SUMPRODUCT(MAX((Log!$D$4:$D$1203=$A43)*(Log!$B$4:$B$1203=B$29)*(Log!$E$4:$E$1203="A")*(Log!$F$4:$F$1203&lt;&gt;"")*Log!$F$4:$F$1203))=0,"",SUMPRODUCT(MAX((Log!$D$4:$D$1203=$A43)*(Log!$B$4:$B$1203=B$29)*(Log!$E$4:$E$1203="A")*(Log!$F$4:$F$1203&lt;&gt;"")*Log!$F$4:$F$1203))))</f>
        <v/>
      </c>
      <c r="C43" s="82" t="str">
        <f aca="false">IF($A43="","",IF(SUMPRODUCT(MAX((Log!$D$4:$D$1203=$A43)*(Log!$B$4:$B$1203=C$29)*(Log!$E$4:$E$1203="A")*(Log!$F$4:$F$1203&lt;&gt;"")*Log!$F$4:$F$1203))=0,"",SUMPRODUCT(MAX((Log!$D$4:$D$1203=$A43)*(Log!$B$4:$B$1203=C$29)*(Log!$E$4:$E$1203="A")*(Log!$F$4:$F$1203&lt;&gt;"")*Log!$F$4:$F$1203))))</f>
        <v/>
      </c>
      <c r="D43" s="82" t="str">
        <f aca="false">IF($A43="","",IF(SUMPRODUCT(MAX((Log!$D$4:$D$1203=$A43)*(Log!$B$4:$B$1203=D$29)*(Log!$E$4:$E$1203="A")*(Log!$F$4:$F$1203&lt;&gt;"")*Log!$F$4:$F$1203))=0,"",SUMPRODUCT(MAX((Log!$D$4:$D$1203=$A43)*(Log!$B$4:$B$1203=D$29)*(Log!$E$4:$E$1203="A")*(Log!$F$4:$F$1203&lt;&gt;"")*Log!$F$4:$F$1203))))</f>
        <v/>
      </c>
      <c r="E43" s="82" t="str">
        <f aca="false">IF($A43="","",IF(SUMPRODUCT(MAX((Log!$D$4:$D$1203=$A43)*(Log!$B$4:$B$1203=E$29)*(Log!$E$4:$E$1203="A")*(Log!$F$4:$F$1203&lt;&gt;"")*Log!$F$4:$F$1203))=0,"",SUMPRODUCT(MAX((Log!$D$4:$D$1203=$A43)*(Log!$B$4:$B$1203=E$29)*(Log!$E$4:$E$1203="A")*(Log!$F$4:$F$1203&lt;&gt;"")*Log!$F$4:$F$1203))))</f>
        <v/>
      </c>
      <c r="F43" s="82" t="str">
        <f aca="false">IF($A43="","",IF(SUMPRODUCT(MAX((Log!$D$4:$D$1203=$A43)*(Log!$B$4:$B$1203=F$29)*(Log!$E$4:$E$1203="A")*(Log!$F$4:$F$1203&lt;&gt;"")*Log!$F$4:$F$1203))=0,"",SUMPRODUCT(MAX((Log!$D$4:$D$1203=$A43)*(Log!$B$4:$B$1203=F$29)*(Log!$E$4:$E$1203="A")*(Log!$F$4:$F$1203&lt;&gt;"")*Log!$F$4:$F$1203))))</f>
        <v/>
      </c>
      <c r="G43" s="82" t="str">
        <f aca="false">IF($A43="","",IF(SUMPRODUCT(MAX((Log!$D$4:$D$1203=$A43)*(Log!$B$4:$B$1203=G$29)*(Log!$E$4:$E$1203="A")*(Log!$F$4:$F$1203&lt;&gt;"")*Log!$F$4:$F$1203))=0,"",SUMPRODUCT(MAX((Log!$D$4:$D$1203=$A43)*(Log!$B$4:$B$1203=G$29)*(Log!$E$4:$E$1203="A")*(Log!$F$4:$F$1203&lt;&gt;"")*Log!$F$4:$F$1203))))</f>
        <v/>
      </c>
      <c r="H43" s="82" t="str">
        <f aca="false">IF($A43="","",IF(SUMPRODUCT(MAX((Log!$D$4:$D$1203=$A43)*(Log!$B$4:$B$1203=H$29)*(Log!$E$4:$E$1203="A")*(Log!$F$4:$F$1203&lt;&gt;"")*Log!$F$4:$F$1203))=0,"",SUMPRODUCT(MAX((Log!$D$4:$D$1203=$A43)*(Log!$B$4:$B$1203=H$29)*(Log!$E$4:$E$1203="A")*(Log!$F$4:$F$1203&lt;&gt;"")*Log!$F$4:$F$1203))))</f>
        <v/>
      </c>
      <c r="I43" s="82" t="str">
        <f aca="false">IF($A43="","",IF(SUMPRODUCT(MAX((Log!$D$4:$D$1203=$A43)*(Log!$B$4:$B$1203=I$29)*(Log!$E$4:$E$1203="A")*(Log!$F$4:$F$1203&lt;&gt;"")*Log!$F$4:$F$1203))=0,"",SUMPRODUCT(MAX((Log!$D$4:$D$1203=$A43)*(Log!$B$4:$B$1203=I$29)*(Log!$E$4:$E$1203="A")*(Log!$F$4:$F$1203&lt;&gt;"")*Log!$F$4:$F$1203))))</f>
        <v/>
      </c>
      <c r="J43" s="82" t="str">
        <f aca="false">IF($A43="","",IF(SUMPRODUCT(MAX((Log!$D$4:$D$1203=$A43)*(Log!$B$4:$B$1203=J$29)*(Log!$E$4:$E$1203="A")*(Log!$F$4:$F$1203&lt;&gt;"")*Log!$F$4:$F$1203))=0,"",SUMPRODUCT(MAX((Log!$D$4:$D$1203=$A43)*(Log!$B$4:$B$1203=J$29)*(Log!$E$4:$E$1203="A")*(Log!$F$4:$F$1203&lt;&gt;"")*Log!$F$4:$F$1203))))</f>
        <v/>
      </c>
      <c r="K43" s="82" t="str">
        <f aca="false">IF($A43="","",IF(SUMPRODUCT(MAX((Log!$D$4:$D$1203=$A43)*(Log!$B$4:$B$1203=K$29)*(Log!$E$4:$E$1203="A")*(Log!$F$4:$F$1203&lt;&gt;"")*Log!$F$4:$F$1203))=0,"",SUMPRODUCT(MAX((Log!$D$4:$D$1203=$A43)*(Log!$B$4:$B$1203=K$29)*(Log!$E$4:$E$1203="A")*(Log!$F$4:$F$1203&lt;&gt;"")*Log!$F$4:$F$1203))))</f>
        <v/>
      </c>
      <c r="L43" s="82" t="str">
        <f aca="false">IF($A43="","",IF(SUMPRODUCT(MAX((Log!$D$4:$D$1203=$A43)*(Log!$B$4:$B$1203=L$29)*(Log!$E$4:$E$1203="A")*(Log!$F$4:$F$1203&lt;&gt;"")*Log!$F$4:$F$1203))=0,"",SUMPRODUCT(MAX((Log!$D$4:$D$1203=$A43)*(Log!$B$4:$B$1203=L$29)*(Log!$E$4:$E$1203="A")*(Log!$F$4:$F$1203&lt;&gt;"")*Log!$F$4:$F$1203))))</f>
        <v/>
      </c>
      <c r="M43" s="82" t="str">
        <f aca="false">IF($A43="","",IF(SUMPRODUCT(MAX((Log!$D$4:$D$1203=$A43)*(Log!$B$4:$B$1203=M$29)*(Log!$E$4:$E$1203="A")*(Log!$F$4:$F$1203&lt;&gt;"")*Log!$F$4:$F$1203))=0,"",SUMPRODUCT(MAX((Log!$D$4:$D$1203=$A43)*(Log!$B$4:$B$1203=M$29)*(Log!$E$4:$E$1203="A")*(Log!$F$4:$F$1203&lt;&gt;"")*Log!$F$4:$F$1203))))</f>
        <v/>
      </c>
      <c r="N43" s="82" t="str">
        <f aca="false">IF($A43="","",IF(SUMPRODUCT(MAX((Log!$D$4:$D$1203=$A43)*(Log!$B$4:$B$1203=N$29)*(Log!$E$4:$E$1203="A")*(Log!$F$4:$F$1203&lt;&gt;"")*Log!$F$4:$F$1203))=0,"",SUMPRODUCT(MAX((Log!$D$4:$D$1203=$A43)*(Log!$B$4:$B$1203=N$29)*(Log!$E$4:$E$1203="A")*(Log!$F$4:$F$1203&lt;&gt;"")*Log!$F$4:$F$1203))))</f>
        <v/>
      </c>
      <c r="O43" s="82" t="str">
        <f aca="false">IF($A43="","",IF(SUMPRODUCT(MAX((Log!$D$4:$D$1203=$A43)*(Log!$B$4:$B$1203=O$29)*(Log!$E$4:$E$1203="A")*(Log!$F$4:$F$1203&lt;&gt;"")*Log!$F$4:$F$1203))=0,"",SUMPRODUCT(MAX((Log!$D$4:$D$1203=$A43)*(Log!$B$4:$B$1203=O$29)*(Log!$E$4:$E$1203="A")*(Log!$F$4:$F$1203&lt;&gt;"")*Log!$F$4:$F$1203))))</f>
        <v/>
      </c>
      <c r="P43" s="82" t="n">
        <f aca="false">IF($A43="","",IF(SUMPRODUCT(MAX((Log!$D$4:$D$1203=$A43)*(Log!$B$4:$B$1203=P$29)*(Log!$E$4:$E$1203="A")*(Log!$F$4:$F$1203&lt;&gt;"")*Log!$F$4:$F$1203))=0,"",SUMPRODUCT(MAX((Log!$D$4:$D$1203=$A43)*(Log!$B$4:$B$1203=P$29)*(Log!$E$4:$E$1203="A")*(Log!$F$4:$F$1203&lt;&gt;"")*Log!$F$4:$F$1203))))</f>
        <v>120</v>
      </c>
      <c r="Q43" s="82" t="str">
        <f aca="false">IF($A43="","",IF(SUMPRODUCT(MAX((Log!$D$4:$D$1203=$A43)*(Log!$B$4:$B$1203=Q$29)*(Log!$E$4:$E$1203="A")*(Log!$F$4:$F$1203&lt;&gt;"")*Log!$F$4:$F$1203))=0,"",SUMPRODUCT(MAX((Log!$D$4:$D$1203=$A43)*(Log!$B$4:$B$1203=Q$29)*(Log!$E$4:$E$1203="A")*(Log!$F$4:$F$1203&lt;&gt;"")*Log!$F$4:$F$1203))))</f>
        <v/>
      </c>
      <c r="R43" s="81" t="n">
        <f aca="false">IF($A43="","",IF(SUMPRODUCT(MAX((Log!$D$4:$D$1203=$A43)*(Log!$E$4:$E$1203="A")*(Log!$F$4:$F$1203&lt;&gt;"")*Log!$F$4:$F$1203))=0,"",SUMPRODUCT(MAX((Log!$D$4:$D$1203=$A43)*(Log!$E$4:$E$1203="A")*(Log!$F$4:$F$1203&lt;&gt;"")*Log!$F$4:$F$1203))))</f>
        <v>120</v>
      </c>
    </row>
    <row r="44" customFormat="false" ht="16.5" hidden="false" customHeight="true" outlineLevel="0" collapsed="false">
      <c r="A44" s="34" t="str">
        <f aca="false">IF(Übungen!$A18="","",Übungen!$A18)</f>
        <v>Hip Thrust Bülach</v>
      </c>
      <c r="B44" s="80" t="str">
        <f aca="false">IF($A44="","",IF(SUMPRODUCT(MAX((Log!$D$4:$D$1203=$A44)*(Log!$B$4:$B$1203=B$29)*(Log!$E$4:$E$1203="A")*(Log!$F$4:$F$1203&lt;&gt;"")*Log!$F$4:$F$1203))=0,"",SUMPRODUCT(MAX((Log!$D$4:$D$1203=$A44)*(Log!$B$4:$B$1203=B$29)*(Log!$E$4:$E$1203="A")*(Log!$F$4:$F$1203&lt;&gt;"")*Log!$F$4:$F$1203))))</f>
        <v/>
      </c>
      <c r="C44" s="80" t="str">
        <f aca="false">IF($A44="","",IF(SUMPRODUCT(MAX((Log!$D$4:$D$1203=$A44)*(Log!$B$4:$B$1203=C$29)*(Log!$E$4:$E$1203="A")*(Log!$F$4:$F$1203&lt;&gt;"")*Log!$F$4:$F$1203))=0,"",SUMPRODUCT(MAX((Log!$D$4:$D$1203=$A44)*(Log!$B$4:$B$1203=C$29)*(Log!$E$4:$E$1203="A")*(Log!$F$4:$F$1203&lt;&gt;"")*Log!$F$4:$F$1203))))</f>
        <v/>
      </c>
      <c r="D44" s="80" t="str">
        <f aca="false">IF($A44="","",IF(SUMPRODUCT(MAX((Log!$D$4:$D$1203=$A44)*(Log!$B$4:$B$1203=D$29)*(Log!$E$4:$E$1203="A")*(Log!$F$4:$F$1203&lt;&gt;"")*Log!$F$4:$F$1203))=0,"",SUMPRODUCT(MAX((Log!$D$4:$D$1203=$A44)*(Log!$B$4:$B$1203=D$29)*(Log!$E$4:$E$1203="A")*(Log!$F$4:$F$1203&lt;&gt;"")*Log!$F$4:$F$1203))))</f>
        <v/>
      </c>
      <c r="E44" s="80" t="str">
        <f aca="false">IF($A44="","",IF(SUMPRODUCT(MAX((Log!$D$4:$D$1203=$A44)*(Log!$B$4:$B$1203=E$29)*(Log!$E$4:$E$1203="A")*(Log!$F$4:$F$1203&lt;&gt;"")*Log!$F$4:$F$1203))=0,"",SUMPRODUCT(MAX((Log!$D$4:$D$1203=$A44)*(Log!$B$4:$B$1203=E$29)*(Log!$E$4:$E$1203="A")*(Log!$F$4:$F$1203&lt;&gt;"")*Log!$F$4:$F$1203))))</f>
        <v/>
      </c>
      <c r="F44" s="80" t="str">
        <f aca="false">IF($A44="","",IF(SUMPRODUCT(MAX((Log!$D$4:$D$1203=$A44)*(Log!$B$4:$B$1203=F$29)*(Log!$E$4:$E$1203="A")*(Log!$F$4:$F$1203&lt;&gt;"")*Log!$F$4:$F$1203))=0,"",SUMPRODUCT(MAX((Log!$D$4:$D$1203=$A44)*(Log!$B$4:$B$1203=F$29)*(Log!$E$4:$E$1203="A")*(Log!$F$4:$F$1203&lt;&gt;"")*Log!$F$4:$F$1203))))</f>
        <v/>
      </c>
      <c r="G44" s="80" t="str">
        <f aca="false">IF($A44="","",IF(SUMPRODUCT(MAX((Log!$D$4:$D$1203=$A44)*(Log!$B$4:$B$1203=G$29)*(Log!$E$4:$E$1203="A")*(Log!$F$4:$F$1203&lt;&gt;"")*Log!$F$4:$F$1203))=0,"",SUMPRODUCT(MAX((Log!$D$4:$D$1203=$A44)*(Log!$B$4:$B$1203=G$29)*(Log!$E$4:$E$1203="A")*(Log!$F$4:$F$1203&lt;&gt;"")*Log!$F$4:$F$1203))))</f>
        <v/>
      </c>
      <c r="H44" s="80" t="str">
        <f aca="false">IF($A44="","",IF(SUMPRODUCT(MAX((Log!$D$4:$D$1203=$A44)*(Log!$B$4:$B$1203=H$29)*(Log!$E$4:$E$1203="A")*(Log!$F$4:$F$1203&lt;&gt;"")*Log!$F$4:$F$1203))=0,"",SUMPRODUCT(MAX((Log!$D$4:$D$1203=$A44)*(Log!$B$4:$B$1203=H$29)*(Log!$E$4:$E$1203="A")*(Log!$F$4:$F$1203&lt;&gt;"")*Log!$F$4:$F$1203))))</f>
        <v/>
      </c>
      <c r="I44" s="80" t="str">
        <f aca="false">IF($A44="","",IF(SUMPRODUCT(MAX((Log!$D$4:$D$1203=$A44)*(Log!$B$4:$B$1203=I$29)*(Log!$E$4:$E$1203="A")*(Log!$F$4:$F$1203&lt;&gt;"")*Log!$F$4:$F$1203))=0,"",SUMPRODUCT(MAX((Log!$D$4:$D$1203=$A44)*(Log!$B$4:$B$1203=I$29)*(Log!$E$4:$E$1203="A")*(Log!$F$4:$F$1203&lt;&gt;"")*Log!$F$4:$F$1203))))</f>
        <v/>
      </c>
      <c r="J44" s="80" t="str">
        <f aca="false">IF($A44="","",IF(SUMPRODUCT(MAX((Log!$D$4:$D$1203=$A44)*(Log!$B$4:$B$1203=J$29)*(Log!$E$4:$E$1203="A")*(Log!$F$4:$F$1203&lt;&gt;"")*Log!$F$4:$F$1203))=0,"",SUMPRODUCT(MAX((Log!$D$4:$D$1203=$A44)*(Log!$B$4:$B$1203=J$29)*(Log!$E$4:$E$1203="A")*(Log!$F$4:$F$1203&lt;&gt;"")*Log!$F$4:$F$1203))))</f>
        <v/>
      </c>
      <c r="K44" s="80" t="str">
        <f aca="false">IF($A44="","",IF(SUMPRODUCT(MAX((Log!$D$4:$D$1203=$A44)*(Log!$B$4:$B$1203=K$29)*(Log!$E$4:$E$1203="A")*(Log!$F$4:$F$1203&lt;&gt;"")*Log!$F$4:$F$1203))=0,"",SUMPRODUCT(MAX((Log!$D$4:$D$1203=$A44)*(Log!$B$4:$B$1203=K$29)*(Log!$E$4:$E$1203="A")*(Log!$F$4:$F$1203&lt;&gt;"")*Log!$F$4:$F$1203))))</f>
        <v/>
      </c>
      <c r="L44" s="80" t="str">
        <f aca="false">IF($A44="","",IF(SUMPRODUCT(MAX((Log!$D$4:$D$1203=$A44)*(Log!$B$4:$B$1203=L$29)*(Log!$E$4:$E$1203="A")*(Log!$F$4:$F$1203&lt;&gt;"")*Log!$F$4:$F$1203))=0,"",SUMPRODUCT(MAX((Log!$D$4:$D$1203=$A44)*(Log!$B$4:$B$1203=L$29)*(Log!$E$4:$E$1203="A")*(Log!$F$4:$F$1203&lt;&gt;"")*Log!$F$4:$F$1203))))</f>
        <v/>
      </c>
      <c r="M44" s="80" t="str">
        <f aca="false">IF($A44="","",IF(SUMPRODUCT(MAX((Log!$D$4:$D$1203=$A44)*(Log!$B$4:$B$1203=M$29)*(Log!$E$4:$E$1203="A")*(Log!$F$4:$F$1203&lt;&gt;"")*Log!$F$4:$F$1203))=0,"",SUMPRODUCT(MAX((Log!$D$4:$D$1203=$A44)*(Log!$B$4:$B$1203=M$29)*(Log!$E$4:$E$1203="A")*(Log!$F$4:$F$1203&lt;&gt;"")*Log!$F$4:$F$1203))))</f>
        <v/>
      </c>
      <c r="N44" s="80" t="str">
        <f aca="false">IF($A44="","",IF(SUMPRODUCT(MAX((Log!$D$4:$D$1203=$A44)*(Log!$B$4:$B$1203=N$29)*(Log!$E$4:$E$1203="A")*(Log!$F$4:$F$1203&lt;&gt;"")*Log!$F$4:$F$1203))=0,"",SUMPRODUCT(MAX((Log!$D$4:$D$1203=$A44)*(Log!$B$4:$B$1203=N$29)*(Log!$E$4:$E$1203="A")*(Log!$F$4:$F$1203&lt;&gt;"")*Log!$F$4:$F$1203))))</f>
        <v/>
      </c>
      <c r="O44" s="80" t="str">
        <f aca="false">IF($A44="","",IF(SUMPRODUCT(MAX((Log!$D$4:$D$1203=$A44)*(Log!$B$4:$B$1203=O$29)*(Log!$E$4:$E$1203="A")*(Log!$F$4:$F$1203&lt;&gt;"")*Log!$F$4:$F$1203))=0,"",SUMPRODUCT(MAX((Log!$D$4:$D$1203=$A44)*(Log!$B$4:$B$1203=O$29)*(Log!$E$4:$E$1203="A")*(Log!$F$4:$F$1203&lt;&gt;"")*Log!$F$4:$F$1203))))</f>
        <v/>
      </c>
      <c r="P44" s="80" t="n">
        <f aca="false">IF($A44="","",IF(SUMPRODUCT(MAX((Log!$D$4:$D$1203=$A44)*(Log!$B$4:$B$1203=P$29)*(Log!$E$4:$E$1203="A")*(Log!$F$4:$F$1203&lt;&gt;"")*Log!$F$4:$F$1203))=0,"",SUMPRODUCT(MAX((Log!$D$4:$D$1203=$A44)*(Log!$B$4:$B$1203=P$29)*(Log!$E$4:$E$1203="A")*(Log!$F$4:$F$1203&lt;&gt;"")*Log!$F$4:$F$1203))))</f>
        <v>200</v>
      </c>
      <c r="Q44" s="80" t="str">
        <f aca="false">IF($A44="","",IF(SUMPRODUCT(MAX((Log!$D$4:$D$1203=$A44)*(Log!$B$4:$B$1203=Q$29)*(Log!$E$4:$E$1203="A")*(Log!$F$4:$F$1203&lt;&gt;"")*Log!$F$4:$F$1203))=0,"",SUMPRODUCT(MAX((Log!$D$4:$D$1203=$A44)*(Log!$B$4:$B$1203=Q$29)*(Log!$E$4:$E$1203="A")*(Log!$F$4:$F$1203&lt;&gt;"")*Log!$F$4:$F$1203))))</f>
        <v/>
      </c>
      <c r="R44" s="81"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2" t="str">
        <f aca="false">IF($A45="","",IF(SUMPRODUCT(MAX((Log!$D$4:$D$1203=$A45)*(Log!$B$4:$B$1203=B$29)*(Log!$E$4:$E$1203="A")*(Log!$F$4:$F$1203&lt;&gt;"")*Log!$F$4:$F$1203))=0,"",SUMPRODUCT(MAX((Log!$D$4:$D$1203=$A45)*(Log!$B$4:$B$1203=B$29)*(Log!$E$4:$E$1203="A")*(Log!$F$4:$F$1203&lt;&gt;"")*Log!$F$4:$F$1203))))</f>
        <v/>
      </c>
      <c r="C45" s="82" t="str">
        <f aca="false">IF($A45="","",IF(SUMPRODUCT(MAX((Log!$D$4:$D$1203=$A45)*(Log!$B$4:$B$1203=C$29)*(Log!$E$4:$E$1203="A")*(Log!$F$4:$F$1203&lt;&gt;"")*Log!$F$4:$F$1203))=0,"",SUMPRODUCT(MAX((Log!$D$4:$D$1203=$A45)*(Log!$B$4:$B$1203=C$29)*(Log!$E$4:$E$1203="A")*(Log!$F$4:$F$1203&lt;&gt;"")*Log!$F$4:$F$1203))))</f>
        <v/>
      </c>
      <c r="D45" s="82" t="str">
        <f aca="false">IF($A45="","",IF(SUMPRODUCT(MAX((Log!$D$4:$D$1203=$A45)*(Log!$B$4:$B$1203=D$29)*(Log!$E$4:$E$1203="A")*(Log!$F$4:$F$1203&lt;&gt;"")*Log!$F$4:$F$1203))=0,"",SUMPRODUCT(MAX((Log!$D$4:$D$1203=$A45)*(Log!$B$4:$B$1203=D$29)*(Log!$E$4:$E$1203="A")*(Log!$F$4:$F$1203&lt;&gt;"")*Log!$F$4:$F$1203))))</f>
        <v/>
      </c>
      <c r="E45" s="82" t="str">
        <f aca="false">IF($A45="","",IF(SUMPRODUCT(MAX((Log!$D$4:$D$1203=$A45)*(Log!$B$4:$B$1203=E$29)*(Log!$E$4:$E$1203="A")*(Log!$F$4:$F$1203&lt;&gt;"")*Log!$F$4:$F$1203))=0,"",SUMPRODUCT(MAX((Log!$D$4:$D$1203=$A45)*(Log!$B$4:$B$1203=E$29)*(Log!$E$4:$E$1203="A")*(Log!$F$4:$F$1203&lt;&gt;"")*Log!$F$4:$F$1203))))</f>
        <v/>
      </c>
      <c r="F45" s="82" t="str">
        <f aca="false">IF($A45="","",IF(SUMPRODUCT(MAX((Log!$D$4:$D$1203=$A45)*(Log!$B$4:$B$1203=F$29)*(Log!$E$4:$E$1203="A")*(Log!$F$4:$F$1203&lt;&gt;"")*Log!$F$4:$F$1203))=0,"",SUMPRODUCT(MAX((Log!$D$4:$D$1203=$A45)*(Log!$B$4:$B$1203=F$29)*(Log!$E$4:$E$1203="A")*(Log!$F$4:$F$1203&lt;&gt;"")*Log!$F$4:$F$1203))))</f>
        <v/>
      </c>
      <c r="G45" s="82" t="str">
        <f aca="false">IF($A45="","",IF(SUMPRODUCT(MAX((Log!$D$4:$D$1203=$A45)*(Log!$B$4:$B$1203=G$29)*(Log!$E$4:$E$1203="A")*(Log!$F$4:$F$1203&lt;&gt;"")*Log!$F$4:$F$1203))=0,"",SUMPRODUCT(MAX((Log!$D$4:$D$1203=$A45)*(Log!$B$4:$B$1203=G$29)*(Log!$E$4:$E$1203="A")*(Log!$F$4:$F$1203&lt;&gt;"")*Log!$F$4:$F$1203))))</f>
        <v/>
      </c>
      <c r="H45" s="82" t="str">
        <f aca="false">IF($A45="","",IF(SUMPRODUCT(MAX((Log!$D$4:$D$1203=$A45)*(Log!$B$4:$B$1203=H$29)*(Log!$E$4:$E$1203="A")*(Log!$F$4:$F$1203&lt;&gt;"")*Log!$F$4:$F$1203))=0,"",SUMPRODUCT(MAX((Log!$D$4:$D$1203=$A45)*(Log!$B$4:$B$1203=H$29)*(Log!$E$4:$E$1203="A")*(Log!$F$4:$F$1203&lt;&gt;"")*Log!$F$4:$F$1203))))</f>
        <v/>
      </c>
      <c r="I45" s="82" t="str">
        <f aca="false">IF($A45="","",IF(SUMPRODUCT(MAX((Log!$D$4:$D$1203=$A45)*(Log!$B$4:$B$1203=I$29)*(Log!$E$4:$E$1203="A")*(Log!$F$4:$F$1203&lt;&gt;"")*Log!$F$4:$F$1203))=0,"",SUMPRODUCT(MAX((Log!$D$4:$D$1203=$A45)*(Log!$B$4:$B$1203=I$29)*(Log!$E$4:$E$1203="A")*(Log!$F$4:$F$1203&lt;&gt;"")*Log!$F$4:$F$1203))))</f>
        <v/>
      </c>
      <c r="J45" s="82" t="str">
        <f aca="false">IF($A45="","",IF(SUMPRODUCT(MAX((Log!$D$4:$D$1203=$A45)*(Log!$B$4:$B$1203=J$29)*(Log!$E$4:$E$1203="A")*(Log!$F$4:$F$1203&lt;&gt;"")*Log!$F$4:$F$1203))=0,"",SUMPRODUCT(MAX((Log!$D$4:$D$1203=$A45)*(Log!$B$4:$B$1203=J$29)*(Log!$E$4:$E$1203="A")*(Log!$F$4:$F$1203&lt;&gt;"")*Log!$F$4:$F$1203))))</f>
        <v/>
      </c>
      <c r="K45" s="82" t="str">
        <f aca="false">IF($A45="","",IF(SUMPRODUCT(MAX((Log!$D$4:$D$1203=$A45)*(Log!$B$4:$B$1203=K$29)*(Log!$E$4:$E$1203="A")*(Log!$F$4:$F$1203&lt;&gt;"")*Log!$F$4:$F$1203))=0,"",SUMPRODUCT(MAX((Log!$D$4:$D$1203=$A45)*(Log!$B$4:$B$1203=K$29)*(Log!$E$4:$E$1203="A")*(Log!$F$4:$F$1203&lt;&gt;"")*Log!$F$4:$F$1203))))</f>
        <v/>
      </c>
      <c r="L45" s="82" t="str">
        <f aca="false">IF($A45="","",IF(SUMPRODUCT(MAX((Log!$D$4:$D$1203=$A45)*(Log!$B$4:$B$1203=L$29)*(Log!$E$4:$E$1203="A")*(Log!$F$4:$F$1203&lt;&gt;"")*Log!$F$4:$F$1203))=0,"",SUMPRODUCT(MAX((Log!$D$4:$D$1203=$A45)*(Log!$B$4:$B$1203=L$29)*(Log!$E$4:$E$1203="A")*(Log!$F$4:$F$1203&lt;&gt;"")*Log!$F$4:$F$1203))))</f>
        <v/>
      </c>
      <c r="M45" s="82" t="str">
        <f aca="false">IF($A45="","",IF(SUMPRODUCT(MAX((Log!$D$4:$D$1203=$A45)*(Log!$B$4:$B$1203=M$29)*(Log!$E$4:$E$1203="A")*(Log!$F$4:$F$1203&lt;&gt;"")*Log!$F$4:$F$1203))=0,"",SUMPRODUCT(MAX((Log!$D$4:$D$1203=$A45)*(Log!$B$4:$B$1203=M$29)*(Log!$E$4:$E$1203="A")*(Log!$F$4:$F$1203&lt;&gt;"")*Log!$F$4:$F$1203))))</f>
        <v/>
      </c>
      <c r="N45" s="82" t="str">
        <f aca="false">IF($A45="","",IF(SUMPRODUCT(MAX((Log!$D$4:$D$1203=$A45)*(Log!$B$4:$B$1203=N$29)*(Log!$E$4:$E$1203="A")*(Log!$F$4:$F$1203&lt;&gt;"")*Log!$F$4:$F$1203))=0,"",SUMPRODUCT(MAX((Log!$D$4:$D$1203=$A45)*(Log!$B$4:$B$1203=N$29)*(Log!$E$4:$E$1203="A")*(Log!$F$4:$F$1203&lt;&gt;"")*Log!$F$4:$F$1203))))</f>
        <v/>
      </c>
      <c r="O45" s="82" t="str">
        <f aca="false">IF($A45="","",IF(SUMPRODUCT(MAX((Log!$D$4:$D$1203=$A45)*(Log!$B$4:$B$1203=O$29)*(Log!$E$4:$E$1203="A")*(Log!$F$4:$F$1203&lt;&gt;"")*Log!$F$4:$F$1203))=0,"",SUMPRODUCT(MAX((Log!$D$4:$D$1203=$A45)*(Log!$B$4:$B$1203=O$29)*(Log!$E$4:$E$1203="A")*(Log!$F$4:$F$1203&lt;&gt;"")*Log!$F$4:$F$1203))))</f>
        <v/>
      </c>
      <c r="P45" s="82" t="n">
        <f aca="false">IF($A45="","",IF(SUMPRODUCT(MAX((Log!$D$4:$D$1203=$A45)*(Log!$B$4:$B$1203=P$29)*(Log!$E$4:$E$1203="A")*(Log!$F$4:$F$1203&lt;&gt;"")*Log!$F$4:$F$1203))=0,"",SUMPRODUCT(MAX((Log!$D$4:$D$1203=$A45)*(Log!$B$4:$B$1203=P$29)*(Log!$E$4:$E$1203="A")*(Log!$F$4:$F$1203&lt;&gt;"")*Log!$F$4:$F$1203))))</f>
        <v>59</v>
      </c>
      <c r="Q45" s="82" t="str">
        <f aca="false">IF($A45="","",IF(SUMPRODUCT(MAX((Log!$D$4:$D$1203=$A45)*(Log!$B$4:$B$1203=Q$29)*(Log!$E$4:$E$1203="A")*(Log!$F$4:$F$1203&lt;&gt;"")*Log!$F$4:$F$1203))=0,"",SUMPRODUCT(MAX((Log!$D$4:$D$1203=$A45)*(Log!$B$4:$B$1203=Q$29)*(Log!$E$4:$E$1203="A")*(Log!$F$4:$F$1203&lt;&gt;"")*Log!$F$4:$F$1203))))</f>
        <v/>
      </c>
      <c r="R45" s="81" t="n">
        <f aca="false">IF($A45="","",IF(SUMPRODUCT(MAX((Log!$D$4:$D$1203=$A45)*(Log!$E$4:$E$1203="A")*(Log!$F$4:$F$1203&lt;&gt;"")*Log!$F$4:$F$1203))=0,"",SUMPRODUCT(MAX((Log!$D$4:$D$1203=$A45)*(Log!$E$4:$E$1203="A")*(Log!$F$4:$F$1203&lt;&gt;"")*Log!$F$4:$F$1203))))</f>
        <v>59</v>
      </c>
    </row>
    <row r="46" customFormat="false" ht="16.5" hidden="false" customHeight="true" outlineLevel="0" collapsed="false">
      <c r="A46" s="34" t="str">
        <f aca="false">IF(Übungen!$A20="","",Übungen!$A20)</f>
        <v>Lunges</v>
      </c>
      <c r="B46" s="80" t="n">
        <f aca="false">IF($A46="","",IF(SUMPRODUCT(MAX((Log!$D$4:$D$1203=$A46)*(Log!$B$4:$B$1203=B$29)*(Log!$E$4:$E$1203="A")*(Log!$F$4:$F$1203&lt;&gt;"")*Log!$F$4:$F$1203))=0,"",SUMPRODUCT(MAX((Log!$D$4:$D$1203=$A46)*(Log!$B$4:$B$1203=B$29)*(Log!$E$4:$E$1203="A")*(Log!$F$4:$F$1203&lt;&gt;"")*Log!$F$4:$F$1203))))</f>
        <v>10</v>
      </c>
      <c r="C46" s="80" t="n">
        <f aca="false">IF($A46="","",IF(SUMPRODUCT(MAX((Log!$D$4:$D$1203=$A46)*(Log!$B$4:$B$1203=C$29)*(Log!$E$4:$E$1203="A")*(Log!$F$4:$F$1203&lt;&gt;"")*Log!$F$4:$F$1203))=0,"",SUMPRODUCT(MAX((Log!$D$4:$D$1203=$A46)*(Log!$B$4:$B$1203=C$29)*(Log!$E$4:$E$1203="A")*(Log!$F$4:$F$1203&lt;&gt;"")*Log!$F$4:$F$1203))))</f>
        <v>16</v>
      </c>
      <c r="D46" s="80" t="n">
        <f aca="false">IF($A46="","",IF(SUMPRODUCT(MAX((Log!$D$4:$D$1203=$A46)*(Log!$B$4:$B$1203=D$29)*(Log!$E$4:$E$1203="A")*(Log!$F$4:$F$1203&lt;&gt;"")*Log!$F$4:$F$1203))=0,"",SUMPRODUCT(MAX((Log!$D$4:$D$1203=$A46)*(Log!$B$4:$B$1203=D$29)*(Log!$E$4:$E$1203="A")*(Log!$F$4:$F$1203&lt;&gt;"")*Log!$F$4:$F$1203))))</f>
        <v>18</v>
      </c>
      <c r="E46" s="80" t="str">
        <f aca="false">IF($A46="","",IF(SUMPRODUCT(MAX((Log!$D$4:$D$1203=$A46)*(Log!$B$4:$B$1203=E$29)*(Log!$E$4:$E$1203="A")*(Log!$F$4:$F$1203&lt;&gt;"")*Log!$F$4:$F$1203))=0,"",SUMPRODUCT(MAX((Log!$D$4:$D$1203=$A46)*(Log!$B$4:$B$1203=E$29)*(Log!$E$4:$E$1203="A")*(Log!$F$4:$F$1203&lt;&gt;"")*Log!$F$4:$F$1203))))</f>
        <v/>
      </c>
      <c r="F46" s="80" t="str">
        <f aca="false">IF($A46="","",IF(SUMPRODUCT(MAX((Log!$D$4:$D$1203=$A46)*(Log!$B$4:$B$1203=F$29)*(Log!$E$4:$E$1203="A")*(Log!$F$4:$F$1203&lt;&gt;"")*Log!$F$4:$F$1203))=0,"",SUMPRODUCT(MAX((Log!$D$4:$D$1203=$A46)*(Log!$B$4:$B$1203=F$29)*(Log!$E$4:$E$1203="A")*(Log!$F$4:$F$1203&lt;&gt;"")*Log!$F$4:$F$1203))))</f>
        <v/>
      </c>
      <c r="G46" s="80" t="str">
        <f aca="false">IF($A46="","",IF(SUMPRODUCT(MAX((Log!$D$4:$D$1203=$A46)*(Log!$B$4:$B$1203=G$29)*(Log!$E$4:$E$1203="A")*(Log!$F$4:$F$1203&lt;&gt;"")*Log!$F$4:$F$1203))=0,"",SUMPRODUCT(MAX((Log!$D$4:$D$1203=$A46)*(Log!$B$4:$B$1203=G$29)*(Log!$E$4:$E$1203="A")*(Log!$F$4:$F$1203&lt;&gt;"")*Log!$F$4:$F$1203))))</f>
        <v/>
      </c>
      <c r="H46" s="80" t="str">
        <f aca="false">IF($A46="","",IF(SUMPRODUCT(MAX((Log!$D$4:$D$1203=$A46)*(Log!$B$4:$B$1203=H$29)*(Log!$E$4:$E$1203="A")*(Log!$F$4:$F$1203&lt;&gt;"")*Log!$F$4:$F$1203))=0,"",SUMPRODUCT(MAX((Log!$D$4:$D$1203=$A46)*(Log!$B$4:$B$1203=H$29)*(Log!$E$4:$E$1203="A")*(Log!$F$4:$F$1203&lt;&gt;"")*Log!$F$4:$F$1203))))</f>
        <v/>
      </c>
      <c r="I46" s="80" t="str">
        <f aca="false">IF($A46="","",IF(SUMPRODUCT(MAX((Log!$D$4:$D$1203=$A46)*(Log!$B$4:$B$1203=I$29)*(Log!$E$4:$E$1203="A")*(Log!$F$4:$F$1203&lt;&gt;"")*Log!$F$4:$F$1203))=0,"",SUMPRODUCT(MAX((Log!$D$4:$D$1203=$A46)*(Log!$B$4:$B$1203=I$29)*(Log!$E$4:$E$1203="A")*(Log!$F$4:$F$1203&lt;&gt;"")*Log!$F$4:$F$1203))))</f>
        <v/>
      </c>
      <c r="J46" s="80" t="str">
        <f aca="false">IF($A46="","",IF(SUMPRODUCT(MAX((Log!$D$4:$D$1203=$A46)*(Log!$B$4:$B$1203=J$29)*(Log!$E$4:$E$1203="A")*(Log!$F$4:$F$1203&lt;&gt;"")*Log!$F$4:$F$1203))=0,"",SUMPRODUCT(MAX((Log!$D$4:$D$1203=$A46)*(Log!$B$4:$B$1203=J$29)*(Log!$E$4:$E$1203="A")*(Log!$F$4:$F$1203&lt;&gt;"")*Log!$F$4:$F$1203))))</f>
        <v/>
      </c>
      <c r="K46" s="80" t="str">
        <f aca="false">IF($A46="","",IF(SUMPRODUCT(MAX((Log!$D$4:$D$1203=$A46)*(Log!$B$4:$B$1203=K$29)*(Log!$E$4:$E$1203="A")*(Log!$F$4:$F$1203&lt;&gt;"")*Log!$F$4:$F$1203))=0,"",SUMPRODUCT(MAX((Log!$D$4:$D$1203=$A46)*(Log!$B$4:$B$1203=K$29)*(Log!$E$4:$E$1203="A")*(Log!$F$4:$F$1203&lt;&gt;"")*Log!$F$4:$F$1203))))</f>
        <v/>
      </c>
      <c r="L46" s="80" t="str">
        <f aca="false">IF($A46="","",IF(SUMPRODUCT(MAX((Log!$D$4:$D$1203=$A46)*(Log!$B$4:$B$1203=L$29)*(Log!$E$4:$E$1203="A")*(Log!$F$4:$F$1203&lt;&gt;"")*Log!$F$4:$F$1203))=0,"",SUMPRODUCT(MAX((Log!$D$4:$D$1203=$A46)*(Log!$B$4:$B$1203=L$29)*(Log!$E$4:$E$1203="A")*(Log!$F$4:$F$1203&lt;&gt;"")*Log!$F$4:$F$1203))))</f>
        <v/>
      </c>
      <c r="M46" s="80" t="str">
        <f aca="false">IF($A46="","",IF(SUMPRODUCT(MAX((Log!$D$4:$D$1203=$A46)*(Log!$B$4:$B$1203=M$29)*(Log!$E$4:$E$1203="A")*(Log!$F$4:$F$1203&lt;&gt;"")*Log!$F$4:$F$1203))=0,"",SUMPRODUCT(MAX((Log!$D$4:$D$1203=$A46)*(Log!$B$4:$B$1203=M$29)*(Log!$E$4:$E$1203="A")*(Log!$F$4:$F$1203&lt;&gt;"")*Log!$F$4:$F$1203))))</f>
        <v/>
      </c>
      <c r="N46" s="80" t="str">
        <f aca="false">IF($A46="","",IF(SUMPRODUCT(MAX((Log!$D$4:$D$1203=$A46)*(Log!$B$4:$B$1203=N$29)*(Log!$E$4:$E$1203="A")*(Log!$F$4:$F$1203&lt;&gt;"")*Log!$F$4:$F$1203))=0,"",SUMPRODUCT(MAX((Log!$D$4:$D$1203=$A46)*(Log!$B$4:$B$1203=N$29)*(Log!$E$4:$E$1203="A")*(Log!$F$4:$F$1203&lt;&gt;"")*Log!$F$4:$F$1203))))</f>
        <v/>
      </c>
      <c r="O46" s="80" t="str">
        <f aca="false">IF($A46="","",IF(SUMPRODUCT(MAX((Log!$D$4:$D$1203=$A46)*(Log!$B$4:$B$1203=O$29)*(Log!$E$4:$E$1203="A")*(Log!$F$4:$F$1203&lt;&gt;"")*Log!$F$4:$F$1203))=0,"",SUMPRODUCT(MAX((Log!$D$4:$D$1203=$A46)*(Log!$B$4:$B$1203=O$29)*(Log!$E$4:$E$1203="A")*(Log!$F$4:$F$1203&lt;&gt;"")*Log!$F$4:$F$1203))))</f>
        <v/>
      </c>
      <c r="P46" s="80" t="str">
        <f aca="false">IF($A46="","",IF(SUMPRODUCT(MAX((Log!$D$4:$D$1203=$A46)*(Log!$B$4:$B$1203=P$29)*(Log!$E$4:$E$1203="A")*(Log!$F$4:$F$1203&lt;&gt;"")*Log!$F$4:$F$1203))=0,"",SUMPRODUCT(MAX((Log!$D$4:$D$1203=$A46)*(Log!$B$4:$B$1203=P$29)*(Log!$E$4:$E$1203="A")*(Log!$F$4:$F$1203&lt;&gt;"")*Log!$F$4:$F$1203))))</f>
        <v/>
      </c>
      <c r="Q46" s="80" t="str">
        <f aca="false">IF($A46="","",IF(SUMPRODUCT(MAX((Log!$D$4:$D$1203=$A46)*(Log!$B$4:$B$1203=Q$29)*(Log!$E$4:$E$1203="A")*(Log!$F$4:$F$1203&lt;&gt;"")*Log!$F$4:$F$1203))=0,"",SUMPRODUCT(MAX((Log!$D$4:$D$1203=$A46)*(Log!$B$4:$B$1203=Q$29)*(Log!$E$4:$E$1203="A")*(Log!$F$4:$F$1203&lt;&gt;"")*Log!$F$4:$F$1203))))</f>
        <v/>
      </c>
      <c r="R46" s="81"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2" t="n">
        <f aca="false">IF($A47="","",IF(SUMPRODUCT(MAX((Log!$D$4:$D$1203=$A47)*(Log!$B$4:$B$1203=B$29)*(Log!$E$4:$E$1203="A")*(Log!$F$4:$F$1203&lt;&gt;"")*Log!$F$4:$F$1203))=0,"",SUMPRODUCT(MAX((Log!$D$4:$D$1203=$A47)*(Log!$B$4:$B$1203=B$29)*(Log!$E$4:$E$1203="A")*(Log!$F$4:$F$1203&lt;&gt;"")*Log!$F$4:$F$1203))))</f>
        <v>77</v>
      </c>
      <c r="C47" s="82" t="n">
        <f aca="false">IF($A47="","",IF(SUMPRODUCT(MAX((Log!$D$4:$D$1203=$A47)*(Log!$B$4:$B$1203=C$29)*(Log!$E$4:$E$1203="A")*(Log!$F$4:$F$1203&lt;&gt;"")*Log!$F$4:$F$1203))=0,"",SUMPRODUCT(MAX((Log!$D$4:$D$1203=$A47)*(Log!$B$4:$B$1203=C$29)*(Log!$E$4:$E$1203="A")*(Log!$F$4:$F$1203&lt;&gt;"")*Log!$F$4:$F$1203))))</f>
        <v>84</v>
      </c>
      <c r="D47" s="82" t="n">
        <f aca="false">IF($A47="","",IF(SUMPRODUCT(MAX((Log!$D$4:$D$1203=$A47)*(Log!$B$4:$B$1203=D$29)*(Log!$E$4:$E$1203="A")*(Log!$F$4:$F$1203&lt;&gt;"")*Log!$F$4:$F$1203))=0,"",SUMPRODUCT(MAX((Log!$D$4:$D$1203=$A47)*(Log!$B$4:$B$1203=D$29)*(Log!$E$4:$E$1203="A")*(Log!$F$4:$F$1203&lt;&gt;"")*Log!$F$4:$F$1203))))</f>
        <v>84</v>
      </c>
      <c r="E47" s="82" t="n">
        <f aca="false">IF($A47="","",IF(SUMPRODUCT(MAX((Log!$D$4:$D$1203=$A47)*(Log!$B$4:$B$1203=E$29)*(Log!$E$4:$E$1203="A")*(Log!$F$4:$F$1203&lt;&gt;"")*Log!$F$4:$F$1203))=0,"",SUMPRODUCT(MAX((Log!$D$4:$D$1203=$A47)*(Log!$B$4:$B$1203=E$29)*(Log!$E$4:$E$1203="A")*(Log!$F$4:$F$1203&lt;&gt;"")*Log!$F$4:$F$1203))))</f>
        <v>63</v>
      </c>
      <c r="F47" s="82" t="str">
        <f aca="false">IF($A47="","",IF(SUMPRODUCT(MAX((Log!$D$4:$D$1203=$A47)*(Log!$B$4:$B$1203=F$29)*(Log!$E$4:$E$1203="A")*(Log!$F$4:$F$1203&lt;&gt;"")*Log!$F$4:$F$1203))=0,"",SUMPRODUCT(MAX((Log!$D$4:$D$1203=$A47)*(Log!$B$4:$B$1203=F$29)*(Log!$E$4:$E$1203="A")*(Log!$F$4:$F$1203&lt;&gt;"")*Log!$F$4:$F$1203))))</f>
        <v/>
      </c>
      <c r="G47" s="82" t="str">
        <f aca="false">IF($A47="","",IF(SUMPRODUCT(MAX((Log!$D$4:$D$1203=$A47)*(Log!$B$4:$B$1203=G$29)*(Log!$E$4:$E$1203="A")*(Log!$F$4:$F$1203&lt;&gt;"")*Log!$F$4:$F$1203))=0,"",SUMPRODUCT(MAX((Log!$D$4:$D$1203=$A47)*(Log!$B$4:$B$1203=G$29)*(Log!$E$4:$E$1203="A")*(Log!$F$4:$F$1203&lt;&gt;"")*Log!$F$4:$F$1203))))</f>
        <v/>
      </c>
      <c r="H47" s="82" t="str">
        <f aca="false">IF($A47="","",IF(SUMPRODUCT(MAX((Log!$D$4:$D$1203=$A47)*(Log!$B$4:$B$1203=H$29)*(Log!$E$4:$E$1203="A")*(Log!$F$4:$F$1203&lt;&gt;"")*Log!$F$4:$F$1203))=0,"",SUMPRODUCT(MAX((Log!$D$4:$D$1203=$A47)*(Log!$B$4:$B$1203=H$29)*(Log!$E$4:$E$1203="A")*(Log!$F$4:$F$1203&lt;&gt;"")*Log!$F$4:$F$1203))))</f>
        <v/>
      </c>
      <c r="I47" s="82" t="str">
        <f aca="false">IF($A47="","",IF(SUMPRODUCT(MAX((Log!$D$4:$D$1203=$A47)*(Log!$B$4:$B$1203=I$29)*(Log!$E$4:$E$1203="A")*(Log!$F$4:$F$1203&lt;&gt;"")*Log!$F$4:$F$1203))=0,"",SUMPRODUCT(MAX((Log!$D$4:$D$1203=$A47)*(Log!$B$4:$B$1203=I$29)*(Log!$E$4:$E$1203="A")*(Log!$F$4:$F$1203&lt;&gt;"")*Log!$F$4:$F$1203))))</f>
        <v/>
      </c>
      <c r="J47" s="82" t="str">
        <f aca="false">IF($A47="","",IF(SUMPRODUCT(MAX((Log!$D$4:$D$1203=$A47)*(Log!$B$4:$B$1203=J$29)*(Log!$E$4:$E$1203="A")*(Log!$F$4:$F$1203&lt;&gt;"")*Log!$F$4:$F$1203))=0,"",SUMPRODUCT(MAX((Log!$D$4:$D$1203=$A47)*(Log!$B$4:$B$1203=J$29)*(Log!$E$4:$E$1203="A")*(Log!$F$4:$F$1203&lt;&gt;"")*Log!$F$4:$F$1203))))</f>
        <v/>
      </c>
      <c r="K47" s="82" t="str">
        <f aca="false">IF($A47="","",IF(SUMPRODUCT(MAX((Log!$D$4:$D$1203=$A47)*(Log!$B$4:$B$1203=K$29)*(Log!$E$4:$E$1203="A")*(Log!$F$4:$F$1203&lt;&gt;"")*Log!$F$4:$F$1203))=0,"",SUMPRODUCT(MAX((Log!$D$4:$D$1203=$A47)*(Log!$B$4:$B$1203=K$29)*(Log!$E$4:$E$1203="A")*(Log!$F$4:$F$1203&lt;&gt;"")*Log!$F$4:$F$1203))))</f>
        <v/>
      </c>
      <c r="L47" s="82" t="str">
        <f aca="false">IF($A47="","",IF(SUMPRODUCT(MAX((Log!$D$4:$D$1203=$A47)*(Log!$B$4:$B$1203=L$29)*(Log!$E$4:$E$1203="A")*(Log!$F$4:$F$1203&lt;&gt;"")*Log!$F$4:$F$1203))=0,"",SUMPRODUCT(MAX((Log!$D$4:$D$1203=$A47)*(Log!$B$4:$B$1203=L$29)*(Log!$E$4:$E$1203="A")*(Log!$F$4:$F$1203&lt;&gt;"")*Log!$F$4:$F$1203))))</f>
        <v/>
      </c>
      <c r="M47" s="82" t="str">
        <f aca="false">IF($A47="","",IF(SUMPRODUCT(MAX((Log!$D$4:$D$1203=$A47)*(Log!$B$4:$B$1203=M$29)*(Log!$E$4:$E$1203="A")*(Log!$F$4:$F$1203&lt;&gt;"")*Log!$F$4:$F$1203))=0,"",SUMPRODUCT(MAX((Log!$D$4:$D$1203=$A47)*(Log!$B$4:$B$1203=M$29)*(Log!$E$4:$E$1203="A")*(Log!$F$4:$F$1203&lt;&gt;"")*Log!$F$4:$F$1203))))</f>
        <v/>
      </c>
      <c r="N47" s="82" t="str">
        <f aca="false">IF($A47="","",IF(SUMPRODUCT(MAX((Log!$D$4:$D$1203=$A47)*(Log!$B$4:$B$1203=N$29)*(Log!$E$4:$E$1203="A")*(Log!$F$4:$F$1203&lt;&gt;"")*Log!$F$4:$F$1203))=0,"",SUMPRODUCT(MAX((Log!$D$4:$D$1203=$A47)*(Log!$B$4:$B$1203=N$29)*(Log!$E$4:$E$1203="A")*(Log!$F$4:$F$1203&lt;&gt;"")*Log!$F$4:$F$1203))))</f>
        <v/>
      </c>
      <c r="O47" s="82" t="str">
        <f aca="false">IF($A47="","",IF(SUMPRODUCT(MAX((Log!$D$4:$D$1203=$A47)*(Log!$B$4:$B$1203=O$29)*(Log!$E$4:$E$1203="A")*(Log!$F$4:$F$1203&lt;&gt;"")*Log!$F$4:$F$1203))=0,"",SUMPRODUCT(MAX((Log!$D$4:$D$1203=$A47)*(Log!$B$4:$B$1203=O$29)*(Log!$E$4:$E$1203="A")*(Log!$F$4:$F$1203&lt;&gt;"")*Log!$F$4:$F$1203))))</f>
        <v/>
      </c>
      <c r="P47" s="82" t="str">
        <f aca="false">IF($A47="","",IF(SUMPRODUCT(MAX((Log!$D$4:$D$1203=$A47)*(Log!$B$4:$B$1203=P$29)*(Log!$E$4:$E$1203="A")*(Log!$F$4:$F$1203&lt;&gt;"")*Log!$F$4:$F$1203))=0,"",SUMPRODUCT(MAX((Log!$D$4:$D$1203=$A47)*(Log!$B$4:$B$1203=P$29)*(Log!$E$4:$E$1203="A")*(Log!$F$4:$F$1203&lt;&gt;"")*Log!$F$4:$F$1203))))</f>
        <v/>
      </c>
      <c r="Q47" s="82" t="str">
        <f aca="false">IF($A47="","",IF(SUMPRODUCT(MAX((Log!$D$4:$D$1203=$A47)*(Log!$B$4:$B$1203=Q$29)*(Log!$E$4:$E$1203="A")*(Log!$F$4:$F$1203&lt;&gt;"")*Log!$F$4:$F$1203))=0,"",SUMPRODUCT(MAX((Log!$D$4:$D$1203=$A47)*(Log!$B$4:$B$1203=Q$29)*(Log!$E$4:$E$1203="A")*(Log!$F$4:$F$1203&lt;&gt;"")*Log!$F$4:$F$1203))))</f>
        <v/>
      </c>
      <c r="R47" s="81" t="n">
        <f aca="false">IF($A47="","",IF(SUMPRODUCT(MAX((Log!$D$4:$D$1203=$A47)*(Log!$E$4:$E$1203="A")*(Log!$F$4:$F$1203&lt;&gt;"")*Log!$F$4:$F$1203))=0,"",SUMPRODUCT(MAX((Log!$D$4:$D$1203=$A47)*(Log!$E$4:$E$1203="A")*(Log!$F$4:$F$1203&lt;&gt;"")*Log!$F$4:$F$1203))))</f>
        <v>84</v>
      </c>
    </row>
    <row r="48" customFormat="false" ht="16.5" hidden="false" customHeight="true" outlineLevel="0" collapsed="false">
      <c r="A48" s="34" t="str">
        <f aca="false">IF(Übungen!$A22="","",Übungen!$A22)</f>
        <v/>
      </c>
      <c r="B48" s="80" t="str">
        <f aca="false">IF($A48="","",IF(SUMPRODUCT(MAX((Log!$D$4:$D$1203=$A48)*(Log!$B$4:$B$1203=B$29)*(Log!$E$4:$E$1203="A")*(Log!$F$4:$F$1203&lt;&gt;"")*Log!$F$4:$F$1203))=0,"",SUMPRODUCT(MAX((Log!$D$4:$D$1203=$A48)*(Log!$B$4:$B$1203=B$29)*(Log!$E$4:$E$1203="A")*(Log!$F$4:$F$1203&lt;&gt;"")*Log!$F$4:$F$1203))))</f>
        <v/>
      </c>
      <c r="C48" s="80" t="str">
        <f aca="false">IF($A48="","",IF(SUMPRODUCT(MAX((Log!$D$4:$D$1203=$A48)*(Log!$B$4:$B$1203=C$29)*(Log!$E$4:$E$1203="A")*(Log!$F$4:$F$1203&lt;&gt;"")*Log!$F$4:$F$1203))=0,"",SUMPRODUCT(MAX((Log!$D$4:$D$1203=$A48)*(Log!$B$4:$B$1203=C$29)*(Log!$E$4:$E$1203="A")*(Log!$F$4:$F$1203&lt;&gt;"")*Log!$F$4:$F$1203))))</f>
        <v/>
      </c>
      <c r="D48" s="80" t="str">
        <f aca="false">IF($A48="","",IF(SUMPRODUCT(MAX((Log!$D$4:$D$1203=$A48)*(Log!$B$4:$B$1203=D$29)*(Log!$E$4:$E$1203="A")*(Log!$F$4:$F$1203&lt;&gt;"")*Log!$F$4:$F$1203))=0,"",SUMPRODUCT(MAX((Log!$D$4:$D$1203=$A48)*(Log!$B$4:$B$1203=D$29)*(Log!$E$4:$E$1203="A")*(Log!$F$4:$F$1203&lt;&gt;"")*Log!$F$4:$F$1203))))</f>
        <v/>
      </c>
      <c r="E48" s="80" t="str">
        <f aca="false">IF($A48="","",IF(SUMPRODUCT(MAX((Log!$D$4:$D$1203=$A48)*(Log!$B$4:$B$1203=E$29)*(Log!$E$4:$E$1203="A")*(Log!$F$4:$F$1203&lt;&gt;"")*Log!$F$4:$F$1203))=0,"",SUMPRODUCT(MAX((Log!$D$4:$D$1203=$A48)*(Log!$B$4:$B$1203=E$29)*(Log!$E$4:$E$1203="A")*(Log!$F$4:$F$1203&lt;&gt;"")*Log!$F$4:$F$1203))))</f>
        <v/>
      </c>
      <c r="F48" s="80" t="str">
        <f aca="false">IF($A48="","",IF(SUMPRODUCT(MAX((Log!$D$4:$D$1203=$A48)*(Log!$B$4:$B$1203=F$29)*(Log!$E$4:$E$1203="A")*(Log!$F$4:$F$1203&lt;&gt;"")*Log!$F$4:$F$1203))=0,"",SUMPRODUCT(MAX((Log!$D$4:$D$1203=$A48)*(Log!$B$4:$B$1203=F$29)*(Log!$E$4:$E$1203="A")*(Log!$F$4:$F$1203&lt;&gt;"")*Log!$F$4:$F$1203))))</f>
        <v/>
      </c>
      <c r="G48" s="80" t="str">
        <f aca="false">IF($A48="","",IF(SUMPRODUCT(MAX((Log!$D$4:$D$1203=$A48)*(Log!$B$4:$B$1203=G$29)*(Log!$E$4:$E$1203="A")*(Log!$F$4:$F$1203&lt;&gt;"")*Log!$F$4:$F$1203))=0,"",SUMPRODUCT(MAX((Log!$D$4:$D$1203=$A48)*(Log!$B$4:$B$1203=G$29)*(Log!$E$4:$E$1203="A")*(Log!$F$4:$F$1203&lt;&gt;"")*Log!$F$4:$F$1203))))</f>
        <v/>
      </c>
      <c r="H48" s="80" t="str">
        <f aca="false">IF($A48="","",IF(SUMPRODUCT(MAX((Log!$D$4:$D$1203=$A48)*(Log!$B$4:$B$1203=H$29)*(Log!$E$4:$E$1203="A")*(Log!$F$4:$F$1203&lt;&gt;"")*Log!$F$4:$F$1203))=0,"",SUMPRODUCT(MAX((Log!$D$4:$D$1203=$A48)*(Log!$B$4:$B$1203=H$29)*(Log!$E$4:$E$1203="A")*(Log!$F$4:$F$1203&lt;&gt;"")*Log!$F$4:$F$1203))))</f>
        <v/>
      </c>
      <c r="I48" s="80" t="str">
        <f aca="false">IF($A48="","",IF(SUMPRODUCT(MAX((Log!$D$4:$D$1203=$A48)*(Log!$B$4:$B$1203=I$29)*(Log!$E$4:$E$1203="A")*(Log!$F$4:$F$1203&lt;&gt;"")*Log!$F$4:$F$1203))=0,"",SUMPRODUCT(MAX((Log!$D$4:$D$1203=$A48)*(Log!$B$4:$B$1203=I$29)*(Log!$E$4:$E$1203="A")*(Log!$F$4:$F$1203&lt;&gt;"")*Log!$F$4:$F$1203))))</f>
        <v/>
      </c>
      <c r="J48" s="80" t="str">
        <f aca="false">IF($A48="","",IF(SUMPRODUCT(MAX((Log!$D$4:$D$1203=$A48)*(Log!$B$4:$B$1203=J$29)*(Log!$E$4:$E$1203="A")*(Log!$F$4:$F$1203&lt;&gt;"")*Log!$F$4:$F$1203))=0,"",SUMPRODUCT(MAX((Log!$D$4:$D$1203=$A48)*(Log!$B$4:$B$1203=J$29)*(Log!$E$4:$E$1203="A")*(Log!$F$4:$F$1203&lt;&gt;"")*Log!$F$4:$F$1203))))</f>
        <v/>
      </c>
      <c r="K48" s="80" t="str">
        <f aca="false">IF($A48="","",IF(SUMPRODUCT(MAX((Log!$D$4:$D$1203=$A48)*(Log!$B$4:$B$1203=K$29)*(Log!$E$4:$E$1203="A")*(Log!$F$4:$F$1203&lt;&gt;"")*Log!$F$4:$F$1203))=0,"",SUMPRODUCT(MAX((Log!$D$4:$D$1203=$A48)*(Log!$B$4:$B$1203=K$29)*(Log!$E$4:$E$1203="A")*(Log!$F$4:$F$1203&lt;&gt;"")*Log!$F$4:$F$1203))))</f>
        <v/>
      </c>
      <c r="L48" s="80" t="str">
        <f aca="false">IF($A48="","",IF(SUMPRODUCT(MAX((Log!$D$4:$D$1203=$A48)*(Log!$B$4:$B$1203=L$29)*(Log!$E$4:$E$1203="A")*(Log!$F$4:$F$1203&lt;&gt;"")*Log!$F$4:$F$1203))=0,"",SUMPRODUCT(MAX((Log!$D$4:$D$1203=$A48)*(Log!$B$4:$B$1203=L$29)*(Log!$E$4:$E$1203="A")*(Log!$F$4:$F$1203&lt;&gt;"")*Log!$F$4:$F$1203))))</f>
        <v/>
      </c>
      <c r="M48" s="80" t="str">
        <f aca="false">IF($A48="","",IF(SUMPRODUCT(MAX((Log!$D$4:$D$1203=$A48)*(Log!$B$4:$B$1203=M$29)*(Log!$E$4:$E$1203="A")*(Log!$F$4:$F$1203&lt;&gt;"")*Log!$F$4:$F$1203))=0,"",SUMPRODUCT(MAX((Log!$D$4:$D$1203=$A48)*(Log!$B$4:$B$1203=M$29)*(Log!$E$4:$E$1203="A")*(Log!$F$4:$F$1203&lt;&gt;"")*Log!$F$4:$F$1203))))</f>
        <v/>
      </c>
      <c r="N48" s="80" t="str">
        <f aca="false">IF($A48="","",IF(SUMPRODUCT(MAX((Log!$D$4:$D$1203=$A48)*(Log!$B$4:$B$1203=N$29)*(Log!$E$4:$E$1203="A")*(Log!$F$4:$F$1203&lt;&gt;"")*Log!$F$4:$F$1203))=0,"",SUMPRODUCT(MAX((Log!$D$4:$D$1203=$A48)*(Log!$B$4:$B$1203=N$29)*(Log!$E$4:$E$1203="A")*(Log!$F$4:$F$1203&lt;&gt;"")*Log!$F$4:$F$1203))))</f>
        <v/>
      </c>
      <c r="O48" s="80" t="str">
        <f aca="false">IF($A48="","",IF(SUMPRODUCT(MAX((Log!$D$4:$D$1203=$A48)*(Log!$B$4:$B$1203=O$29)*(Log!$E$4:$E$1203="A")*(Log!$F$4:$F$1203&lt;&gt;"")*Log!$F$4:$F$1203))=0,"",SUMPRODUCT(MAX((Log!$D$4:$D$1203=$A48)*(Log!$B$4:$B$1203=O$29)*(Log!$E$4:$E$1203="A")*(Log!$F$4:$F$1203&lt;&gt;"")*Log!$F$4:$F$1203))))</f>
        <v/>
      </c>
      <c r="P48" s="80" t="str">
        <f aca="false">IF($A48="","",IF(SUMPRODUCT(MAX((Log!$D$4:$D$1203=$A48)*(Log!$B$4:$B$1203=P$29)*(Log!$E$4:$E$1203="A")*(Log!$F$4:$F$1203&lt;&gt;"")*Log!$F$4:$F$1203))=0,"",SUMPRODUCT(MAX((Log!$D$4:$D$1203=$A48)*(Log!$B$4:$B$1203=P$29)*(Log!$E$4:$E$1203="A")*(Log!$F$4:$F$1203&lt;&gt;"")*Log!$F$4:$F$1203))))</f>
        <v/>
      </c>
      <c r="Q48" s="80" t="str">
        <f aca="false">IF($A48="","",IF(SUMPRODUCT(MAX((Log!$D$4:$D$1203=$A48)*(Log!$B$4:$B$1203=Q$29)*(Log!$E$4:$E$1203="A")*(Log!$F$4:$F$1203&lt;&gt;"")*Log!$F$4:$F$1203))=0,"",SUMPRODUCT(MAX((Log!$D$4:$D$1203=$A48)*(Log!$B$4:$B$1203=Q$29)*(Log!$E$4:$E$1203="A")*(Log!$F$4:$F$1203&lt;&gt;"")*Log!$F$4:$F$1203))))</f>
        <v/>
      </c>
      <c r="R48" s="81"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2" t="str">
        <f aca="false">IF($A49="","",IF(SUMPRODUCT(MAX((Log!$D$4:$D$1203=$A49)*(Log!$B$4:$B$1203=B$29)*(Log!$E$4:$E$1203="A")*(Log!$F$4:$F$1203&lt;&gt;"")*Log!$F$4:$F$1203))=0,"",SUMPRODUCT(MAX((Log!$D$4:$D$1203=$A49)*(Log!$B$4:$B$1203=B$29)*(Log!$E$4:$E$1203="A")*(Log!$F$4:$F$1203&lt;&gt;"")*Log!$F$4:$F$1203))))</f>
        <v/>
      </c>
      <c r="C49" s="82" t="str">
        <f aca="false">IF($A49="","",IF(SUMPRODUCT(MAX((Log!$D$4:$D$1203=$A49)*(Log!$B$4:$B$1203=C$29)*(Log!$E$4:$E$1203="A")*(Log!$F$4:$F$1203&lt;&gt;"")*Log!$F$4:$F$1203))=0,"",SUMPRODUCT(MAX((Log!$D$4:$D$1203=$A49)*(Log!$B$4:$B$1203=C$29)*(Log!$E$4:$E$1203="A")*(Log!$F$4:$F$1203&lt;&gt;"")*Log!$F$4:$F$1203))))</f>
        <v/>
      </c>
      <c r="D49" s="82" t="str">
        <f aca="false">IF($A49="","",IF(SUMPRODUCT(MAX((Log!$D$4:$D$1203=$A49)*(Log!$B$4:$B$1203=D$29)*(Log!$E$4:$E$1203="A")*(Log!$F$4:$F$1203&lt;&gt;"")*Log!$F$4:$F$1203))=0,"",SUMPRODUCT(MAX((Log!$D$4:$D$1203=$A49)*(Log!$B$4:$B$1203=D$29)*(Log!$E$4:$E$1203="A")*(Log!$F$4:$F$1203&lt;&gt;"")*Log!$F$4:$F$1203))))</f>
        <v/>
      </c>
      <c r="E49" s="82" t="str">
        <f aca="false">IF($A49="","",IF(SUMPRODUCT(MAX((Log!$D$4:$D$1203=$A49)*(Log!$B$4:$B$1203=E$29)*(Log!$E$4:$E$1203="A")*(Log!$F$4:$F$1203&lt;&gt;"")*Log!$F$4:$F$1203))=0,"",SUMPRODUCT(MAX((Log!$D$4:$D$1203=$A49)*(Log!$B$4:$B$1203=E$29)*(Log!$E$4:$E$1203="A")*(Log!$F$4:$F$1203&lt;&gt;"")*Log!$F$4:$F$1203))))</f>
        <v/>
      </c>
      <c r="F49" s="82" t="str">
        <f aca="false">IF($A49="","",IF(SUMPRODUCT(MAX((Log!$D$4:$D$1203=$A49)*(Log!$B$4:$B$1203=F$29)*(Log!$E$4:$E$1203="A")*(Log!$F$4:$F$1203&lt;&gt;"")*Log!$F$4:$F$1203))=0,"",SUMPRODUCT(MAX((Log!$D$4:$D$1203=$A49)*(Log!$B$4:$B$1203=F$29)*(Log!$E$4:$E$1203="A")*(Log!$F$4:$F$1203&lt;&gt;"")*Log!$F$4:$F$1203))))</f>
        <v/>
      </c>
      <c r="G49" s="82" t="str">
        <f aca="false">IF($A49="","",IF(SUMPRODUCT(MAX((Log!$D$4:$D$1203=$A49)*(Log!$B$4:$B$1203=G$29)*(Log!$E$4:$E$1203="A")*(Log!$F$4:$F$1203&lt;&gt;"")*Log!$F$4:$F$1203))=0,"",SUMPRODUCT(MAX((Log!$D$4:$D$1203=$A49)*(Log!$B$4:$B$1203=G$29)*(Log!$E$4:$E$1203="A")*(Log!$F$4:$F$1203&lt;&gt;"")*Log!$F$4:$F$1203))))</f>
        <v/>
      </c>
      <c r="H49" s="82" t="str">
        <f aca="false">IF($A49="","",IF(SUMPRODUCT(MAX((Log!$D$4:$D$1203=$A49)*(Log!$B$4:$B$1203=H$29)*(Log!$E$4:$E$1203="A")*(Log!$F$4:$F$1203&lt;&gt;"")*Log!$F$4:$F$1203))=0,"",SUMPRODUCT(MAX((Log!$D$4:$D$1203=$A49)*(Log!$B$4:$B$1203=H$29)*(Log!$E$4:$E$1203="A")*(Log!$F$4:$F$1203&lt;&gt;"")*Log!$F$4:$F$1203))))</f>
        <v/>
      </c>
      <c r="I49" s="82" t="str">
        <f aca="false">IF($A49="","",IF(SUMPRODUCT(MAX((Log!$D$4:$D$1203=$A49)*(Log!$B$4:$B$1203=I$29)*(Log!$E$4:$E$1203="A")*(Log!$F$4:$F$1203&lt;&gt;"")*Log!$F$4:$F$1203))=0,"",SUMPRODUCT(MAX((Log!$D$4:$D$1203=$A49)*(Log!$B$4:$B$1203=I$29)*(Log!$E$4:$E$1203="A")*(Log!$F$4:$F$1203&lt;&gt;"")*Log!$F$4:$F$1203))))</f>
        <v/>
      </c>
      <c r="J49" s="82" t="str">
        <f aca="false">IF($A49="","",IF(SUMPRODUCT(MAX((Log!$D$4:$D$1203=$A49)*(Log!$B$4:$B$1203=J$29)*(Log!$E$4:$E$1203="A")*(Log!$F$4:$F$1203&lt;&gt;"")*Log!$F$4:$F$1203))=0,"",SUMPRODUCT(MAX((Log!$D$4:$D$1203=$A49)*(Log!$B$4:$B$1203=J$29)*(Log!$E$4:$E$1203="A")*(Log!$F$4:$F$1203&lt;&gt;"")*Log!$F$4:$F$1203))))</f>
        <v/>
      </c>
      <c r="K49" s="82" t="str">
        <f aca="false">IF($A49="","",IF(SUMPRODUCT(MAX((Log!$D$4:$D$1203=$A49)*(Log!$B$4:$B$1203=K$29)*(Log!$E$4:$E$1203="A")*(Log!$F$4:$F$1203&lt;&gt;"")*Log!$F$4:$F$1203))=0,"",SUMPRODUCT(MAX((Log!$D$4:$D$1203=$A49)*(Log!$B$4:$B$1203=K$29)*(Log!$E$4:$E$1203="A")*(Log!$F$4:$F$1203&lt;&gt;"")*Log!$F$4:$F$1203))))</f>
        <v/>
      </c>
      <c r="L49" s="82" t="str">
        <f aca="false">IF($A49="","",IF(SUMPRODUCT(MAX((Log!$D$4:$D$1203=$A49)*(Log!$B$4:$B$1203=L$29)*(Log!$E$4:$E$1203="A")*(Log!$F$4:$F$1203&lt;&gt;"")*Log!$F$4:$F$1203))=0,"",SUMPRODUCT(MAX((Log!$D$4:$D$1203=$A49)*(Log!$B$4:$B$1203=L$29)*(Log!$E$4:$E$1203="A")*(Log!$F$4:$F$1203&lt;&gt;"")*Log!$F$4:$F$1203))))</f>
        <v/>
      </c>
      <c r="M49" s="82" t="str">
        <f aca="false">IF($A49="","",IF(SUMPRODUCT(MAX((Log!$D$4:$D$1203=$A49)*(Log!$B$4:$B$1203=M$29)*(Log!$E$4:$E$1203="A")*(Log!$F$4:$F$1203&lt;&gt;"")*Log!$F$4:$F$1203))=0,"",SUMPRODUCT(MAX((Log!$D$4:$D$1203=$A49)*(Log!$B$4:$B$1203=M$29)*(Log!$E$4:$E$1203="A")*(Log!$F$4:$F$1203&lt;&gt;"")*Log!$F$4:$F$1203))))</f>
        <v/>
      </c>
      <c r="N49" s="82" t="str">
        <f aca="false">IF($A49="","",IF(SUMPRODUCT(MAX((Log!$D$4:$D$1203=$A49)*(Log!$B$4:$B$1203=N$29)*(Log!$E$4:$E$1203="A")*(Log!$F$4:$F$1203&lt;&gt;"")*Log!$F$4:$F$1203))=0,"",SUMPRODUCT(MAX((Log!$D$4:$D$1203=$A49)*(Log!$B$4:$B$1203=N$29)*(Log!$E$4:$E$1203="A")*(Log!$F$4:$F$1203&lt;&gt;"")*Log!$F$4:$F$1203))))</f>
        <v/>
      </c>
      <c r="O49" s="82" t="str">
        <f aca="false">IF($A49="","",IF(SUMPRODUCT(MAX((Log!$D$4:$D$1203=$A49)*(Log!$B$4:$B$1203=O$29)*(Log!$E$4:$E$1203="A")*(Log!$F$4:$F$1203&lt;&gt;"")*Log!$F$4:$F$1203))=0,"",SUMPRODUCT(MAX((Log!$D$4:$D$1203=$A49)*(Log!$B$4:$B$1203=O$29)*(Log!$E$4:$E$1203="A")*(Log!$F$4:$F$1203&lt;&gt;"")*Log!$F$4:$F$1203))))</f>
        <v/>
      </c>
      <c r="P49" s="82" t="str">
        <f aca="false">IF($A49="","",IF(SUMPRODUCT(MAX((Log!$D$4:$D$1203=$A49)*(Log!$B$4:$B$1203=P$29)*(Log!$E$4:$E$1203="A")*(Log!$F$4:$F$1203&lt;&gt;"")*Log!$F$4:$F$1203))=0,"",SUMPRODUCT(MAX((Log!$D$4:$D$1203=$A49)*(Log!$B$4:$B$1203=P$29)*(Log!$E$4:$E$1203="A")*(Log!$F$4:$F$1203&lt;&gt;"")*Log!$F$4:$F$1203))))</f>
        <v/>
      </c>
      <c r="Q49" s="82" t="str">
        <f aca="false">IF($A49="","",IF(SUMPRODUCT(MAX((Log!$D$4:$D$1203=$A49)*(Log!$B$4:$B$1203=Q$29)*(Log!$E$4:$E$1203="A")*(Log!$F$4:$F$1203&lt;&gt;"")*Log!$F$4:$F$1203))=0,"",SUMPRODUCT(MAX((Log!$D$4:$D$1203=$A49)*(Log!$B$4:$B$1203=Q$29)*(Log!$E$4:$E$1203="A")*(Log!$F$4:$F$1203&lt;&gt;"")*Log!$F$4:$F$1203))))</f>
        <v/>
      </c>
      <c r="R49" s="81" t="str">
        <f aca="false">IF($A49="","",IF(SUMPRODUCT(MAX((Log!$D$4:$D$1203=$A49)*(Log!$E$4:$E$1203="A")*(Log!$F$4:$F$1203&lt;&gt;"")*Log!$F$4:$F$1203))=0,"",SUMPRODUCT(MAX((Log!$D$4:$D$1203=$A49)*(Log!$E$4:$E$1203="A")*(Log!$F$4:$F$1203&lt;&gt;"")*Log!$F$4:$F$1203))))</f>
        <v/>
      </c>
    </row>
    <row r="52" customFormat="false" ht="19.5" hidden="false" customHeight="true" outlineLevel="0" collapsed="false">
      <c r="A52" s="3" t="s">
        <v>438</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168</v>
      </c>
      <c r="B53" s="76" t="n">
        <f aca="false">$B$3</f>
        <v>1</v>
      </c>
      <c r="C53" s="76" t="n">
        <f aca="false">B53+1</f>
        <v>2</v>
      </c>
      <c r="D53" s="76" t="n">
        <f aca="false">C53+1</f>
        <v>3</v>
      </c>
      <c r="E53" s="76" t="n">
        <f aca="false">D53+1</f>
        <v>4</v>
      </c>
      <c r="F53" s="76" t="n">
        <f aca="false">E53+1</f>
        <v>5</v>
      </c>
      <c r="G53" s="76" t="n">
        <f aca="false">F53+1</f>
        <v>6</v>
      </c>
      <c r="H53" s="76" t="n">
        <f aca="false">G53+1</f>
        <v>7</v>
      </c>
      <c r="I53" s="76" t="n">
        <f aca="false">H53+1</f>
        <v>8</v>
      </c>
      <c r="J53" s="76" t="n">
        <f aca="false">I53+1</f>
        <v>9</v>
      </c>
      <c r="K53" s="76" t="n">
        <f aca="false">J53+1</f>
        <v>10</v>
      </c>
      <c r="L53" s="76" t="n">
        <f aca="false">K53+1</f>
        <v>11</v>
      </c>
      <c r="M53" s="76" t="n">
        <f aca="false">L53+1</f>
        <v>12</v>
      </c>
      <c r="N53" s="76" t="n">
        <f aca="false">M53+1</f>
        <v>13</v>
      </c>
      <c r="O53" s="76" t="n">
        <f aca="false">N53+1</f>
        <v>14</v>
      </c>
      <c r="P53" s="76" t="n">
        <f aca="false">O53+1</f>
        <v>15</v>
      </c>
      <c r="Q53" s="76" t="n">
        <f aca="false">P53+1</f>
        <v>16</v>
      </c>
      <c r="R53" s="13" t="s">
        <v>437</v>
      </c>
    </row>
    <row r="54" customFormat="false" ht="16.5" hidden="false" customHeight="true" outlineLevel="0" collapsed="false">
      <c r="A54" s="34" t="str">
        <f aca="false">IF(Übungen!$A4="","",Übungen!$A4)</f>
        <v>Beinpresse eng</v>
      </c>
      <c r="B54" s="80" t="str">
        <f aca="false">IF($A54="","",IF(SUMPRODUCT(MAX((Log!$D$4:$D$1203=$A54)*(Log!$B$4:$B$1203=B$53)*(Log!$E$4:$E$1203="A")*(Log!$F$4:$F$1203&lt;&gt;"")*(Log!$G$4:$G$1203&lt;&gt;"")*Log!$F$4:$F$1203*(1+Log!$G$4:$G$1203/30)))=0,"",SUMPRODUCT(MAX((Log!$D$4:$D$1203=$A54)*(Log!$B$4:$B$1203=B$53)*(Log!$E$4:$E$1203="A")*(Log!$F$4:$F$1203&lt;&gt;"")*(Log!$G$4:$G$1203&lt;&gt;"")*Log!$F$4:$F$1203*(1+Log!$G$4:$G$1203/30)))))</f>
        <v/>
      </c>
      <c r="C54" s="80" t="str">
        <f aca="false">IF($A54="","",IF(SUMPRODUCT(MAX((Log!$D$4:$D$1203=$A54)*(Log!$B$4:$B$1203=C$53)*(Log!$E$4:$E$1203="A")*(Log!$F$4:$F$1203&lt;&gt;"")*(Log!$G$4:$G$1203&lt;&gt;"")*Log!$F$4:$F$1203*(1+Log!$G$4:$G$1203/30)))=0,"",SUMPRODUCT(MAX((Log!$D$4:$D$1203=$A54)*(Log!$B$4:$B$1203=C$53)*(Log!$E$4:$E$1203="A")*(Log!$F$4:$F$1203&lt;&gt;"")*(Log!$G$4:$G$1203&lt;&gt;"")*Log!$F$4:$F$1203*(1+Log!$G$4:$G$1203/30)))))</f>
        <v/>
      </c>
      <c r="D54" s="80" t="str">
        <f aca="false">IF($A54="","",IF(SUMPRODUCT(MAX((Log!$D$4:$D$1203=$A54)*(Log!$B$4:$B$1203=D$53)*(Log!$E$4:$E$1203="A")*(Log!$F$4:$F$1203&lt;&gt;"")*(Log!$G$4:$G$1203&lt;&gt;"")*Log!$F$4:$F$1203*(1+Log!$G$4:$G$1203/30)))=0,"",SUMPRODUCT(MAX((Log!$D$4:$D$1203=$A54)*(Log!$B$4:$B$1203=D$53)*(Log!$E$4:$E$1203="A")*(Log!$F$4:$F$1203&lt;&gt;"")*(Log!$G$4:$G$1203&lt;&gt;"")*Log!$F$4:$F$1203*(1+Log!$G$4:$G$1203/30)))))</f>
        <v/>
      </c>
      <c r="E54" s="80" t="str">
        <f aca="false">IF($A54="","",IF(SUMPRODUCT(MAX((Log!$D$4:$D$1203=$A54)*(Log!$B$4:$B$1203=E$53)*(Log!$E$4:$E$1203="A")*(Log!$F$4:$F$1203&lt;&gt;"")*(Log!$G$4:$G$1203&lt;&gt;"")*Log!$F$4:$F$1203*(1+Log!$G$4:$G$1203/30)))=0,"",SUMPRODUCT(MAX((Log!$D$4:$D$1203=$A54)*(Log!$B$4:$B$1203=E$53)*(Log!$E$4:$E$1203="A")*(Log!$F$4:$F$1203&lt;&gt;"")*(Log!$G$4:$G$1203&lt;&gt;"")*Log!$F$4:$F$1203*(1+Log!$G$4:$G$1203/30)))))</f>
        <v/>
      </c>
      <c r="F54" s="80" t="n">
        <f aca="false">IF($A54="","",IF(SUMPRODUCT(MAX((Log!$D$4:$D$1203=$A54)*(Log!$B$4:$B$1203=F$53)*(Log!$E$4:$E$1203="A")*(Log!$F$4:$F$1203&lt;&gt;"")*(Log!$G$4:$G$1203&lt;&gt;"")*Log!$F$4:$F$1203*(1+Log!$G$4:$G$1203/30)))=0,"",SUMPRODUCT(MAX((Log!$D$4:$D$1203=$A54)*(Log!$B$4:$B$1203=F$53)*(Log!$E$4:$E$1203="A")*(Log!$F$4:$F$1203&lt;&gt;"")*(Log!$G$4:$G$1203&lt;&gt;"")*Log!$F$4:$F$1203*(1+Log!$G$4:$G$1203/30)))))</f>
        <v>364</v>
      </c>
      <c r="G54" s="80" t="n">
        <f aca="false">IF($A54="","",IF(SUMPRODUCT(MAX((Log!$D$4:$D$1203=$A54)*(Log!$B$4:$B$1203=G$53)*(Log!$E$4:$E$1203="A")*(Log!$F$4:$F$1203&lt;&gt;"")*(Log!$G$4:$G$1203&lt;&gt;"")*Log!$F$4:$F$1203*(1+Log!$G$4:$G$1203/30)))=0,"",SUMPRODUCT(MAX((Log!$D$4:$D$1203=$A54)*(Log!$B$4:$B$1203=G$53)*(Log!$E$4:$E$1203="A")*(Log!$F$4:$F$1203&lt;&gt;"")*(Log!$G$4:$G$1203&lt;&gt;"")*Log!$F$4:$F$1203*(1+Log!$G$4:$G$1203/30)))))</f>
        <v>382.2</v>
      </c>
      <c r="H54" s="80" t="str">
        <f aca="false">IF($A54="","",IF(SUMPRODUCT(MAX((Log!$D$4:$D$1203=$A54)*(Log!$B$4:$B$1203=H$53)*(Log!$E$4:$E$1203="A")*(Log!$F$4:$F$1203&lt;&gt;"")*(Log!$G$4:$G$1203&lt;&gt;"")*Log!$F$4:$F$1203*(1+Log!$G$4:$G$1203/30)))=0,"",SUMPRODUCT(MAX((Log!$D$4:$D$1203=$A54)*(Log!$B$4:$B$1203=H$53)*(Log!$E$4:$E$1203="A")*(Log!$F$4:$F$1203&lt;&gt;"")*(Log!$G$4:$G$1203&lt;&gt;"")*Log!$F$4:$F$1203*(1+Log!$G$4:$G$1203/30)))))</f>
        <v/>
      </c>
      <c r="I54" s="80" t="n">
        <f aca="false">IF($A54="","",IF(SUMPRODUCT(MAX((Log!$D$4:$D$1203=$A54)*(Log!$B$4:$B$1203=I$53)*(Log!$E$4:$E$1203="A")*(Log!$F$4:$F$1203&lt;&gt;"")*(Log!$G$4:$G$1203&lt;&gt;"")*Log!$F$4:$F$1203*(1+Log!$G$4:$G$1203/30)))=0,"",SUMPRODUCT(MAX((Log!$D$4:$D$1203=$A54)*(Log!$B$4:$B$1203=I$53)*(Log!$E$4:$E$1203="A")*(Log!$F$4:$F$1203&lt;&gt;"")*(Log!$G$4:$G$1203&lt;&gt;"")*Log!$F$4:$F$1203*(1+Log!$G$4:$G$1203/30)))))</f>
        <v>421.8</v>
      </c>
      <c r="J54" s="80" t="str">
        <f aca="false">IF($A54="","",IF(SUMPRODUCT(MAX((Log!$D$4:$D$1203=$A54)*(Log!$B$4:$B$1203=J$53)*(Log!$E$4:$E$1203="A")*(Log!$F$4:$F$1203&lt;&gt;"")*(Log!$G$4:$G$1203&lt;&gt;"")*Log!$F$4:$F$1203*(1+Log!$G$4:$G$1203/30)))=0,"",SUMPRODUCT(MAX((Log!$D$4:$D$1203=$A54)*(Log!$B$4:$B$1203=J$53)*(Log!$E$4:$E$1203="A")*(Log!$F$4:$F$1203&lt;&gt;"")*(Log!$G$4:$G$1203&lt;&gt;"")*Log!$F$4:$F$1203*(1+Log!$G$4:$G$1203/30)))))</f>
        <v/>
      </c>
      <c r="K54" s="80" t="n">
        <f aca="false">IF($A54="","",IF(SUMPRODUCT(MAX((Log!$D$4:$D$1203=$A54)*(Log!$B$4:$B$1203=K$53)*(Log!$E$4:$E$1203="A")*(Log!$F$4:$F$1203&lt;&gt;"")*(Log!$G$4:$G$1203&lt;&gt;"")*Log!$F$4:$F$1203*(1+Log!$G$4:$G$1203/30)))=0,"",SUMPRODUCT(MAX((Log!$D$4:$D$1203=$A54)*(Log!$B$4:$B$1203=K$53)*(Log!$E$4:$E$1203="A")*(Log!$F$4:$F$1203&lt;&gt;"")*(Log!$G$4:$G$1203&lt;&gt;"")*Log!$F$4:$F$1203*(1+Log!$G$4:$G$1203/30)))))</f>
        <v>440</v>
      </c>
      <c r="L54" s="80" t="str">
        <f aca="false">IF($A54="","",IF(SUMPRODUCT(MAX((Log!$D$4:$D$1203=$A54)*(Log!$B$4:$B$1203=L$53)*(Log!$E$4:$E$1203="A")*(Log!$F$4:$F$1203&lt;&gt;"")*(Log!$G$4:$G$1203&lt;&gt;"")*Log!$F$4:$F$1203*(1+Log!$G$4:$G$1203/30)))=0,"",SUMPRODUCT(MAX((Log!$D$4:$D$1203=$A54)*(Log!$B$4:$B$1203=L$53)*(Log!$E$4:$E$1203="A")*(Log!$F$4:$F$1203&lt;&gt;"")*(Log!$G$4:$G$1203&lt;&gt;"")*Log!$F$4:$F$1203*(1+Log!$G$4:$G$1203/30)))))</f>
        <v/>
      </c>
      <c r="M54" s="80" t="n">
        <f aca="false">IF($A54="","",IF(SUMPRODUCT(MAX((Log!$D$4:$D$1203=$A54)*(Log!$B$4:$B$1203=M$53)*(Log!$E$4:$E$1203="A")*(Log!$F$4:$F$1203&lt;&gt;"")*(Log!$G$4:$G$1203&lt;&gt;"")*Log!$F$4:$F$1203*(1+Log!$G$4:$G$1203/30)))=0,"",SUMPRODUCT(MAX((Log!$D$4:$D$1203=$A54)*(Log!$B$4:$B$1203=M$53)*(Log!$E$4:$E$1203="A")*(Log!$F$4:$F$1203&lt;&gt;"")*(Log!$G$4:$G$1203&lt;&gt;"")*Log!$F$4:$F$1203*(1+Log!$G$4:$G$1203/30)))))</f>
        <v>316.666666666667</v>
      </c>
      <c r="N54" s="80" t="str">
        <f aca="false">IF($A54="","",IF(SUMPRODUCT(MAX((Log!$D$4:$D$1203=$A54)*(Log!$B$4:$B$1203=N$53)*(Log!$E$4:$E$1203="A")*(Log!$F$4:$F$1203&lt;&gt;"")*(Log!$G$4:$G$1203&lt;&gt;"")*Log!$F$4:$F$1203*(1+Log!$G$4:$G$1203/30)))=0,"",SUMPRODUCT(MAX((Log!$D$4:$D$1203=$A54)*(Log!$B$4:$B$1203=N$53)*(Log!$E$4:$E$1203="A")*(Log!$F$4:$F$1203&lt;&gt;"")*(Log!$G$4:$G$1203&lt;&gt;"")*Log!$F$4:$F$1203*(1+Log!$G$4:$G$1203/30)))))</f>
        <v/>
      </c>
      <c r="O54" s="80" t="str">
        <f aca="false">IF($A54="","",IF(SUMPRODUCT(MAX((Log!$D$4:$D$1203=$A54)*(Log!$B$4:$B$1203=O$53)*(Log!$E$4:$E$1203="A")*(Log!$F$4:$F$1203&lt;&gt;"")*(Log!$G$4:$G$1203&lt;&gt;"")*Log!$F$4:$F$1203*(1+Log!$G$4:$G$1203/30)))=0,"",SUMPRODUCT(MAX((Log!$D$4:$D$1203=$A54)*(Log!$B$4:$B$1203=O$53)*(Log!$E$4:$E$1203="A")*(Log!$F$4:$F$1203&lt;&gt;"")*(Log!$G$4:$G$1203&lt;&gt;"")*Log!$F$4:$F$1203*(1+Log!$G$4:$G$1203/30)))))</f>
        <v/>
      </c>
      <c r="P54" s="80" t="str">
        <f aca="false">IF($A54="","",IF(SUMPRODUCT(MAX((Log!$D$4:$D$1203=$A54)*(Log!$B$4:$B$1203=P$53)*(Log!$E$4:$E$1203="A")*(Log!$F$4:$F$1203&lt;&gt;"")*(Log!$G$4:$G$1203&lt;&gt;"")*Log!$F$4:$F$1203*(1+Log!$G$4:$G$1203/30)))=0,"",SUMPRODUCT(MAX((Log!$D$4:$D$1203=$A54)*(Log!$B$4:$B$1203=P$53)*(Log!$E$4:$E$1203="A")*(Log!$F$4:$F$1203&lt;&gt;"")*(Log!$G$4:$G$1203&lt;&gt;"")*Log!$F$4:$F$1203*(1+Log!$G$4:$G$1203/30)))))</f>
        <v/>
      </c>
      <c r="Q54" s="80" t="n">
        <f aca="false">IF($A54="","",IF(SUMPRODUCT(MAX((Log!$D$4:$D$1203=$A54)*(Log!$B$4:$B$1203=Q$53)*(Log!$E$4:$E$1203="A")*(Log!$F$4:$F$1203&lt;&gt;"")*(Log!$G$4:$G$1203&lt;&gt;"")*Log!$F$4:$F$1203*(1+Log!$G$4:$G$1203/30)))=0,"",SUMPRODUCT(MAX((Log!$D$4:$D$1203=$A54)*(Log!$B$4:$B$1203=Q$53)*(Log!$E$4:$E$1203="A")*(Log!$F$4:$F$1203&lt;&gt;"")*(Log!$G$4:$G$1203&lt;&gt;"")*Log!$F$4:$F$1203*(1+Log!$G$4:$G$1203/30)))))</f>
        <v>350</v>
      </c>
      <c r="R54" s="81"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2" t="n">
        <f aca="false">IF($A55="","",IF(SUMPRODUCT(MAX((Log!$D$4:$D$1203=$A55)*(Log!$B$4:$B$1203=B$53)*(Log!$E$4:$E$1203="A")*(Log!$F$4:$F$1203&lt;&gt;"")*(Log!$G$4:$G$1203&lt;&gt;"")*Log!$F$4:$F$1203*(1+Log!$G$4:$G$1203/30)))=0,"",SUMPRODUCT(MAX((Log!$D$4:$D$1203=$A55)*(Log!$B$4:$B$1203=B$53)*(Log!$E$4:$E$1203="A")*(Log!$F$4:$F$1203&lt;&gt;"")*(Log!$G$4:$G$1203&lt;&gt;"")*Log!$F$4:$F$1203*(1+Log!$G$4:$G$1203/30)))))</f>
        <v>116.666666666667</v>
      </c>
      <c r="C55" s="82" t="n">
        <f aca="false">IF($A55="","",IF(SUMPRODUCT(MAX((Log!$D$4:$D$1203=$A55)*(Log!$B$4:$B$1203=C$53)*(Log!$E$4:$E$1203="A")*(Log!$F$4:$F$1203&lt;&gt;"")*(Log!$G$4:$G$1203&lt;&gt;"")*Log!$F$4:$F$1203*(1+Log!$G$4:$G$1203/30)))=0,"",SUMPRODUCT(MAX((Log!$D$4:$D$1203=$A55)*(Log!$B$4:$B$1203=C$53)*(Log!$E$4:$E$1203="A")*(Log!$F$4:$F$1203&lt;&gt;"")*(Log!$G$4:$G$1203&lt;&gt;"")*Log!$F$4:$F$1203*(1+Log!$G$4:$G$1203/30)))))</f>
        <v>119</v>
      </c>
      <c r="D55" s="82" t="n">
        <f aca="false">IF($A55="","",IF(SUMPRODUCT(MAX((Log!$D$4:$D$1203=$A55)*(Log!$B$4:$B$1203=D$53)*(Log!$E$4:$E$1203="A")*(Log!$F$4:$F$1203&lt;&gt;"")*(Log!$G$4:$G$1203&lt;&gt;"")*Log!$F$4:$F$1203*(1+Log!$G$4:$G$1203/30)))=0,"",SUMPRODUCT(MAX((Log!$D$4:$D$1203=$A55)*(Log!$B$4:$B$1203=D$53)*(Log!$E$4:$E$1203="A")*(Log!$F$4:$F$1203&lt;&gt;"")*(Log!$G$4:$G$1203&lt;&gt;"")*Log!$F$4:$F$1203*(1+Log!$G$4:$G$1203/30)))))</f>
        <v>123.5</v>
      </c>
      <c r="E55" s="82" t="n">
        <f aca="false">IF($A55="","",IF(SUMPRODUCT(MAX((Log!$D$4:$D$1203=$A55)*(Log!$B$4:$B$1203=E$53)*(Log!$E$4:$E$1203="A")*(Log!$F$4:$F$1203&lt;&gt;"")*(Log!$G$4:$G$1203&lt;&gt;"")*Log!$F$4:$F$1203*(1+Log!$G$4:$G$1203/30)))=0,"",SUMPRODUCT(MAX((Log!$D$4:$D$1203=$A55)*(Log!$B$4:$B$1203=E$53)*(Log!$E$4:$E$1203="A")*(Log!$F$4:$F$1203&lt;&gt;"")*(Log!$G$4:$G$1203&lt;&gt;"")*Log!$F$4:$F$1203*(1+Log!$G$4:$G$1203/30)))))</f>
        <v>101.333333333333</v>
      </c>
      <c r="F55" s="82" t="n">
        <f aca="false">IF($A55="","",IF(SUMPRODUCT(MAX((Log!$D$4:$D$1203=$A55)*(Log!$B$4:$B$1203=F$53)*(Log!$E$4:$E$1203="A")*(Log!$F$4:$F$1203&lt;&gt;"")*(Log!$G$4:$G$1203&lt;&gt;"")*Log!$F$4:$F$1203*(1+Log!$G$4:$G$1203/30)))=0,"",SUMPRODUCT(MAX((Log!$D$4:$D$1203=$A55)*(Log!$B$4:$B$1203=F$53)*(Log!$E$4:$E$1203="A")*(Log!$F$4:$F$1203&lt;&gt;"")*(Log!$G$4:$G$1203&lt;&gt;"")*Log!$F$4:$F$1203*(1+Log!$G$4:$G$1203/30)))))</f>
        <v>126.666666666667</v>
      </c>
      <c r="G55" s="82" t="n">
        <f aca="false">IF($A55="","",IF(SUMPRODUCT(MAX((Log!$D$4:$D$1203=$A55)*(Log!$B$4:$B$1203=G$53)*(Log!$E$4:$E$1203="A")*(Log!$F$4:$F$1203&lt;&gt;"")*(Log!$G$4:$G$1203&lt;&gt;"")*Log!$F$4:$F$1203*(1+Log!$G$4:$G$1203/30)))=0,"",SUMPRODUCT(MAX((Log!$D$4:$D$1203=$A55)*(Log!$B$4:$B$1203=G$53)*(Log!$E$4:$E$1203="A")*(Log!$F$4:$F$1203&lt;&gt;"")*(Log!$G$4:$G$1203&lt;&gt;"")*Log!$F$4:$F$1203*(1+Log!$G$4:$G$1203/30)))))</f>
        <v>133.333333333333</v>
      </c>
      <c r="H55" s="82" t="str">
        <f aca="false">IF($A55="","",IF(SUMPRODUCT(MAX((Log!$D$4:$D$1203=$A55)*(Log!$B$4:$B$1203=H$53)*(Log!$E$4:$E$1203="A")*(Log!$F$4:$F$1203&lt;&gt;"")*(Log!$G$4:$G$1203&lt;&gt;"")*Log!$F$4:$F$1203*(1+Log!$G$4:$G$1203/30)))=0,"",SUMPRODUCT(MAX((Log!$D$4:$D$1203=$A55)*(Log!$B$4:$B$1203=H$53)*(Log!$E$4:$E$1203="A")*(Log!$F$4:$F$1203&lt;&gt;"")*(Log!$G$4:$G$1203&lt;&gt;"")*Log!$F$4:$F$1203*(1+Log!$G$4:$G$1203/30)))))</f>
        <v/>
      </c>
      <c r="I55" s="82" t="n">
        <f aca="false">IF($A55="","",IF(SUMPRODUCT(MAX((Log!$D$4:$D$1203=$A55)*(Log!$B$4:$B$1203=I$53)*(Log!$E$4:$E$1203="A")*(Log!$F$4:$F$1203&lt;&gt;"")*(Log!$G$4:$G$1203&lt;&gt;"")*Log!$F$4:$F$1203*(1+Log!$G$4:$G$1203/30)))=0,"",SUMPRODUCT(MAX((Log!$D$4:$D$1203=$A55)*(Log!$B$4:$B$1203=I$53)*(Log!$E$4:$E$1203="A")*(Log!$F$4:$F$1203&lt;&gt;"")*(Log!$G$4:$G$1203&lt;&gt;"")*Log!$F$4:$F$1203*(1+Log!$G$4:$G$1203/30)))))</f>
        <v>138</v>
      </c>
      <c r="J55" s="82" t="str">
        <f aca="false">IF($A55="","",IF(SUMPRODUCT(MAX((Log!$D$4:$D$1203=$A55)*(Log!$B$4:$B$1203=J$53)*(Log!$E$4:$E$1203="A")*(Log!$F$4:$F$1203&lt;&gt;"")*(Log!$G$4:$G$1203&lt;&gt;"")*Log!$F$4:$F$1203*(1+Log!$G$4:$G$1203/30)))=0,"",SUMPRODUCT(MAX((Log!$D$4:$D$1203=$A55)*(Log!$B$4:$B$1203=J$53)*(Log!$E$4:$E$1203="A")*(Log!$F$4:$F$1203&lt;&gt;"")*(Log!$G$4:$G$1203&lt;&gt;"")*Log!$F$4:$F$1203*(1+Log!$G$4:$G$1203/30)))))</f>
        <v/>
      </c>
      <c r="K55" s="82" t="n">
        <f aca="false">IF($A55="","",IF(SUMPRODUCT(MAX((Log!$D$4:$D$1203=$A55)*(Log!$B$4:$B$1203=K$53)*(Log!$E$4:$E$1203="A")*(Log!$F$4:$F$1203&lt;&gt;"")*(Log!$G$4:$G$1203&lt;&gt;"")*Log!$F$4:$F$1203*(1+Log!$G$4:$G$1203/30)))=0,"",SUMPRODUCT(MAX((Log!$D$4:$D$1203=$A55)*(Log!$B$4:$B$1203=K$53)*(Log!$E$4:$E$1203="A")*(Log!$F$4:$F$1203&lt;&gt;"")*(Log!$G$4:$G$1203&lt;&gt;"")*Log!$F$4:$F$1203*(1+Log!$G$4:$G$1203/30)))))</f>
        <v>134.166666666667</v>
      </c>
      <c r="L55" s="82" t="str">
        <f aca="false">IF($A55="","",IF(SUMPRODUCT(MAX((Log!$D$4:$D$1203=$A55)*(Log!$B$4:$B$1203=L$53)*(Log!$E$4:$E$1203="A")*(Log!$F$4:$F$1203&lt;&gt;"")*(Log!$G$4:$G$1203&lt;&gt;"")*Log!$F$4:$F$1203*(1+Log!$G$4:$G$1203/30)))=0,"",SUMPRODUCT(MAX((Log!$D$4:$D$1203=$A55)*(Log!$B$4:$B$1203=L$53)*(Log!$E$4:$E$1203="A")*(Log!$F$4:$F$1203&lt;&gt;"")*(Log!$G$4:$G$1203&lt;&gt;"")*Log!$F$4:$F$1203*(1+Log!$G$4:$G$1203/30)))))</f>
        <v/>
      </c>
      <c r="M55" s="82" t="n">
        <f aca="false">IF($A55="","",IF(SUMPRODUCT(MAX((Log!$D$4:$D$1203=$A55)*(Log!$B$4:$B$1203=M$53)*(Log!$E$4:$E$1203="A")*(Log!$F$4:$F$1203&lt;&gt;"")*(Log!$G$4:$G$1203&lt;&gt;"")*Log!$F$4:$F$1203*(1+Log!$G$4:$G$1203/30)))=0,"",SUMPRODUCT(MAX((Log!$D$4:$D$1203=$A55)*(Log!$B$4:$B$1203=M$53)*(Log!$E$4:$E$1203="A")*(Log!$F$4:$F$1203&lt;&gt;"")*(Log!$G$4:$G$1203&lt;&gt;"")*Log!$F$4:$F$1203*(1+Log!$G$4:$G$1203/30)))))</f>
        <v>96</v>
      </c>
      <c r="N55" s="82" t="str">
        <f aca="false">IF($A55="","",IF(SUMPRODUCT(MAX((Log!$D$4:$D$1203=$A55)*(Log!$B$4:$B$1203=N$53)*(Log!$E$4:$E$1203="A")*(Log!$F$4:$F$1203&lt;&gt;"")*(Log!$G$4:$G$1203&lt;&gt;"")*Log!$F$4:$F$1203*(1+Log!$G$4:$G$1203/30)))=0,"",SUMPRODUCT(MAX((Log!$D$4:$D$1203=$A55)*(Log!$B$4:$B$1203=N$53)*(Log!$E$4:$E$1203="A")*(Log!$F$4:$F$1203&lt;&gt;"")*(Log!$G$4:$G$1203&lt;&gt;"")*Log!$F$4:$F$1203*(1+Log!$G$4:$G$1203/30)))))</f>
        <v/>
      </c>
      <c r="O55" s="82" t="str">
        <f aca="false">IF($A55="","",IF(SUMPRODUCT(MAX((Log!$D$4:$D$1203=$A55)*(Log!$B$4:$B$1203=O$53)*(Log!$E$4:$E$1203="A")*(Log!$F$4:$F$1203&lt;&gt;"")*(Log!$G$4:$G$1203&lt;&gt;"")*Log!$F$4:$F$1203*(1+Log!$G$4:$G$1203/30)))=0,"",SUMPRODUCT(MAX((Log!$D$4:$D$1203=$A55)*(Log!$B$4:$B$1203=O$53)*(Log!$E$4:$E$1203="A")*(Log!$F$4:$F$1203&lt;&gt;"")*(Log!$G$4:$G$1203&lt;&gt;"")*Log!$F$4:$F$1203*(1+Log!$G$4:$G$1203/30)))))</f>
        <v/>
      </c>
      <c r="P55" s="82" t="str">
        <f aca="false">IF($A55="","",IF(SUMPRODUCT(MAX((Log!$D$4:$D$1203=$A55)*(Log!$B$4:$B$1203=P$53)*(Log!$E$4:$E$1203="A")*(Log!$F$4:$F$1203&lt;&gt;"")*(Log!$G$4:$G$1203&lt;&gt;"")*Log!$F$4:$F$1203*(1+Log!$G$4:$G$1203/30)))=0,"",SUMPRODUCT(MAX((Log!$D$4:$D$1203=$A55)*(Log!$B$4:$B$1203=P$53)*(Log!$E$4:$E$1203="A")*(Log!$F$4:$F$1203&lt;&gt;"")*(Log!$G$4:$G$1203&lt;&gt;"")*Log!$F$4:$F$1203*(1+Log!$G$4:$G$1203/30)))))</f>
        <v/>
      </c>
      <c r="Q55" s="82" t="n">
        <f aca="false">IF($A55="","",IF(SUMPRODUCT(MAX((Log!$D$4:$D$1203=$A55)*(Log!$B$4:$B$1203=Q$53)*(Log!$E$4:$E$1203="A")*(Log!$F$4:$F$1203&lt;&gt;"")*(Log!$G$4:$G$1203&lt;&gt;"")*Log!$F$4:$F$1203*(1+Log!$G$4:$G$1203/30)))=0,"",SUMPRODUCT(MAX((Log!$D$4:$D$1203=$A55)*(Log!$B$4:$B$1203=Q$53)*(Log!$E$4:$E$1203="A")*(Log!$F$4:$F$1203&lt;&gt;"")*(Log!$G$4:$G$1203&lt;&gt;"")*Log!$F$4:$F$1203*(1+Log!$G$4:$G$1203/30)))))</f>
        <v>120.333333333333</v>
      </c>
      <c r="R55" s="81"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34" t="str">
        <f aca="false">IF(Übungen!$A6="","",Übungen!$A6)</f>
        <v>Beinstrecker</v>
      </c>
      <c r="B56" s="80" t="n">
        <f aca="false">IF($A56="","",IF(SUMPRODUCT(MAX((Log!$D$4:$D$1203=$A56)*(Log!$B$4:$B$1203=B$53)*(Log!$E$4:$E$1203="A")*(Log!$F$4:$F$1203&lt;&gt;"")*(Log!$G$4:$G$1203&lt;&gt;"")*Log!$F$4:$F$1203*(1+Log!$G$4:$G$1203/30)))=0,"",SUMPRODUCT(MAX((Log!$D$4:$D$1203=$A56)*(Log!$B$4:$B$1203=B$53)*(Log!$E$4:$E$1203="A")*(Log!$F$4:$F$1203&lt;&gt;"")*(Log!$G$4:$G$1203&lt;&gt;"")*Log!$F$4:$F$1203*(1+Log!$G$4:$G$1203/30)))))</f>
        <v>100</v>
      </c>
      <c r="C56" s="80" t="n">
        <f aca="false">IF($A56="","",IF(SUMPRODUCT(MAX((Log!$D$4:$D$1203=$A56)*(Log!$B$4:$B$1203=C$53)*(Log!$E$4:$E$1203="A")*(Log!$F$4:$F$1203&lt;&gt;"")*(Log!$G$4:$G$1203&lt;&gt;"")*Log!$F$4:$F$1203*(1+Log!$G$4:$G$1203/30)))=0,"",SUMPRODUCT(MAX((Log!$D$4:$D$1203=$A56)*(Log!$B$4:$B$1203=C$53)*(Log!$E$4:$E$1203="A")*(Log!$F$4:$F$1203&lt;&gt;"")*(Log!$G$4:$G$1203&lt;&gt;"")*Log!$F$4:$F$1203*(1+Log!$G$4:$G$1203/30)))))</f>
        <v>104</v>
      </c>
      <c r="D56" s="80" t="n">
        <f aca="false">IF($A56="","",IF(SUMPRODUCT(MAX((Log!$D$4:$D$1203=$A56)*(Log!$B$4:$B$1203=D$53)*(Log!$E$4:$E$1203="A")*(Log!$F$4:$F$1203&lt;&gt;"")*(Log!$G$4:$G$1203&lt;&gt;"")*Log!$F$4:$F$1203*(1+Log!$G$4:$G$1203/30)))=0,"",SUMPRODUCT(MAX((Log!$D$4:$D$1203=$A56)*(Log!$B$4:$B$1203=D$53)*(Log!$E$4:$E$1203="A")*(Log!$F$4:$F$1203&lt;&gt;"")*(Log!$G$4:$G$1203&lt;&gt;"")*Log!$F$4:$F$1203*(1+Log!$G$4:$G$1203/30)))))</f>
        <v>107.666666666667</v>
      </c>
      <c r="E56" s="80" t="n">
        <f aca="false">IF($A56="","",IF(SUMPRODUCT(MAX((Log!$D$4:$D$1203=$A56)*(Log!$B$4:$B$1203=E$53)*(Log!$E$4:$E$1203="A")*(Log!$F$4:$F$1203&lt;&gt;"")*(Log!$G$4:$G$1203&lt;&gt;"")*Log!$F$4:$F$1203*(1+Log!$G$4:$G$1203/30)))=0,"",SUMPRODUCT(MAX((Log!$D$4:$D$1203=$A56)*(Log!$B$4:$B$1203=E$53)*(Log!$E$4:$E$1203="A")*(Log!$F$4:$F$1203&lt;&gt;"")*(Log!$G$4:$G$1203&lt;&gt;"")*Log!$F$4:$F$1203*(1+Log!$G$4:$G$1203/30)))))</f>
        <v>112</v>
      </c>
      <c r="F56" s="80" t="n">
        <f aca="false">IF($A56="","",IF(SUMPRODUCT(MAX((Log!$D$4:$D$1203=$A56)*(Log!$B$4:$B$1203=F$53)*(Log!$E$4:$E$1203="A")*(Log!$F$4:$F$1203&lt;&gt;"")*(Log!$G$4:$G$1203&lt;&gt;"")*Log!$F$4:$F$1203*(1+Log!$G$4:$G$1203/30)))=0,"",SUMPRODUCT(MAX((Log!$D$4:$D$1203=$A56)*(Log!$B$4:$B$1203=F$53)*(Log!$E$4:$E$1203="A")*(Log!$F$4:$F$1203&lt;&gt;"")*(Log!$G$4:$G$1203&lt;&gt;"")*Log!$F$4:$F$1203*(1+Log!$G$4:$G$1203/30)))))</f>
        <v>106.666666666667</v>
      </c>
      <c r="G56" s="80" t="n">
        <f aca="false">IF($A56="","",IF(SUMPRODUCT(MAX((Log!$D$4:$D$1203=$A56)*(Log!$B$4:$B$1203=G$53)*(Log!$E$4:$E$1203="A")*(Log!$F$4:$F$1203&lt;&gt;"")*(Log!$G$4:$G$1203&lt;&gt;"")*Log!$F$4:$F$1203*(1+Log!$G$4:$G$1203/30)))=0,"",SUMPRODUCT(MAX((Log!$D$4:$D$1203=$A56)*(Log!$B$4:$B$1203=G$53)*(Log!$E$4:$E$1203="A")*(Log!$F$4:$F$1203&lt;&gt;"")*(Log!$G$4:$G$1203&lt;&gt;"")*Log!$F$4:$F$1203*(1+Log!$G$4:$G$1203/30)))))</f>
        <v>114</v>
      </c>
      <c r="H56" s="80" t="str">
        <f aca="false">IF($A56="","",IF(SUMPRODUCT(MAX((Log!$D$4:$D$1203=$A56)*(Log!$B$4:$B$1203=H$53)*(Log!$E$4:$E$1203="A")*(Log!$F$4:$F$1203&lt;&gt;"")*(Log!$G$4:$G$1203&lt;&gt;"")*Log!$F$4:$F$1203*(1+Log!$G$4:$G$1203/30)))=0,"",SUMPRODUCT(MAX((Log!$D$4:$D$1203=$A56)*(Log!$B$4:$B$1203=H$53)*(Log!$E$4:$E$1203="A")*(Log!$F$4:$F$1203&lt;&gt;"")*(Log!$G$4:$G$1203&lt;&gt;"")*Log!$F$4:$F$1203*(1+Log!$G$4:$G$1203/30)))))</f>
        <v/>
      </c>
      <c r="I56" s="80" t="n">
        <f aca="false">IF($A56="","",IF(SUMPRODUCT(MAX((Log!$D$4:$D$1203=$A56)*(Log!$B$4:$B$1203=I$53)*(Log!$E$4:$E$1203="A")*(Log!$F$4:$F$1203&lt;&gt;"")*(Log!$G$4:$G$1203&lt;&gt;"")*Log!$F$4:$F$1203*(1+Log!$G$4:$G$1203/30)))=0,"",SUMPRODUCT(MAX((Log!$D$4:$D$1203=$A56)*(Log!$B$4:$B$1203=I$53)*(Log!$E$4:$E$1203="A")*(Log!$F$4:$F$1203&lt;&gt;"")*(Log!$G$4:$G$1203&lt;&gt;"")*Log!$F$4:$F$1203*(1+Log!$G$4:$G$1203/30)))))</f>
        <v>101.333333333333</v>
      </c>
      <c r="J56" s="80" t="str">
        <f aca="false">IF($A56="","",IF(SUMPRODUCT(MAX((Log!$D$4:$D$1203=$A56)*(Log!$B$4:$B$1203=J$53)*(Log!$E$4:$E$1203="A")*(Log!$F$4:$F$1203&lt;&gt;"")*(Log!$G$4:$G$1203&lt;&gt;"")*Log!$F$4:$F$1203*(1+Log!$G$4:$G$1203/30)))=0,"",SUMPRODUCT(MAX((Log!$D$4:$D$1203=$A56)*(Log!$B$4:$B$1203=J$53)*(Log!$E$4:$E$1203="A")*(Log!$F$4:$F$1203&lt;&gt;"")*(Log!$G$4:$G$1203&lt;&gt;"")*Log!$F$4:$F$1203*(1+Log!$G$4:$G$1203/30)))))</f>
        <v/>
      </c>
      <c r="K56" s="80" t="n">
        <f aca="false">IF($A56="","",IF(SUMPRODUCT(MAX((Log!$D$4:$D$1203=$A56)*(Log!$B$4:$B$1203=K$53)*(Log!$E$4:$E$1203="A")*(Log!$F$4:$F$1203&lt;&gt;"")*(Log!$G$4:$G$1203&lt;&gt;"")*Log!$F$4:$F$1203*(1+Log!$G$4:$G$1203/30)))=0,"",SUMPRODUCT(MAX((Log!$D$4:$D$1203=$A56)*(Log!$B$4:$B$1203=K$53)*(Log!$E$4:$E$1203="A")*(Log!$F$4:$F$1203&lt;&gt;"")*(Log!$G$4:$G$1203&lt;&gt;"")*Log!$F$4:$F$1203*(1+Log!$G$4:$G$1203/30)))))</f>
        <v>109.333333333333</v>
      </c>
      <c r="L56" s="80" t="str">
        <f aca="false">IF($A56="","",IF(SUMPRODUCT(MAX((Log!$D$4:$D$1203=$A56)*(Log!$B$4:$B$1203=L$53)*(Log!$E$4:$E$1203="A")*(Log!$F$4:$F$1203&lt;&gt;"")*(Log!$G$4:$G$1203&lt;&gt;"")*Log!$F$4:$F$1203*(1+Log!$G$4:$G$1203/30)))=0,"",SUMPRODUCT(MAX((Log!$D$4:$D$1203=$A56)*(Log!$B$4:$B$1203=L$53)*(Log!$E$4:$E$1203="A")*(Log!$F$4:$F$1203&lt;&gt;"")*(Log!$G$4:$G$1203&lt;&gt;"")*Log!$F$4:$F$1203*(1+Log!$G$4:$G$1203/30)))))</f>
        <v/>
      </c>
      <c r="M56" s="80" t="n">
        <f aca="false">IF($A56="","",IF(SUMPRODUCT(MAX((Log!$D$4:$D$1203=$A56)*(Log!$B$4:$B$1203=M$53)*(Log!$E$4:$E$1203="A")*(Log!$F$4:$F$1203&lt;&gt;"")*(Log!$G$4:$G$1203&lt;&gt;"")*Log!$F$4:$F$1203*(1+Log!$G$4:$G$1203/30)))=0,"",SUMPRODUCT(MAX((Log!$D$4:$D$1203=$A56)*(Log!$B$4:$B$1203=M$53)*(Log!$E$4:$E$1203="A")*(Log!$F$4:$F$1203&lt;&gt;"")*(Log!$G$4:$G$1203&lt;&gt;"")*Log!$F$4:$F$1203*(1+Log!$G$4:$G$1203/30)))))</f>
        <v>98.1666666666667</v>
      </c>
      <c r="N56" s="80" t="str">
        <f aca="false">IF($A56="","",IF(SUMPRODUCT(MAX((Log!$D$4:$D$1203=$A56)*(Log!$B$4:$B$1203=N$53)*(Log!$E$4:$E$1203="A")*(Log!$F$4:$F$1203&lt;&gt;"")*(Log!$G$4:$G$1203&lt;&gt;"")*Log!$F$4:$F$1203*(1+Log!$G$4:$G$1203/30)))=0,"",SUMPRODUCT(MAX((Log!$D$4:$D$1203=$A56)*(Log!$B$4:$B$1203=N$53)*(Log!$E$4:$E$1203="A")*(Log!$F$4:$F$1203&lt;&gt;"")*(Log!$G$4:$G$1203&lt;&gt;"")*Log!$F$4:$F$1203*(1+Log!$G$4:$G$1203/30)))))</f>
        <v/>
      </c>
      <c r="O56" s="80" t="str">
        <f aca="false">IF($A56="","",IF(SUMPRODUCT(MAX((Log!$D$4:$D$1203=$A56)*(Log!$B$4:$B$1203=O$53)*(Log!$E$4:$E$1203="A")*(Log!$F$4:$F$1203&lt;&gt;"")*(Log!$G$4:$G$1203&lt;&gt;"")*Log!$F$4:$F$1203*(1+Log!$G$4:$G$1203/30)))=0,"",SUMPRODUCT(MAX((Log!$D$4:$D$1203=$A56)*(Log!$B$4:$B$1203=O$53)*(Log!$E$4:$E$1203="A")*(Log!$F$4:$F$1203&lt;&gt;"")*(Log!$G$4:$G$1203&lt;&gt;"")*Log!$F$4:$F$1203*(1+Log!$G$4:$G$1203/30)))))</f>
        <v/>
      </c>
      <c r="P56" s="80" t="str">
        <f aca="false">IF($A56="","",IF(SUMPRODUCT(MAX((Log!$D$4:$D$1203=$A56)*(Log!$B$4:$B$1203=P$53)*(Log!$E$4:$E$1203="A")*(Log!$F$4:$F$1203&lt;&gt;"")*(Log!$G$4:$G$1203&lt;&gt;"")*Log!$F$4:$F$1203*(1+Log!$G$4:$G$1203/30)))=0,"",SUMPRODUCT(MAX((Log!$D$4:$D$1203=$A56)*(Log!$B$4:$B$1203=P$53)*(Log!$E$4:$E$1203="A")*(Log!$F$4:$F$1203&lt;&gt;"")*(Log!$G$4:$G$1203&lt;&gt;"")*Log!$F$4:$F$1203*(1+Log!$G$4:$G$1203/30)))))</f>
        <v/>
      </c>
      <c r="Q56" s="80" t="n">
        <f aca="false">IF($A56="","",IF(SUMPRODUCT(MAX((Log!$D$4:$D$1203=$A56)*(Log!$B$4:$B$1203=Q$53)*(Log!$E$4:$E$1203="A")*(Log!$F$4:$F$1203&lt;&gt;"")*(Log!$G$4:$G$1203&lt;&gt;"")*Log!$F$4:$F$1203*(1+Log!$G$4:$G$1203/30)))=0,"",SUMPRODUCT(MAX((Log!$D$4:$D$1203=$A56)*(Log!$B$4:$B$1203=Q$53)*(Log!$E$4:$E$1203="A")*(Log!$F$4:$F$1203&lt;&gt;"")*(Log!$G$4:$G$1203&lt;&gt;"")*Log!$F$4:$F$1203*(1+Log!$G$4:$G$1203/30)))))</f>
        <v>96</v>
      </c>
      <c r="R56" s="81"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2" t="n">
        <f aca="false">IF($A57="","",IF(SUMPRODUCT(MAX((Log!$D$4:$D$1203=$A57)*(Log!$B$4:$B$1203=B$53)*(Log!$E$4:$E$1203="A")*(Log!$F$4:$F$1203&lt;&gt;"")*(Log!$G$4:$G$1203&lt;&gt;"")*Log!$F$4:$F$1203*(1+Log!$G$4:$G$1203/30)))=0,"",SUMPRODUCT(MAX((Log!$D$4:$D$1203=$A57)*(Log!$B$4:$B$1203=B$53)*(Log!$E$4:$E$1203="A")*(Log!$F$4:$F$1203&lt;&gt;"")*(Log!$G$4:$G$1203&lt;&gt;"")*Log!$F$4:$F$1203*(1+Log!$G$4:$G$1203/30)))))</f>
        <v>238.916666666667</v>
      </c>
      <c r="C57" s="82" t="n">
        <f aca="false">IF($A57="","",IF(SUMPRODUCT(MAX((Log!$D$4:$D$1203=$A57)*(Log!$B$4:$B$1203=C$53)*(Log!$E$4:$E$1203="A")*(Log!$F$4:$F$1203&lt;&gt;"")*(Log!$G$4:$G$1203&lt;&gt;"")*Log!$F$4:$F$1203*(1+Log!$G$4:$G$1203/30)))=0,"",SUMPRODUCT(MAX((Log!$D$4:$D$1203=$A57)*(Log!$B$4:$B$1203=C$53)*(Log!$E$4:$E$1203="A")*(Log!$F$4:$F$1203&lt;&gt;"")*(Log!$G$4:$G$1203&lt;&gt;"")*Log!$F$4:$F$1203*(1+Log!$G$4:$G$1203/30)))))</f>
        <v>254.166666666667</v>
      </c>
      <c r="D57" s="82" t="n">
        <f aca="false">IF($A57="","",IF(SUMPRODUCT(MAX((Log!$D$4:$D$1203=$A57)*(Log!$B$4:$B$1203=D$53)*(Log!$E$4:$E$1203="A")*(Log!$F$4:$F$1203&lt;&gt;"")*(Log!$G$4:$G$1203&lt;&gt;"")*Log!$F$4:$F$1203*(1+Log!$G$4:$G$1203/30)))=0,"",SUMPRODUCT(MAX((Log!$D$4:$D$1203=$A57)*(Log!$B$4:$B$1203=D$53)*(Log!$E$4:$E$1203="A")*(Log!$F$4:$F$1203&lt;&gt;"")*(Log!$G$4:$G$1203&lt;&gt;"")*Log!$F$4:$F$1203*(1+Log!$G$4:$G$1203/30)))))</f>
        <v>264.333333333333</v>
      </c>
      <c r="E57" s="82" t="n">
        <f aca="false">IF($A57="","",IF(SUMPRODUCT(MAX((Log!$D$4:$D$1203=$A57)*(Log!$B$4:$B$1203=E$53)*(Log!$E$4:$E$1203="A")*(Log!$F$4:$F$1203&lt;&gt;"")*(Log!$G$4:$G$1203&lt;&gt;"")*Log!$F$4:$F$1203*(1+Log!$G$4:$G$1203/30)))=0,"",SUMPRODUCT(MAX((Log!$D$4:$D$1203=$A57)*(Log!$B$4:$B$1203=E$53)*(Log!$E$4:$E$1203="A")*(Log!$F$4:$F$1203&lt;&gt;"")*(Log!$G$4:$G$1203&lt;&gt;"")*Log!$F$4:$F$1203*(1+Log!$G$4:$G$1203/30)))))</f>
        <v>279.583333333333</v>
      </c>
      <c r="F57" s="82" t="n">
        <f aca="false">IF($A57="","",IF(SUMPRODUCT(MAX((Log!$D$4:$D$1203=$A57)*(Log!$B$4:$B$1203=F$53)*(Log!$E$4:$E$1203="A")*(Log!$F$4:$F$1203&lt;&gt;"")*(Log!$G$4:$G$1203&lt;&gt;"")*Log!$F$4:$F$1203*(1+Log!$G$4:$G$1203/30)))=0,"",SUMPRODUCT(MAX((Log!$D$4:$D$1203=$A57)*(Log!$B$4:$B$1203=F$53)*(Log!$E$4:$E$1203="A")*(Log!$F$4:$F$1203&lt;&gt;"")*(Log!$G$4:$G$1203&lt;&gt;"")*Log!$F$4:$F$1203*(1+Log!$G$4:$G$1203/30)))))</f>
        <v>249.166666666667</v>
      </c>
      <c r="G57" s="82" t="n">
        <f aca="false">IF($A57="","",IF(SUMPRODUCT(MAX((Log!$D$4:$D$1203=$A57)*(Log!$B$4:$B$1203=G$53)*(Log!$E$4:$E$1203="A")*(Log!$F$4:$F$1203&lt;&gt;"")*(Log!$G$4:$G$1203&lt;&gt;"")*Log!$F$4:$F$1203*(1+Log!$G$4:$G$1203/30)))=0,"",SUMPRODUCT(MAX((Log!$D$4:$D$1203=$A57)*(Log!$B$4:$B$1203=G$53)*(Log!$E$4:$E$1203="A")*(Log!$F$4:$F$1203&lt;&gt;"")*(Log!$G$4:$G$1203&lt;&gt;"")*Log!$F$4:$F$1203*(1+Log!$G$4:$G$1203/30)))))</f>
        <v>228</v>
      </c>
      <c r="H57" s="82" t="str">
        <f aca="false">IF($A57="","",IF(SUMPRODUCT(MAX((Log!$D$4:$D$1203=$A57)*(Log!$B$4:$B$1203=H$53)*(Log!$E$4:$E$1203="A")*(Log!$F$4:$F$1203&lt;&gt;"")*(Log!$G$4:$G$1203&lt;&gt;"")*Log!$F$4:$F$1203*(1+Log!$G$4:$G$1203/30)))=0,"",SUMPRODUCT(MAX((Log!$D$4:$D$1203=$A57)*(Log!$B$4:$B$1203=H$53)*(Log!$E$4:$E$1203="A")*(Log!$F$4:$F$1203&lt;&gt;"")*(Log!$G$4:$G$1203&lt;&gt;"")*Log!$F$4:$F$1203*(1+Log!$G$4:$G$1203/30)))))</f>
        <v/>
      </c>
      <c r="I57" s="82" t="n">
        <f aca="false">IF($A57="","",IF(SUMPRODUCT(MAX((Log!$D$4:$D$1203=$A57)*(Log!$B$4:$B$1203=I$53)*(Log!$E$4:$E$1203="A")*(Log!$F$4:$F$1203&lt;&gt;"")*(Log!$G$4:$G$1203&lt;&gt;"")*Log!$F$4:$F$1203*(1+Log!$G$4:$G$1203/30)))=0,"",SUMPRODUCT(MAX((Log!$D$4:$D$1203=$A57)*(Log!$B$4:$B$1203=I$53)*(Log!$E$4:$E$1203="A")*(Log!$F$4:$F$1203&lt;&gt;"")*(Log!$G$4:$G$1203&lt;&gt;"")*Log!$F$4:$F$1203*(1+Log!$G$4:$G$1203/30)))))</f>
        <v>215.833333333333</v>
      </c>
      <c r="J57" s="82" t="str">
        <f aca="false">IF($A57="","",IF(SUMPRODUCT(MAX((Log!$D$4:$D$1203=$A57)*(Log!$B$4:$B$1203=J$53)*(Log!$E$4:$E$1203="A")*(Log!$F$4:$F$1203&lt;&gt;"")*(Log!$G$4:$G$1203&lt;&gt;"")*Log!$F$4:$F$1203*(1+Log!$G$4:$G$1203/30)))=0,"",SUMPRODUCT(MAX((Log!$D$4:$D$1203=$A57)*(Log!$B$4:$B$1203=J$53)*(Log!$E$4:$E$1203="A")*(Log!$F$4:$F$1203&lt;&gt;"")*(Log!$G$4:$G$1203&lt;&gt;"")*Log!$F$4:$F$1203*(1+Log!$G$4:$G$1203/30)))))</f>
        <v/>
      </c>
      <c r="K57" s="82" t="str">
        <f aca="false">IF($A57="","",IF(SUMPRODUCT(MAX((Log!$D$4:$D$1203=$A57)*(Log!$B$4:$B$1203=K$53)*(Log!$E$4:$E$1203="A")*(Log!$F$4:$F$1203&lt;&gt;"")*(Log!$G$4:$G$1203&lt;&gt;"")*Log!$F$4:$F$1203*(1+Log!$G$4:$G$1203/30)))=0,"",SUMPRODUCT(MAX((Log!$D$4:$D$1203=$A57)*(Log!$B$4:$B$1203=K$53)*(Log!$E$4:$E$1203="A")*(Log!$F$4:$F$1203&lt;&gt;"")*(Log!$G$4:$G$1203&lt;&gt;"")*Log!$F$4:$F$1203*(1+Log!$G$4:$G$1203/30)))))</f>
        <v/>
      </c>
      <c r="L57" s="82" t="str">
        <f aca="false">IF($A57="","",IF(SUMPRODUCT(MAX((Log!$D$4:$D$1203=$A57)*(Log!$B$4:$B$1203=L$53)*(Log!$E$4:$E$1203="A")*(Log!$F$4:$F$1203&lt;&gt;"")*(Log!$G$4:$G$1203&lt;&gt;"")*Log!$F$4:$F$1203*(1+Log!$G$4:$G$1203/30)))=0,"",SUMPRODUCT(MAX((Log!$D$4:$D$1203=$A57)*(Log!$B$4:$B$1203=L$53)*(Log!$E$4:$E$1203="A")*(Log!$F$4:$F$1203&lt;&gt;"")*(Log!$G$4:$G$1203&lt;&gt;"")*Log!$F$4:$F$1203*(1+Log!$G$4:$G$1203/30)))))</f>
        <v/>
      </c>
      <c r="M57" s="82" t="str">
        <f aca="false">IF($A57="","",IF(SUMPRODUCT(MAX((Log!$D$4:$D$1203=$A57)*(Log!$B$4:$B$1203=M$53)*(Log!$E$4:$E$1203="A")*(Log!$F$4:$F$1203&lt;&gt;"")*(Log!$G$4:$G$1203&lt;&gt;"")*Log!$F$4:$F$1203*(1+Log!$G$4:$G$1203/30)))=0,"",SUMPRODUCT(MAX((Log!$D$4:$D$1203=$A57)*(Log!$B$4:$B$1203=M$53)*(Log!$E$4:$E$1203="A")*(Log!$F$4:$F$1203&lt;&gt;"")*(Log!$G$4:$G$1203&lt;&gt;"")*Log!$F$4:$F$1203*(1+Log!$G$4:$G$1203/30)))))</f>
        <v/>
      </c>
      <c r="N57" s="82" t="str">
        <f aca="false">IF($A57="","",IF(SUMPRODUCT(MAX((Log!$D$4:$D$1203=$A57)*(Log!$B$4:$B$1203=N$53)*(Log!$E$4:$E$1203="A")*(Log!$F$4:$F$1203&lt;&gt;"")*(Log!$G$4:$G$1203&lt;&gt;"")*Log!$F$4:$F$1203*(1+Log!$G$4:$G$1203/30)))=0,"",SUMPRODUCT(MAX((Log!$D$4:$D$1203=$A57)*(Log!$B$4:$B$1203=N$53)*(Log!$E$4:$E$1203="A")*(Log!$F$4:$F$1203&lt;&gt;"")*(Log!$G$4:$G$1203&lt;&gt;"")*Log!$F$4:$F$1203*(1+Log!$G$4:$G$1203/30)))))</f>
        <v/>
      </c>
      <c r="O57" s="82" t="str">
        <f aca="false">IF($A57="","",IF(SUMPRODUCT(MAX((Log!$D$4:$D$1203=$A57)*(Log!$B$4:$B$1203=O$53)*(Log!$E$4:$E$1203="A")*(Log!$F$4:$F$1203&lt;&gt;"")*(Log!$G$4:$G$1203&lt;&gt;"")*Log!$F$4:$F$1203*(1+Log!$G$4:$G$1203/30)))=0,"",SUMPRODUCT(MAX((Log!$D$4:$D$1203=$A57)*(Log!$B$4:$B$1203=O$53)*(Log!$E$4:$E$1203="A")*(Log!$F$4:$F$1203&lt;&gt;"")*(Log!$G$4:$G$1203&lt;&gt;"")*Log!$F$4:$F$1203*(1+Log!$G$4:$G$1203/30)))))</f>
        <v/>
      </c>
      <c r="P57" s="82" t="str">
        <f aca="false">IF($A57="","",IF(SUMPRODUCT(MAX((Log!$D$4:$D$1203=$A57)*(Log!$B$4:$B$1203=P$53)*(Log!$E$4:$E$1203="A")*(Log!$F$4:$F$1203&lt;&gt;"")*(Log!$G$4:$G$1203&lt;&gt;"")*Log!$F$4:$F$1203*(1+Log!$G$4:$G$1203/30)))=0,"",SUMPRODUCT(MAX((Log!$D$4:$D$1203=$A57)*(Log!$B$4:$B$1203=P$53)*(Log!$E$4:$E$1203="A")*(Log!$F$4:$F$1203&lt;&gt;"")*(Log!$G$4:$G$1203&lt;&gt;"")*Log!$F$4:$F$1203*(1+Log!$G$4:$G$1203/30)))))</f>
        <v/>
      </c>
      <c r="Q57" s="82" t="str">
        <f aca="false">IF($A57="","",IF(SUMPRODUCT(MAX((Log!$D$4:$D$1203=$A57)*(Log!$B$4:$B$1203=Q$53)*(Log!$E$4:$E$1203="A")*(Log!$F$4:$F$1203&lt;&gt;"")*(Log!$G$4:$G$1203&lt;&gt;"")*Log!$F$4:$F$1203*(1+Log!$G$4:$G$1203/30)))=0,"",SUMPRODUCT(MAX((Log!$D$4:$D$1203=$A57)*(Log!$B$4:$B$1203=Q$53)*(Log!$E$4:$E$1203="A")*(Log!$F$4:$F$1203&lt;&gt;"")*(Log!$G$4:$G$1203&lt;&gt;"")*Log!$F$4:$F$1203*(1+Log!$G$4:$G$1203/30)))))</f>
        <v/>
      </c>
      <c r="R57" s="81"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34" t="str">
        <f aca="false">IF(Übungen!$A8="","",Übungen!$A8)</f>
        <v>Reverse V-Squat</v>
      </c>
      <c r="B58" s="80" t="str">
        <f aca="false">IF($A58="","",IF(SUMPRODUCT(MAX((Log!$D$4:$D$1203=$A58)*(Log!$B$4:$B$1203=B$53)*(Log!$E$4:$E$1203="A")*(Log!$F$4:$F$1203&lt;&gt;"")*(Log!$G$4:$G$1203&lt;&gt;"")*Log!$F$4:$F$1203*(1+Log!$G$4:$G$1203/30)))=0,"",SUMPRODUCT(MAX((Log!$D$4:$D$1203=$A58)*(Log!$B$4:$B$1203=B$53)*(Log!$E$4:$E$1203="A")*(Log!$F$4:$F$1203&lt;&gt;"")*(Log!$G$4:$G$1203&lt;&gt;"")*Log!$F$4:$F$1203*(1+Log!$G$4:$G$1203/30)))))</f>
        <v/>
      </c>
      <c r="C58" s="80" t="str">
        <f aca="false">IF($A58="","",IF(SUMPRODUCT(MAX((Log!$D$4:$D$1203=$A58)*(Log!$B$4:$B$1203=C$53)*(Log!$E$4:$E$1203="A")*(Log!$F$4:$F$1203&lt;&gt;"")*(Log!$G$4:$G$1203&lt;&gt;"")*Log!$F$4:$F$1203*(1+Log!$G$4:$G$1203/30)))=0,"",SUMPRODUCT(MAX((Log!$D$4:$D$1203=$A58)*(Log!$B$4:$B$1203=C$53)*(Log!$E$4:$E$1203="A")*(Log!$F$4:$F$1203&lt;&gt;"")*(Log!$G$4:$G$1203&lt;&gt;"")*Log!$F$4:$F$1203*(1+Log!$G$4:$G$1203/30)))))</f>
        <v/>
      </c>
      <c r="D58" s="80" t="str">
        <f aca="false">IF($A58="","",IF(SUMPRODUCT(MAX((Log!$D$4:$D$1203=$A58)*(Log!$B$4:$B$1203=D$53)*(Log!$E$4:$E$1203="A")*(Log!$F$4:$F$1203&lt;&gt;"")*(Log!$G$4:$G$1203&lt;&gt;"")*Log!$F$4:$F$1203*(1+Log!$G$4:$G$1203/30)))=0,"",SUMPRODUCT(MAX((Log!$D$4:$D$1203=$A58)*(Log!$B$4:$B$1203=D$53)*(Log!$E$4:$E$1203="A")*(Log!$F$4:$F$1203&lt;&gt;"")*(Log!$G$4:$G$1203&lt;&gt;"")*Log!$F$4:$F$1203*(1+Log!$G$4:$G$1203/30)))))</f>
        <v/>
      </c>
      <c r="E58" s="80" t="str">
        <f aca="false">IF($A58="","",IF(SUMPRODUCT(MAX((Log!$D$4:$D$1203=$A58)*(Log!$B$4:$B$1203=E$53)*(Log!$E$4:$E$1203="A")*(Log!$F$4:$F$1203&lt;&gt;"")*(Log!$G$4:$G$1203&lt;&gt;"")*Log!$F$4:$F$1203*(1+Log!$G$4:$G$1203/30)))=0,"",SUMPRODUCT(MAX((Log!$D$4:$D$1203=$A58)*(Log!$B$4:$B$1203=E$53)*(Log!$E$4:$E$1203="A")*(Log!$F$4:$F$1203&lt;&gt;"")*(Log!$G$4:$G$1203&lt;&gt;"")*Log!$F$4:$F$1203*(1+Log!$G$4:$G$1203/30)))))</f>
        <v/>
      </c>
      <c r="F58" s="80" t="str">
        <f aca="false">IF($A58="","",IF(SUMPRODUCT(MAX((Log!$D$4:$D$1203=$A58)*(Log!$B$4:$B$1203=F$53)*(Log!$E$4:$E$1203="A")*(Log!$F$4:$F$1203&lt;&gt;"")*(Log!$G$4:$G$1203&lt;&gt;"")*Log!$F$4:$F$1203*(1+Log!$G$4:$G$1203/30)))=0,"",SUMPRODUCT(MAX((Log!$D$4:$D$1203=$A58)*(Log!$B$4:$B$1203=F$53)*(Log!$E$4:$E$1203="A")*(Log!$F$4:$F$1203&lt;&gt;"")*(Log!$G$4:$G$1203&lt;&gt;"")*Log!$F$4:$F$1203*(1+Log!$G$4:$G$1203/30)))))</f>
        <v/>
      </c>
      <c r="G58" s="80" t="str">
        <f aca="false">IF($A58="","",IF(SUMPRODUCT(MAX((Log!$D$4:$D$1203=$A58)*(Log!$B$4:$B$1203=G$53)*(Log!$E$4:$E$1203="A")*(Log!$F$4:$F$1203&lt;&gt;"")*(Log!$G$4:$G$1203&lt;&gt;"")*Log!$F$4:$F$1203*(1+Log!$G$4:$G$1203/30)))=0,"",SUMPRODUCT(MAX((Log!$D$4:$D$1203=$A58)*(Log!$B$4:$B$1203=G$53)*(Log!$E$4:$E$1203="A")*(Log!$F$4:$F$1203&lt;&gt;"")*(Log!$G$4:$G$1203&lt;&gt;"")*Log!$F$4:$F$1203*(1+Log!$G$4:$G$1203/30)))))</f>
        <v/>
      </c>
      <c r="H58" s="80" t="str">
        <f aca="false">IF($A58="","",IF(SUMPRODUCT(MAX((Log!$D$4:$D$1203=$A58)*(Log!$B$4:$B$1203=H$53)*(Log!$E$4:$E$1203="A")*(Log!$F$4:$F$1203&lt;&gt;"")*(Log!$G$4:$G$1203&lt;&gt;"")*Log!$F$4:$F$1203*(1+Log!$G$4:$G$1203/30)))=0,"",SUMPRODUCT(MAX((Log!$D$4:$D$1203=$A58)*(Log!$B$4:$B$1203=H$53)*(Log!$E$4:$E$1203="A")*(Log!$F$4:$F$1203&lt;&gt;"")*(Log!$G$4:$G$1203&lt;&gt;"")*Log!$F$4:$F$1203*(1+Log!$G$4:$G$1203/30)))))</f>
        <v/>
      </c>
      <c r="I58" s="80" t="str">
        <f aca="false">IF($A58="","",IF(SUMPRODUCT(MAX((Log!$D$4:$D$1203=$A58)*(Log!$B$4:$B$1203=I$53)*(Log!$E$4:$E$1203="A")*(Log!$F$4:$F$1203&lt;&gt;"")*(Log!$G$4:$G$1203&lt;&gt;"")*Log!$F$4:$F$1203*(1+Log!$G$4:$G$1203/30)))=0,"",SUMPRODUCT(MAX((Log!$D$4:$D$1203=$A58)*(Log!$B$4:$B$1203=I$53)*(Log!$E$4:$E$1203="A")*(Log!$F$4:$F$1203&lt;&gt;"")*(Log!$G$4:$G$1203&lt;&gt;"")*Log!$F$4:$F$1203*(1+Log!$G$4:$G$1203/30)))))</f>
        <v/>
      </c>
      <c r="J58" s="80" t="str">
        <f aca="false">IF($A58="","",IF(SUMPRODUCT(MAX((Log!$D$4:$D$1203=$A58)*(Log!$B$4:$B$1203=J$53)*(Log!$E$4:$E$1203="A")*(Log!$F$4:$F$1203&lt;&gt;"")*(Log!$G$4:$G$1203&lt;&gt;"")*Log!$F$4:$F$1203*(1+Log!$G$4:$G$1203/30)))=0,"",SUMPRODUCT(MAX((Log!$D$4:$D$1203=$A58)*(Log!$B$4:$B$1203=J$53)*(Log!$E$4:$E$1203="A")*(Log!$F$4:$F$1203&lt;&gt;"")*(Log!$G$4:$G$1203&lt;&gt;"")*Log!$F$4:$F$1203*(1+Log!$G$4:$G$1203/30)))))</f>
        <v/>
      </c>
      <c r="K58" s="80" t="str">
        <f aca="false">IF($A58="","",IF(SUMPRODUCT(MAX((Log!$D$4:$D$1203=$A58)*(Log!$B$4:$B$1203=K$53)*(Log!$E$4:$E$1203="A")*(Log!$F$4:$F$1203&lt;&gt;"")*(Log!$G$4:$G$1203&lt;&gt;"")*Log!$F$4:$F$1203*(1+Log!$G$4:$G$1203/30)))=0,"",SUMPRODUCT(MAX((Log!$D$4:$D$1203=$A58)*(Log!$B$4:$B$1203=K$53)*(Log!$E$4:$E$1203="A")*(Log!$F$4:$F$1203&lt;&gt;"")*(Log!$G$4:$G$1203&lt;&gt;"")*Log!$F$4:$F$1203*(1+Log!$G$4:$G$1203/30)))))</f>
        <v/>
      </c>
      <c r="L58" s="80" t="str">
        <f aca="false">IF($A58="","",IF(SUMPRODUCT(MAX((Log!$D$4:$D$1203=$A58)*(Log!$B$4:$B$1203=L$53)*(Log!$E$4:$E$1203="A")*(Log!$F$4:$F$1203&lt;&gt;"")*(Log!$G$4:$G$1203&lt;&gt;"")*Log!$F$4:$F$1203*(1+Log!$G$4:$G$1203/30)))=0,"",SUMPRODUCT(MAX((Log!$D$4:$D$1203=$A58)*(Log!$B$4:$B$1203=L$53)*(Log!$E$4:$E$1203="A")*(Log!$F$4:$F$1203&lt;&gt;"")*(Log!$G$4:$G$1203&lt;&gt;"")*Log!$F$4:$F$1203*(1+Log!$G$4:$G$1203/30)))))</f>
        <v/>
      </c>
      <c r="M58" s="80" t="str">
        <f aca="false">IF($A58="","",IF(SUMPRODUCT(MAX((Log!$D$4:$D$1203=$A58)*(Log!$B$4:$B$1203=M$53)*(Log!$E$4:$E$1203="A")*(Log!$F$4:$F$1203&lt;&gt;"")*(Log!$G$4:$G$1203&lt;&gt;"")*Log!$F$4:$F$1203*(1+Log!$G$4:$G$1203/30)))=0,"",SUMPRODUCT(MAX((Log!$D$4:$D$1203=$A58)*(Log!$B$4:$B$1203=M$53)*(Log!$E$4:$E$1203="A")*(Log!$F$4:$F$1203&lt;&gt;"")*(Log!$G$4:$G$1203&lt;&gt;"")*Log!$F$4:$F$1203*(1+Log!$G$4:$G$1203/30)))))</f>
        <v/>
      </c>
      <c r="N58" s="80" t="n">
        <f aca="false">IF($A58="","",IF(SUMPRODUCT(MAX((Log!$D$4:$D$1203=$A58)*(Log!$B$4:$B$1203=N$53)*(Log!$E$4:$E$1203="A")*(Log!$F$4:$F$1203&lt;&gt;"")*(Log!$G$4:$G$1203&lt;&gt;"")*Log!$F$4:$F$1203*(1+Log!$G$4:$G$1203/30)))=0,"",SUMPRODUCT(MAX((Log!$D$4:$D$1203=$A58)*(Log!$B$4:$B$1203=N$53)*(Log!$E$4:$E$1203="A")*(Log!$F$4:$F$1203&lt;&gt;"")*(Log!$G$4:$G$1203&lt;&gt;"")*Log!$F$4:$F$1203*(1+Log!$G$4:$G$1203/30)))))</f>
        <v>252</v>
      </c>
      <c r="O58" s="80" t="n">
        <f aca="false">IF($A58="","",IF(SUMPRODUCT(MAX((Log!$D$4:$D$1203=$A58)*(Log!$B$4:$B$1203=O$53)*(Log!$E$4:$E$1203="A")*(Log!$F$4:$F$1203&lt;&gt;"")*(Log!$G$4:$G$1203&lt;&gt;"")*Log!$F$4:$F$1203*(1+Log!$G$4:$G$1203/30)))=0,"",SUMPRODUCT(MAX((Log!$D$4:$D$1203=$A58)*(Log!$B$4:$B$1203=O$53)*(Log!$E$4:$E$1203="A")*(Log!$F$4:$F$1203&lt;&gt;"")*(Log!$G$4:$G$1203&lt;&gt;"")*Log!$F$4:$F$1203*(1+Log!$G$4:$G$1203/30)))))</f>
        <v>250.833333333333</v>
      </c>
      <c r="P58" s="80" t="str">
        <f aca="false">IF($A58="","",IF(SUMPRODUCT(MAX((Log!$D$4:$D$1203=$A58)*(Log!$B$4:$B$1203=P$53)*(Log!$E$4:$E$1203="A")*(Log!$F$4:$F$1203&lt;&gt;"")*(Log!$G$4:$G$1203&lt;&gt;"")*Log!$F$4:$F$1203*(1+Log!$G$4:$G$1203/30)))=0,"",SUMPRODUCT(MAX((Log!$D$4:$D$1203=$A58)*(Log!$B$4:$B$1203=P$53)*(Log!$E$4:$E$1203="A")*(Log!$F$4:$F$1203&lt;&gt;"")*(Log!$G$4:$G$1203&lt;&gt;"")*Log!$F$4:$F$1203*(1+Log!$G$4:$G$1203/30)))))</f>
        <v/>
      </c>
      <c r="Q58" s="80" t="str">
        <f aca="false">IF($A58="","",IF(SUMPRODUCT(MAX((Log!$D$4:$D$1203=$A58)*(Log!$B$4:$B$1203=Q$53)*(Log!$E$4:$E$1203="A")*(Log!$F$4:$F$1203&lt;&gt;"")*(Log!$G$4:$G$1203&lt;&gt;"")*Log!$F$4:$F$1203*(1+Log!$G$4:$G$1203/30)))=0,"",SUMPRODUCT(MAX((Log!$D$4:$D$1203=$A58)*(Log!$B$4:$B$1203=Q$53)*(Log!$E$4:$E$1203="A")*(Log!$F$4:$F$1203&lt;&gt;"")*(Log!$G$4:$G$1203&lt;&gt;"")*Log!$F$4:$F$1203*(1+Log!$G$4:$G$1203/30)))))</f>
        <v/>
      </c>
      <c r="R58" s="81"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2" t="str">
        <f aca="false">IF($A59="","",IF(SUMPRODUCT(MAX((Log!$D$4:$D$1203=$A59)*(Log!$B$4:$B$1203=B$53)*(Log!$E$4:$E$1203="A")*(Log!$F$4:$F$1203&lt;&gt;"")*(Log!$G$4:$G$1203&lt;&gt;"")*Log!$F$4:$F$1203*(1+Log!$G$4:$G$1203/30)))=0,"",SUMPRODUCT(MAX((Log!$D$4:$D$1203=$A59)*(Log!$B$4:$B$1203=B$53)*(Log!$E$4:$E$1203="A")*(Log!$F$4:$F$1203&lt;&gt;"")*(Log!$G$4:$G$1203&lt;&gt;"")*Log!$F$4:$F$1203*(1+Log!$G$4:$G$1203/30)))))</f>
        <v/>
      </c>
      <c r="C59" s="82" t="str">
        <f aca="false">IF($A59="","",IF(SUMPRODUCT(MAX((Log!$D$4:$D$1203=$A59)*(Log!$B$4:$B$1203=C$53)*(Log!$E$4:$E$1203="A")*(Log!$F$4:$F$1203&lt;&gt;"")*(Log!$G$4:$G$1203&lt;&gt;"")*Log!$F$4:$F$1203*(1+Log!$G$4:$G$1203/30)))=0,"",SUMPRODUCT(MAX((Log!$D$4:$D$1203=$A59)*(Log!$B$4:$B$1203=C$53)*(Log!$E$4:$E$1203="A")*(Log!$F$4:$F$1203&lt;&gt;"")*(Log!$G$4:$G$1203&lt;&gt;"")*Log!$F$4:$F$1203*(1+Log!$G$4:$G$1203/30)))))</f>
        <v/>
      </c>
      <c r="D59" s="82" t="str">
        <f aca="false">IF($A59="","",IF(SUMPRODUCT(MAX((Log!$D$4:$D$1203=$A59)*(Log!$B$4:$B$1203=D$53)*(Log!$E$4:$E$1203="A")*(Log!$F$4:$F$1203&lt;&gt;"")*(Log!$G$4:$G$1203&lt;&gt;"")*Log!$F$4:$F$1203*(1+Log!$G$4:$G$1203/30)))=0,"",SUMPRODUCT(MAX((Log!$D$4:$D$1203=$A59)*(Log!$B$4:$B$1203=D$53)*(Log!$E$4:$E$1203="A")*(Log!$F$4:$F$1203&lt;&gt;"")*(Log!$G$4:$G$1203&lt;&gt;"")*Log!$F$4:$F$1203*(1+Log!$G$4:$G$1203/30)))))</f>
        <v/>
      </c>
      <c r="E59" s="82" t="str">
        <f aca="false">IF($A59="","",IF(SUMPRODUCT(MAX((Log!$D$4:$D$1203=$A59)*(Log!$B$4:$B$1203=E$53)*(Log!$E$4:$E$1203="A")*(Log!$F$4:$F$1203&lt;&gt;"")*(Log!$G$4:$G$1203&lt;&gt;"")*Log!$F$4:$F$1203*(1+Log!$G$4:$G$1203/30)))=0,"",SUMPRODUCT(MAX((Log!$D$4:$D$1203=$A59)*(Log!$B$4:$B$1203=E$53)*(Log!$E$4:$E$1203="A")*(Log!$F$4:$F$1203&lt;&gt;"")*(Log!$G$4:$G$1203&lt;&gt;"")*Log!$F$4:$F$1203*(1+Log!$G$4:$G$1203/30)))))</f>
        <v/>
      </c>
      <c r="F59" s="82" t="n">
        <f aca="false">IF($A59="","",IF(SUMPRODUCT(MAX((Log!$D$4:$D$1203=$A59)*(Log!$B$4:$B$1203=F$53)*(Log!$E$4:$E$1203="A")*(Log!$F$4:$F$1203&lt;&gt;"")*(Log!$G$4:$G$1203&lt;&gt;"")*Log!$F$4:$F$1203*(1+Log!$G$4:$G$1203/30)))=0,"",SUMPRODUCT(MAX((Log!$D$4:$D$1203=$A59)*(Log!$B$4:$B$1203=F$53)*(Log!$E$4:$E$1203="A")*(Log!$F$4:$F$1203&lt;&gt;"")*(Log!$G$4:$G$1203&lt;&gt;"")*Log!$F$4:$F$1203*(1+Log!$G$4:$G$1203/30)))))</f>
        <v>154</v>
      </c>
      <c r="G59" s="82" t="str">
        <f aca="false">IF($A59="","",IF(SUMPRODUCT(MAX((Log!$D$4:$D$1203=$A59)*(Log!$B$4:$B$1203=G$53)*(Log!$E$4:$E$1203="A")*(Log!$F$4:$F$1203&lt;&gt;"")*(Log!$G$4:$G$1203&lt;&gt;"")*Log!$F$4:$F$1203*(1+Log!$G$4:$G$1203/30)))=0,"",SUMPRODUCT(MAX((Log!$D$4:$D$1203=$A59)*(Log!$B$4:$B$1203=G$53)*(Log!$E$4:$E$1203="A")*(Log!$F$4:$F$1203&lt;&gt;"")*(Log!$G$4:$G$1203&lt;&gt;"")*Log!$F$4:$F$1203*(1+Log!$G$4:$G$1203/30)))))</f>
        <v/>
      </c>
      <c r="H59" s="82" t="n">
        <f aca="false">IF($A59="","",IF(SUMPRODUCT(MAX((Log!$D$4:$D$1203=$A59)*(Log!$B$4:$B$1203=H$53)*(Log!$E$4:$E$1203="A")*(Log!$F$4:$F$1203&lt;&gt;"")*(Log!$G$4:$G$1203&lt;&gt;"")*Log!$F$4:$F$1203*(1+Log!$G$4:$G$1203/30)))=0,"",SUMPRODUCT(MAX((Log!$D$4:$D$1203=$A59)*(Log!$B$4:$B$1203=H$53)*(Log!$E$4:$E$1203="A")*(Log!$F$4:$F$1203&lt;&gt;"")*(Log!$G$4:$G$1203&lt;&gt;"")*Log!$F$4:$F$1203*(1+Log!$G$4:$G$1203/30)))))</f>
        <v>164.666666666667</v>
      </c>
      <c r="I59" s="82" t="str">
        <f aca="false">IF($A59="","",IF(SUMPRODUCT(MAX((Log!$D$4:$D$1203=$A59)*(Log!$B$4:$B$1203=I$53)*(Log!$E$4:$E$1203="A")*(Log!$F$4:$F$1203&lt;&gt;"")*(Log!$G$4:$G$1203&lt;&gt;"")*Log!$F$4:$F$1203*(1+Log!$G$4:$G$1203/30)))=0,"",SUMPRODUCT(MAX((Log!$D$4:$D$1203=$A59)*(Log!$B$4:$B$1203=I$53)*(Log!$E$4:$E$1203="A")*(Log!$F$4:$F$1203&lt;&gt;"")*(Log!$G$4:$G$1203&lt;&gt;"")*Log!$F$4:$F$1203*(1+Log!$G$4:$G$1203/30)))))</f>
        <v/>
      </c>
      <c r="J59" s="82" t="n">
        <f aca="false">IF($A59="","",IF(SUMPRODUCT(MAX((Log!$D$4:$D$1203=$A59)*(Log!$B$4:$B$1203=J$53)*(Log!$E$4:$E$1203="A")*(Log!$F$4:$F$1203&lt;&gt;"")*(Log!$G$4:$G$1203&lt;&gt;"")*Log!$F$4:$F$1203*(1+Log!$G$4:$G$1203/30)))=0,"",SUMPRODUCT(MAX((Log!$D$4:$D$1203=$A59)*(Log!$B$4:$B$1203=J$53)*(Log!$E$4:$E$1203="A")*(Log!$F$4:$F$1203&lt;&gt;"")*(Log!$G$4:$G$1203&lt;&gt;"")*Log!$F$4:$F$1203*(1+Log!$G$4:$G$1203/30)))))</f>
        <v>166.5</v>
      </c>
      <c r="K59" s="82" t="str">
        <f aca="false">IF($A59="","",IF(SUMPRODUCT(MAX((Log!$D$4:$D$1203=$A59)*(Log!$B$4:$B$1203=K$53)*(Log!$E$4:$E$1203="A")*(Log!$F$4:$F$1203&lt;&gt;"")*(Log!$G$4:$G$1203&lt;&gt;"")*Log!$F$4:$F$1203*(1+Log!$G$4:$G$1203/30)))=0,"",SUMPRODUCT(MAX((Log!$D$4:$D$1203=$A59)*(Log!$B$4:$B$1203=K$53)*(Log!$E$4:$E$1203="A")*(Log!$F$4:$F$1203&lt;&gt;"")*(Log!$G$4:$G$1203&lt;&gt;"")*Log!$F$4:$F$1203*(1+Log!$G$4:$G$1203/30)))))</f>
        <v/>
      </c>
      <c r="L59" s="82" t="n">
        <f aca="false">IF($A59="","",IF(SUMPRODUCT(MAX((Log!$D$4:$D$1203=$A59)*(Log!$B$4:$B$1203=L$53)*(Log!$E$4:$E$1203="A")*(Log!$F$4:$F$1203&lt;&gt;"")*(Log!$G$4:$G$1203&lt;&gt;"")*Log!$F$4:$F$1203*(1+Log!$G$4:$G$1203/30)))=0,"",SUMPRODUCT(MAX((Log!$D$4:$D$1203=$A59)*(Log!$B$4:$B$1203=L$53)*(Log!$E$4:$E$1203="A")*(Log!$F$4:$F$1203&lt;&gt;"")*(Log!$G$4:$G$1203&lt;&gt;"")*Log!$F$4:$F$1203*(1+Log!$G$4:$G$1203/30)))))</f>
        <v>141.833333333333</v>
      </c>
      <c r="M59" s="82" t="str">
        <f aca="false">IF($A59="","",IF(SUMPRODUCT(MAX((Log!$D$4:$D$1203=$A59)*(Log!$B$4:$B$1203=M$53)*(Log!$E$4:$E$1203="A")*(Log!$F$4:$F$1203&lt;&gt;"")*(Log!$G$4:$G$1203&lt;&gt;"")*Log!$F$4:$F$1203*(1+Log!$G$4:$G$1203/30)))=0,"",SUMPRODUCT(MAX((Log!$D$4:$D$1203=$A59)*(Log!$B$4:$B$1203=M$53)*(Log!$E$4:$E$1203="A")*(Log!$F$4:$F$1203&lt;&gt;"")*(Log!$G$4:$G$1203&lt;&gt;"")*Log!$F$4:$F$1203*(1+Log!$G$4:$G$1203/30)))))</f>
        <v/>
      </c>
      <c r="N59" s="82" t="str">
        <f aca="false">IF($A59="","",IF(SUMPRODUCT(MAX((Log!$D$4:$D$1203=$A59)*(Log!$B$4:$B$1203=N$53)*(Log!$E$4:$E$1203="A")*(Log!$F$4:$F$1203&lt;&gt;"")*(Log!$G$4:$G$1203&lt;&gt;"")*Log!$F$4:$F$1203*(1+Log!$G$4:$G$1203/30)))=0,"",SUMPRODUCT(MAX((Log!$D$4:$D$1203=$A59)*(Log!$B$4:$B$1203=N$53)*(Log!$E$4:$E$1203="A")*(Log!$F$4:$F$1203&lt;&gt;"")*(Log!$G$4:$G$1203&lt;&gt;"")*Log!$F$4:$F$1203*(1+Log!$G$4:$G$1203/30)))))</f>
        <v/>
      </c>
      <c r="O59" s="82" t="str">
        <f aca="false">IF($A59="","",IF(SUMPRODUCT(MAX((Log!$D$4:$D$1203=$A59)*(Log!$B$4:$B$1203=O$53)*(Log!$E$4:$E$1203="A")*(Log!$F$4:$F$1203&lt;&gt;"")*(Log!$G$4:$G$1203&lt;&gt;"")*Log!$F$4:$F$1203*(1+Log!$G$4:$G$1203/30)))=0,"",SUMPRODUCT(MAX((Log!$D$4:$D$1203=$A59)*(Log!$B$4:$B$1203=O$53)*(Log!$E$4:$E$1203="A")*(Log!$F$4:$F$1203&lt;&gt;"")*(Log!$G$4:$G$1203&lt;&gt;"")*Log!$F$4:$F$1203*(1+Log!$G$4:$G$1203/30)))))</f>
        <v/>
      </c>
      <c r="P59" s="82" t="str">
        <f aca="false">IF($A59="","",IF(SUMPRODUCT(MAX((Log!$D$4:$D$1203=$A59)*(Log!$B$4:$B$1203=P$53)*(Log!$E$4:$E$1203="A")*(Log!$F$4:$F$1203&lt;&gt;"")*(Log!$G$4:$G$1203&lt;&gt;"")*Log!$F$4:$F$1203*(1+Log!$G$4:$G$1203/30)))=0,"",SUMPRODUCT(MAX((Log!$D$4:$D$1203=$A59)*(Log!$B$4:$B$1203=P$53)*(Log!$E$4:$E$1203="A")*(Log!$F$4:$F$1203&lt;&gt;"")*(Log!$G$4:$G$1203&lt;&gt;"")*Log!$F$4:$F$1203*(1+Log!$G$4:$G$1203/30)))))</f>
        <v/>
      </c>
      <c r="Q59" s="82" t="str">
        <f aca="false">IF($A59="","",IF(SUMPRODUCT(MAX((Log!$D$4:$D$1203=$A59)*(Log!$B$4:$B$1203=Q$53)*(Log!$E$4:$E$1203="A")*(Log!$F$4:$F$1203&lt;&gt;"")*(Log!$G$4:$G$1203&lt;&gt;"")*Log!$F$4:$F$1203*(1+Log!$G$4:$G$1203/30)))=0,"",SUMPRODUCT(MAX((Log!$D$4:$D$1203=$A59)*(Log!$B$4:$B$1203=Q$53)*(Log!$E$4:$E$1203="A")*(Log!$F$4:$F$1203&lt;&gt;"")*(Log!$G$4:$G$1203&lt;&gt;"")*Log!$F$4:$F$1203*(1+Log!$G$4:$G$1203/30)))))</f>
        <v/>
      </c>
      <c r="R59" s="81"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34" t="str">
        <f aca="false">IF(Übungen!$A10="","",Übungen!$A10)</f>
        <v>Rumänisches Kreuzheben KH</v>
      </c>
      <c r="B60" s="80" t="str">
        <f aca="false">IF($A60="","",IF(SUMPRODUCT(MAX((Log!$D$4:$D$1203=$A60)*(Log!$B$4:$B$1203=B$53)*(Log!$E$4:$E$1203="A")*(Log!$F$4:$F$1203&lt;&gt;"")*(Log!$G$4:$G$1203&lt;&gt;"")*Log!$F$4:$F$1203*(1+Log!$G$4:$G$1203/30)))=0,"",SUMPRODUCT(MAX((Log!$D$4:$D$1203=$A60)*(Log!$B$4:$B$1203=B$53)*(Log!$E$4:$E$1203="A")*(Log!$F$4:$F$1203&lt;&gt;"")*(Log!$G$4:$G$1203&lt;&gt;"")*Log!$F$4:$F$1203*(1+Log!$G$4:$G$1203/30)))))</f>
        <v/>
      </c>
      <c r="C60" s="80" t="str">
        <f aca="false">IF($A60="","",IF(SUMPRODUCT(MAX((Log!$D$4:$D$1203=$A60)*(Log!$B$4:$B$1203=C$53)*(Log!$E$4:$E$1203="A")*(Log!$F$4:$F$1203&lt;&gt;"")*(Log!$G$4:$G$1203&lt;&gt;"")*Log!$F$4:$F$1203*(1+Log!$G$4:$G$1203/30)))=0,"",SUMPRODUCT(MAX((Log!$D$4:$D$1203=$A60)*(Log!$B$4:$B$1203=C$53)*(Log!$E$4:$E$1203="A")*(Log!$F$4:$F$1203&lt;&gt;"")*(Log!$G$4:$G$1203&lt;&gt;"")*Log!$F$4:$F$1203*(1+Log!$G$4:$G$1203/30)))))</f>
        <v/>
      </c>
      <c r="D60" s="80" t="str">
        <f aca="false">IF($A60="","",IF(SUMPRODUCT(MAX((Log!$D$4:$D$1203=$A60)*(Log!$B$4:$B$1203=D$53)*(Log!$E$4:$E$1203="A")*(Log!$F$4:$F$1203&lt;&gt;"")*(Log!$G$4:$G$1203&lt;&gt;"")*Log!$F$4:$F$1203*(1+Log!$G$4:$G$1203/30)))=0,"",SUMPRODUCT(MAX((Log!$D$4:$D$1203=$A60)*(Log!$B$4:$B$1203=D$53)*(Log!$E$4:$E$1203="A")*(Log!$F$4:$F$1203&lt;&gt;"")*(Log!$G$4:$G$1203&lt;&gt;"")*Log!$F$4:$F$1203*(1+Log!$G$4:$G$1203/30)))))</f>
        <v/>
      </c>
      <c r="E60" s="80" t="str">
        <f aca="false">IF($A60="","",IF(SUMPRODUCT(MAX((Log!$D$4:$D$1203=$A60)*(Log!$B$4:$B$1203=E$53)*(Log!$E$4:$E$1203="A")*(Log!$F$4:$F$1203&lt;&gt;"")*(Log!$G$4:$G$1203&lt;&gt;"")*Log!$F$4:$F$1203*(1+Log!$G$4:$G$1203/30)))=0,"",SUMPRODUCT(MAX((Log!$D$4:$D$1203=$A60)*(Log!$B$4:$B$1203=E$53)*(Log!$E$4:$E$1203="A")*(Log!$F$4:$F$1203&lt;&gt;"")*(Log!$G$4:$G$1203&lt;&gt;"")*Log!$F$4:$F$1203*(1+Log!$G$4:$G$1203/30)))))</f>
        <v/>
      </c>
      <c r="F60" s="80" t="str">
        <f aca="false">IF($A60="","",IF(SUMPRODUCT(MAX((Log!$D$4:$D$1203=$A60)*(Log!$B$4:$B$1203=F$53)*(Log!$E$4:$E$1203="A")*(Log!$F$4:$F$1203&lt;&gt;"")*(Log!$G$4:$G$1203&lt;&gt;"")*Log!$F$4:$F$1203*(1+Log!$G$4:$G$1203/30)))=0,"",SUMPRODUCT(MAX((Log!$D$4:$D$1203=$A60)*(Log!$B$4:$B$1203=F$53)*(Log!$E$4:$E$1203="A")*(Log!$F$4:$F$1203&lt;&gt;"")*(Log!$G$4:$G$1203&lt;&gt;"")*Log!$F$4:$F$1203*(1+Log!$G$4:$G$1203/30)))))</f>
        <v/>
      </c>
      <c r="G60" s="80" t="str">
        <f aca="false">IF($A60="","",IF(SUMPRODUCT(MAX((Log!$D$4:$D$1203=$A60)*(Log!$B$4:$B$1203=G$53)*(Log!$E$4:$E$1203="A")*(Log!$F$4:$F$1203&lt;&gt;"")*(Log!$G$4:$G$1203&lt;&gt;"")*Log!$F$4:$F$1203*(1+Log!$G$4:$G$1203/30)))=0,"",SUMPRODUCT(MAX((Log!$D$4:$D$1203=$A60)*(Log!$B$4:$B$1203=G$53)*(Log!$E$4:$E$1203="A")*(Log!$F$4:$F$1203&lt;&gt;"")*(Log!$G$4:$G$1203&lt;&gt;"")*Log!$F$4:$F$1203*(1+Log!$G$4:$G$1203/30)))))</f>
        <v/>
      </c>
      <c r="H60" s="80" t="str">
        <f aca="false">IF($A60="","",IF(SUMPRODUCT(MAX((Log!$D$4:$D$1203=$A60)*(Log!$B$4:$B$1203=H$53)*(Log!$E$4:$E$1203="A")*(Log!$F$4:$F$1203&lt;&gt;"")*(Log!$G$4:$G$1203&lt;&gt;"")*Log!$F$4:$F$1203*(1+Log!$G$4:$G$1203/30)))=0,"",SUMPRODUCT(MAX((Log!$D$4:$D$1203=$A60)*(Log!$B$4:$B$1203=H$53)*(Log!$E$4:$E$1203="A")*(Log!$F$4:$F$1203&lt;&gt;"")*(Log!$G$4:$G$1203&lt;&gt;"")*Log!$F$4:$F$1203*(1+Log!$G$4:$G$1203/30)))))</f>
        <v/>
      </c>
      <c r="I60" s="80" t="str">
        <f aca="false">IF($A60="","",IF(SUMPRODUCT(MAX((Log!$D$4:$D$1203=$A60)*(Log!$B$4:$B$1203=I$53)*(Log!$E$4:$E$1203="A")*(Log!$F$4:$F$1203&lt;&gt;"")*(Log!$G$4:$G$1203&lt;&gt;"")*Log!$F$4:$F$1203*(1+Log!$G$4:$G$1203/30)))=0,"",SUMPRODUCT(MAX((Log!$D$4:$D$1203=$A60)*(Log!$B$4:$B$1203=I$53)*(Log!$E$4:$E$1203="A")*(Log!$F$4:$F$1203&lt;&gt;"")*(Log!$G$4:$G$1203&lt;&gt;"")*Log!$F$4:$F$1203*(1+Log!$G$4:$G$1203/30)))))</f>
        <v/>
      </c>
      <c r="J60" s="80" t="str">
        <f aca="false">IF($A60="","",IF(SUMPRODUCT(MAX((Log!$D$4:$D$1203=$A60)*(Log!$B$4:$B$1203=J$53)*(Log!$E$4:$E$1203="A")*(Log!$F$4:$F$1203&lt;&gt;"")*(Log!$G$4:$G$1203&lt;&gt;"")*Log!$F$4:$F$1203*(1+Log!$G$4:$G$1203/30)))=0,"",SUMPRODUCT(MAX((Log!$D$4:$D$1203=$A60)*(Log!$B$4:$B$1203=J$53)*(Log!$E$4:$E$1203="A")*(Log!$F$4:$F$1203&lt;&gt;"")*(Log!$G$4:$G$1203&lt;&gt;"")*Log!$F$4:$F$1203*(1+Log!$G$4:$G$1203/30)))))</f>
        <v/>
      </c>
      <c r="K60" s="80" t="str">
        <f aca="false">IF($A60="","",IF(SUMPRODUCT(MAX((Log!$D$4:$D$1203=$A60)*(Log!$B$4:$B$1203=K$53)*(Log!$E$4:$E$1203="A")*(Log!$F$4:$F$1203&lt;&gt;"")*(Log!$G$4:$G$1203&lt;&gt;"")*Log!$F$4:$F$1203*(1+Log!$G$4:$G$1203/30)))=0,"",SUMPRODUCT(MAX((Log!$D$4:$D$1203=$A60)*(Log!$B$4:$B$1203=K$53)*(Log!$E$4:$E$1203="A")*(Log!$F$4:$F$1203&lt;&gt;"")*(Log!$G$4:$G$1203&lt;&gt;"")*Log!$F$4:$F$1203*(1+Log!$G$4:$G$1203/30)))))</f>
        <v/>
      </c>
      <c r="L60" s="80" t="str">
        <f aca="false">IF($A60="","",IF(SUMPRODUCT(MAX((Log!$D$4:$D$1203=$A60)*(Log!$B$4:$B$1203=L$53)*(Log!$E$4:$E$1203="A")*(Log!$F$4:$F$1203&lt;&gt;"")*(Log!$G$4:$G$1203&lt;&gt;"")*Log!$F$4:$F$1203*(1+Log!$G$4:$G$1203/30)))=0,"",SUMPRODUCT(MAX((Log!$D$4:$D$1203=$A60)*(Log!$B$4:$B$1203=L$53)*(Log!$E$4:$E$1203="A")*(Log!$F$4:$F$1203&lt;&gt;"")*(Log!$G$4:$G$1203&lt;&gt;"")*Log!$F$4:$F$1203*(1+Log!$G$4:$G$1203/30)))))</f>
        <v/>
      </c>
      <c r="M60" s="80" t="str">
        <f aca="false">IF($A60="","",IF(SUMPRODUCT(MAX((Log!$D$4:$D$1203=$A60)*(Log!$B$4:$B$1203=M$53)*(Log!$E$4:$E$1203="A")*(Log!$F$4:$F$1203&lt;&gt;"")*(Log!$G$4:$G$1203&lt;&gt;"")*Log!$F$4:$F$1203*(1+Log!$G$4:$G$1203/30)))=0,"",SUMPRODUCT(MAX((Log!$D$4:$D$1203=$A60)*(Log!$B$4:$B$1203=M$53)*(Log!$E$4:$E$1203="A")*(Log!$F$4:$F$1203&lt;&gt;"")*(Log!$G$4:$G$1203&lt;&gt;"")*Log!$F$4:$F$1203*(1+Log!$G$4:$G$1203/30)))))</f>
        <v/>
      </c>
      <c r="N60" s="80" t="str">
        <f aca="false">IF($A60="","",IF(SUMPRODUCT(MAX((Log!$D$4:$D$1203=$A60)*(Log!$B$4:$B$1203=N$53)*(Log!$E$4:$E$1203="A")*(Log!$F$4:$F$1203&lt;&gt;"")*(Log!$G$4:$G$1203&lt;&gt;"")*Log!$F$4:$F$1203*(1+Log!$G$4:$G$1203/30)))=0,"",SUMPRODUCT(MAX((Log!$D$4:$D$1203=$A60)*(Log!$B$4:$B$1203=N$53)*(Log!$E$4:$E$1203="A")*(Log!$F$4:$F$1203&lt;&gt;"")*(Log!$G$4:$G$1203&lt;&gt;"")*Log!$F$4:$F$1203*(1+Log!$G$4:$G$1203/30)))))</f>
        <v/>
      </c>
      <c r="O60" s="80" t="n">
        <f aca="false">IF($A60="","",IF(SUMPRODUCT(MAX((Log!$D$4:$D$1203=$A60)*(Log!$B$4:$B$1203=O$53)*(Log!$E$4:$E$1203="A")*(Log!$F$4:$F$1203&lt;&gt;"")*(Log!$G$4:$G$1203&lt;&gt;"")*Log!$F$4:$F$1203*(1+Log!$G$4:$G$1203/30)))=0,"",SUMPRODUCT(MAX((Log!$D$4:$D$1203=$A60)*(Log!$B$4:$B$1203=O$53)*(Log!$E$4:$E$1203="A")*(Log!$F$4:$F$1203&lt;&gt;"")*(Log!$G$4:$G$1203&lt;&gt;"")*Log!$F$4:$F$1203*(1+Log!$G$4:$G$1203/30)))))</f>
        <v>39.6666666666667</v>
      </c>
      <c r="P60" s="80" t="str">
        <f aca="false">IF($A60="","",IF(SUMPRODUCT(MAX((Log!$D$4:$D$1203=$A60)*(Log!$B$4:$B$1203=P$53)*(Log!$E$4:$E$1203="A")*(Log!$F$4:$F$1203&lt;&gt;"")*(Log!$G$4:$G$1203&lt;&gt;"")*Log!$F$4:$F$1203*(1+Log!$G$4:$G$1203/30)))=0,"",SUMPRODUCT(MAX((Log!$D$4:$D$1203=$A60)*(Log!$B$4:$B$1203=P$53)*(Log!$E$4:$E$1203="A")*(Log!$F$4:$F$1203&lt;&gt;"")*(Log!$G$4:$G$1203&lt;&gt;"")*Log!$F$4:$F$1203*(1+Log!$G$4:$G$1203/30)))))</f>
        <v/>
      </c>
      <c r="Q60" s="80" t="str">
        <f aca="false">IF($A60="","",IF(SUMPRODUCT(MAX((Log!$D$4:$D$1203=$A60)*(Log!$B$4:$B$1203=Q$53)*(Log!$E$4:$E$1203="A")*(Log!$F$4:$F$1203&lt;&gt;"")*(Log!$G$4:$G$1203&lt;&gt;"")*Log!$F$4:$F$1203*(1+Log!$G$4:$G$1203/30)))=0,"",SUMPRODUCT(MAX((Log!$D$4:$D$1203=$A60)*(Log!$B$4:$B$1203=Q$53)*(Log!$E$4:$E$1203="A")*(Log!$F$4:$F$1203&lt;&gt;"")*(Log!$G$4:$G$1203&lt;&gt;"")*Log!$F$4:$F$1203*(1+Log!$G$4:$G$1203/30)))))</f>
        <v/>
      </c>
      <c r="R60" s="81"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2" t="str">
        <f aca="false">IF($A61="","",IF(SUMPRODUCT(MAX((Log!$D$4:$D$1203=$A61)*(Log!$B$4:$B$1203=B$53)*(Log!$E$4:$E$1203="A")*(Log!$F$4:$F$1203&lt;&gt;"")*(Log!$G$4:$G$1203&lt;&gt;"")*Log!$F$4:$F$1203*(1+Log!$G$4:$G$1203/30)))=0,"",SUMPRODUCT(MAX((Log!$D$4:$D$1203=$A61)*(Log!$B$4:$B$1203=B$53)*(Log!$E$4:$E$1203="A")*(Log!$F$4:$F$1203&lt;&gt;"")*(Log!$G$4:$G$1203&lt;&gt;"")*Log!$F$4:$F$1203*(1+Log!$G$4:$G$1203/30)))))</f>
        <v/>
      </c>
      <c r="C61" s="82" t="str">
        <f aca="false">IF($A61="","",IF(SUMPRODUCT(MAX((Log!$D$4:$D$1203=$A61)*(Log!$B$4:$B$1203=C$53)*(Log!$E$4:$E$1203="A")*(Log!$F$4:$F$1203&lt;&gt;"")*(Log!$G$4:$G$1203&lt;&gt;"")*Log!$F$4:$F$1203*(1+Log!$G$4:$G$1203/30)))=0,"",SUMPRODUCT(MAX((Log!$D$4:$D$1203=$A61)*(Log!$B$4:$B$1203=C$53)*(Log!$E$4:$E$1203="A")*(Log!$F$4:$F$1203&lt;&gt;"")*(Log!$G$4:$G$1203&lt;&gt;"")*Log!$F$4:$F$1203*(1+Log!$G$4:$G$1203/30)))))</f>
        <v/>
      </c>
      <c r="D61" s="82" t="str">
        <f aca="false">IF($A61="","",IF(SUMPRODUCT(MAX((Log!$D$4:$D$1203=$A61)*(Log!$B$4:$B$1203=D$53)*(Log!$E$4:$E$1203="A")*(Log!$F$4:$F$1203&lt;&gt;"")*(Log!$G$4:$G$1203&lt;&gt;"")*Log!$F$4:$F$1203*(1+Log!$G$4:$G$1203/30)))=0,"",SUMPRODUCT(MAX((Log!$D$4:$D$1203=$A61)*(Log!$B$4:$B$1203=D$53)*(Log!$E$4:$E$1203="A")*(Log!$F$4:$F$1203&lt;&gt;"")*(Log!$G$4:$G$1203&lt;&gt;"")*Log!$F$4:$F$1203*(1+Log!$G$4:$G$1203/30)))))</f>
        <v/>
      </c>
      <c r="E61" s="82" t="str">
        <f aca="false">IF($A61="","",IF(SUMPRODUCT(MAX((Log!$D$4:$D$1203=$A61)*(Log!$B$4:$B$1203=E$53)*(Log!$E$4:$E$1203="A")*(Log!$F$4:$F$1203&lt;&gt;"")*(Log!$G$4:$G$1203&lt;&gt;"")*Log!$F$4:$F$1203*(1+Log!$G$4:$G$1203/30)))=0,"",SUMPRODUCT(MAX((Log!$D$4:$D$1203=$A61)*(Log!$B$4:$B$1203=E$53)*(Log!$E$4:$E$1203="A")*(Log!$F$4:$F$1203&lt;&gt;"")*(Log!$G$4:$G$1203&lt;&gt;"")*Log!$F$4:$F$1203*(1+Log!$G$4:$G$1203/30)))))</f>
        <v/>
      </c>
      <c r="F61" s="82" t="str">
        <f aca="false">IF($A61="","",IF(SUMPRODUCT(MAX((Log!$D$4:$D$1203=$A61)*(Log!$B$4:$B$1203=F$53)*(Log!$E$4:$E$1203="A")*(Log!$F$4:$F$1203&lt;&gt;"")*(Log!$G$4:$G$1203&lt;&gt;"")*Log!$F$4:$F$1203*(1+Log!$G$4:$G$1203/30)))=0,"",SUMPRODUCT(MAX((Log!$D$4:$D$1203=$A61)*(Log!$B$4:$B$1203=F$53)*(Log!$E$4:$E$1203="A")*(Log!$F$4:$F$1203&lt;&gt;"")*(Log!$G$4:$G$1203&lt;&gt;"")*Log!$F$4:$F$1203*(1+Log!$G$4:$G$1203/30)))))</f>
        <v/>
      </c>
      <c r="G61" s="82" t="str">
        <f aca="false">IF($A61="","",IF(SUMPRODUCT(MAX((Log!$D$4:$D$1203=$A61)*(Log!$B$4:$B$1203=G$53)*(Log!$E$4:$E$1203="A")*(Log!$F$4:$F$1203&lt;&gt;"")*(Log!$G$4:$G$1203&lt;&gt;"")*Log!$F$4:$F$1203*(1+Log!$G$4:$G$1203/30)))=0,"",SUMPRODUCT(MAX((Log!$D$4:$D$1203=$A61)*(Log!$B$4:$B$1203=G$53)*(Log!$E$4:$E$1203="A")*(Log!$F$4:$F$1203&lt;&gt;"")*(Log!$G$4:$G$1203&lt;&gt;"")*Log!$F$4:$F$1203*(1+Log!$G$4:$G$1203/30)))))</f>
        <v/>
      </c>
      <c r="H61" s="82" t="str">
        <f aca="false">IF($A61="","",IF(SUMPRODUCT(MAX((Log!$D$4:$D$1203=$A61)*(Log!$B$4:$B$1203=H$53)*(Log!$E$4:$E$1203="A")*(Log!$F$4:$F$1203&lt;&gt;"")*(Log!$G$4:$G$1203&lt;&gt;"")*Log!$F$4:$F$1203*(1+Log!$G$4:$G$1203/30)))=0,"",SUMPRODUCT(MAX((Log!$D$4:$D$1203=$A61)*(Log!$B$4:$B$1203=H$53)*(Log!$E$4:$E$1203="A")*(Log!$F$4:$F$1203&lt;&gt;"")*(Log!$G$4:$G$1203&lt;&gt;"")*Log!$F$4:$F$1203*(1+Log!$G$4:$G$1203/30)))))</f>
        <v/>
      </c>
      <c r="I61" s="82" t="str">
        <f aca="false">IF($A61="","",IF(SUMPRODUCT(MAX((Log!$D$4:$D$1203=$A61)*(Log!$B$4:$B$1203=I$53)*(Log!$E$4:$E$1203="A")*(Log!$F$4:$F$1203&lt;&gt;"")*(Log!$G$4:$G$1203&lt;&gt;"")*Log!$F$4:$F$1203*(1+Log!$G$4:$G$1203/30)))=0,"",SUMPRODUCT(MAX((Log!$D$4:$D$1203=$A61)*(Log!$B$4:$B$1203=I$53)*(Log!$E$4:$E$1203="A")*(Log!$F$4:$F$1203&lt;&gt;"")*(Log!$G$4:$G$1203&lt;&gt;"")*Log!$F$4:$F$1203*(1+Log!$G$4:$G$1203/30)))))</f>
        <v/>
      </c>
      <c r="J61" s="82" t="str">
        <f aca="false">IF($A61="","",IF(SUMPRODUCT(MAX((Log!$D$4:$D$1203=$A61)*(Log!$B$4:$B$1203=J$53)*(Log!$E$4:$E$1203="A")*(Log!$F$4:$F$1203&lt;&gt;"")*(Log!$G$4:$G$1203&lt;&gt;"")*Log!$F$4:$F$1203*(1+Log!$G$4:$G$1203/30)))=0,"",SUMPRODUCT(MAX((Log!$D$4:$D$1203=$A61)*(Log!$B$4:$B$1203=J$53)*(Log!$E$4:$E$1203="A")*(Log!$F$4:$F$1203&lt;&gt;"")*(Log!$G$4:$G$1203&lt;&gt;"")*Log!$F$4:$F$1203*(1+Log!$G$4:$G$1203/30)))))</f>
        <v/>
      </c>
      <c r="K61" s="82" t="str">
        <f aca="false">IF($A61="","",IF(SUMPRODUCT(MAX((Log!$D$4:$D$1203=$A61)*(Log!$B$4:$B$1203=K$53)*(Log!$E$4:$E$1203="A")*(Log!$F$4:$F$1203&lt;&gt;"")*(Log!$G$4:$G$1203&lt;&gt;"")*Log!$F$4:$F$1203*(1+Log!$G$4:$G$1203/30)))=0,"",SUMPRODUCT(MAX((Log!$D$4:$D$1203=$A61)*(Log!$B$4:$B$1203=K$53)*(Log!$E$4:$E$1203="A")*(Log!$F$4:$F$1203&lt;&gt;"")*(Log!$G$4:$G$1203&lt;&gt;"")*Log!$F$4:$F$1203*(1+Log!$G$4:$G$1203/30)))))</f>
        <v/>
      </c>
      <c r="L61" s="82" t="str">
        <f aca="false">IF($A61="","",IF(SUMPRODUCT(MAX((Log!$D$4:$D$1203=$A61)*(Log!$B$4:$B$1203=L$53)*(Log!$E$4:$E$1203="A")*(Log!$F$4:$F$1203&lt;&gt;"")*(Log!$G$4:$G$1203&lt;&gt;"")*Log!$F$4:$F$1203*(1+Log!$G$4:$G$1203/30)))=0,"",SUMPRODUCT(MAX((Log!$D$4:$D$1203=$A61)*(Log!$B$4:$B$1203=L$53)*(Log!$E$4:$E$1203="A")*(Log!$F$4:$F$1203&lt;&gt;"")*(Log!$G$4:$G$1203&lt;&gt;"")*Log!$F$4:$F$1203*(1+Log!$G$4:$G$1203/30)))))</f>
        <v/>
      </c>
      <c r="M61" s="82" t="str">
        <f aca="false">IF($A61="","",IF(SUMPRODUCT(MAX((Log!$D$4:$D$1203=$A61)*(Log!$B$4:$B$1203=M$53)*(Log!$E$4:$E$1203="A")*(Log!$F$4:$F$1203&lt;&gt;"")*(Log!$G$4:$G$1203&lt;&gt;"")*Log!$F$4:$F$1203*(1+Log!$G$4:$G$1203/30)))=0,"",SUMPRODUCT(MAX((Log!$D$4:$D$1203=$A61)*(Log!$B$4:$B$1203=M$53)*(Log!$E$4:$E$1203="A")*(Log!$F$4:$F$1203&lt;&gt;"")*(Log!$G$4:$G$1203&lt;&gt;"")*Log!$F$4:$F$1203*(1+Log!$G$4:$G$1203/30)))))</f>
        <v/>
      </c>
      <c r="N61" s="82" t="str">
        <f aca="false">IF($A61="","",IF(SUMPRODUCT(MAX((Log!$D$4:$D$1203=$A61)*(Log!$B$4:$B$1203=N$53)*(Log!$E$4:$E$1203="A")*(Log!$F$4:$F$1203&lt;&gt;"")*(Log!$G$4:$G$1203&lt;&gt;"")*Log!$F$4:$F$1203*(1+Log!$G$4:$G$1203/30)))=0,"",SUMPRODUCT(MAX((Log!$D$4:$D$1203=$A61)*(Log!$B$4:$B$1203=N$53)*(Log!$E$4:$E$1203="A")*(Log!$F$4:$F$1203&lt;&gt;"")*(Log!$G$4:$G$1203&lt;&gt;"")*Log!$F$4:$F$1203*(1+Log!$G$4:$G$1203/30)))))</f>
        <v/>
      </c>
      <c r="O61" s="82" t="str">
        <f aca="false">IF($A61="","",IF(SUMPRODUCT(MAX((Log!$D$4:$D$1203=$A61)*(Log!$B$4:$B$1203=O$53)*(Log!$E$4:$E$1203="A")*(Log!$F$4:$F$1203&lt;&gt;"")*(Log!$G$4:$G$1203&lt;&gt;"")*Log!$F$4:$F$1203*(1+Log!$G$4:$G$1203/30)))=0,"",SUMPRODUCT(MAX((Log!$D$4:$D$1203=$A61)*(Log!$B$4:$B$1203=O$53)*(Log!$E$4:$E$1203="A")*(Log!$F$4:$F$1203&lt;&gt;"")*(Log!$G$4:$G$1203&lt;&gt;"")*Log!$F$4:$F$1203*(1+Log!$G$4:$G$1203/30)))))</f>
        <v/>
      </c>
      <c r="P61" s="82" t="str">
        <f aca="false">IF($A61="","",IF(SUMPRODUCT(MAX((Log!$D$4:$D$1203=$A61)*(Log!$B$4:$B$1203=P$53)*(Log!$E$4:$E$1203="A")*(Log!$F$4:$F$1203&lt;&gt;"")*(Log!$G$4:$G$1203&lt;&gt;"")*Log!$F$4:$F$1203*(1+Log!$G$4:$G$1203/30)))=0,"",SUMPRODUCT(MAX((Log!$D$4:$D$1203=$A61)*(Log!$B$4:$B$1203=P$53)*(Log!$E$4:$E$1203="A")*(Log!$F$4:$F$1203&lt;&gt;"")*(Log!$G$4:$G$1203&lt;&gt;"")*Log!$F$4:$F$1203*(1+Log!$G$4:$G$1203/30)))))</f>
        <v/>
      </c>
      <c r="Q61" s="82" t="str">
        <f aca="false">IF($A61="","",IF(SUMPRODUCT(MAX((Log!$D$4:$D$1203=$A61)*(Log!$B$4:$B$1203=Q$53)*(Log!$E$4:$E$1203="A")*(Log!$F$4:$F$1203&lt;&gt;"")*(Log!$G$4:$G$1203&lt;&gt;"")*Log!$F$4:$F$1203*(1+Log!$G$4:$G$1203/30)))=0,"",SUMPRODUCT(MAX((Log!$D$4:$D$1203=$A61)*(Log!$B$4:$B$1203=Q$53)*(Log!$E$4:$E$1203="A")*(Log!$F$4:$F$1203&lt;&gt;"")*(Log!$G$4:$G$1203&lt;&gt;"")*Log!$F$4:$F$1203*(1+Log!$G$4:$G$1203/30)))))</f>
        <v/>
      </c>
      <c r="R61" s="81"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34" t="str">
        <f aca="false">IF(Übungen!$A12="","",Übungen!$A12)</f>
        <v>Hip Thrust</v>
      </c>
      <c r="B62" s="80" t="n">
        <f aca="false">IF($A62="","",IF(SUMPRODUCT(MAX((Log!$D$4:$D$1203=$A62)*(Log!$B$4:$B$1203=B$53)*(Log!$E$4:$E$1203="A")*(Log!$F$4:$F$1203&lt;&gt;"")*(Log!$G$4:$G$1203&lt;&gt;"")*Log!$F$4:$F$1203*(1+Log!$G$4:$G$1203/30)))=0,"",SUMPRODUCT(MAX((Log!$D$4:$D$1203=$A62)*(Log!$B$4:$B$1203=B$53)*(Log!$E$4:$E$1203="A")*(Log!$F$4:$F$1203&lt;&gt;"")*(Log!$G$4:$G$1203&lt;&gt;"")*Log!$F$4:$F$1203*(1+Log!$G$4:$G$1203/30)))))</f>
        <v>308</v>
      </c>
      <c r="C62" s="80" t="n">
        <f aca="false">IF($A62="","",IF(SUMPRODUCT(MAX((Log!$D$4:$D$1203=$A62)*(Log!$B$4:$B$1203=C$53)*(Log!$E$4:$E$1203="A")*(Log!$F$4:$F$1203&lt;&gt;"")*(Log!$G$4:$G$1203&lt;&gt;"")*Log!$F$4:$F$1203*(1+Log!$G$4:$G$1203/30)))=0,"",SUMPRODUCT(MAX((Log!$D$4:$D$1203=$A62)*(Log!$B$4:$B$1203=C$53)*(Log!$E$4:$E$1203="A")*(Log!$F$4:$F$1203&lt;&gt;"")*(Log!$G$4:$G$1203&lt;&gt;"")*Log!$F$4:$F$1203*(1+Log!$G$4:$G$1203/30)))))</f>
        <v>336</v>
      </c>
      <c r="D62" s="80" t="n">
        <f aca="false">IF($A62="","",IF(SUMPRODUCT(MAX((Log!$D$4:$D$1203=$A62)*(Log!$B$4:$B$1203=D$53)*(Log!$E$4:$E$1203="A")*(Log!$F$4:$F$1203&lt;&gt;"")*(Log!$G$4:$G$1203&lt;&gt;"")*Log!$F$4:$F$1203*(1+Log!$G$4:$G$1203/30)))=0,"",SUMPRODUCT(MAX((Log!$D$4:$D$1203=$A62)*(Log!$B$4:$B$1203=D$53)*(Log!$E$4:$E$1203="A")*(Log!$F$4:$F$1203&lt;&gt;"")*(Log!$G$4:$G$1203&lt;&gt;"")*Log!$F$4:$F$1203*(1+Log!$G$4:$G$1203/30)))))</f>
        <v>360</v>
      </c>
      <c r="E62" s="80" t="n">
        <f aca="false">IF($A62="","",IF(SUMPRODUCT(MAX((Log!$D$4:$D$1203=$A62)*(Log!$B$4:$B$1203=E$53)*(Log!$E$4:$E$1203="A")*(Log!$F$4:$F$1203&lt;&gt;"")*(Log!$G$4:$G$1203&lt;&gt;"")*Log!$F$4:$F$1203*(1+Log!$G$4:$G$1203/30)))=0,"",SUMPRODUCT(MAX((Log!$D$4:$D$1203=$A62)*(Log!$B$4:$B$1203=E$53)*(Log!$E$4:$E$1203="A")*(Log!$F$4:$F$1203&lt;&gt;"")*(Log!$G$4:$G$1203&lt;&gt;"")*Log!$F$4:$F$1203*(1+Log!$G$4:$G$1203/30)))))</f>
        <v>342</v>
      </c>
      <c r="F62" s="80" t="n">
        <f aca="false">IF($A62="","",IF(SUMPRODUCT(MAX((Log!$D$4:$D$1203=$A62)*(Log!$B$4:$B$1203=F$53)*(Log!$E$4:$E$1203="A")*(Log!$F$4:$F$1203&lt;&gt;"")*(Log!$G$4:$G$1203&lt;&gt;"")*Log!$F$4:$F$1203*(1+Log!$G$4:$G$1203/30)))=0,"",SUMPRODUCT(MAX((Log!$D$4:$D$1203=$A62)*(Log!$B$4:$B$1203=F$53)*(Log!$E$4:$E$1203="A")*(Log!$F$4:$F$1203&lt;&gt;"")*(Log!$G$4:$G$1203&lt;&gt;"")*Log!$F$4:$F$1203*(1+Log!$G$4:$G$1203/30)))))</f>
        <v>240.666666666667</v>
      </c>
      <c r="G62" s="80" t="str">
        <f aca="false">IF($A62="","",IF(SUMPRODUCT(MAX((Log!$D$4:$D$1203=$A62)*(Log!$B$4:$B$1203=G$53)*(Log!$E$4:$E$1203="A")*(Log!$F$4:$F$1203&lt;&gt;"")*(Log!$G$4:$G$1203&lt;&gt;"")*Log!$F$4:$F$1203*(1+Log!$G$4:$G$1203/30)))=0,"",SUMPRODUCT(MAX((Log!$D$4:$D$1203=$A62)*(Log!$B$4:$B$1203=G$53)*(Log!$E$4:$E$1203="A")*(Log!$F$4:$F$1203&lt;&gt;"")*(Log!$G$4:$G$1203&lt;&gt;"")*Log!$F$4:$F$1203*(1+Log!$G$4:$G$1203/30)))))</f>
        <v/>
      </c>
      <c r="H62" s="80" t="n">
        <f aca="false">IF($A62="","",IF(SUMPRODUCT(MAX((Log!$D$4:$D$1203=$A62)*(Log!$B$4:$B$1203=H$53)*(Log!$E$4:$E$1203="A")*(Log!$F$4:$F$1203&lt;&gt;"")*(Log!$G$4:$G$1203&lt;&gt;"")*Log!$F$4:$F$1203*(1+Log!$G$4:$G$1203/30)))=0,"",SUMPRODUCT(MAX((Log!$D$4:$D$1203=$A62)*(Log!$B$4:$B$1203=H$53)*(Log!$E$4:$E$1203="A")*(Log!$F$4:$F$1203&lt;&gt;"")*(Log!$G$4:$G$1203&lt;&gt;"")*Log!$F$4:$F$1203*(1+Log!$G$4:$G$1203/30)))))</f>
        <v>367.333333333333</v>
      </c>
      <c r="I62" s="80" t="str">
        <f aca="false">IF($A62="","",IF(SUMPRODUCT(MAX((Log!$D$4:$D$1203=$A62)*(Log!$B$4:$B$1203=I$53)*(Log!$E$4:$E$1203="A")*(Log!$F$4:$F$1203&lt;&gt;"")*(Log!$G$4:$G$1203&lt;&gt;"")*Log!$F$4:$F$1203*(1+Log!$G$4:$G$1203/30)))=0,"",SUMPRODUCT(MAX((Log!$D$4:$D$1203=$A62)*(Log!$B$4:$B$1203=I$53)*(Log!$E$4:$E$1203="A")*(Log!$F$4:$F$1203&lt;&gt;"")*(Log!$G$4:$G$1203&lt;&gt;"")*Log!$F$4:$F$1203*(1+Log!$G$4:$G$1203/30)))))</f>
        <v/>
      </c>
      <c r="J62" s="80" t="str">
        <f aca="false">IF($A62="","",IF(SUMPRODUCT(MAX((Log!$D$4:$D$1203=$A62)*(Log!$B$4:$B$1203=J$53)*(Log!$E$4:$E$1203="A")*(Log!$F$4:$F$1203&lt;&gt;"")*(Log!$G$4:$G$1203&lt;&gt;"")*Log!$F$4:$F$1203*(1+Log!$G$4:$G$1203/30)))=0,"",SUMPRODUCT(MAX((Log!$D$4:$D$1203=$A62)*(Log!$B$4:$B$1203=J$53)*(Log!$E$4:$E$1203="A")*(Log!$F$4:$F$1203&lt;&gt;"")*(Log!$G$4:$G$1203&lt;&gt;"")*Log!$F$4:$F$1203*(1+Log!$G$4:$G$1203/30)))))</f>
        <v/>
      </c>
      <c r="K62" s="80" t="str">
        <f aca="false">IF($A62="","",IF(SUMPRODUCT(MAX((Log!$D$4:$D$1203=$A62)*(Log!$B$4:$B$1203=K$53)*(Log!$E$4:$E$1203="A")*(Log!$F$4:$F$1203&lt;&gt;"")*(Log!$G$4:$G$1203&lt;&gt;"")*Log!$F$4:$F$1203*(1+Log!$G$4:$G$1203/30)))=0,"",SUMPRODUCT(MAX((Log!$D$4:$D$1203=$A62)*(Log!$B$4:$B$1203=K$53)*(Log!$E$4:$E$1203="A")*(Log!$F$4:$F$1203&lt;&gt;"")*(Log!$G$4:$G$1203&lt;&gt;"")*Log!$F$4:$F$1203*(1+Log!$G$4:$G$1203/30)))))</f>
        <v/>
      </c>
      <c r="L62" s="80" t="n">
        <f aca="false">IF($A62="","",IF(SUMPRODUCT(MAX((Log!$D$4:$D$1203=$A62)*(Log!$B$4:$B$1203=L$53)*(Log!$E$4:$E$1203="A")*(Log!$F$4:$F$1203&lt;&gt;"")*(Log!$G$4:$G$1203&lt;&gt;"")*Log!$F$4:$F$1203*(1+Log!$G$4:$G$1203/30)))=0,"",SUMPRODUCT(MAX((Log!$D$4:$D$1203=$A62)*(Log!$B$4:$B$1203=L$53)*(Log!$E$4:$E$1203="A")*(Log!$F$4:$F$1203&lt;&gt;"")*(Log!$G$4:$G$1203&lt;&gt;"")*Log!$F$4:$F$1203*(1+Log!$G$4:$G$1203/30)))))</f>
        <v>306.666666666667</v>
      </c>
      <c r="M62" s="80" t="str">
        <f aca="false">IF($A62="","",IF(SUMPRODUCT(MAX((Log!$D$4:$D$1203=$A62)*(Log!$B$4:$B$1203=M$53)*(Log!$E$4:$E$1203="A")*(Log!$F$4:$F$1203&lt;&gt;"")*(Log!$G$4:$G$1203&lt;&gt;"")*Log!$F$4:$F$1203*(1+Log!$G$4:$G$1203/30)))=0,"",SUMPRODUCT(MAX((Log!$D$4:$D$1203=$A62)*(Log!$B$4:$B$1203=M$53)*(Log!$E$4:$E$1203="A")*(Log!$F$4:$F$1203&lt;&gt;"")*(Log!$G$4:$G$1203&lt;&gt;"")*Log!$F$4:$F$1203*(1+Log!$G$4:$G$1203/30)))))</f>
        <v/>
      </c>
      <c r="N62" s="80" t="n">
        <f aca="false">IF($A62="","",IF(SUMPRODUCT(MAX((Log!$D$4:$D$1203=$A62)*(Log!$B$4:$B$1203=N$53)*(Log!$E$4:$E$1203="A")*(Log!$F$4:$F$1203&lt;&gt;"")*(Log!$G$4:$G$1203&lt;&gt;"")*Log!$F$4:$F$1203*(1+Log!$G$4:$G$1203/30)))=0,"",SUMPRODUCT(MAX((Log!$D$4:$D$1203=$A62)*(Log!$B$4:$B$1203=N$53)*(Log!$E$4:$E$1203="A")*(Log!$F$4:$F$1203&lt;&gt;"")*(Log!$G$4:$G$1203&lt;&gt;"")*Log!$F$4:$F$1203*(1+Log!$G$4:$G$1203/30)))))</f>
        <v>342</v>
      </c>
      <c r="O62" s="80" t="n">
        <f aca="false">IF($A62="","",IF(SUMPRODUCT(MAX((Log!$D$4:$D$1203=$A62)*(Log!$B$4:$B$1203=O$53)*(Log!$E$4:$E$1203="A")*(Log!$F$4:$F$1203&lt;&gt;"")*(Log!$G$4:$G$1203&lt;&gt;"")*Log!$F$4:$F$1203*(1+Log!$G$4:$G$1203/30)))=0,"",SUMPRODUCT(MAX((Log!$D$4:$D$1203=$A62)*(Log!$B$4:$B$1203=O$53)*(Log!$E$4:$E$1203="A")*(Log!$F$4:$F$1203&lt;&gt;"")*(Log!$G$4:$G$1203&lt;&gt;"")*Log!$F$4:$F$1203*(1+Log!$G$4:$G$1203/30)))))</f>
        <v>332.5</v>
      </c>
      <c r="P62" s="80" t="str">
        <f aca="false">IF($A62="","",IF(SUMPRODUCT(MAX((Log!$D$4:$D$1203=$A62)*(Log!$B$4:$B$1203=P$53)*(Log!$E$4:$E$1203="A")*(Log!$F$4:$F$1203&lt;&gt;"")*(Log!$G$4:$G$1203&lt;&gt;"")*Log!$F$4:$F$1203*(1+Log!$G$4:$G$1203/30)))=0,"",SUMPRODUCT(MAX((Log!$D$4:$D$1203=$A62)*(Log!$B$4:$B$1203=P$53)*(Log!$E$4:$E$1203="A")*(Log!$F$4:$F$1203&lt;&gt;"")*(Log!$G$4:$G$1203&lt;&gt;"")*Log!$F$4:$F$1203*(1+Log!$G$4:$G$1203/30)))))</f>
        <v/>
      </c>
      <c r="Q62" s="80" t="str">
        <f aca="false">IF($A62="","",IF(SUMPRODUCT(MAX((Log!$D$4:$D$1203=$A62)*(Log!$B$4:$B$1203=Q$53)*(Log!$E$4:$E$1203="A")*(Log!$F$4:$F$1203&lt;&gt;"")*(Log!$G$4:$G$1203&lt;&gt;"")*Log!$F$4:$F$1203*(1+Log!$G$4:$G$1203/30)))=0,"",SUMPRODUCT(MAX((Log!$D$4:$D$1203=$A62)*(Log!$B$4:$B$1203=Q$53)*(Log!$E$4:$E$1203="A")*(Log!$F$4:$F$1203&lt;&gt;"")*(Log!$G$4:$G$1203&lt;&gt;"")*Log!$F$4:$F$1203*(1+Log!$G$4:$G$1203/30)))))</f>
        <v/>
      </c>
      <c r="R62" s="81"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2" t="str">
        <f aca="false">IF($A63="","",IF(SUMPRODUCT(MAX((Log!$D$4:$D$1203=$A63)*(Log!$B$4:$B$1203=B$53)*(Log!$E$4:$E$1203="A")*(Log!$F$4:$F$1203&lt;&gt;"")*(Log!$G$4:$G$1203&lt;&gt;"")*Log!$F$4:$F$1203*(1+Log!$G$4:$G$1203/30)))=0,"",SUMPRODUCT(MAX((Log!$D$4:$D$1203=$A63)*(Log!$B$4:$B$1203=B$53)*(Log!$E$4:$E$1203="A")*(Log!$F$4:$F$1203&lt;&gt;"")*(Log!$G$4:$G$1203&lt;&gt;"")*Log!$F$4:$F$1203*(1+Log!$G$4:$G$1203/30)))))</f>
        <v/>
      </c>
      <c r="C63" s="82" t="str">
        <f aca="false">IF($A63="","",IF(SUMPRODUCT(MAX((Log!$D$4:$D$1203=$A63)*(Log!$B$4:$B$1203=C$53)*(Log!$E$4:$E$1203="A")*(Log!$F$4:$F$1203&lt;&gt;"")*(Log!$G$4:$G$1203&lt;&gt;"")*Log!$F$4:$F$1203*(1+Log!$G$4:$G$1203/30)))=0,"",SUMPRODUCT(MAX((Log!$D$4:$D$1203=$A63)*(Log!$B$4:$B$1203=C$53)*(Log!$E$4:$E$1203="A")*(Log!$F$4:$F$1203&lt;&gt;"")*(Log!$G$4:$G$1203&lt;&gt;"")*Log!$F$4:$F$1203*(1+Log!$G$4:$G$1203/30)))))</f>
        <v/>
      </c>
      <c r="D63" s="82" t="str">
        <f aca="false">IF($A63="","",IF(SUMPRODUCT(MAX((Log!$D$4:$D$1203=$A63)*(Log!$B$4:$B$1203=D$53)*(Log!$E$4:$E$1203="A")*(Log!$F$4:$F$1203&lt;&gt;"")*(Log!$G$4:$G$1203&lt;&gt;"")*Log!$F$4:$F$1203*(1+Log!$G$4:$G$1203/30)))=0,"",SUMPRODUCT(MAX((Log!$D$4:$D$1203=$A63)*(Log!$B$4:$B$1203=D$53)*(Log!$E$4:$E$1203="A")*(Log!$F$4:$F$1203&lt;&gt;"")*(Log!$G$4:$G$1203&lt;&gt;"")*Log!$F$4:$F$1203*(1+Log!$G$4:$G$1203/30)))))</f>
        <v/>
      </c>
      <c r="E63" s="82" t="str">
        <f aca="false">IF($A63="","",IF(SUMPRODUCT(MAX((Log!$D$4:$D$1203=$A63)*(Log!$B$4:$B$1203=E$53)*(Log!$E$4:$E$1203="A")*(Log!$F$4:$F$1203&lt;&gt;"")*(Log!$G$4:$G$1203&lt;&gt;"")*Log!$F$4:$F$1203*(1+Log!$G$4:$G$1203/30)))=0,"",SUMPRODUCT(MAX((Log!$D$4:$D$1203=$A63)*(Log!$B$4:$B$1203=E$53)*(Log!$E$4:$E$1203="A")*(Log!$F$4:$F$1203&lt;&gt;"")*(Log!$G$4:$G$1203&lt;&gt;"")*Log!$F$4:$F$1203*(1+Log!$G$4:$G$1203/30)))))</f>
        <v/>
      </c>
      <c r="F63" s="82" t="str">
        <f aca="false">IF($A63="","",IF(SUMPRODUCT(MAX((Log!$D$4:$D$1203=$A63)*(Log!$B$4:$B$1203=F$53)*(Log!$E$4:$E$1203="A")*(Log!$F$4:$F$1203&lt;&gt;"")*(Log!$G$4:$G$1203&lt;&gt;"")*Log!$F$4:$F$1203*(1+Log!$G$4:$G$1203/30)))=0,"",SUMPRODUCT(MAX((Log!$D$4:$D$1203=$A63)*(Log!$B$4:$B$1203=F$53)*(Log!$E$4:$E$1203="A")*(Log!$F$4:$F$1203&lt;&gt;"")*(Log!$G$4:$G$1203&lt;&gt;"")*Log!$F$4:$F$1203*(1+Log!$G$4:$G$1203/30)))))</f>
        <v/>
      </c>
      <c r="G63" s="82" t="str">
        <f aca="false">IF($A63="","",IF(SUMPRODUCT(MAX((Log!$D$4:$D$1203=$A63)*(Log!$B$4:$B$1203=G$53)*(Log!$E$4:$E$1203="A")*(Log!$F$4:$F$1203&lt;&gt;"")*(Log!$G$4:$G$1203&lt;&gt;"")*Log!$F$4:$F$1203*(1+Log!$G$4:$G$1203/30)))=0,"",SUMPRODUCT(MAX((Log!$D$4:$D$1203=$A63)*(Log!$B$4:$B$1203=G$53)*(Log!$E$4:$E$1203="A")*(Log!$F$4:$F$1203&lt;&gt;"")*(Log!$G$4:$G$1203&lt;&gt;"")*Log!$F$4:$F$1203*(1+Log!$G$4:$G$1203/30)))))</f>
        <v/>
      </c>
      <c r="H63" s="82" t="n">
        <f aca="false">IF($A63="","",IF(SUMPRODUCT(MAX((Log!$D$4:$D$1203=$A63)*(Log!$B$4:$B$1203=H$53)*(Log!$E$4:$E$1203="A")*(Log!$F$4:$F$1203&lt;&gt;"")*(Log!$G$4:$G$1203&lt;&gt;"")*Log!$F$4:$F$1203*(1+Log!$G$4:$G$1203/30)))=0,"",SUMPRODUCT(MAX((Log!$D$4:$D$1203=$A63)*(Log!$B$4:$B$1203=H$53)*(Log!$E$4:$E$1203="A")*(Log!$F$4:$F$1203&lt;&gt;"")*(Log!$G$4:$G$1203&lt;&gt;"")*Log!$F$4:$F$1203*(1+Log!$G$4:$G$1203/30)))))</f>
        <v>204</v>
      </c>
      <c r="I63" s="82" t="str">
        <f aca="false">IF($A63="","",IF(SUMPRODUCT(MAX((Log!$D$4:$D$1203=$A63)*(Log!$B$4:$B$1203=I$53)*(Log!$E$4:$E$1203="A")*(Log!$F$4:$F$1203&lt;&gt;"")*(Log!$G$4:$G$1203&lt;&gt;"")*Log!$F$4:$F$1203*(1+Log!$G$4:$G$1203/30)))=0,"",SUMPRODUCT(MAX((Log!$D$4:$D$1203=$A63)*(Log!$B$4:$B$1203=I$53)*(Log!$E$4:$E$1203="A")*(Log!$F$4:$F$1203&lt;&gt;"")*(Log!$G$4:$G$1203&lt;&gt;"")*Log!$F$4:$F$1203*(1+Log!$G$4:$G$1203/30)))))</f>
        <v/>
      </c>
      <c r="J63" s="82" t="n">
        <f aca="false">IF($A63="","",IF(SUMPRODUCT(MAX((Log!$D$4:$D$1203=$A63)*(Log!$B$4:$B$1203=J$53)*(Log!$E$4:$E$1203="A")*(Log!$F$4:$F$1203&lt;&gt;"")*(Log!$G$4:$G$1203&lt;&gt;"")*Log!$F$4:$F$1203*(1+Log!$G$4:$G$1203/30)))=0,"",SUMPRODUCT(MAX((Log!$D$4:$D$1203=$A63)*(Log!$B$4:$B$1203=J$53)*(Log!$E$4:$E$1203="A")*(Log!$F$4:$F$1203&lt;&gt;"")*(Log!$G$4:$G$1203&lt;&gt;"")*Log!$F$4:$F$1203*(1+Log!$G$4:$G$1203/30)))))</f>
        <v>234.666666666667</v>
      </c>
      <c r="K63" s="82" t="str">
        <f aca="false">IF($A63="","",IF(SUMPRODUCT(MAX((Log!$D$4:$D$1203=$A63)*(Log!$B$4:$B$1203=K$53)*(Log!$E$4:$E$1203="A")*(Log!$F$4:$F$1203&lt;&gt;"")*(Log!$G$4:$G$1203&lt;&gt;"")*Log!$F$4:$F$1203*(1+Log!$G$4:$G$1203/30)))=0,"",SUMPRODUCT(MAX((Log!$D$4:$D$1203=$A63)*(Log!$B$4:$B$1203=K$53)*(Log!$E$4:$E$1203="A")*(Log!$F$4:$F$1203&lt;&gt;"")*(Log!$G$4:$G$1203&lt;&gt;"")*Log!$F$4:$F$1203*(1+Log!$G$4:$G$1203/30)))))</f>
        <v/>
      </c>
      <c r="L63" s="82" t="n">
        <f aca="false">IF($A63="","",IF(SUMPRODUCT(MAX((Log!$D$4:$D$1203=$A63)*(Log!$B$4:$B$1203=L$53)*(Log!$E$4:$E$1203="A")*(Log!$F$4:$F$1203&lt;&gt;"")*(Log!$G$4:$G$1203&lt;&gt;"")*Log!$F$4:$F$1203*(1+Log!$G$4:$G$1203/30)))=0,"",SUMPRODUCT(MAX((Log!$D$4:$D$1203=$A63)*(Log!$B$4:$B$1203=L$53)*(Log!$E$4:$E$1203="A")*(Log!$F$4:$F$1203&lt;&gt;"")*(Log!$G$4:$G$1203&lt;&gt;"")*Log!$F$4:$F$1203*(1+Log!$G$4:$G$1203/30)))))</f>
        <v>207.6</v>
      </c>
      <c r="M63" s="82" t="str">
        <f aca="false">IF($A63="","",IF(SUMPRODUCT(MAX((Log!$D$4:$D$1203=$A63)*(Log!$B$4:$B$1203=M$53)*(Log!$E$4:$E$1203="A")*(Log!$F$4:$F$1203&lt;&gt;"")*(Log!$G$4:$G$1203&lt;&gt;"")*Log!$F$4:$F$1203*(1+Log!$G$4:$G$1203/30)))=0,"",SUMPRODUCT(MAX((Log!$D$4:$D$1203=$A63)*(Log!$B$4:$B$1203=M$53)*(Log!$E$4:$E$1203="A")*(Log!$F$4:$F$1203&lt;&gt;"")*(Log!$G$4:$G$1203&lt;&gt;"")*Log!$F$4:$F$1203*(1+Log!$G$4:$G$1203/30)))))</f>
        <v/>
      </c>
      <c r="N63" s="82" t="n">
        <f aca="false">IF($A63="","",IF(SUMPRODUCT(MAX((Log!$D$4:$D$1203=$A63)*(Log!$B$4:$B$1203=N$53)*(Log!$E$4:$E$1203="A")*(Log!$F$4:$F$1203&lt;&gt;"")*(Log!$G$4:$G$1203&lt;&gt;"")*Log!$F$4:$F$1203*(1+Log!$G$4:$G$1203/30)))=0,"",SUMPRODUCT(MAX((Log!$D$4:$D$1203=$A63)*(Log!$B$4:$B$1203=N$53)*(Log!$E$4:$E$1203="A")*(Log!$F$4:$F$1203&lt;&gt;"")*(Log!$G$4:$G$1203&lt;&gt;"")*Log!$F$4:$F$1203*(1+Log!$G$4:$G$1203/30)))))</f>
        <v>207.2</v>
      </c>
      <c r="O63" s="82" t="n">
        <f aca="false">IF($A63="","",IF(SUMPRODUCT(MAX((Log!$D$4:$D$1203=$A63)*(Log!$B$4:$B$1203=O$53)*(Log!$E$4:$E$1203="A")*(Log!$F$4:$F$1203&lt;&gt;"")*(Log!$G$4:$G$1203&lt;&gt;"")*Log!$F$4:$F$1203*(1+Log!$G$4:$G$1203/30)))=0,"",SUMPRODUCT(MAX((Log!$D$4:$D$1203=$A63)*(Log!$B$4:$B$1203=O$53)*(Log!$E$4:$E$1203="A")*(Log!$F$4:$F$1203&lt;&gt;"")*(Log!$G$4:$G$1203&lt;&gt;"")*Log!$F$4:$F$1203*(1+Log!$G$4:$G$1203/30)))))</f>
        <v>198.333333333333</v>
      </c>
      <c r="P63" s="82" t="str">
        <f aca="false">IF($A63="","",IF(SUMPRODUCT(MAX((Log!$D$4:$D$1203=$A63)*(Log!$B$4:$B$1203=P$53)*(Log!$E$4:$E$1203="A")*(Log!$F$4:$F$1203&lt;&gt;"")*(Log!$G$4:$G$1203&lt;&gt;"")*Log!$F$4:$F$1203*(1+Log!$G$4:$G$1203/30)))=0,"",SUMPRODUCT(MAX((Log!$D$4:$D$1203=$A63)*(Log!$B$4:$B$1203=P$53)*(Log!$E$4:$E$1203="A")*(Log!$F$4:$F$1203&lt;&gt;"")*(Log!$G$4:$G$1203&lt;&gt;"")*Log!$F$4:$F$1203*(1+Log!$G$4:$G$1203/30)))))</f>
        <v/>
      </c>
      <c r="Q63" s="82" t="str">
        <f aca="false">IF($A63="","",IF(SUMPRODUCT(MAX((Log!$D$4:$D$1203=$A63)*(Log!$B$4:$B$1203=Q$53)*(Log!$E$4:$E$1203="A")*(Log!$F$4:$F$1203&lt;&gt;"")*(Log!$G$4:$G$1203&lt;&gt;"")*Log!$F$4:$F$1203*(1+Log!$G$4:$G$1203/30)))=0,"",SUMPRODUCT(MAX((Log!$D$4:$D$1203=$A63)*(Log!$B$4:$B$1203=Q$53)*(Log!$E$4:$E$1203="A")*(Log!$F$4:$F$1203&lt;&gt;"")*(Log!$G$4:$G$1203&lt;&gt;"")*Log!$F$4:$F$1203*(1+Log!$G$4:$G$1203/30)))))</f>
        <v/>
      </c>
      <c r="R63" s="81"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34" t="str">
        <f aca="false">IF(Übungen!$A14="","",Übungen!$A14)</f>
        <v>Beinbeuger</v>
      </c>
      <c r="B64" s="80" t="n">
        <f aca="false">IF($A64="","",IF(SUMPRODUCT(MAX((Log!$D$4:$D$1203=$A64)*(Log!$B$4:$B$1203=B$53)*(Log!$E$4:$E$1203="A")*(Log!$F$4:$F$1203&lt;&gt;"")*(Log!$G$4:$G$1203&lt;&gt;"")*Log!$F$4:$F$1203*(1+Log!$G$4:$G$1203/30)))=0,"",SUMPRODUCT(MAX((Log!$D$4:$D$1203=$A64)*(Log!$B$4:$B$1203=B$53)*(Log!$E$4:$E$1203="A")*(Log!$F$4:$F$1203&lt;&gt;"")*(Log!$G$4:$G$1203&lt;&gt;"")*Log!$F$4:$F$1203*(1+Log!$G$4:$G$1203/30)))))</f>
        <v>66.6666666666667</v>
      </c>
      <c r="C64" s="80" t="n">
        <f aca="false">IF($A64="","",IF(SUMPRODUCT(MAX((Log!$D$4:$D$1203=$A64)*(Log!$B$4:$B$1203=C$53)*(Log!$E$4:$E$1203="A")*(Log!$F$4:$F$1203&lt;&gt;"")*(Log!$G$4:$G$1203&lt;&gt;"")*Log!$F$4:$F$1203*(1+Log!$G$4:$G$1203/30)))=0,"",SUMPRODUCT(MAX((Log!$D$4:$D$1203=$A64)*(Log!$B$4:$B$1203=C$53)*(Log!$E$4:$E$1203="A")*(Log!$F$4:$F$1203&lt;&gt;"")*(Log!$G$4:$G$1203&lt;&gt;"")*Log!$F$4:$F$1203*(1+Log!$G$4:$G$1203/30)))))</f>
        <v>73.3333333333333</v>
      </c>
      <c r="D64" s="80" t="n">
        <f aca="false">IF($A64="","",IF(SUMPRODUCT(MAX((Log!$D$4:$D$1203=$A64)*(Log!$B$4:$B$1203=D$53)*(Log!$E$4:$E$1203="A")*(Log!$F$4:$F$1203&lt;&gt;"")*(Log!$G$4:$G$1203&lt;&gt;"")*Log!$F$4:$F$1203*(1+Log!$G$4:$G$1203/30)))=0,"",SUMPRODUCT(MAX((Log!$D$4:$D$1203=$A64)*(Log!$B$4:$B$1203=D$53)*(Log!$E$4:$E$1203="A")*(Log!$F$4:$F$1203&lt;&gt;"")*(Log!$G$4:$G$1203&lt;&gt;"")*Log!$F$4:$F$1203*(1+Log!$G$4:$G$1203/30)))))</f>
        <v>67.5</v>
      </c>
      <c r="E64" s="80" t="str">
        <f aca="false">IF($A64="","",IF(SUMPRODUCT(MAX((Log!$D$4:$D$1203=$A64)*(Log!$B$4:$B$1203=E$53)*(Log!$E$4:$E$1203="A")*(Log!$F$4:$F$1203&lt;&gt;"")*(Log!$G$4:$G$1203&lt;&gt;"")*Log!$F$4:$F$1203*(1+Log!$G$4:$G$1203/30)))=0,"",SUMPRODUCT(MAX((Log!$D$4:$D$1203=$A64)*(Log!$B$4:$B$1203=E$53)*(Log!$E$4:$E$1203="A")*(Log!$F$4:$F$1203&lt;&gt;"")*(Log!$G$4:$G$1203&lt;&gt;"")*Log!$F$4:$F$1203*(1+Log!$G$4:$G$1203/30)))))</f>
        <v/>
      </c>
      <c r="F64" s="80" t="n">
        <f aca="false">IF($A64="","",IF(SUMPRODUCT(MAX((Log!$D$4:$D$1203=$A64)*(Log!$B$4:$B$1203=F$53)*(Log!$E$4:$E$1203="A")*(Log!$F$4:$F$1203&lt;&gt;"")*(Log!$G$4:$G$1203&lt;&gt;"")*Log!$F$4:$F$1203*(1+Log!$G$4:$G$1203/30)))=0,"",SUMPRODUCT(MAX((Log!$D$4:$D$1203=$A64)*(Log!$B$4:$B$1203=F$53)*(Log!$E$4:$E$1203="A")*(Log!$F$4:$F$1203&lt;&gt;"")*(Log!$G$4:$G$1203&lt;&gt;"")*Log!$F$4:$F$1203*(1+Log!$G$4:$G$1203/30)))))</f>
        <v>63</v>
      </c>
      <c r="G64" s="80" t="str">
        <f aca="false">IF($A64="","",IF(SUMPRODUCT(MAX((Log!$D$4:$D$1203=$A64)*(Log!$B$4:$B$1203=G$53)*(Log!$E$4:$E$1203="A")*(Log!$F$4:$F$1203&lt;&gt;"")*(Log!$G$4:$G$1203&lt;&gt;"")*Log!$F$4:$F$1203*(1+Log!$G$4:$G$1203/30)))=0,"",SUMPRODUCT(MAX((Log!$D$4:$D$1203=$A64)*(Log!$B$4:$B$1203=G$53)*(Log!$E$4:$E$1203="A")*(Log!$F$4:$F$1203&lt;&gt;"")*(Log!$G$4:$G$1203&lt;&gt;"")*Log!$F$4:$F$1203*(1+Log!$G$4:$G$1203/30)))))</f>
        <v/>
      </c>
      <c r="H64" s="80" t="n">
        <f aca="false">IF($A64="","",IF(SUMPRODUCT(MAX((Log!$D$4:$D$1203=$A64)*(Log!$B$4:$B$1203=H$53)*(Log!$E$4:$E$1203="A")*(Log!$F$4:$F$1203&lt;&gt;"")*(Log!$G$4:$G$1203&lt;&gt;"")*Log!$F$4:$F$1203*(1+Log!$G$4:$G$1203/30)))=0,"",SUMPRODUCT(MAX((Log!$D$4:$D$1203=$A64)*(Log!$B$4:$B$1203=H$53)*(Log!$E$4:$E$1203="A")*(Log!$F$4:$F$1203&lt;&gt;"")*(Log!$G$4:$G$1203&lt;&gt;"")*Log!$F$4:$F$1203*(1+Log!$G$4:$G$1203/30)))))</f>
        <v>70</v>
      </c>
      <c r="I64" s="80" t="str">
        <f aca="false">IF($A64="","",IF(SUMPRODUCT(MAX((Log!$D$4:$D$1203=$A64)*(Log!$B$4:$B$1203=I$53)*(Log!$E$4:$E$1203="A")*(Log!$F$4:$F$1203&lt;&gt;"")*(Log!$G$4:$G$1203&lt;&gt;"")*Log!$F$4:$F$1203*(1+Log!$G$4:$G$1203/30)))=0,"",SUMPRODUCT(MAX((Log!$D$4:$D$1203=$A64)*(Log!$B$4:$B$1203=I$53)*(Log!$E$4:$E$1203="A")*(Log!$F$4:$F$1203&lt;&gt;"")*(Log!$G$4:$G$1203&lt;&gt;"")*Log!$F$4:$F$1203*(1+Log!$G$4:$G$1203/30)))))</f>
        <v/>
      </c>
      <c r="J64" s="80" t="n">
        <f aca="false">IF($A64="","",IF(SUMPRODUCT(MAX((Log!$D$4:$D$1203=$A64)*(Log!$B$4:$B$1203=J$53)*(Log!$E$4:$E$1203="A")*(Log!$F$4:$F$1203&lt;&gt;"")*(Log!$G$4:$G$1203&lt;&gt;"")*Log!$F$4:$F$1203*(1+Log!$G$4:$G$1203/30)))=0,"",SUMPRODUCT(MAX((Log!$D$4:$D$1203=$A64)*(Log!$B$4:$B$1203=J$53)*(Log!$E$4:$E$1203="A")*(Log!$F$4:$F$1203&lt;&gt;"")*(Log!$G$4:$G$1203&lt;&gt;"")*Log!$F$4:$F$1203*(1+Log!$G$4:$G$1203/30)))))</f>
        <v>69</v>
      </c>
      <c r="K64" s="80" t="str">
        <f aca="false">IF($A64="","",IF(SUMPRODUCT(MAX((Log!$D$4:$D$1203=$A64)*(Log!$B$4:$B$1203=K$53)*(Log!$E$4:$E$1203="A")*(Log!$F$4:$F$1203&lt;&gt;"")*(Log!$G$4:$G$1203&lt;&gt;"")*Log!$F$4:$F$1203*(1+Log!$G$4:$G$1203/30)))=0,"",SUMPRODUCT(MAX((Log!$D$4:$D$1203=$A64)*(Log!$B$4:$B$1203=K$53)*(Log!$E$4:$E$1203="A")*(Log!$F$4:$F$1203&lt;&gt;"")*(Log!$G$4:$G$1203&lt;&gt;"")*Log!$F$4:$F$1203*(1+Log!$G$4:$G$1203/30)))))</f>
        <v/>
      </c>
      <c r="L64" s="80" t="str">
        <f aca="false">IF($A64="","",IF(SUMPRODUCT(MAX((Log!$D$4:$D$1203=$A64)*(Log!$B$4:$B$1203=L$53)*(Log!$E$4:$E$1203="A")*(Log!$F$4:$F$1203&lt;&gt;"")*(Log!$G$4:$G$1203&lt;&gt;"")*Log!$F$4:$F$1203*(1+Log!$G$4:$G$1203/30)))=0,"",SUMPRODUCT(MAX((Log!$D$4:$D$1203=$A64)*(Log!$B$4:$B$1203=L$53)*(Log!$E$4:$E$1203="A")*(Log!$F$4:$F$1203&lt;&gt;"")*(Log!$G$4:$G$1203&lt;&gt;"")*Log!$F$4:$F$1203*(1+Log!$G$4:$G$1203/30)))))</f>
        <v/>
      </c>
      <c r="M64" s="80" t="str">
        <f aca="false">IF($A64="","",IF(SUMPRODUCT(MAX((Log!$D$4:$D$1203=$A64)*(Log!$B$4:$B$1203=M$53)*(Log!$E$4:$E$1203="A")*(Log!$F$4:$F$1203&lt;&gt;"")*(Log!$G$4:$G$1203&lt;&gt;"")*Log!$F$4:$F$1203*(1+Log!$G$4:$G$1203/30)))=0,"",SUMPRODUCT(MAX((Log!$D$4:$D$1203=$A64)*(Log!$B$4:$B$1203=M$53)*(Log!$E$4:$E$1203="A")*(Log!$F$4:$F$1203&lt;&gt;"")*(Log!$G$4:$G$1203&lt;&gt;"")*Log!$F$4:$F$1203*(1+Log!$G$4:$G$1203/30)))))</f>
        <v/>
      </c>
      <c r="N64" s="80" t="n">
        <f aca="false">IF($A64="","",IF(SUMPRODUCT(MAX((Log!$D$4:$D$1203=$A64)*(Log!$B$4:$B$1203=N$53)*(Log!$E$4:$E$1203="A")*(Log!$F$4:$F$1203&lt;&gt;"")*(Log!$G$4:$G$1203&lt;&gt;"")*Log!$F$4:$F$1203*(1+Log!$G$4:$G$1203/30)))=0,"",SUMPRODUCT(MAX((Log!$D$4:$D$1203=$A64)*(Log!$B$4:$B$1203=N$53)*(Log!$E$4:$E$1203="A")*(Log!$F$4:$F$1203&lt;&gt;"")*(Log!$G$4:$G$1203&lt;&gt;"")*Log!$F$4:$F$1203*(1+Log!$G$4:$G$1203/30)))))</f>
        <v>52.4166666666667</v>
      </c>
      <c r="O64" s="80" t="n">
        <f aca="false">IF($A64="","",IF(SUMPRODUCT(MAX((Log!$D$4:$D$1203=$A64)*(Log!$B$4:$B$1203=O$53)*(Log!$E$4:$E$1203="A")*(Log!$F$4:$F$1203&lt;&gt;"")*(Log!$G$4:$G$1203&lt;&gt;"")*Log!$F$4:$F$1203*(1+Log!$G$4:$G$1203/30)))=0,"",SUMPRODUCT(MAX((Log!$D$4:$D$1203=$A64)*(Log!$B$4:$B$1203=O$53)*(Log!$E$4:$E$1203="A")*(Log!$F$4:$F$1203&lt;&gt;"")*(Log!$G$4:$G$1203&lt;&gt;"")*Log!$F$4:$F$1203*(1+Log!$G$4:$G$1203/30)))))</f>
        <v>52.5</v>
      </c>
      <c r="P64" s="80" t="str">
        <f aca="false">IF($A64="","",IF(SUMPRODUCT(MAX((Log!$D$4:$D$1203=$A64)*(Log!$B$4:$B$1203=P$53)*(Log!$E$4:$E$1203="A")*(Log!$F$4:$F$1203&lt;&gt;"")*(Log!$G$4:$G$1203&lt;&gt;"")*Log!$F$4:$F$1203*(1+Log!$G$4:$G$1203/30)))=0,"",SUMPRODUCT(MAX((Log!$D$4:$D$1203=$A64)*(Log!$B$4:$B$1203=P$53)*(Log!$E$4:$E$1203="A")*(Log!$F$4:$F$1203&lt;&gt;"")*(Log!$G$4:$G$1203&lt;&gt;"")*Log!$F$4:$F$1203*(1+Log!$G$4:$G$1203/30)))))</f>
        <v/>
      </c>
      <c r="Q64" s="80" t="str">
        <f aca="false">IF($A64="","",IF(SUMPRODUCT(MAX((Log!$D$4:$D$1203=$A64)*(Log!$B$4:$B$1203=Q$53)*(Log!$E$4:$E$1203="A")*(Log!$F$4:$F$1203&lt;&gt;"")*(Log!$G$4:$G$1203&lt;&gt;"")*Log!$F$4:$F$1203*(1+Log!$G$4:$G$1203/30)))=0,"",SUMPRODUCT(MAX((Log!$D$4:$D$1203=$A64)*(Log!$B$4:$B$1203=Q$53)*(Log!$E$4:$E$1203="A")*(Log!$F$4:$F$1203&lt;&gt;"")*(Log!$G$4:$G$1203&lt;&gt;"")*Log!$F$4:$F$1203*(1+Log!$G$4:$G$1203/30)))))</f>
        <v/>
      </c>
      <c r="R64" s="81"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2" t="n">
        <f aca="false">IF($A65="","",IF(SUMPRODUCT(MAX((Log!$D$4:$D$1203=$A65)*(Log!$B$4:$B$1203=B$53)*(Log!$E$4:$E$1203="A")*(Log!$F$4:$F$1203&lt;&gt;"")*(Log!$G$4:$G$1203&lt;&gt;"")*Log!$F$4:$F$1203*(1+Log!$G$4:$G$1203/30)))=0,"",SUMPRODUCT(MAX((Log!$D$4:$D$1203=$A65)*(Log!$B$4:$B$1203=B$53)*(Log!$E$4:$E$1203="A")*(Log!$F$4:$F$1203&lt;&gt;"")*(Log!$G$4:$G$1203&lt;&gt;"")*Log!$F$4:$F$1203*(1+Log!$G$4:$G$1203/30)))))</f>
        <v>68.6</v>
      </c>
      <c r="C65" s="82" t="n">
        <f aca="false">IF($A65="","",IF(SUMPRODUCT(MAX((Log!$D$4:$D$1203=$A65)*(Log!$B$4:$B$1203=C$53)*(Log!$E$4:$E$1203="A")*(Log!$F$4:$F$1203&lt;&gt;"")*(Log!$G$4:$G$1203&lt;&gt;"")*Log!$F$4:$F$1203*(1+Log!$G$4:$G$1203/30)))=0,"",SUMPRODUCT(MAX((Log!$D$4:$D$1203=$A65)*(Log!$B$4:$B$1203=C$53)*(Log!$E$4:$E$1203="A")*(Log!$F$4:$F$1203&lt;&gt;"")*(Log!$G$4:$G$1203&lt;&gt;"")*Log!$F$4:$F$1203*(1+Log!$G$4:$G$1203/30)))))</f>
        <v>52.5</v>
      </c>
      <c r="D65" s="82" t="str">
        <f aca="false">IF($A65="","",IF(SUMPRODUCT(MAX((Log!$D$4:$D$1203=$A65)*(Log!$B$4:$B$1203=D$53)*(Log!$E$4:$E$1203="A")*(Log!$F$4:$F$1203&lt;&gt;"")*(Log!$G$4:$G$1203&lt;&gt;"")*Log!$F$4:$F$1203*(1+Log!$G$4:$G$1203/30)))=0,"",SUMPRODUCT(MAX((Log!$D$4:$D$1203=$A65)*(Log!$B$4:$B$1203=D$53)*(Log!$E$4:$E$1203="A")*(Log!$F$4:$F$1203&lt;&gt;"")*(Log!$G$4:$G$1203&lt;&gt;"")*Log!$F$4:$F$1203*(1+Log!$G$4:$G$1203/30)))))</f>
        <v/>
      </c>
      <c r="E65" s="82" t="str">
        <f aca="false">IF($A65="","",IF(SUMPRODUCT(MAX((Log!$D$4:$D$1203=$A65)*(Log!$B$4:$B$1203=E$53)*(Log!$E$4:$E$1203="A")*(Log!$F$4:$F$1203&lt;&gt;"")*(Log!$G$4:$G$1203&lt;&gt;"")*Log!$F$4:$F$1203*(1+Log!$G$4:$G$1203/30)))=0,"",SUMPRODUCT(MAX((Log!$D$4:$D$1203=$A65)*(Log!$B$4:$B$1203=E$53)*(Log!$E$4:$E$1203="A")*(Log!$F$4:$F$1203&lt;&gt;"")*(Log!$G$4:$G$1203&lt;&gt;"")*Log!$F$4:$F$1203*(1+Log!$G$4:$G$1203/30)))))</f>
        <v/>
      </c>
      <c r="F65" s="82" t="n">
        <f aca="false">IF($A65="","",IF(SUMPRODUCT(MAX((Log!$D$4:$D$1203=$A65)*(Log!$B$4:$B$1203=F$53)*(Log!$E$4:$E$1203="A")*(Log!$F$4:$F$1203&lt;&gt;"")*(Log!$G$4:$G$1203&lt;&gt;"")*Log!$F$4:$F$1203*(1+Log!$G$4:$G$1203/30)))=0,"",SUMPRODUCT(MAX((Log!$D$4:$D$1203=$A65)*(Log!$B$4:$B$1203=F$53)*(Log!$E$4:$E$1203="A")*(Log!$F$4:$F$1203&lt;&gt;"")*(Log!$G$4:$G$1203&lt;&gt;"")*Log!$F$4:$F$1203*(1+Log!$G$4:$G$1203/30)))))</f>
        <v>48</v>
      </c>
      <c r="G65" s="82" t="str">
        <f aca="false">IF($A65="","",IF(SUMPRODUCT(MAX((Log!$D$4:$D$1203=$A65)*(Log!$B$4:$B$1203=G$53)*(Log!$E$4:$E$1203="A")*(Log!$F$4:$F$1203&lt;&gt;"")*(Log!$G$4:$G$1203&lt;&gt;"")*Log!$F$4:$F$1203*(1+Log!$G$4:$G$1203/30)))=0,"",SUMPRODUCT(MAX((Log!$D$4:$D$1203=$A65)*(Log!$B$4:$B$1203=G$53)*(Log!$E$4:$E$1203="A")*(Log!$F$4:$F$1203&lt;&gt;"")*(Log!$G$4:$G$1203&lt;&gt;"")*Log!$F$4:$F$1203*(1+Log!$G$4:$G$1203/30)))))</f>
        <v/>
      </c>
      <c r="H65" s="82" t="str">
        <f aca="false">IF($A65="","",IF(SUMPRODUCT(MAX((Log!$D$4:$D$1203=$A65)*(Log!$B$4:$B$1203=H$53)*(Log!$E$4:$E$1203="A")*(Log!$F$4:$F$1203&lt;&gt;"")*(Log!$G$4:$G$1203&lt;&gt;"")*Log!$F$4:$F$1203*(1+Log!$G$4:$G$1203/30)))=0,"",SUMPRODUCT(MAX((Log!$D$4:$D$1203=$A65)*(Log!$B$4:$B$1203=H$53)*(Log!$E$4:$E$1203="A")*(Log!$F$4:$F$1203&lt;&gt;"")*(Log!$G$4:$G$1203&lt;&gt;"")*Log!$F$4:$F$1203*(1+Log!$G$4:$G$1203/30)))))</f>
        <v/>
      </c>
      <c r="I65" s="82" t="str">
        <f aca="false">IF($A65="","",IF(SUMPRODUCT(MAX((Log!$D$4:$D$1203=$A65)*(Log!$B$4:$B$1203=I$53)*(Log!$E$4:$E$1203="A")*(Log!$F$4:$F$1203&lt;&gt;"")*(Log!$G$4:$G$1203&lt;&gt;"")*Log!$F$4:$F$1203*(1+Log!$G$4:$G$1203/30)))=0,"",SUMPRODUCT(MAX((Log!$D$4:$D$1203=$A65)*(Log!$B$4:$B$1203=I$53)*(Log!$E$4:$E$1203="A")*(Log!$F$4:$F$1203&lt;&gt;"")*(Log!$G$4:$G$1203&lt;&gt;"")*Log!$F$4:$F$1203*(1+Log!$G$4:$G$1203/30)))))</f>
        <v/>
      </c>
      <c r="J65" s="82" t="str">
        <f aca="false">IF($A65="","",IF(SUMPRODUCT(MAX((Log!$D$4:$D$1203=$A65)*(Log!$B$4:$B$1203=J$53)*(Log!$E$4:$E$1203="A")*(Log!$F$4:$F$1203&lt;&gt;"")*(Log!$G$4:$G$1203&lt;&gt;"")*Log!$F$4:$F$1203*(1+Log!$G$4:$G$1203/30)))=0,"",SUMPRODUCT(MAX((Log!$D$4:$D$1203=$A65)*(Log!$B$4:$B$1203=J$53)*(Log!$E$4:$E$1203="A")*(Log!$F$4:$F$1203&lt;&gt;"")*(Log!$G$4:$G$1203&lt;&gt;"")*Log!$F$4:$F$1203*(1+Log!$G$4:$G$1203/30)))))</f>
        <v/>
      </c>
      <c r="K65" s="82" t="str">
        <f aca="false">IF($A65="","",IF(SUMPRODUCT(MAX((Log!$D$4:$D$1203=$A65)*(Log!$B$4:$B$1203=K$53)*(Log!$E$4:$E$1203="A")*(Log!$F$4:$F$1203&lt;&gt;"")*(Log!$G$4:$G$1203&lt;&gt;"")*Log!$F$4:$F$1203*(1+Log!$G$4:$G$1203/30)))=0,"",SUMPRODUCT(MAX((Log!$D$4:$D$1203=$A65)*(Log!$B$4:$B$1203=K$53)*(Log!$E$4:$E$1203="A")*(Log!$F$4:$F$1203&lt;&gt;"")*(Log!$G$4:$G$1203&lt;&gt;"")*Log!$F$4:$F$1203*(1+Log!$G$4:$G$1203/30)))))</f>
        <v/>
      </c>
      <c r="L65" s="82" t="str">
        <f aca="false">IF($A65="","",IF(SUMPRODUCT(MAX((Log!$D$4:$D$1203=$A65)*(Log!$B$4:$B$1203=L$53)*(Log!$E$4:$E$1203="A")*(Log!$F$4:$F$1203&lt;&gt;"")*(Log!$G$4:$G$1203&lt;&gt;"")*Log!$F$4:$F$1203*(1+Log!$G$4:$G$1203/30)))=0,"",SUMPRODUCT(MAX((Log!$D$4:$D$1203=$A65)*(Log!$B$4:$B$1203=L$53)*(Log!$E$4:$E$1203="A")*(Log!$F$4:$F$1203&lt;&gt;"")*(Log!$G$4:$G$1203&lt;&gt;"")*Log!$F$4:$F$1203*(1+Log!$G$4:$G$1203/30)))))</f>
        <v/>
      </c>
      <c r="M65" s="82" t="str">
        <f aca="false">IF($A65="","",IF(SUMPRODUCT(MAX((Log!$D$4:$D$1203=$A65)*(Log!$B$4:$B$1203=M$53)*(Log!$E$4:$E$1203="A")*(Log!$F$4:$F$1203&lt;&gt;"")*(Log!$G$4:$G$1203&lt;&gt;"")*Log!$F$4:$F$1203*(1+Log!$G$4:$G$1203/30)))=0,"",SUMPRODUCT(MAX((Log!$D$4:$D$1203=$A65)*(Log!$B$4:$B$1203=M$53)*(Log!$E$4:$E$1203="A")*(Log!$F$4:$F$1203&lt;&gt;"")*(Log!$G$4:$G$1203&lt;&gt;"")*Log!$F$4:$F$1203*(1+Log!$G$4:$G$1203/30)))))</f>
        <v/>
      </c>
      <c r="N65" s="82" t="str">
        <f aca="false">IF($A65="","",IF(SUMPRODUCT(MAX((Log!$D$4:$D$1203=$A65)*(Log!$B$4:$B$1203=N$53)*(Log!$E$4:$E$1203="A")*(Log!$F$4:$F$1203&lt;&gt;"")*(Log!$G$4:$G$1203&lt;&gt;"")*Log!$F$4:$F$1203*(1+Log!$G$4:$G$1203/30)))=0,"",SUMPRODUCT(MAX((Log!$D$4:$D$1203=$A65)*(Log!$B$4:$B$1203=N$53)*(Log!$E$4:$E$1203="A")*(Log!$F$4:$F$1203&lt;&gt;"")*(Log!$G$4:$G$1203&lt;&gt;"")*Log!$F$4:$F$1203*(1+Log!$G$4:$G$1203/30)))))</f>
        <v/>
      </c>
      <c r="O65" s="82" t="str">
        <f aca="false">IF($A65="","",IF(SUMPRODUCT(MAX((Log!$D$4:$D$1203=$A65)*(Log!$B$4:$B$1203=O$53)*(Log!$E$4:$E$1203="A")*(Log!$F$4:$F$1203&lt;&gt;"")*(Log!$G$4:$G$1203&lt;&gt;"")*Log!$F$4:$F$1203*(1+Log!$G$4:$G$1203/30)))=0,"",SUMPRODUCT(MAX((Log!$D$4:$D$1203=$A65)*(Log!$B$4:$B$1203=O$53)*(Log!$E$4:$E$1203="A")*(Log!$F$4:$F$1203&lt;&gt;"")*(Log!$G$4:$G$1203&lt;&gt;"")*Log!$F$4:$F$1203*(1+Log!$G$4:$G$1203/30)))))</f>
        <v/>
      </c>
      <c r="P65" s="82" t="str">
        <f aca="false">IF($A65="","",IF(SUMPRODUCT(MAX((Log!$D$4:$D$1203=$A65)*(Log!$B$4:$B$1203=P$53)*(Log!$E$4:$E$1203="A")*(Log!$F$4:$F$1203&lt;&gt;"")*(Log!$G$4:$G$1203&lt;&gt;"")*Log!$F$4:$F$1203*(1+Log!$G$4:$G$1203/30)))=0,"",SUMPRODUCT(MAX((Log!$D$4:$D$1203=$A65)*(Log!$B$4:$B$1203=P$53)*(Log!$E$4:$E$1203="A")*(Log!$F$4:$F$1203&lt;&gt;"")*(Log!$G$4:$G$1203&lt;&gt;"")*Log!$F$4:$F$1203*(1+Log!$G$4:$G$1203/30)))))</f>
        <v/>
      </c>
      <c r="Q65" s="82" t="str">
        <f aca="false">IF($A65="","",IF(SUMPRODUCT(MAX((Log!$D$4:$D$1203=$A65)*(Log!$B$4:$B$1203=Q$53)*(Log!$E$4:$E$1203="A")*(Log!$F$4:$F$1203&lt;&gt;"")*(Log!$G$4:$G$1203&lt;&gt;"")*Log!$F$4:$F$1203*(1+Log!$G$4:$G$1203/30)))=0,"",SUMPRODUCT(MAX((Log!$D$4:$D$1203=$A65)*(Log!$B$4:$B$1203=Q$53)*(Log!$E$4:$E$1203="A")*(Log!$F$4:$F$1203&lt;&gt;"")*(Log!$G$4:$G$1203&lt;&gt;"")*Log!$F$4:$F$1203*(1+Log!$G$4:$G$1203/30)))))</f>
        <v/>
      </c>
      <c r="R65" s="81"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34" t="str">
        <f aca="false">IF(Übungen!$A16="","",Übungen!$A16)</f>
        <v>Waden</v>
      </c>
      <c r="B66" s="80" t="n">
        <f aca="false">IF($A66="","",IF(SUMPRODUCT(MAX((Log!$D$4:$D$1203=$A66)*(Log!$B$4:$B$1203=B$53)*(Log!$E$4:$E$1203="A")*(Log!$F$4:$F$1203&lt;&gt;"")*(Log!$G$4:$G$1203&lt;&gt;"")*Log!$F$4:$F$1203*(1+Log!$G$4:$G$1203/30)))=0,"",SUMPRODUCT(MAX((Log!$D$4:$D$1203=$A66)*(Log!$B$4:$B$1203=B$53)*(Log!$E$4:$E$1203="A")*(Log!$F$4:$F$1203&lt;&gt;"")*(Log!$G$4:$G$1203&lt;&gt;"")*Log!$F$4:$F$1203*(1+Log!$G$4:$G$1203/30)))))</f>
        <v>203</v>
      </c>
      <c r="C66" s="80" t="n">
        <f aca="false">IF($A66="","",IF(SUMPRODUCT(MAX((Log!$D$4:$D$1203=$A66)*(Log!$B$4:$B$1203=C$53)*(Log!$E$4:$E$1203="A")*(Log!$F$4:$F$1203&lt;&gt;"")*(Log!$G$4:$G$1203&lt;&gt;"")*Log!$F$4:$F$1203*(1+Log!$G$4:$G$1203/30)))=0,"",SUMPRODUCT(MAX((Log!$D$4:$D$1203=$A66)*(Log!$B$4:$B$1203=C$53)*(Log!$E$4:$E$1203="A")*(Log!$F$4:$F$1203&lt;&gt;"")*(Log!$G$4:$G$1203&lt;&gt;"")*Log!$F$4:$F$1203*(1+Log!$G$4:$G$1203/30)))))</f>
        <v>210</v>
      </c>
      <c r="D66" s="80" t="str">
        <f aca="false">IF($A66="","",IF(SUMPRODUCT(MAX((Log!$D$4:$D$1203=$A66)*(Log!$B$4:$B$1203=D$53)*(Log!$E$4:$E$1203="A")*(Log!$F$4:$F$1203&lt;&gt;"")*(Log!$G$4:$G$1203&lt;&gt;"")*Log!$F$4:$F$1203*(1+Log!$G$4:$G$1203/30)))=0,"",SUMPRODUCT(MAX((Log!$D$4:$D$1203=$A66)*(Log!$B$4:$B$1203=D$53)*(Log!$E$4:$E$1203="A")*(Log!$F$4:$F$1203&lt;&gt;"")*(Log!$G$4:$G$1203&lt;&gt;"")*Log!$F$4:$F$1203*(1+Log!$G$4:$G$1203/30)))))</f>
        <v/>
      </c>
      <c r="E66" s="80" t="str">
        <f aca="false">IF($A66="","",IF(SUMPRODUCT(MAX((Log!$D$4:$D$1203=$A66)*(Log!$B$4:$B$1203=E$53)*(Log!$E$4:$E$1203="A")*(Log!$F$4:$F$1203&lt;&gt;"")*(Log!$G$4:$G$1203&lt;&gt;"")*Log!$F$4:$F$1203*(1+Log!$G$4:$G$1203/30)))=0,"",SUMPRODUCT(MAX((Log!$D$4:$D$1203=$A66)*(Log!$B$4:$B$1203=E$53)*(Log!$E$4:$E$1203="A")*(Log!$F$4:$F$1203&lt;&gt;"")*(Log!$G$4:$G$1203&lt;&gt;"")*Log!$F$4:$F$1203*(1+Log!$G$4:$G$1203/30)))))</f>
        <v/>
      </c>
      <c r="F66" s="80" t="n">
        <f aca="false">IF($A66="","",IF(SUMPRODUCT(MAX((Log!$D$4:$D$1203=$A66)*(Log!$B$4:$B$1203=F$53)*(Log!$E$4:$E$1203="A")*(Log!$F$4:$F$1203&lt;&gt;"")*(Log!$G$4:$G$1203&lt;&gt;"")*Log!$F$4:$F$1203*(1+Log!$G$4:$G$1203/30)))=0,"",SUMPRODUCT(MAX((Log!$D$4:$D$1203=$A66)*(Log!$B$4:$B$1203=F$53)*(Log!$E$4:$E$1203="A")*(Log!$F$4:$F$1203&lt;&gt;"")*(Log!$G$4:$G$1203&lt;&gt;"")*Log!$F$4:$F$1203*(1+Log!$G$4:$G$1203/30)))))</f>
        <v>189</v>
      </c>
      <c r="G66" s="80" t="str">
        <f aca="false">IF($A66="","",IF(SUMPRODUCT(MAX((Log!$D$4:$D$1203=$A66)*(Log!$B$4:$B$1203=G$53)*(Log!$E$4:$E$1203="A")*(Log!$F$4:$F$1203&lt;&gt;"")*(Log!$G$4:$G$1203&lt;&gt;"")*Log!$F$4:$F$1203*(1+Log!$G$4:$G$1203/30)))=0,"",SUMPRODUCT(MAX((Log!$D$4:$D$1203=$A66)*(Log!$B$4:$B$1203=G$53)*(Log!$E$4:$E$1203="A")*(Log!$F$4:$F$1203&lt;&gt;"")*(Log!$G$4:$G$1203&lt;&gt;"")*Log!$F$4:$F$1203*(1+Log!$G$4:$G$1203/30)))))</f>
        <v/>
      </c>
      <c r="H66" s="80" t="n">
        <f aca="false">IF($A66="","",IF(SUMPRODUCT(MAX((Log!$D$4:$D$1203=$A66)*(Log!$B$4:$B$1203=H$53)*(Log!$E$4:$E$1203="A")*(Log!$F$4:$F$1203&lt;&gt;"")*(Log!$G$4:$G$1203&lt;&gt;"")*Log!$F$4:$F$1203*(1+Log!$G$4:$G$1203/30)))=0,"",SUMPRODUCT(MAX((Log!$D$4:$D$1203=$A66)*(Log!$B$4:$B$1203=H$53)*(Log!$E$4:$E$1203="A")*(Log!$F$4:$F$1203&lt;&gt;"")*(Log!$G$4:$G$1203&lt;&gt;"")*Log!$F$4:$F$1203*(1+Log!$G$4:$G$1203/30)))))</f>
        <v>224</v>
      </c>
      <c r="I66" s="80" t="str">
        <f aca="false">IF($A66="","",IF(SUMPRODUCT(MAX((Log!$D$4:$D$1203=$A66)*(Log!$B$4:$B$1203=I$53)*(Log!$E$4:$E$1203="A")*(Log!$F$4:$F$1203&lt;&gt;"")*(Log!$G$4:$G$1203&lt;&gt;"")*Log!$F$4:$F$1203*(1+Log!$G$4:$G$1203/30)))=0,"",SUMPRODUCT(MAX((Log!$D$4:$D$1203=$A66)*(Log!$B$4:$B$1203=I$53)*(Log!$E$4:$E$1203="A")*(Log!$F$4:$F$1203&lt;&gt;"")*(Log!$G$4:$G$1203&lt;&gt;"")*Log!$F$4:$F$1203*(1+Log!$G$4:$G$1203/30)))))</f>
        <v/>
      </c>
      <c r="J66" s="80" t="n">
        <f aca="false">IF($A66="","",IF(SUMPRODUCT(MAX((Log!$D$4:$D$1203=$A66)*(Log!$B$4:$B$1203=J$53)*(Log!$E$4:$E$1203="A")*(Log!$F$4:$F$1203&lt;&gt;"")*(Log!$G$4:$G$1203&lt;&gt;"")*Log!$F$4:$F$1203*(1+Log!$G$4:$G$1203/30)))=0,"",SUMPRODUCT(MAX((Log!$D$4:$D$1203=$A66)*(Log!$B$4:$B$1203=J$53)*(Log!$E$4:$E$1203="A")*(Log!$F$4:$F$1203&lt;&gt;"")*(Log!$G$4:$G$1203&lt;&gt;"")*Log!$F$4:$F$1203*(1+Log!$G$4:$G$1203/30)))))</f>
        <v>220</v>
      </c>
      <c r="K66" s="80" t="str">
        <f aca="false">IF($A66="","",IF(SUMPRODUCT(MAX((Log!$D$4:$D$1203=$A66)*(Log!$B$4:$B$1203=K$53)*(Log!$E$4:$E$1203="A")*(Log!$F$4:$F$1203&lt;&gt;"")*(Log!$G$4:$G$1203&lt;&gt;"")*Log!$F$4:$F$1203*(1+Log!$G$4:$G$1203/30)))=0,"",SUMPRODUCT(MAX((Log!$D$4:$D$1203=$A66)*(Log!$B$4:$B$1203=K$53)*(Log!$E$4:$E$1203="A")*(Log!$F$4:$F$1203&lt;&gt;"")*(Log!$G$4:$G$1203&lt;&gt;"")*Log!$F$4:$F$1203*(1+Log!$G$4:$G$1203/30)))))</f>
        <v/>
      </c>
      <c r="L66" s="80" t="n">
        <f aca="false">IF($A66="","",IF(SUMPRODUCT(MAX((Log!$D$4:$D$1203=$A66)*(Log!$B$4:$B$1203=L$53)*(Log!$E$4:$E$1203="A")*(Log!$F$4:$F$1203&lt;&gt;"")*(Log!$G$4:$G$1203&lt;&gt;"")*Log!$F$4:$F$1203*(1+Log!$G$4:$G$1203/30)))=0,"",SUMPRODUCT(MAX((Log!$D$4:$D$1203=$A66)*(Log!$B$4:$B$1203=L$53)*(Log!$E$4:$E$1203="A")*(Log!$F$4:$F$1203&lt;&gt;"")*(Log!$G$4:$G$1203&lt;&gt;"")*Log!$F$4:$F$1203*(1+Log!$G$4:$G$1203/30)))))</f>
        <v>214.5</v>
      </c>
      <c r="M66" s="80" t="str">
        <f aca="false">IF($A66="","",IF(SUMPRODUCT(MAX((Log!$D$4:$D$1203=$A66)*(Log!$B$4:$B$1203=M$53)*(Log!$E$4:$E$1203="A")*(Log!$F$4:$F$1203&lt;&gt;"")*(Log!$G$4:$G$1203&lt;&gt;"")*Log!$F$4:$F$1203*(1+Log!$G$4:$G$1203/30)))=0,"",SUMPRODUCT(MAX((Log!$D$4:$D$1203=$A66)*(Log!$B$4:$B$1203=M$53)*(Log!$E$4:$E$1203="A")*(Log!$F$4:$F$1203&lt;&gt;"")*(Log!$G$4:$G$1203&lt;&gt;"")*Log!$F$4:$F$1203*(1+Log!$G$4:$G$1203/30)))))</f>
        <v/>
      </c>
      <c r="N66" s="80" t="n">
        <f aca="false">IF($A66="","",IF(SUMPRODUCT(MAX((Log!$D$4:$D$1203=$A66)*(Log!$B$4:$B$1203=N$53)*(Log!$E$4:$E$1203="A")*(Log!$F$4:$F$1203&lt;&gt;"")*(Log!$G$4:$G$1203&lt;&gt;"")*Log!$F$4:$F$1203*(1+Log!$G$4:$G$1203/30)))=0,"",SUMPRODUCT(MAX((Log!$D$4:$D$1203=$A66)*(Log!$B$4:$B$1203=N$53)*(Log!$E$4:$E$1203="A")*(Log!$F$4:$F$1203&lt;&gt;"")*(Log!$G$4:$G$1203&lt;&gt;"")*Log!$F$4:$F$1203*(1+Log!$G$4:$G$1203/30)))))</f>
        <v>222</v>
      </c>
      <c r="O66" s="80" t="n">
        <f aca="false">IF($A66="","",IF(SUMPRODUCT(MAX((Log!$D$4:$D$1203=$A66)*(Log!$B$4:$B$1203=O$53)*(Log!$E$4:$E$1203="A")*(Log!$F$4:$F$1203&lt;&gt;"")*(Log!$G$4:$G$1203&lt;&gt;"")*Log!$F$4:$F$1203*(1+Log!$G$4:$G$1203/30)))=0,"",SUMPRODUCT(MAX((Log!$D$4:$D$1203=$A66)*(Log!$B$4:$B$1203=O$53)*(Log!$E$4:$E$1203="A")*(Log!$F$4:$F$1203&lt;&gt;"")*(Log!$G$4:$G$1203&lt;&gt;"")*Log!$F$4:$F$1203*(1+Log!$G$4:$G$1203/30)))))</f>
        <v>221.666666666667</v>
      </c>
      <c r="P66" s="80" t="str">
        <f aca="false">IF($A66="","",IF(SUMPRODUCT(MAX((Log!$D$4:$D$1203=$A66)*(Log!$B$4:$B$1203=P$53)*(Log!$E$4:$E$1203="A")*(Log!$F$4:$F$1203&lt;&gt;"")*(Log!$G$4:$G$1203&lt;&gt;"")*Log!$F$4:$F$1203*(1+Log!$G$4:$G$1203/30)))=0,"",SUMPRODUCT(MAX((Log!$D$4:$D$1203=$A66)*(Log!$B$4:$B$1203=P$53)*(Log!$E$4:$E$1203="A")*(Log!$F$4:$F$1203&lt;&gt;"")*(Log!$G$4:$G$1203&lt;&gt;"")*Log!$F$4:$F$1203*(1+Log!$G$4:$G$1203/30)))))</f>
        <v/>
      </c>
      <c r="Q66" s="80" t="str">
        <f aca="false">IF($A66="","",IF(SUMPRODUCT(MAX((Log!$D$4:$D$1203=$A66)*(Log!$B$4:$B$1203=Q$53)*(Log!$E$4:$E$1203="A")*(Log!$F$4:$F$1203&lt;&gt;"")*(Log!$G$4:$G$1203&lt;&gt;"")*Log!$F$4:$F$1203*(1+Log!$G$4:$G$1203/30)))=0,"",SUMPRODUCT(MAX((Log!$D$4:$D$1203=$A66)*(Log!$B$4:$B$1203=Q$53)*(Log!$E$4:$E$1203="A")*(Log!$F$4:$F$1203&lt;&gt;"")*(Log!$G$4:$G$1203&lt;&gt;"")*Log!$F$4:$F$1203*(1+Log!$G$4:$G$1203/30)))))</f>
        <v/>
      </c>
      <c r="R66" s="81"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2" t="str">
        <f aca="false">IF($A67="","",IF(SUMPRODUCT(MAX((Log!$D$4:$D$1203=$A67)*(Log!$B$4:$B$1203=B$53)*(Log!$E$4:$E$1203="A")*(Log!$F$4:$F$1203&lt;&gt;"")*(Log!$G$4:$G$1203&lt;&gt;"")*Log!$F$4:$F$1203*(1+Log!$G$4:$G$1203/30)))=0,"",SUMPRODUCT(MAX((Log!$D$4:$D$1203=$A67)*(Log!$B$4:$B$1203=B$53)*(Log!$E$4:$E$1203="A")*(Log!$F$4:$F$1203&lt;&gt;"")*(Log!$G$4:$G$1203&lt;&gt;"")*Log!$F$4:$F$1203*(1+Log!$G$4:$G$1203/30)))))</f>
        <v/>
      </c>
      <c r="C67" s="82" t="str">
        <f aca="false">IF($A67="","",IF(SUMPRODUCT(MAX((Log!$D$4:$D$1203=$A67)*(Log!$B$4:$B$1203=C$53)*(Log!$E$4:$E$1203="A")*(Log!$F$4:$F$1203&lt;&gt;"")*(Log!$G$4:$G$1203&lt;&gt;"")*Log!$F$4:$F$1203*(1+Log!$G$4:$G$1203/30)))=0,"",SUMPRODUCT(MAX((Log!$D$4:$D$1203=$A67)*(Log!$B$4:$B$1203=C$53)*(Log!$E$4:$E$1203="A")*(Log!$F$4:$F$1203&lt;&gt;"")*(Log!$G$4:$G$1203&lt;&gt;"")*Log!$F$4:$F$1203*(1+Log!$G$4:$G$1203/30)))))</f>
        <v/>
      </c>
      <c r="D67" s="82" t="str">
        <f aca="false">IF($A67="","",IF(SUMPRODUCT(MAX((Log!$D$4:$D$1203=$A67)*(Log!$B$4:$B$1203=D$53)*(Log!$E$4:$E$1203="A")*(Log!$F$4:$F$1203&lt;&gt;"")*(Log!$G$4:$G$1203&lt;&gt;"")*Log!$F$4:$F$1203*(1+Log!$G$4:$G$1203/30)))=0,"",SUMPRODUCT(MAX((Log!$D$4:$D$1203=$A67)*(Log!$B$4:$B$1203=D$53)*(Log!$E$4:$E$1203="A")*(Log!$F$4:$F$1203&lt;&gt;"")*(Log!$G$4:$G$1203&lt;&gt;"")*Log!$F$4:$F$1203*(1+Log!$G$4:$G$1203/30)))))</f>
        <v/>
      </c>
      <c r="E67" s="82" t="str">
        <f aca="false">IF($A67="","",IF(SUMPRODUCT(MAX((Log!$D$4:$D$1203=$A67)*(Log!$B$4:$B$1203=E$53)*(Log!$E$4:$E$1203="A")*(Log!$F$4:$F$1203&lt;&gt;"")*(Log!$G$4:$G$1203&lt;&gt;"")*Log!$F$4:$F$1203*(1+Log!$G$4:$G$1203/30)))=0,"",SUMPRODUCT(MAX((Log!$D$4:$D$1203=$A67)*(Log!$B$4:$B$1203=E$53)*(Log!$E$4:$E$1203="A")*(Log!$F$4:$F$1203&lt;&gt;"")*(Log!$G$4:$G$1203&lt;&gt;"")*Log!$F$4:$F$1203*(1+Log!$G$4:$G$1203/30)))))</f>
        <v/>
      </c>
      <c r="F67" s="82" t="str">
        <f aca="false">IF($A67="","",IF(SUMPRODUCT(MAX((Log!$D$4:$D$1203=$A67)*(Log!$B$4:$B$1203=F$53)*(Log!$E$4:$E$1203="A")*(Log!$F$4:$F$1203&lt;&gt;"")*(Log!$G$4:$G$1203&lt;&gt;"")*Log!$F$4:$F$1203*(1+Log!$G$4:$G$1203/30)))=0,"",SUMPRODUCT(MAX((Log!$D$4:$D$1203=$A67)*(Log!$B$4:$B$1203=F$53)*(Log!$E$4:$E$1203="A")*(Log!$F$4:$F$1203&lt;&gt;"")*(Log!$G$4:$G$1203&lt;&gt;"")*Log!$F$4:$F$1203*(1+Log!$G$4:$G$1203/30)))))</f>
        <v/>
      </c>
      <c r="G67" s="82" t="str">
        <f aca="false">IF($A67="","",IF(SUMPRODUCT(MAX((Log!$D$4:$D$1203=$A67)*(Log!$B$4:$B$1203=G$53)*(Log!$E$4:$E$1203="A")*(Log!$F$4:$F$1203&lt;&gt;"")*(Log!$G$4:$G$1203&lt;&gt;"")*Log!$F$4:$F$1203*(1+Log!$G$4:$G$1203/30)))=0,"",SUMPRODUCT(MAX((Log!$D$4:$D$1203=$A67)*(Log!$B$4:$B$1203=G$53)*(Log!$E$4:$E$1203="A")*(Log!$F$4:$F$1203&lt;&gt;"")*(Log!$G$4:$G$1203&lt;&gt;"")*Log!$F$4:$F$1203*(1+Log!$G$4:$G$1203/30)))))</f>
        <v/>
      </c>
      <c r="H67" s="82" t="str">
        <f aca="false">IF($A67="","",IF(SUMPRODUCT(MAX((Log!$D$4:$D$1203=$A67)*(Log!$B$4:$B$1203=H$53)*(Log!$E$4:$E$1203="A")*(Log!$F$4:$F$1203&lt;&gt;"")*(Log!$G$4:$G$1203&lt;&gt;"")*Log!$F$4:$F$1203*(1+Log!$G$4:$G$1203/30)))=0,"",SUMPRODUCT(MAX((Log!$D$4:$D$1203=$A67)*(Log!$B$4:$B$1203=H$53)*(Log!$E$4:$E$1203="A")*(Log!$F$4:$F$1203&lt;&gt;"")*(Log!$G$4:$G$1203&lt;&gt;"")*Log!$F$4:$F$1203*(1+Log!$G$4:$G$1203/30)))))</f>
        <v/>
      </c>
      <c r="I67" s="82" t="str">
        <f aca="false">IF($A67="","",IF(SUMPRODUCT(MAX((Log!$D$4:$D$1203=$A67)*(Log!$B$4:$B$1203=I$53)*(Log!$E$4:$E$1203="A")*(Log!$F$4:$F$1203&lt;&gt;"")*(Log!$G$4:$G$1203&lt;&gt;"")*Log!$F$4:$F$1203*(1+Log!$G$4:$G$1203/30)))=0,"",SUMPRODUCT(MAX((Log!$D$4:$D$1203=$A67)*(Log!$B$4:$B$1203=I$53)*(Log!$E$4:$E$1203="A")*(Log!$F$4:$F$1203&lt;&gt;"")*(Log!$G$4:$G$1203&lt;&gt;"")*Log!$F$4:$F$1203*(1+Log!$G$4:$G$1203/30)))))</f>
        <v/>
      </c>
      <c r="J67" s="82" t="str">
        <f aca="false">IF($A67="","",IF(SUMPRODUCT(MAX((Log!$D$4:$D$1203=$A67)*(Log!$B$4:$B$1203=J$53)*(Log!$E$4:$E$1203="A")*(Log!$F$4:$F$1203&lt;&gt;"")*(Log!$G$4:$G$1203&lt;&gt;"")*Log!$F$4:$F$1203*(1+Log!$G$4:$G$1203/30)))=0,"",SUMPRODUCT(MAX((Log!$D$4:$D$1203=$A67)*(Log!$B$4:$B$1203=J$53)*(Log!$E$4:$E$1203="A")*(Log!$F$4:$F$1203&lt;&gt;"")*(Log!$G$4:$G$1203&lt;&gt;"")*Log!$F$4:$F$1203*(1+Log!$G$4:$G$1203/30)))))</f>
        <v/>
      </c>
      <c r="K67" s="82" t="str">
        <f aca="false">IF($A67="","",IF(SUMPRODUCT(MAX((Log!$D$4:$D$1203=$A67)*(Log!$B$4:$B$1203=K$53)*(Log!$E$4:$E$1203="A")*(Log!$F$4:$F$1203&lt;&gt;"")*(Log!$G$4:$G$1203&lt;&gt;"")*Log!$F$4:$F$1203*(1+Log!$G$4:$G$1203/30)))=0,"",SUMPRODUCT(MAX((Log!$D$4:$D$1203=$A67)*(Log!$B$4:$B$1203=K$53)*(Log!$E$4:$E$1203="A")*(Log!$F$4:$F$1203&lt;&gt;"")*(Log!$G$4:$G$1203&lt;&gt;"")*Log!$F$4:$F$1203*(1+Log!$G$4:$G$1203/30)))))</f>
        <v/>
      </c>
      <c r="L67" s="82" t="str">
        <f aca="false">IF($A67="","",IF(SUMPRODUCT(MAX((Log!$D$4:$D$1203=$A67)*(Log!$B$4:$B$1203=L$53)*(Log!$E$4:$E$1203="A")*(Log!$F$4:$F$1203&lt;&gt;"")*(Log!$G$4:$G$1203&lt;&gt;"")*Log!$F$4:$F$1203*(1+Log!$G$4:$G$1203/30)))=0,"",SUMPRODUCT(MAX((Log!$D$4:$D$1203=$A67)*(Log!$B$4:$B$1203=L$53)*(Log!$E$4:$E$1203="A")*(Log!$F$4:$F$1203&lt;&gt;"")*(Log!$G$4:$G$1203&lt;&gt;"")*Log!$F$4:$F$1203*(1+Log!$G$4:$G$1203/30)))))</f>
        <v/>
      </c>
      <c r="M67" s="82" t="str">
        <f aca="false">IF($A67="","",IF(SUMPRODUCT(MAX((Log!$D$4:$D$1203=$A67)*(Log!$B$4:$B$1203=M$53)*(Log!$E$4:$E$1203="A")*(Log!$F$4:$F$1203&lt;&gt;"")*(Log!$G$4:$G$1203&lt;&gt;"")*Log!$F$4:$F$1203*(1+Log!$G$4:$G$1203/30)))=0,"",SUMPRODUCT(MAX((Log!$D$4:$D$1203=$A67)*(Log!$B$4:$B$1203=M$53)*(Log!$E$4:$E$1203="A")*(Log!$F$4:$F$1203&lt;&gt;"")*(Log!$G$4:$G$1203&lt;&gt;"")*Log!$F$4:$F$1203*(1+Log!$G$4:$G$1203/30)))))</f>
        <v/>
      </c>
      <c r="N67" s="82" t="str">
        <f aca="false">IF($A67="","",IF(SUMPRODUCT(MAX((Log!$D$4:$D$1203=$A67)*(Log!$B$4:$B$1203=N$53)*(Log!$E$4:$E$1203="A")*(Log!$F$4:$F$1203&lt;&gt;"")*(Log!$G$4:$G$1203&lt;&gt;"")*Log!$F$4:$F$1203*(1+Log!$G$4:$G$1203/30)))=0,"",SUMPRODUCT(MAX((Log!$D$4:$D$1203=$A67)*(Log!$B$4:$B$1203=N$53)*(Log!$E$4:$E$1203="A")*(Log!$F$4:$F$1203&lt;&gt;"")*(Log!$G$4:$G$1203&lt;&gt;"")*Log!$F$4:$F$1203*(1+Log!$G$4:$G$1203/30)))))</f>
        <v/>
      </c>
      <c r="O67" s="82" t="str">
        <f aca="false">IF($A67="","",IF(SUMPRODUCT(MAX((Log!$D$4:$D$1203=$A67)*(Log!$B$4:$B$1203=O$53)*(Log!$E$4:$E$1203="A")*(Log!$F$4:$F$1203&lt;&gt;"")*(Log!$G$4:$G$1203&lt;&gt;"")*Log!$F$4:$F$1203*(1+Log!$G$4:$G$1203/30)))=0,"",SUMPRODUCT(MAX((Log!$D$4:$D$1203=$A67)*(Log!$B$4:$B$1203=O$53)*(Log!$E$4:$E$1203="A")*(Log!$F$4:$F$1203&lt;&gt;"")*(Log!$G$4:$G$1203&lt;&gt;"")*Log!$F$4:$F$1203*(1+Log!$G$4:$G$1203/30)))))</f>
        <v/>
      </c>
      <c r="P67" s="82" t="n">
        <f aca="false">IF($A67="","",IF(SUMPRODUCT(MAX((Log!$D$4:$D$1203=$A67)*(Log!$B$4:$B$1203=P$53)*(Log!$E$4:$E$1203="A")*(Log!$F$4:$F$1203&lt;&gt;"")*(Log!$G$4:$G$1203&lt;&gt;"")*Log!$F$4:$F$1203*(1+Log!$G$4:$G$1203/30)))=0,"",SUMPRODUCT(MAX((Log!$D$4:$D$1203=$A67)*(Log!$B$4:$B$1203=P$53)*(Log!$E$4:$E$1203="A")*(Log!$F$4:$F$1203&lt;&gt;"")*(Log!$G$4:$G$1203&lt;&gt;"")*Log!$F$4:$F$1203*(1+Log!$G$4:$G$1203/30)))))</f>
        <v>156</v>
      </c>
      <c r="Q67" s="82" t="str">
        <f aca="false">IF($A67="","",IF(SUMPRODUCT(MAX((Log!$D$4:$D$1203=$A67)*(Log!$B$4:$B$1203=Q$53)*(Log!$E$4:$E$1203="A")*(Log!$F$4:$F$1203&lt;&gt;"")*(Log!$G$4:$G$1203&lt;&gt;"")*Log!$F$4:$F$1203*(1+Log!$G$4:$G$1203/30)))=0,"",SUMPRODUCT(MAX((Log!$D$4:$D$1203=$A67)*(Log!$B$4:$B$1203=Q$53)*(Log!$E$4:$E$1203="A")*(Log!$F$4:$F$1203&lt;&gt;"")*(Log!$G$4:$G$1203&lt;&gt;"")*Log!$F$4:$F$1203*(1+Log!$G$4:$G$1203/30)))))</f>
        <v/>
      </c>
      <c r="R67" s="81"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34" t="str">
        <f aca="false">IF(Übungen!$A18="","",Übungen!$A18)</f>
        <v>Hip Thrust Bülach</v>
      </c>
      <c r="B68" s="80" t="str">
        <f aca="false">IF($A68="","",IF(SUMPRODUCT(MAX((Log!$D$4:$D$1203=$A68)*(Log!$B$4:$B$1203=B$53)*(Log!$E$4:$E$1203="A")*(Log!$F$4:$F$1203&lt;&gt;"")*(Log!$G$4:$G$1203&lt;&gt;"")*Log!$F$4:$F$1203*(1+Log!$G$4:$G$1203/30)))=0,"",SUMPRODUCT(MAX((Log!$D$4:$D$1203=$A68)*(Log!$B$4:$B$1203=B$53)*(Log!$E$4:$E$1203="A")*(Log!$F$4:$F$1203&lt;&gt;"")*(Log!$G$4:$G$1203&lt;&gt;"")*Log!$F$4:$F$1203*(1+Log!$G$4:$G$1203/30)))))</f>
        <v/>
      </c>
      <c r="C68" s="80" t="str">
        <f aca="false">IF($A68="","",IF(SUMPRODUCT(MAX((Log!$D$4:$D$1203=$A68)*(Log!$B$4:$B$1203=C$53)*(Log!$E$4:$E$1203="A")*(Log!$F$4:$F$1203&lt;&gt;"")*(Log!$G$4:$G$1203&lt;&gt;"")*Log!$F$4:$F$1203*(1+Log!$G$4:$G$1203/30)))=0,"",SUMPRODUCT(MAX((Log!$D$4:$D$1203=$A68)*(Log!$B$4:$B$1203=C$53)*(Log!$E$4:$E$1203="A")*(Log!$F$4:$F$1203&lt;&gt;"")*(Log!$G$4:$G$1203&lt;&gt;"")*Log!$F$4:$F$1203*(1+Log!$G$4:$G$1203/30)))))</f>
        <v/>
      </c>
      <c r="D68" s="80" t="str">
        <f aca="false">IF($A68="","",IF(SUMPRODUCT(MAX((Log!$D$4:$D$1203=$A68)*(Log!$B$4:$B$1203=D$53)*(Log!$E$4:$E$1203="A")*(Log!$F$4:$F$1203&lt;&gt;"")*(Log!$G$4:$G$1203&lt;&gt;"")*Log!$F$4:$F$1203*(1+Log!$G$4:$G$1203/30)))=0,"",SUMPRODUCT(MAX((Log!$D$4:$D$1203=$A68)*(Log!$B$4:$B$1203=D$53)*(Log!$E$4:$E$1203="A")*(Log!$F$4:$F$1203&lt;&gt;"")*(Log!$G$4:$G$1203&lt;&gt;"")*Log!$F$4:$F$1203*(1+Log!$G$4:$G$1203/30)))))</f>
        <v/>
      </c>
      <c r="E68" s="80" t="str">
        <f aca="false">IF($A68="","",IF(SUMPRODUCT(MAX((Log!$D$4:$D$1203=$A68)*(Log!$B$4:$B$1203=E$53)*(Log!$E$4:$E$1203="A")*(Log!$F$4:$F$1203&lt;&gt;"")*(Log!$G$4:$G$1203&lt;&gt;"")*Log!$F$4:$F$1203*(1+Log!$G$4:$G$1203/30)))=0,"",SUMPRODUCT(MAX((Log!$D$4:$D$1203=$A68)*(Log!$B$4:$B$1203=E$53)*(Log!$E$4:$E$1203="A")*(Log!$F$4:$F$1203&lt;&gt;"")*(Log!$G$4:$G$1203&lt;&gt;"")*Log!$F$4:$F$1203*(1+Log!$G$4:$G$1203/30)))))</f>
        <v/>
      </c>
      <c r="F68" s="80" t="str">
        <f aca="false">IF($A68="","",IF(SUMPRODUCT(MAX((Log!$D$4:$D$1203=$A68)*(Log!$B$4:$B$1203=F$53)*(Log!$E$4:$E$1203="A")*(Log!$F$4:$F$1203&lt;&gt;"")*(Log!$G$4:$G$1203&lt;&gt;"")*Log!$F$4:$F$1203*(1+Log!$G$4:$G$1203/30)))=0,"",SUMPRODUCT(MAX((Log!$D$4:$D$1203=$A68)*(Log!$B$4:$B$1203=F$53)*(Log!$E$4:$E$1203="A")*(Log!$F$4:$F$1203&lt;&gt;"")*(Log!$G$4:$G$1203&lt;&gt;"")*Log!$F$4:$F$1203*(1+Log!$G$4:$G$1203/30)))))</f>
        <v/>
      </c>
      <c r="G68" s="80" t="str">
        <f aca="false">IF($A68="","",IF(SUMPRODUCT(MAX((Log!$D$4:$D$1203=$A68)*(Log!$B$4:$B$1203=G$53)*(Log!$E$4:$E$1203="A")*(Log!$F$4:$F$1203&lt;&gt;"")*(Log!$G$4:$G$1203&lt;&gt;"")*Log!$F$4:$F$1203*(1+Log!$G$4:$G$1203/30)))=0,"",SUMPRODUCT(MAX((Log!$D$4:$D$1203=$A68)*(Log!$B$4:$B$1203=G$53)*(Log!$E$4:$E$1203="A")*(Log!$F$4:$F$1203&lt;&gt;"")*(Log!$G$4:$G$1203&lt;&gt;"")*Log!$F$4:$F$1203*(1+Log!$G$4:$G$1203/30)))))</f>
        <v/>
      </c>
      <c r="H68" s="80" t="str">
        <f aca="false">IF($A68="","",IF(SUMPRODUCT(MAX((Log!$D$4:$D$1203=$A68)*(Log!$B$4:$B$1203=H$53)*(Log!$E$4:$E$1203="A")*(Log!$F$4:$F$1203&lt;&gt;"")*(Log!$G$4:$G$1203&lt;&gt;"")*Log!$F$4:$F$1203*(1+Log!$G$4:$G$1203/30)))=0,"",SUMPRODUCT(MAX((Log!$D$4:$D$1203=$A68)*(Log!$B$4:$B$1203=H$53)*(Log!$E$4:$E$1203="A")*(Log!$F$4:$F$1203&lt;&gt;"")*(Log!$G$4:$G$1203&lt;&gt;"")*Log!$F$4:$F$1203*(1+Log!$G$4:$G$1203/30)))))</f>
        <v/>
      </c>
      <c r="I68" s="80" t="str">
        <f aca="false">IF($A68="","",IF(SUMPRODUCT(MAX((Log!$D$4:$D$1203=$A68)*(Log!$B$4:$B$1203=I$53)*(Log!$E$4:$E$1203="A")*(Log!$F$4:$F$1203&lt;&gt;"")*(Log!$G$4:$G$1203&lt;&gt;"")*Log!$F$4:$F$1203*(1+Log!$G$4:$G$1203/30)))=0,"",SUMPRODUCT(MAX((Log!$D$4:$D$1203=$A68)*(Log!$B$4:$B$1203=I$53)*(Log!$E$4:$E$1203="A")*(Log!$F$4:$F$1203&lt;&gt;"")*(Log!$G$4:$G$1203&lt;&gt;"")*Log!$F$4:$F$1203*(1+Log!$G$4:$G$1203/30)))))</f>
        <v/>
      </c>
      <c r="J68" s="80" t="str">
        <f aca="false">IF($A68="","",IF(SUMPRODUCT(MAX((Log!$D$4:$D$1203=$A68)*(Log!$B$4:$B$1203=J$53)*(Log!$E$4:$E$1203="A")*(Log!$F$4:$F$1203&lt;&gt;"")*(Log!$G$4:$G$1203&lt;&gt;"")*Log!$F$4:$F$1203*(1+Log!$G$4:$G$1203/30)))=0,"",SUMPRODUCT(MAX((Log!$D$4:$D$1203=$A68)*(Log!$B$4:$B$1203=J$53)*(Log!$E$4:$E$1203="A")*(Log!$F$4:$F$1203&lt;&gt;"")*(Log!$G$4:$G$1203&lt;&gt;"")*Log!$F$4:$F$1203*(1+Log!$G$4:$G$1203/30)))))</f>
        <v/>
      </c>
      <c r="K68" s="80" t="str">
        <f aca="false">IF($A68="","",IF(SUMPRODUCT(MAX((Log!$D$4:$D$1203=$A68)*(Log!$B$4:$B$1203=K$53)*(Log!$E$4:$E$1203="A")*(Log!$F$4:$F$1203&lt;&gt;"")*(Log!$G$4:$G$1203&lt;&gt;"")*Log!$F$4:$F$1203*(1+Log!$G$4:$G$1203/30)))=0,"",SUMPRODUCT(MAX((Log!$D$4:$D$1203=$A68)*(Log!$B$4:$B$1203=K$53)*(Log!$E$4:$E$1203="A")*(Log!$F$4:$F$1203&lt;&gt;"")*(Log!$G$4:$G$1203&lt;&gt;"")*Log!$F$4:$F$1203*(1+Log!$G$4:$G$1203/30)))))</f>
        <v/>
      </c>
      <c r="L68" s="80" t="str">
        <f aca="false">IF($A68="","",IF(SUMPRODUCT(MAX((Log!$D$4:$D$1203=$A68)*(Log!$B$4:$B$1203=L$53)*(Log!$E$4:$E$1203="A")*(Log!$F$4:$F$1203&lt;&gt;"")*(Log!$G$4:$G$1203&lt;&gt;"")*Log!$F$4:$F$1203*(1+Log!$G$4:$G$1203/30)))=0,"",SUMPRODUCT(MAX((Log!$D$4:$D$1203=$A68)*(Log!$B$4:$B$1203=L$53)*(Log!$E$4:$E$1203="A")*(Log!$F$4:$F$1203&lt;&gt;"")*(Log!$G$4:$G$1203&lt;&gt;"")*Log!$F$4:$F$1203*(1+Log!$G$4:$G$1203/30)))))</f>
        <v/>
      </c>
      <c r="M68" s="80" t="str">
        <f aca="false">IF($A68="","",IF(SUMPRODUCT(MAX((Log!$D$4:$D$1203=$A68)*(Log!$B$4:$B$1203=M$53)*(Log!$E$4:$E$1203="A")*(Log!$F$4:$F$1203&lt;&gt;"")*(Log!$G$4:$G$1203&lt;&gt;"")*Log!$F$4:$F$1203*(1+Log!$G$4:$G$1203/30)))=0,"",SUMPRODUCT(MAX((Log!$D$4:$D$1203=$A68)*(Log!$B$4:$B$1203=M$53)*(Log!$E$4:$E$1203="A")*(Log!$F$4:$F$1203&lt;&gt;"")*(Log!$G$4:$G$1203&lt;&gt;"")*Log!$F$4:$F$1203*(1+Log!$G$4:$G$1203/30)))))</f>
        <v/>
      </c>
      <c r="N68" s="80" t="str">
        <f aca="false">IF($A68="","",IF(SUMPRODUCT(MAX((Log!$D$4:$D$1203=$A68)*(Log!$B$4:$B$1203=N$53)*(Log!$E$4:$E$1203="A")*(Log!$F$4:$F$1203&lt;&gt;"")*(Log!$G$4:$G$1203&lt;&gt;"")*Log!$F$4:$F$1203*(1+Log!$G$4:$G$1203/30)))=0,"",SUMPRODUCT(MAX((Log!$D$4:$D$1203=$A68)*(Log!$B$4:$B$1203=N$53)*(Log!$E$4:$E$1203="A")*(Log!$F$4:$F$1203&lt;&gt;"")*(Log!$G$4:$G$1203&lt;&gt;"")*Log!$F$4:$F$1203*(1+Log!$G$4:$G$1203/30)))))</f>
        <v/>
      </c>
      <c r="O68" s="80" t="str">
        <f aca="false">IF($A68="","",IF(SUMPRODUCT(MAX((Log!$D$4:$D$1203=$A68)*(Log!$B$4:$B$1203=O$53)*(Log!$E$4:$E$1203="A")*(Log!$F$4:$F$1203&lt;&gt;"")*(Log!$G$4:$G$1203&lt;&gt;"")*Log!$F$4:$F$1203*(1+Log!$G$4:$G$1203/30)))=0,"",SUMPRODUCT(MAX((Log!$D$4:$D$1203=$A68)*(Log!$B$4:$B$1203=O$53)*(Log!$E$4:$E$1203="A")*(Log!$F$4:$F$1203&lt;&gt;"")*(Log!$G$4:$G$1203&lt;&gt;"")*Log!$F$4:$F$1203*(1+Log!$G$4:$G$1203/30)))))</f>
        <v/>
      </c>
      <c r="P68" s="80" t="n">
        <f aca="false">IF($A68="","",IF(SUMPRODUCT(MAX((Log!$D$4:$D$1203=$A68)*(Log!$B$4:$B$1203=P$53)*(Log!$E$4:$E$1203="A")*(Log!$F$4:$F$1203&lt;&gt;"")*(Log!$G$4:$G$1203&lt;&gt;"")*Log!$F$4:$F$1203*(1+Log!$G$4:$G$1203/30)))=0,"",SUMPRODUCT(MAX((Log!$D$4:$D$1203=$A68)*(Log!$B$4:$B$1203=P$53)*(Log!$E$4:$E$1203="A")*(Log!$F$4:$F$1203&lt;&gt;"")*(Log!$G$4:$G$1203&lt;&gt;"")*Log!$F$4:$F$1203*(1+Log!$G$4:$G$1203/30)))))</f>
        <v>266.666666666667</v>
      </c>
      <c r="Q68" s="80" t="str">
        <f aca="false">IF($A68="","",IF(SUMPRODUCT(MAX((Log!$D$4:$D$1203=$A68)*(Log!$B$4:$B$1203=Q$53)*(Log!$E$4:$E$1203="A")*(Log!$F$4:$F$1203&lt;&gt;"")*(Log!$G$4:$G$1203&lt;&gt;"")*Log!$F$4:$F$1203*(1+Log!$G$4:$G$1203/30)))=0,"",SUMPRODUCT(MAX((Log!$D$4:$D$1203=$A68)*(Log!$B$4:$B$1203=Q$53)*(Log!$E$4:$E$1203="A")*(Log!$F$4:$F$1203&lt;&gt;"")*(Log!$G$4:$G$1203&lt;&gt;"")*Log!$F$4:$F$1203*(1+Log!$G$4:$G$1203/30)))))</f>
        <v/>
      </c>
      <c r="R68" s="81"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2" t="str">
        <f aca="false">IF($A69="","",IF(SUMPRODUCT(MAX((Log!$D$4:$D$1203=$A69)*(Log!$B$4:$B$1203=B$53)*(Log!$E$4:$E$1203="A")*(Log!$F$4:$F$1203&lt;&gt;"")*(Log!$G$4:$G$1203&lt;&gt;"")*Log!$F$4:$F$1203*(1+Log!$G$4:$G$1203/30)))=0,"",SUMPRODUCT(MAX((Log!$D$4:$D$1203=$A69)*(Log!$B$4:$B$1203=B$53)*(Log!$E$4:$E$1203="A")*(Log!$F$4:$F$1203&lt;&gt;"")*(Log!$G$4:$G$1203&lt;&gt;"")*Log!$F$4:$F$1203*(1+Log!$G$4:$G$1203/30)))))</f>
        <v/>
      </c>
      <c r="C69" s="82" t="str">
        <f aca="false">IF($A69="","",IF(SUMPRODUCT(MAX((Log!$D$4:$D$1203=$A69)*(Log!$B$4:$B$1203=C$53)*(Log!$E$4:$E$1203="A")*(Log!$F$4:$F$1203&lt;&gt;"")*(Log!$G$4:$G$1203&lt;&gt;"")*Log!$F$4:$F$1203*(1+Log!$G$4:$G$1203/30)))=0,"",SUMPRODUCT(MAX((Log!$D$4:$D$1203=$A69)*(Log!$B$4:$B$1203=C$53)*(Log!$E$4:$E$1203="A")*(Log!$F$4:$F$1203&lt;&gt;"")*(Log!$G$4:$G$1203&lt;&gt;"")*Log!$F$4:$F$1203*(1+Log!$G$4:$G$1203/30)))))</f>
        <v/>
      </c>
      <c r="D69" s="82" t="str">
        <f aca="false">IF($A69="","",IF(SUMPRODUCT(MAX((Log!$D$4:$D$1203=$A69)*(Log!$B$4:$B$1203=D$53)*(Log!$E$4:$E$1203="A")*(Log!$F$4:$F$1203&lt;&gt;"")*(Log!$G$4:$G$1203&lt;&gt;"")*Log!$F$4:$F$1203*(1+Log!$G$4:$G$1203/30)))=0,"",SUMPRODUCT(MAX((Log!$D$4:$D$1203=$A69)*(Log!$B$4:$B$1203=D$53)*(Log!$E$4:$E$1203="A")*(Log!$F$4:$F$1203&lt;&gt;"")*(Log!$G$4:$G$1203&lt;&gt;"")*Log!$F$4:$F$1203*(1+Log!$G$4:$G$1203/30)))))</f>
        <v/>
      </c>
      <c r="E69" s="82" t="str">
        <f aca="false">IF($A69="","",IF(SUMPRODUCT(MAX((Log!$D$4:$D$1203=$A69)*(Log!$B$4:$B$1203=E$53)*(Log!$E$4:$E$1203="A")*(Log!$F$4:$F$1203&lt;&gt;"")*(Log!$G$4:$G$1203&lt;&gt;"")*Log!$F$4:$F$1203*(1+Log!$G$4:$G$1203/30)))=0,"",SUMPRODUCT(MAX((Log!$D$4:$D$1203=$A69)*(Log!$B$4:$B$1203=E$53)*(Log!$E$4:$E$1203="A")*(Log!$F$4:$F$1203&lt;&gt;"")*(Log!$G$4:$G$1203&lt;&gt;"")*Log!$F$4:$F$1203*(1+Log!$G$4:$G$1203/30)))))</f>
        <v/>
      </c>
      <c r="F69" s="82" t="str">
        <f aca="false">IF($A69="","",IF(SUMPRODUCT(MAX((Log!$D$4:$D$1203=$A69)*(Log!$B$4:$B$1203=F$53)*(Log!$E$4:$E$1203="A")*(Log!$F$4:$F$1203&lt;&gt;"")*(Log!$G$4:$G$1203&lt;&gt;"")*Log!$F$4:$F$1203*(1+Log!$G$4:$G$1203/30)))=0,"",SUMPRODUCT(MAX((Log!$D$4:$D$1203=$A69)*(Log!$B$4:$B$1203=F$53)*(Log!$E$4:$E$1203="A")*(Log!$F$4:$F$1203&lt;&gt;"")*(Log!$G$4:$G$1203&lt;&gt;"")*Log!$F$4:$F$1203*(1+Log!$G$4:$G$1203/30)))))</f>
        <v/>
      </c>
      <c r="G69" s="82" t="str">
        <f aca="false">IF($A69="","",IF(SUMPRODUCT(MAX((Log!$D$4:$D$1203=$A69)*(Log!$B$4:$B$1203=G$53)*(Log!$E$4:$E$1203="A")*(Log!$F$4:$F$1203&lt;&gt;"")*(Log!$G$4:$G$1203&lt;&gt;"")*Log!$F$4:$F$1203*(1+Log!$G$4:$G$1203/30)))=0,"",SUMPRODUCT(MAX((Log!$D$4:$D$1203=$A69)*(Log!$B$4:$B$1203=G$53)*(Log!$E$4:$E$1203="A")*(Log!$F$4:$F$1203&lt;&gt;"")*(Log!$G$4:$G$1203&lt;&gt;"")*Log!$F$4:$F$1203*(1+Log!$G$4:$G$1203/30)))))</f>
        <v/>
      </c>
      <c r="H69" s="82" t="str">
        <f aca="false">IF($A69="","",IF(SUMPRODUCT(MAX((Log!$D$4:$D$1203=$A69)*(Log!$B$4:$B$1203=H$53)*(Log!$E$4:$E$1203="A")*(Log!$F$4:$F$1203&lt;&gt;"")*(Log!$G$4:$G$1203&lt;&gt;"")*Log!$F$4:$F$1203*(1+Log!$G$4:$G$1203/30)))=0,"",SUMPRODUCT(MAX((Log!$D$4:$D$1203=$A69)*(Log!$B$4:$B$1203=H$53)*(Log!$E$4:$E$1203="A")*(Log!$F$4:$F$1203&lt;&gt;"")*(Log!$G$4:$G$1203&lt;&gt;"")*Log!$F$4:$F$1203*(1+Log!$G$4:$G$1203/30)))))</f>
        <v/>
      </c>
      <c r="I69" s="82" t="str">
        <f aca="false">IF($A69="","",IF(SUMPRODUCT(MAX((Log!$D$4:$D$1203=$A69)*(Log!$B$4:$B$1203=I$53)*(Log!$E$4:$E$1203="A")*(Log!$F$4:$F$1203&lt;&gt;"")*(Log!$G$4:$G$1203&lt;&gt;"")*Log!$F$4:$F$1203*(1+Log!$G$4:$G$1203/30)))=0,"",SUMPRODUCT(MAX((Log!$D$4:$D$1203=$A69)*(Log!$B$4:$B$1203=I$53)*(Log!$E$4:$E$1203="A")*(Log!$F$4:$F$1203&lt;&gt;"")*(Log!$G$4:$G$1203&lt;&gt;"")*Log!$F$4:$F$1203*(1+Log!$G$4:$G$1203/30)))))</f>
        <v/>
      </c>
      <c r="J69" s="82" t="str">
        <f aca="false">IF($A69="","",IF(SUMPRODUCT(MAX((Log!$D$4:$D$1203=$A69)*(Log!$B$4:$B$1203=J$53)*(Log!$E$4:$E$1203="A")*(Log!$F$4:$F$1203&lt;&gt;"")*(Log!$G$4:$G$1203&lt;&gt;"")*Log!$F$4:$F$1203*(1+Log!$G$4:$G$1203/30)))=0,"",SUMPRODUCT(MAX((Log!$D$4:$D$1203=$A69)*(Log!$B$4:$B$1203=J$53)*(Log!$E$4:$E$1203="A")*(Log!$F$4:$F$1203&lt;&gt;"")*(Log!$G$4:$G$1203&lt;&gt;"")*Log!$F$4:$F$1203*(1+Log!$G$4:$G$1203/30)))))</f>
        <v/>
      </c>
      <c r="K69" s="82" t="str">
        <f aca="false">IF($A69="","",IF(SUMPRODUCT(MAX((Log!$D$4:$D$1203=$A69)*(Log!$B$4:$B$1203=K$53)*(Log!$E$4:$E$1203="A")*(Log!$F$4:$F$1203&lt;&gt;"")*(Log!$G$4:$G$1203&lt;&gt;"")*Log!$F$4:$F$1203*(1+Log!$G$4:$G$1203/30)))=0,"",SUMPRODUCT(MAX((Log!$D$4:$D$1203=$A69)*(Log!$B$4:$B$1203=K$53)*(Log!$E$4:$E$1203="A")*(Log!$F$4:$F$1203&lt;&gt;"")*(Log!$G$4:$G$1203&lt;&gt;"")*Log!$F$4:$F$1203*(1+Log!$G$4:$G$1203/30)))))</f>
        <v/>
      </c>
      <c r="L69" s="82" t="str">
        <f aca="false">IF($A69="","",IF(SUMPRODUCT(MAX((Log!$D$4:$D$1203=$A69)*(Log!$B$4:$B$1203=L$53)*(Log!$E$4:$E$1203="A")*(Log!$F$4:$F$1203&lt;&gt;"")*(Log!$G$4:$G$1203&lt;&gt;"")*Log!$F$4:$F$1203*(1+Log!$G$4:$G$1203/30)))=0,"",SUMPRODUCT(MAX((Log!$D$4:$D$1203=$A69)*(Log!$B$4:$B$1203=L$53)*(Log!$E$4:$E$1203="A")*(Log!$F$4:$F$1203&lt;&gt;"")*(Log!$G$4:$G$1203&lt;&gt;"")*Log!$F$4:$F$1203*(1+Log!$G$4:$G$1203/30)))))</f>
        <v/>
      </c>
      <c r="M69" s="82" t="str">
        <f aca="false">IF($A69="","",IF(SUMPRODUCT(MAX((Log!$D$4:$D$1203=$A69)*(Log!$B$4:$B$1203=M$53)*(Log!$E$4:$E$1203="A")*(Log!$F$4:$F$1203&lt;&gt;"")*(Log!$G$4:$G$1203&lt;&gt;"")*Log!$F$4:$F$1203*(1+Log!$G$4:$G$1203/30)))=0,"",SUMPRODUCT(MAX((Log!$D$4:$D$1203=$A69)*(Log!$B$4:$B$1203=M$53)*(Log!$E$4:$E$1203="A")*(Log!$F$4:$F$1203&lt;&gt;"")*(Log!$G$4:$G$1203&lt;&gt;"")*Log!$F$4:$F$1203*(1+Log!$G$4:$G$1203/30)))))</f>
        <v/>
      </c>
      <c r="N69" s="82" t="str">
        <f aca="false">IF($A69="","",IF(SUMPRODUCT(MAX((Log!$D$4:$D$1203=$A69)*(Log!$B$4:$B$1203=N$53)*(Log!$E$4:$E$1203="A")*(Log!$F$4:$F$1203&lt;&gt;"")*(Log!$G$4:$G$1203&lt;&gt;"")*Log!$F$4:$F$1203*(1+Log!$G$4:$G$1203/30)))=0,"",SUMPRODUCT(MAX((Log!$D$4:$D$1203=$A69)*(Log!$B$4:$B$1203=N$53)*(Log!$E$4:$E$1203="A")*(Log!$F$4:$F$1203&lt;&gt;"")*(Log!$G$4:$G$1203&lt;&gt;"")*Log!$F$4:$F$1203*(1+Log!$G$4:$G$1203/30)))))</f>
        <v/>
      </c>
      <c r="O69" s="82" t="str">
        <f aca="false">IF($A69="","",IF(SUMPRODUCT(MAX((Log!$D$4:$D$1203=$A69)*(Log!$B$4:$B$1203=O$53)*(Log!$E$4:$E$1203="A")*(Log!$F$4:$F$1203&lt;&gt;"")*(Log!$G$4:$G$1203&lt;&gt;"")*Log!$F$4:$F$1203*(1+Log!$G$4:$G$1203/30)))=0,"",SUMPRODUCT(MAX((Log!$D$4:$D$1203=$A69)*(Log!$B$4:$B$1203=O$53)*(Log!$E$4:$E$1203="A")*(Log!$F$4:$F$1203&lt;&gt;"")*(Log!$G$4:$G$1203&lt;&gt;"")*Log!$F$4:$F$1203*(1+Log!$G$4:$G$1203/30)))))</f>
        <v/>
      </c>
      <c r="P69" s="82" t="n">
        <f aca="false">IF($A69="","",IF(SUMPRODUCT(MAX((Log!$D$4:$D$1203=$A69)*(Log!$B$4:$B$1203=P$53)*(Log!$E$4:$E$1203="A")*(Log!$F$4:$F$1203&lt;&gt;"")*(Log!$G$4:$G$1203&lt;&gt;"")*Log!$F$4:$F$1203*(1+Log!$G$4:$G$1203/30)))=0,"",SUMPRODUCT(MAX((Log!$D$4:$D$1203=$A69)*(Log!$B$4:$B$1203=P$53)*(Log!$E$4:$E$1203="A")*(Log!$F$4:$F$1203&lt;&gt;"")*(Log!$G$4:$G$1203&lt;&gt;"")*Log!$F$4:$F$1203*(1+Log!$G$4:$G$1203/30)))))</f>
        <v>70.8</v>
      </c>
      <c r="Q69" s="82" t="str">
        <f aca="false">IF($A69="","",IF(SUMPRODUCT(MAX((Log!$D$4:$D$1203=$A69)*(Log!$B$4:$B$1203=Q$53)*(Log!$E$4:$E$1203="A")*(Log!$F$4:$F$1203&lt;&gt;"")*(Log!$G$4:$G$1203&lt;&gt;"")*Log!$F$4:$F$1203*(1+Log!$G$4:$G$1203/30)))=0,"",SUMPRODUCT(MAX((Log!$D$4:$D$1203=$A69)*(Log!$B$4:$B$1203=Q$53)*(Log!$E$4:$E$1203="A")*(Log!$F$4:$F$1203&lt;&gt;"")*(Log!$G$4:$G$1203&lt;&gt;"")*Log!$F$4:$F$1203*(1+Log!$G$4:$G$1203/30)))))</f>
        <v/>
      </c>
      <c r="R69" s="81"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34" t="str">
        <f aca="false">IF(Übungen!$A20="","",Übungen!$A20)</f>
        <v>Lunges</v>
      </c>
      <c r="B70" s="80" t="str">
        <f aca="false">IF($A70="","",IF(SUMPRODUCT(MAX((Log!$D$4:$D$1203=$A70)*(Log!$B$4:$B$1203=B$53)*(Log!$E$4:$E$1203="A")*(Log!$F$4:$F$1203&lt;&gt;"")*(Log!$G$4:$G$1203&lt;&gt;"")*Log!$F$4:$F$1203*(1+Log!$G$4:$G$1203/30)))=0,"",SUMPRODUCT(MAX((Log!$D$4:$D$1203=$A70)*(Log!$B$4:$B$1203=B$53)*(Log!$E$4:$E$1203="A")*(Log!$F$4:$F$1203&lt;&gt;"")*(Log!$G$4:$G$1203&lt;&gt;"")*Log!$F$4:$F$1203*(1+Log!$G$4:$G$1203/30)))))</f>
        <v/>
      </c>
      <c r="C70" s="80" t="str">
        <f aca="false">IF($A70="","",IF(SUMPRODUCT(MAX((Log!$D$4:$D$1203=$A70)*(Log!$B$4:$B$1203=C$53)*(Log!$E$4:$E$1203="A")*(Log!$F$4:$F$1203&lt;&gt;"")*(Log!$G$4:$G$1203&lt;&gt;"")*Log!$F$4:$F$1203*(1+Log!$G$4:$G$1203/30)))=0,"",SUMPRODUCT(MAX((Log!$D$4:$D$1203=$A70)*(Log!$B$4:$B$1203=C$53)*(Log!$E$4:$E$1203="A")*(Log!$F$4:$F$1203&lt;&gt;"")*(Log!$G$4:$G$1203&lt;&gt;"")*Log!$F$4:$F$1203*(1+Log!$G$4:$G$1203/30)))))</f>
        <v/>
      </c>
      <c r="D70" s="80" t="str">
        <f aca="false">IF($A70="","",IF(SUMPRODUCT(MAX((Log!$D$4:$D$1203=$A70)*(Log!$B$4:$B$1203=D$53)*(Log!$E$4:$E$1203="A")*(Log!$F$4:$F$1203&lt;&gt;"")*(Log!$G$4:$G$1203&lt;&gt;"")*Log!$F$4:$F$1203*(1+Log!$G$4:$G$1203/30)))=0,"",SUMPRODUCT(MAX((Log!$D$4:$D$1203=$A70)*(Log!$B$4:$B$1203=D$53)*(Log!$E$4:$E$1203="A")*(Log!$F$4:$F$1203&lt;&gt;"")*(Log!$G$4:$G$1203&lt;&gt;"")*Log!$F$4:$F$1203*(1+Log!$G$4:$G$1203/30)))))</f>
        <v/>
      </c>
      <c r="E70" s="80" t="str">
        <f aca="false">IF($A70="","",IF(SUMPRODUCT(MAX((Log!$D$4:$D$1203=$A70)*(Log!$B$4:$B$1203=E$53)*(Log!$E$4:$E$1203="A")*(Log!$F$4:$F$1203&lt;&gt;"")*(Log!$G$4:$G$1203&lt;&gt;"")*Log!$F$4:$F$1203*(1+Log!$G$4:$G$1203/30)))=0,"",SUMPRODUCT(MAX((Log!$D$4:$D$1203=$A70)*(Log!$B$4:$B$1203=E$53)*(Log!$E$4:$E$1203="A")*(Log!$F$4:$F$1203&lt;&gt;"")*(Log!$G$4:$G$1203&lt;&gt;"")*Log!$F$4:$F$1203*(1+Log!$G$4:$G$1203/30)))))</f>
        <v/>
      </c>
      <c r="F70" s="80" t="str">
        <f aca="false">IF($A70="","",IF(SUMPRODUCT(MAX((Log!$D$4:$D$1203=$A70)*(Log!$B$4:$B$1203=F$53)*(Log!$E$4:$E$1203="A")*(Log!$F$4:$F$1203&lt;&gt;"")*(Log!$G$4:$G$1203&lt;&gt;"")*Log!$F$4:$F$1203*(1+Log!$G$4:$G$1203/30)))=0,"",SUMPRODUCT(MAX((Log!$D$4:$D$1203=$A70)*(Log!$B$4:$B$1203=F$53)*(Log!$E$4:$E$1203="A")*(Log!$F$4:$F$1203&lt;&gt;"")*(Log!$G$4:$G$1203&lt;&gt;"")*Log!$F$4:$F$1203*(1+Log!$G$4:$G$1203/30)))))</f>
        <v/>
      </c>
      <c r="G70" s="80" t="str">
        <f aca="false">IF($A70="","",IF(SUMPRODUCT(MAX((Log!$D$4:$D$1203=$A70)*(Log!$B$4:$B$1203=G$53)*(Log!$E$4:$E$1203="A")*(Log!$F$4:$F$1203&lt;&gt;"")*(Log!$G$4:$G$1203&lt;&gt;"")*Log!$F$4:$F$1203*(1+Log!$G$4:$G$1203/30)))=0,"",SUMPRODUCT(MAX((Log!$D$4:$D$1203=$A70)*(Log!$B$4:$B$1203=G$53)*(Log!$E$4:$E$1203="A")*(Log!$F$4:$F$1203&lt;&gt;"")*(Log!$G$4:$G$1203&lt;&gt;"")*Log!$F$4:$F$1203*(1+Log!$G$4:$G$1203/30)))))</f>
        <v/>
      </c>
      <c r="H70" s="80" t="str">
        <f aca="false">IF($A70="","",IF(SUMPRODUCT(MAX((Log!$D$4:$D$1203=$A70)*(Log!$B$4:$B$1203=H$53)*(Log!$E$4:$E$1203="A")*(Log!$F$4:$F$1203&lt;&gt;"")*(Log!$G$4:$G$1203&lt;&gt;"")*Log!$F$4:$F$1203*(1+Log!$G$4:$G$1203/30)))=0,"",SUMPRODUCT(MAX((Log!$D$4:$D$1203=$A70)*(Log!$B$4:$B$1203=H$53)*(Log!$E$4:$E$1203="A")*(Log!$F$4:$F$1203&lt;&gt;"")*(Log!$G$4:$G$1203&lt;&gt;"")*Log!$F$4:$F$1203*(1+Log!$G$4:$G$1203/30)))))</f>
        <v/>
      </c>
      <c r="I70" s="80" t="str">
        <f aca="false">IF($A70="","",IF(SUMPRODUCT(MAX((Log!$D$4:$D$1203=$A70)*(Log!$B$4:$B$1203=I$53)*(Log!$E$4:$E$1203="A")*(Log!$F$4:$F$1203&lt;&gt;"")*(Log!$G$4:$G$1203&lt;&gt;"")*Log!$F$4:$F$1203*(1+Log!$G$4:$G$1203/30)))=0,"",SUMPRODUCT(MAX((Log!$D$4:$D$1203=$A70)*(Log!$B$4:$B$1203=I$53)*(Log!$E$4:$E$1203="A")*(Log!$F$4:$F$1203&lt;&gt;"")*(Log!$G$4:$G$1203&lt;&gt;"")*Log!$F$4:$F$1203*(1+Log!$G$4:$G$1203/30)))))</f>
        <v/>
      </c>
      <c r="J70" s="80" t="str">
        <f aca="false">IF($A70="","",IF(SUMPRODUCT(MAX((Log!$D$4:$D$1203=$A70)*(Log!$B$4:$B$1203=J$53)*(Log!$E$4:$E$1203="A")*(Log!$F$4:$F$1203&lt;&gt;"")*(Log!$G$4:$G$1203&lt;&gt;"")*Log!$F$4:$F$1203*(1+Log!$G$4:$G$1203/30)))=0,"",SUMPRODUCT(MAX((Log!$D$4:$D$1203=$A70)*(Log!$B$4:$B$1203=J$53)*(Log!$E$4:$E$1203="A")*(Log!$F$4:$F$1203&lt;&gt;"")*(Log!$G$4:$G$1203&lt;&gt;"")*Log!$F$4:$F$1203*(1+Log!$G$4:$G$1203/30)))))</f>
        <v/>
      </c>
      <c r="K70" s="80" t="str">
        <f aca="false">IF($A70="","",IF(SUMPRODUCT(MAX((Log!$D$4:$D$1203=$A70)*(Log!$B$4:$B$1203=K$53)*(Log!$E$4:$E$1203="A")*(Log!$F$4:$F$1203&lt;&gt;"")*(Log!$G$4:$G$1203&lt;&gt;"")*Log!$F$4:$F$1203*(1+Log!$G$4:$G$1203/30)))=0,"",SUMPRODUCT(MAX((Log!$D$4:$D$1203=$A70)*(Log!$B$4:$B$1203=K$53)*(Log!$E$4:$E$1203="A")*(Log!$F$4:$F$1203&lt;&gt;"")*(Log!$G$4:$G$1203&lt;&gt;"")*Log!$F$4:$F$1203*(1+Log!$G$4:$G$1203/30)))))</f>
        <v/>
      </c>
      <c r="L70" s="80" t="str">
        <f aca="false">IF($A70="","",IF(SUMPRODUCT(MAX((Log!$D$4:$D$1203=$A70)*(Log!$B$4:$B$1203=L$53)*(Log!$E$4:$E$1203="A")*(Log!$F$4:$F$1203&lt;&gt;"")*(Log!$G$4:$G$1203&lt;&gt;"")*Log!$F$4:$F$1203*(1+Log!$G$4:$G$1203/30)))=0,"",SUMPRODUCT(MAX((Log!$D$4:$D$1203=$A70)*(Log!$B$4:$B$1203=L$53)*(Log!$E$4:$E$1203="A")*(Log!$F$4:$F$1203&lt;&gt;"")*(Log!$G$4:$G$1203&lt;&gt;"")*Log!$F$4:$F$1203*(1+Log!$G$4:$G$1203/30)))))</f>
        <v/>
      </c>
      <c r="M70" s="80" t="str">
        <f aca="false">IF($A70="","",IF(SUMPRODUCT(MAX((Log!$D$4:$D$1203=$A70)*(Log!$B$4:$B$1203=M$53)*(Log!$E$4:$E$1203="A")*(Log!$F$4:$F$1203&lt;&gt;"")*(Log!$G$4:$G$1203&lt;&gt;"")*Log!$F$4:$F$1203*(1+Log!$G$4:$G$1203/30)))=0,"",SUMPRODUCT(MAX((Log!$D$4:$D$1203=$A70)*(Log!$B$4:$B$1203=M$53)*(Log!$E$4:$E$1203="A")*(Log!$F$4:$F$1203&lt;&gt;"")*(Log!$G$4:$G$1203&lt;&gt;"")*Log!$F$4:$F$1203*(1+Log!$G$4:$G$1203/30)))))</f>
        <v/>
      </c>
      <c r="N70" s="80" t="str">
        <f aca="false">IF($A70="","",IF(SUMPRODUCT(MAX((Log!$D$4:$D$1203=$A70)*(Log!$B$4:$B$1203=N$53)*(Log!$E$4:$E$1203="A")*(Log!$F$4:$F$1203&lt;&gt;"")*(Log!$G$4:$G$1203&lt;&gt;"")*Log!$F$4:$F$1203*(1+Log!$G$4:$G$1203/30)))=0,"",SUMPRODUCT(MAX((Log!$D$4:$D$1203=$A70)*(Log!$B$4:$B$1203=N$53)*(Log!$E$4:$E$1203="A")*(Log!$F$4:$F$1203&lt;&gt;"")*(Log!$G$4:$G$1203&lt;&gt;"")*Log!$F$4:$F$1203*(1+Log!$G$4:$G$1203/30)))))</f>
        <v/>
      </c>
      <c r="O70" s="80" t="str">
        <f aca="false">IF($A70="","",IF(SUMPRODUCT(MAX((Log!$D$4:$D$1203=$A70)*(Log!$B$4:$B$1203=O$53)*(Log!$E$4:$E$1203="A")*(Log!$F$4:$F$1203&lt;&gt;"")*(Log!$G$4:$G$1203&lt;&gt;"")*Log!$F$4:$F$1203*(1+Log!$G$4:$G$1203/30)))=0,"",SUMPRODUCT(MAX((Log!$D$4:$D$1203=$A70)*(Log!$B$4:$B$1203=O$53)*(Log!$E$4:$E$1203="A")*(Log!$F$4:$F$1203&lt;&gt;"")*(Log!$G$4:$G$1203&lt;&gt;"")*Log!$F$4:$F$1203*(1+Log!$G$4:$G$1203/30)))))</f>
        <v/>
      </c>
      <c r="P70" s="80" t="str">
        <f aca="false">IF($A70="","",IF(SUMPRODUCT(MAX((Log!$D$4:$D$1203=$A70)*(Log!$B$4:$B$1203=P$53)*(Log!$E$4:$E$1203="A")*(Log!$F$4:$F$1203&lt;&gt;"")*(Log!$G$4:$G$1203&lt;&gt;"")*Log!$F$4:$F$1203*(1+Log!$G$4:$G$1203/30)))=0,"",SUMPRODUCT(MAX((Log!$D$4:$D$1203=$A70)*(Log!$B$4:$B$1203=P$53)*(Log!$E$4:$E$1203="A")*(Log!$F$4:$F$1203&lt;&gt;"")*(Log!$G$4:$G$1203&lt;&gt;"")*Log!$F$4:$F$1203*(1+Log!$G$4:$G$1203/30)))))</f>
        <v/>
      </c>
      <c r="Q70" s="80" t="str">
        <f aca="false">IF($A70="","",IF(SUMPRODUCT(MAX((Log!$D$4:$D$1203=$A70)*(Log!$B$4:$B$1203=Q$53)*(Log!$E$4:$E$1203="A")*(Log!$F$4:$F$1203&lt;&gt;"")*(Log!$G$4:$G$1203&lt;&gt;"")*Log!$F$4:$F$1203*(1+Log!$G$4:$G$1203/30)))=0,"",SUMPRODUCT(MAX((Log!$D$4:$D$1203=$A70)*(Log!$B$4:$B$1203=Q$53)*(Log!$E$4:$E$1203="A")*(Log!$F$4:$F$1203&lt;&gt;"")*(Log!$G$4:$G$1203&lt;&gt;"")*Log!$F$4:$F$1203*(1+Log!$G$4:$G$1203/30)))))</f>
        <v/>
      </c>
      <c r="R70" s="81"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2" t="n">
        <f aca="false">IF($A71="","",IF(SUMPRODUCT(MAX((Log!$D$4:$D$1203=$A71)*(Log!$B$4:$B$1203=B$53)*(Log!$E$4:$E$1203="A")*(Log!$F$4:$F$1203&lt;&gt;"")*(Log!$G$4:$G$1203&lt;&gt;"")*Log!$F$4:$F$1203*(1+Log!$G$4:$G$1203/30)))=0,"",SUMPRODUCT(MAX((Log!$D$4:$D$1203=$A71)*(Log!$B$4:$B$1203=B$53)*(Log!$E$4:$E$1203="A")*(Log!$F$4:$F$1203&lt;&gt;"")*(Log!$G$4:$G$1203&lt;&gt;"")*Log!$F$4:$F$1203*(1+Log!$G$4:$G$1203/30)))))</f>
        <v>107.8</v>
      </c>
      <c r="C71" s="82" t="n">
        <f aca="false">IF($A71="","",IF(SUMPRODUCT(MAX((Log!$D$4:$D$1203=$A71)*(Log!$B$4:$B$1203=C$53)*(Log!$E$4:$E$1203="A")*(Log!$F$4:$F$1203&lt;&gt;"")*(Log!$G$4:$G$1203&lt;&gt;"")*Log!$F$4:$F$1203*(1+Log!$G$4:$G$1203/30)))=0,"",SUMPRODUCT(MAX((Log!$D$4:$D$1203=$A71)*(Log!$B$4:$B$1203=C$53)*(Log!$E$4:$E$1203="A")*(Log!$F$4:$F$1203&lt;&gt;"")*(Log!$G$4:$G$1203&lt;&gt;"")*Log!$F$4:$F$1203*(1+Log!$G$4:$G$1203/30)))))</f>
        <v>102.666666666667</v>
      </c>
      <c r="D71" s="82" t="n">
        <f aca="false">IF($A71="","",IF(SUMPRODUCT(MAX((Log!$D$4:$D$1203=$A71)*(Log!$B$4:$B$1203=D$53)*(Log!$E$4:$E$1203="A")*(Log!$F$4:$F$1203&lt;&gt;"")*(Log!$G$4:$G$1203&lt;&gt;"")*Log!$F$4:$F$1203*(1+Log!$G$4:$G$1203/30)))=0,"",SUMPRODUCT(MAX((Log!$D$4:$D$1203=$A71)*(Log!$B$4:$B$1203=D$53)*(Log!$E$4:$E$1203="A")*(Log!$F$4:$F$1203&lt;&gt;"")*(Log!$G$4:$G$1203&lt;&gt;"")*Log!$F$4:$F$1203*(1+Log!$G$4:$G$1203/30)))))</f>
        <v>117.6</v>
      </c>
      <c r="E71" s="82" t="n">
        <f aca="false">IF($A71="","",IF(SUMPRODUCT(MAX((Log!$D$4:$D$1203=$A71)*(Log!$B$4:$B$1203=E$53)*(Log!$E$4:$E$1203="A")*(Log!$F$4:$F$1203&lt;&gt;"")*(Log!$G$4:$G$1203&lt;&gt;"")*Log!$F$4:$F$1203*(1+Log!$G$4:$G$1203/30)))=0,"",SUMPRODUCT(MAX((Log!$D$4:$D$1203=$A71)*(Log!$B$4:$B$1203=E$53)*(Log!$E$4:$E$1203="A")*(Log!$F$4:$F$1203&lt;&gt;"")*(Log!$G$4:$G$1203&lt;&gt;"")*Log!$F$4:$F$1203*(1+Log!$G$4:$G$1203/30)))))</f>
        <v>94.5</v>
      </c>
      <c r="F71" s="82" t="str">
        <f aca="false">IF($A71="","",IF(SUMPRODUCT(MAX((Log!$D$4:$D$1203=$A71)*(Log!$B$4:$B$1203=F$53)*(Log!$E$4:$E$1203="A")*(Log!$F$4:$F$1203&lt;&gt;"")*(Log!$G$4:$G$1203&lt;&gt;"")*Log!$F$4:$F$1203*(1+Log!$G$4:$G$1203/30)))=0,"",SUMPRODUCT(MAX((Log!$D$4:$D$1203=$A71)*(Log!$B$4:$B$1203=F$53)*(Log!$E$4:$E$1203="A")*(Log!$F$4:$F$1203&lt;&gt;"")*(Log!$G$4:$G$1203&lt;&gt;"")*Log!$F$4:$F$1203*(1+Log!$G$4:$G$1203/30)))))</f>
        <v/>
      </c>
      <c r="G71" s="82" t="str">
        <f aca="false">IF($A71="","",IF(SUMPRODUCT(MAX((Log!$D$4:$D$1203=$A71)*(Log!$B$4:$B$1203=G$53)*(Log!$E$4:$E$1203="A")*(Log!$F$4:$F$1203&lt;&gt;"")*(Log!$G$4:$G$1203&lt;&gt;"")*Log!$F$4:$F$1203*(1+Log!$G$4:$G$1203/30)))=0,"",SUMPRODUCT(MAX((Log!$D$4:$D$1203=$A71)*(Log!$B$4:$B$1203=G$53)*(Log!$E$4:$E$1203="A")*(Log!$F$4:$F$1203&lt;&gt;"")*(Log!$G$4:$G$1203&lt;&gt;"")*Log!$F$4:$F$1203*(1+Log!$G$4:$G$1203/30)))))</f>
        <v/>
      </c>
      <c r="H71" s="82" t="str">
        <f aca="false">IF($A71="","",IF(SUMPRODUCT(MAX((Log!$D$4:$D$1203=$A71)*(Log!$B$4:$B$1203=H$53)*(Log!$E$4:$E$1203="A")*(Log!$F$4:$F$1203&lt;&gt;"")*(Log!$G$4:$G$1203&lt;&gt;"")*Log!$F$4:$F$1203*(1+Log!$G$4:$G$1203/30)))=0,"",SUMPRODUCT(MAX((Log!$D$4:$D$1203=$A71)*(Log!$B$4:$B$1203=H$53)*(Log!$E$4:$E$1203="A")*(Log!$F$4:$F$1203&lt;&gt;"")*(Log!$G$4:$G$1203&lt;&gt;"")*Log!$F$4:$F$1203*(1+Log!$G$4:$G$1203/30)))))</f>
        <v/>
      </c>
      <c r="I71" s="82" t="str">
        <f aca="false">IF($A71="","",IF(SUMPRODUCT(MAX((Log!$D$4:$D$1203=$A71)*(Log!$B$4:$B$1203=I$53)*(Log!$E$4:$E$1203="A")*(Log!$F$4:$F$1203&lt;&gt;"")*(Log!$G$4:$G$1203&lt;&gt;"")*Log!$F$4:$F$1203*(1+Log!$G$4:$G$1203/30)))=0,"",SUMPRODUCT(MAX((Log!$D$4:$D$1203=$A71)*(Log!$B$4:$B$1203=I$53)*(Log!$E$4:$E$1203="A")*(Log!$F$4:$F$1203&lt;&gt;"")*(Log!$G$4:$G$1203&lt;&gt;"")*Log!$F$4:$F$1203*(1+Log!$G$4:$G$1203/30)))))</f>
        <v/>
      </c>
      <c r="J71" s="82" t="str">
        <f aca="false">IF($A71="","",IF(SUMPRODUCT(MAX((Log!$D$4:$D$1203=$A71)*(Log!$B$4:$B$1203=J$53)*(Log!$E$4:$E$1203="A")*(Log!$F$4:$F$1203&lt;&gt;"")*(Log!$G$4:$G$1203&lt;&gt;"")*Log!$F$4:$F$1203*(1+Log!$G$4:$G$1203/30)))=0,"",SUMPRODUCT(MAX((Log!$D$4:$D$1203=$A71)*(Log!$B$4:$B$1203=J$53)*(Log!$E$4:$E$1203="A")*(Log!$F$4:$F$1203&lt;&gt;"")*(Log!$G$4:$G$1203&lt;&gt;"")*Log!$F$4:$F$1203*(1+Log!$G$4:$G$1203/30)))))</f>
        <v/>
      </c>
      <c r="K71" s="82" t="str">
        <f aca="false">IF($A71="","",IF(SUMPRODUCT(MAX((Log!$D$4:$D$1203=$A71)*(Log!$B$4:$B$1203=K$53)*(Log!$E$4:$E$1203="A")*(Log!$F$4:$F$1203&lt;&gt;"")*(Log!$G$4:$G$1203&lt;&gt;"")*Log!$F$4:$F$1203*(1+Log!$G$4:$G$1203/30)))=0,"",SUMPRODUCT(MAX((Log!$D$4:$D$1203=$A71)*(Log!$B$4:$B$1203=K$53)*(Log!$E$4:$E$1203="A")*(Log!$F$4:$F$1203&lt;&gt;"")*(Log!$G$4:$G$1203&lt;&gt;"")*Log!$F$4:$F$1203*(1+Log!$G$4:$G$1203/30)))))</f>
        <v/>
      </c>
      <c r="L71" s="82" t="str">
        <f aca="false">IF($A71="","",IF(SUMPRODUCT(MAX((Log!$D$4:$D$1203=$A71)*(Log!$B$4:$B$1203=L$53)*(Log!$E$4:$E$1203="A")*(Log!$F$4:$F$1203&lt;&gt;"")*(Log!$G$4:$G$1203&lt;&gt;"")*Log!$F$4:$F$1203*(1+Log!$G$4:$G$1203/30)))=0,"",SUMPRODUCT(MAX((Log!$D$4:$D$1203=$A71)*(Log!$B$4:$B$1203=L$53)*(Log!$E$4:$E$1203="A")*(Log!$F$4:$F$1203&lt;&gt;"")*(Log!$G$4:$G$1203&lt;&gt;"")*Log!$F$4:$F$1203*(1+Log!$G$4:$G$1203/30)))))</f>
        <v/>
      </c>
      <c r="M71" s="82" t="str">
        <f aca="false">IF($A71="","",IF(SUMPRODUCT(MAX((Log!$D$4:$D$1203=$A71)*(Log!$B$4:$B$1203=M$53)*(Log!$E$4:$E$1203="A")*(Log!$F$4:$F$1203&lt;&gt;"")*(Log!$G$4:$G$1203&lt;&gt;"")*Log!$F$4:$F$1203*(1+Log!$G$4:$G$1203/30)))=0,"",SUMPRODUCT(MAX((Log!$D$4:$D$1203=$A71)*(Log!$B$4:$B$1203=M$53)*(Log!$E$4:$E$1203="A")*(Log!$F$4:$F$1203&lt;&gt;"")*(Log!$G$4:$G$1203&lt;&gt;"")*Log!$F$4:$F$1203*(1+Log!$G$4:$G$1203/30)))))</f>
        <v/>
      </c>
      <c r="N71" s="82" t="str">
        <f aca="false">IF($A71="","",IF(SUMPRODUCT(MAX((Log!$D$4:$D$1203=$A71)*(Log!$B$4:$B$1203=N$53)*(Log!$E$4:$E$1203="A")*(Log!$F$4:$F$1203&lt;&gt;"")*(Log!$G$4:$G$1203&lt;&gt;"")*Log!$F$4:$F$1203*(1+Log!$G$4:$G$1203/30)))=0,"",SUMPRODUCT(MAX((Log!$D$4:$D$1203=$A71)*(Log!$B$4:$B$1203=N$53)*(Log!$E$4:$E$1203="A")*(Log!$F$4:$F$1203&lt;&gt;"")*(Log!$G$4:$G$1203&lt;&gt;"")*Log!$F$4:$F$1203*(1+Log!$G$4:$G$1203/30)))))</f>
        <v/>
      </c>
      <c r="O71" s="82" t="str">
        <f aca="false">IF($A71="","",IF(SUMPRODUCT(MAX((Log!$D$4:$D$1203=$A71)*(Log!$B$4:$B$1203=O$53)*(Log!$E$4:$E$1203="A")*(Log!$F$4:$F$1203&lt;&gt;"")*(Log!$G$4:$G$1203&lt;&gt;"")*Log!$F$4:$F$1203*(1+Log!$G$4:$G$1203/30)))=0,"",SUMPRODUCT(MAX((Log!$D$4:$D$1203=$A71)*(Log!$B$4:$B$1203=O$53)*(Log!$E$4:$E$1203="A")*(Log!$F$4:$F$1203&lt;&gt;"")*(Log!$G$4:$G$1203&lt;&gt;"")*Log!$F$4:$F$1203*(1+Log!$G$4:$G$1203/30)))))</f>
        <v/>
      </c>
      <c r="P71" s="82" t="str">
        <f aca="false">IF($A71="","",IF(SUMPRODUCT(MAX((Log!$D$4:$D$1203=$A71)*(Log!$B$4:$B$1203=P$53)*(Log!$E$4:$E$1203="A")*(Log!$F$4:$F$1203&lt;&gt;"")*(Log!$G$4:$G$1203&lt;&gt;"")*Log!$F$4:$F$1203*(1+Log!$G$4:$G$1203/30)))=0,"",SUMPRODUCT(MAX((Log!$D$4:$D$1203=$A71)*(Log!$B$4:$B$1203=P$53)*(Log!$E$4:$E$1203="A")*(Log!$F$4:$F$1203&lt;&gt;"")*(Log!$G$4:$G$1203&lt;&gt;"")*Log!$F$4:$F$1203*(1+Log!$G$4:$G$1203/30)))))</f>
        <v/>
      </c>
      <c r="Q71" s="82" t="str">
        <f aca="false">IF($A71="","",IF(SUMPRODUCT(MAX((Log!$D$4:$D$1203=$A71)*(Log!$B$4:$B$1203=Q$53)*(Log!$E$4:$E$1203="A")*(Log!$F$4:$F$1203&lt;&gt;"")*(Log!$G$4:$G$1203&lt;&gt;"")*Log!$F$4:$F$1203*(1+Log!$G$4:$G$1203/30)))=0,"",SUMPRODUCT(MAX((Log!$D$4:$D$1203=$A71)*(Log!$B$4:$B$1203=Q$53)*(Log!$E$4:$E$1203="A")*(Log!$F$4:$F$1203&lt;&gt;"")*(Log!$G$4:$G$1203&lt;&gt;"")*Log!$F$4:$F$1203*(1+Log!$G$4:$G$1203/30)))))</f>
        <v/>
      </c>
      <c r="R71" s="81"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34" t="str">
        <f aca="false">IF(Übungen!$A22="","",Übungen!$A22)</f>
        <v/>
      </c>
      <c r="B72" s="80" t="str">
        <f aca="false">IF($A72="","",IF(SUMPRODUCT(MAX((Log!$D$4:$D$1203=$A72)*(Log!$B$4:$B$1203=B$53)*(Log!$E$4:$E$1203="A")*(Log!$F$4:$F$1203&lt;&gt;"")*(Log!$G$4:$G$1203&lt;&gt;"")*Log!$F$4:$F$1203*(1+Log!$G$4:$G$1203/30)))=0,"",SUMPRODUCT(MAX((Log!$D$4:$D$1203=$A72)*(Log!$B$4:$B$1203=B$53)*(Log!$E$4:$E$1203="A")*(Log!$F$4:$F$1203&lt;&gt;"")*(Log!$G$4:$G$1203&lt;&gt;"")*Log!$F$4:$F$1203*(1+Log!$G$4:$G$1203/30)))))</f>
        <v/>
      </c>
      <c r="C72" s="80" t="str">
        <f aca="false">IF($A72="","",IF(SUMPRODUCT(MAX((Log!$D$4:$D$1203=$A72)*(Log!$B$4:$B$1203=C$53)*(Log!$E$4:$E$1203="A")*(Log!$F$4:$F$1203&lt;&gt;"")*(Log!$G$4:$G$1203&lt;&gt;"")*Log!$F$4:$F$1203*(1+Log!$G$4:$G$1203/30)))=0,"",SUMPRODUCT(MAX((Log!$D$4:$D$1203=$A72)*(Log!$B$4:$B$1203=C$53)*(Log!$E$4:$E$1203="A")*(Log!$F$4:$F$1203&lt;&gt;"")*(Log!$G$4:$G$1203&lt;&gt;"")*Log!$F$4:$F$1203*(1+Log!$G$4:$G$1203/30)))))</f>
        <v/>
      </c>
      <c r="D72" s="80" t="str">
        <f aca="false">IF($A72="","",IF(SUMPRODUCT(MAX((Log!$D$4:$D$1203=$A72)*(Log!$B$4:$B$1203=D$53)*(Log!$E$4:$E$1203="A")*(Log!$F$4:$F$1203&lt;&gt;"")*(Log!$G$4:$G$1203&lt;&gt;"")*Log!$F$4:$F$1203*(1+Log!$G$4:$G$1203/30)))=0,"",SUMPRODUCT(MAX((Log!$D$4:$D$1203=$A72)*(Log!$B$4:$B$1203=D$53)*(Log!$E$4:$E$1203="A")*(Log!$F$4:$F$1203&lt;&gt;"")*(Log!$G$4:$G$1203&lt;&gt;"")*Log!$F$4:$F$1203*(1+Log!$G$4:$G$1203/30)))))</f>
        <v/>
      </c>
      <c r="E72" s="80" t="str">
        <f aca="false">IF($A72="","",IF(SUMPRODUCT(MAX((Log!$D$4:$D$1203=$A72)*(Log!$B$4:$B$1203=E$53)*(Log!$E$4:$E$1203="A")*(Log!$F$4:$F$1203&lt;&gt;"")*(Log!$G$4:$G$1203&lt;&gt;"")*Log!$F$4:$F$1203*(1+Log!$G$4:$G$1203/30)))=0,"",SUMPRODUCT(MAX((Log!$D$4:$D$1203=$A72)*(Log!$B$4:$B$1203=E$53)*(Log!$E$4:$E$1203="A")*(Log!$F$4:$F$1203&lt;&gt;"")*(Log!$G$4:$G$1203&lt;&gt;"")*Log!$F$4:$F$1203*(1+Log!$G$4:$G$1203/30)))))</f>
        <v/>
      </c>
      <c r="F72" s="80" t="str">
        <f aca="false">IF($A72="","",IF(SUMPRODUCT(MAX((Log!$D$4:$D$1203=$A72)*(Log!$B$4:$B$1203=F$53)*(Log!$E$4:$E$1203="A")*(Log!$F$4:$F$1203&lt;&gt;"")*(Log!$G$4:$G$1203&lt;&gt;"")*Log!$F$4:$F$1203*(1+Log!$G$4:$G$1203/30)))=0,"",SUMPRODUCT(MAX((Log!$D$4:$D$1203=$A72)*(Log!$B$4:$B$1203=F$53)*(Log!$E$4:$E$1203="A")*(Log!$F$4:$F$1203&lt;&gt;"")*(Log!$G$4:$G$1203&lt;&gt;"")*Log!$F$4:$F$1203*(1+Log!$G$4:$G$1203/30)))))</f>
        <v/>
      </c>
      <c r="G72" s="80" t="str">
        <f aca="false">IF($A72="","",IF(SUMPRODUCT(MAX((Log!$D$4:$D$1203=$A72)*(Log!$B$4:$B$1203=G$53)*(Log!$E$4:$E$1203="A")*(Log!$F$4:$F$1203&lt;&gt;"")*(Log!$G$4:$G$1203&lt;&gt;"")*Log!$F$4:$F$1203*(1+Log!$G$4:$G$1203/30)))=0,"",SUMPRODUCT(MAX((Log!$D$4:$D$1203=$A72)*(Log!$B$4:$B$1203=G$53)*(Log!$E$4:$E$1203="A")*(Log!$F$4:$F$1203&lt;&gt;"")*(Log!$G$4:$G$1203&lt;&gt;"")*Log!$F$4:$F$1203*(1+Log!$G$4:$G$1203/30)))))</f>
        <v/>
      </c>
      <c r="H72" s="80" t="str">
        <f aca="false">IF($A72="","",IF(SUMPRODUCT(MAX((Log!$D$4:$D$1203=$A72)*(Log!$B$4:$B$1203=H$53)*(Log!$E$4:$E$1203="A")*(Log!$F$4:$F$1203&lt;&gt;"")*(Log!$G$4:$G$1203&lt;&gt;"")*Log!$F$4:$F$1203*(1+Log!$G$4:$G$1203/30)))=0,"",SUMPRODUCT(MAX((Log!$D$4:$D$1203=$A72)*(Log!$B$4:$B$1203=H$53)*(Log!$E$4:$E$1203="A")*(Log!$F$4:$F$1203&lt;&gt;"")*(Log!$G$4:$G$1203&lt;&gt;"")*Log!$F$4:$F$1203*(1+Log!$G$4:$G$1203/30)))))</f>
        <v/>
      </c>
      <c r="I72" s="80" t="str">
        <f aca="false">IF($A72="","",IF(SUMPRODUCT(MAX((Log!$D$4:$D$1203=$A72)*(Log!$B$4:$B$1203=I$53)*(Log!$E$4:$E$1203="A")*(Log!$F$4:$F$1203&lt;&gt;"")*(Log!$G$4:$G$1203&lt;&gt;"")*Log!$F$4:$F$1203*(1+Log!$G$4:$G$1203/30)))=0,"",SUMPRODUCT(MAX((Log!$D$4:$D$1203=$A72)*(Log!$B$4:$B$1203=I$53)*(Log!$E$4:$E$1203="A")*(Log!$F$4:$F$1203&lt;&gt;"")*(Log!$G$4:$G$1203&lt;&gt;"")*Log!$F$4:$F$1203*(1+Log!$G$4:$G$1203/30)))))</f>
        <v/>
      </c>
      <c r="J72" s="80" t="str">
        <f aca="false">IF($A72="","",IF(SUMPRODUCT(MAX((Log!$D$4:$D$1203=$A72)*(Log!$B$4:$B$1203=J$53)*(Log!$E$4:$E$1203="A")*(Log!$F$4:$F$1203&lt;&gt;"")*(Log!$G$4:$G$1203&lt;&gt;"")*Log!$F$4:$F$1203*(1+Log!$G$4:$G$1203/30)))=0,"",SUMPRODUCT(MAX((Log!$D$4:$D$1203=$A72)*(Log!$B$4:$B$1203=J$53)*(Log!$E$4:$E$1203="A")*(Log!$F$4:$F$1203&lt;&gt;"")*(Log!$G$4:$G$1203&lt;&gt;"")*Log!$F$4:$F$1203*(1+Log!$G$4:$G$1203/30)))))</f>
        <v/>
      </c>
      <c r="K72" s="80" t="str">
        <f aca="false">IF($A72="","",IF(SUMPRODUCT(MAX((Log!$D$4:$D$1203=$A72)*(Log!$B$4:$B$1203=K$53)*(Log!$E$4:$E$1203="A")*(Log!$F$4:$F$1203&lt;&gt;"")*(Log!$G$4:$G$1203&lt;&gt;"")*Log!$F$4:$F$1203*(1+Log!$G$4:$G$1203/30)))=0,"",SUMPRODUCT(MAX((Log!$D$4:$D$1203=$A72)*(Log!$B$4:$B$1203=K$53)*(Log!$E$4:$E$1203="A")*(Log!$F$4:$F$1203&lt;&gt;"")*(Log!$G$4:$G$1203&lt;&gt;"")*Log!$F$4:$F$1203*(1+Log!$G$4:$G$1203/30)))))</f>
        <v/>
      </c>
      <c r="L72" s="80" t="str">
        <f aca="false">IF($A72="","",IF(SUMPRODUCT(MAX((Log!$D$4:$D$1203=$A72)*(Log!$B$4:$B$1203=L$53)*(Log!$E$4:$E$1203="A")*(Log!$F$4:$F$1203&lt;&gt;"")*(Log!$G$4:$G$1203&lt;&gt;"")*Log!$F$4:$F$1203*(1+Log!$G$4:$G$1203/30)))=0,"",SUMPRODUCT(MAX((Log!$D$4:$D$1203=$A72)*(Log!$B$4:$B$1203=L$53)*(Log!$E$4:$E$1203="A")*(Log!$F$4:$F$1203&lt;&gt;"")*(Log!$G$4:$G$1203&lt;&gt;"")*Log!$F$4:$F$1203*(1+Log!$G$4:$G$1203/30)))))</f>
        <v/>
      </c>
      <c r="M72" s="80" t="str">
        <f aca="false">IF($A72="","",IF(SUMPRODUCT(MAX((Log!$D$4:$D$1203=$A72)*(Log!$B$4:$B$1203=M$53)*(Log!$E$4:$E$1203="A")*(Log!$F$4:$F$1203&lt;&gt;"")*(Log!$G$4:$G$1203&lt;&gt;"")*Log!$F$4:$F$1203*(1+Log!$G$4:$G$1203/30)))=0,"",SUMPRODUCT(MAX((Log!$D$4:$D$1203=$A72)*(Log!$B$4:$B$1203=M$53)*(Log!$E$4:$E$1203="A")*(Log!$F$4:$F$1203&lt;&gt;"")*(Log!$G$4:$G$1203&lt;&gt;"")*Log!$F$4:$F$1203*(1+Log!$G$4:$G$1203/30)))))</f>
        <v/>
      </c>
      <c r="N72" s="80" t="str">
        <f aca="false">IF($A72="","",IF(SUMPRODUCT(MAX((Log!$D$4:$D$1203=$A72)*(Log!$B$4:$B$1203=N$53)*(Log!$E$4:$E$1203="A")*(Log!$F$4:$F$1203&lt;&gt;"")*(Log!$G$4:$G$1203&lt;&gt;"")*Log!$F$4:$F$1203*(1+Log!$G$4:$G$1203/30)))=0,"",SUMPRODUCT(MAX((Log!$D$4:$D$1203=$A72)*(Log!$B$4:$B$1203=N$53)*(Log!$E$4:$E$1203="A")*(Log!$F$4:$F$1203&lt;&gt;"")*(Log!$G$4:$G$1203&lt;&gt;"")*Log!$F$4:$F$1203*(1+Log!$G$4:$G$1203/30)))))</f>
        <v/>
      </c>
      <c r="O72" s="80" t="str">
        <f aca="false">IF($A72="","",IF(SUMPRODUCT(MAX((Log!$D$4:$D$1203=$A72)*(Log!$B$4:$B$1203=O$53)*(Log!$E$4:$E$1203="A")*(Log!$F$4:$F$1203&lt;&gt;"")*(Log!$G$4:$G$1203&lt;&gt;"")*Log!$F$4:$F$1203*(1+Log!$G$4:$G$1203/30)))=0,"",SUMPRODUCT(MAX((Log!$D$4:$D$1203=$A72)*(Log!$B$4:$B$1203=O$53)*(Log!$E$4:$E$1203="A")*(Log!$F$4:$F$1203&lt;&gt;"")*(Log!$G$4:$G$1203&lt;&gt;"")*Log!$F$4:$F$1203*(1+Log!$G$4:$G$1203/30)))))</f>
        <v/>
      </c>
      <c r="P72" s="80" t="str">
        <f aca="false">IF($A72="","",IF(SUMPRODUCT(MAX((Log!$D$4:$D$1203=$A72)*(Log!$B$4:$B$1203=P$53)*(Log!$E$4:$E$1203="A")*(Log!$F$4:$F$1203&lt;&gt;"")*(Log!$G$4:$G$1203&lt;&gt;"")*Log!$F$4:$F$1203*(1+Log!$G$4:$G$1203/30)))=0,"",SUMPRODUCT(MAX((Log!$D$4:$D$1203=$A72)*(Log!$B$4:$B$1203=P$53)*(Log!$E$4:$E$1203="A")*(Log!$F$4:$F$1203&lt;&gt;"")*(Log!$G$4:$G$1203&lt;&gt;"")*Log!$F$4:$F$1203*(1+Log!$G$4:$G$1203/30)))))</f>
        <v/>
      </c>
      <c r="Q72" s="80" t="str">
        <f aca="false">IF($A72="","",IF(SUMPRODUCT(MAX((Log!$D$4:$D$1203=$A72)*(Log!$B$4:$B$1203=Q$53)*(Log!$E$4:$E$1203="A")*(Log!$F$4:$F$1203&lt;&gt;"")*(Log!$G$4:$G$1203&lt;&gt;"")*Log!$F$4:$F$1203*(1+Log!$G$4:$G$1203/30)))=0,"",SUMPRODUCT(MAX((Log!$D$4:$D$1203=$A72)*(Log!$B$4:$B$1203=Q$53)*(Log!$E$4:$E$1203="A")*(Log!$F$4:$F$1203&lt;&gt;"")*(Log!$G$4:$G$1203&lt;&gt;"")*Log!$F$4:$F$1203*(1+Log!$G$4:$G$1203/30)))))</f>
        <v/>
      </c>
      <c r="R72" s="81"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2" t="str">
        <f aca="false">IF($A73="","",IF(SUMPRODUCT(MAX((Log!$D$4:$D$1203=$A73)*(Log!$B$4:$B$1203=B$53)*(Log!$E$4:$E$1203="A")*(Log!$F$4:$F$1203&lt;&gt;"")*(Log!$G$4:$G$1203&lt;&gt;"")*Log!$F$4:$F$1203*(1+Log!$G$4:$G$1203/30)))=0,"",SUMPRODUCT(MAX((Log!$D$4:$D$1203=$A73)*(Log!$B$4:$B$1203=B$53)*(Log!$E$4:$E$1203="A")*(Log!$F$4:$F$1203&lt;&gt;"")*(Log!$G$4:$G$1203&lt;&gt;"")*Log!$F$4:$F$1203*(1+Log!$G$4:$G$1203/30)))))</f>
        <v/>
      </c>
      <c r="C73" s="82" t="str">
        <f aca="false">IF($A73="","",IF(SUMPRODUCT(MAX((Log!$D$4:$D$1203=$A73)*(Log!$B$4:$B$1203=C$53)*(Log!$E$4:$E$1203="A")*(Log!$F$4:$F$1203&lt;&gt;"")*(Log!$G$4:$G$1203&lt;&gt;"")*Log!$F$4:$F$1203*(1+Log!$G$4:$G$1203/30)))=0,"",SUMPRODUCT(MAX((Log!$D$4:$D$1203=$A73)*(Log!$B$4:$B$1203=C$53)*(Log!$E$4:$E$1203="A")*(Log!$F$4:$F$1203&lt;&gt;"")*(Log!$G$4:$G$1203&lt;&gt;"")*Log!$F$4:$F$1203*(1+Log!$G$4:$G$1203/30)))))</f>
        <v/>
      </c>
      <c r="D73" s="82" t="str">
        <f aca="false">IF($A73="","",IF(SUMPRODUCT(MAX((Log!$D$4:$D$1203=$A73)*(Log!$B$4:$B$1203=D$53)*(Log!$E$4:$E$1203="A")*(Log!$F$4:$F$1203&lt;&gt;"")*(Log!$G$4:$G$1203&lt;&gt;"")*Log!$F$4:$F$1203*(1+Log!$G$4:$G$1203/30)))=0,"",SUMPRODUCT(MAX((Log!$D$4:$D$1203=$A73)*(Log!$B$4:$B$1203=D$53)*(Log!$E$4:$E$1203="A")*(Log!$F$4:$F$1203&lt;&gt;"")*(Log!$G$4:$G$1203&lt;&gt;"")*Log!$F$4:$F$1203*(1+Log!$G$4:$G$1203/30)))))</f>
        <v/>
      </c>
      <c r="E73" s="82" t="str">
        <f aca="false">IF($A73="","",IF(SUMPRODUCT(MAX((Log!$D$4:$D$1203=$A73)*(Log!$B$4:$B$1203=E$53)*(Log!$E$4:$E$1203="A")*(Log!$F$4:$F$1203&lt;&gt;"")*(Log!$G$4:$G$1203&lt;&gt;"")*Log!$F$4:$F$1203*(1+Log!$G$4:$G$1203/30)))=0,"",SUMPRODUCT(MAX((Log!$D$4:$D$1203=$A73)*(Log!$B$4:$B$1203=E$53)*(Log!$E$4:$E$1203="A")*(Log!$F$4:$F$1203&lt;&gt;"")*(Log!$G$4:$G$1203&lt;&gt;"")*Log!$F$4:$F$1203*(1+Log!$G$4:$G$1203/30)))))</f>
        <v/>
      </c>
      <c r="F73" s="82" t="str">
        <f aca="false">IF($A73="","",IF(SUMPRODUCT(MAX((Log!$D$4:$D$1203=$A73)*(Log!$B$4:$B$1203=F$53)*(Log!$E$4:$E$1203="A")*(Log!$F$4:$F$1203&lt;&gt;"")*(Log!$G$4:$G$1203&lt;&gt;"")*Log!$F$4:$F$1203*(1+Log!$G$4:$G$1203/30)))=0,"",SUMPRODUCT(MAX((Log!$D$4:$D$1203=$A73)*(Log!$B$4:$B$1203=F$53)*(Log!$E$4:$E$1203="A")*(Log!$F$4:$F$1203&lt;&gt;"")*(Log!$G$4:$G$1203&lt;&gt;"")*Log!$F$4:$F$1203*(1+Log!$G$4:$G$1203/30)))))</f>
        <v/>
      </c>
      <c r="G73" s="82" t="str">
        <f aca="false">IF($A73="","",IF(SUMPRODUCT(MAX((Log!$D$4:$D$1203=$A73)*(Log!$B$4:$B$1203=G$53)*(Log!$E$4:$E$1203="A")*(Log!$F$4:$F$1203&lt;&gt;"")*(Log!$G$4:$G$1203&lt;&gt;"")*Log!$F$4:$F$1203*(1+Log!$G$4:$G$1203/30)))=0,"",SUMPRODUCT(MAX((Log!$D$4:$D$1203=$A73)*(Log!$B$4:$B$1203=G$53)*(Log!$E$4:$E$1203="A")*(Log!$F$4:$F$1203&lt;&gt;"")*(Log!$G$4:$G$1203&lt;&gt;"")*Log!$F$4:$F$1203*(1+Log!$G$4:$G$1203/30)))))</f>
        <v/>
      </c>
      <c r="H73" s="82" t="str">
        <f aca="false">IF($A73="","",IF(SUMPRODUCT(MAX((Log!$D$4:$D$1203=$A73)*(Log!$B$4:$B$1203=H$53)*(Log!$E$4:$E$1203="A")*(Log!$F$4:$F$1203&lt;&gt;"")*(Log!$G$4:$G$1203&lt;&gt;"")*Log!$F$4:$F$1203*(1+Log!$G$4:$G$1203/30)))=0,"",SUMPRODUCT(MAX((Log!$D$4:$D$1203=$A73)*(Log!$B$4:$B$1203=H$53)*(Log!$E$4:$E$1203="A")*(Log!$F$4:$F$1203&lt;&gt;"")*(Log!$G$4:$G$1203&lt;&gt;"")*Log!$F$4:$F$1203*(1+Log!$G$4:$G$1203/30)))))</f>
        <v/>
      </c>
      <c r="I73" s="82" t="str">
        <f aca="false">IF($A73="","",IF(SUMPRODUCT(MAX((Log!$D$4:$D$1203=$A73)*(Log!$B$4:$B$1203=I$53)*(Log!$E$4:$E$1203="A")*(Log!$F$4:$F$1203&lt;&gt;"")*(Log!$G$4:$G$1203&lt;&gt;"")*Log!$F$4:$F$1203*(1+Log!$G$4:$G$1203/30)))=0,"",SUMPRODUCT(MAX((Log!$D$4:$D$1203=$A73)*(Log!$B$4:$B$1203=I$53)*(Log!$E$4:$E$1203="A")*(Log!$F$4:$F$1203&lt;&gt;"")*(Log!$G$4:$G$1203&lt;&gt;"")*Log!$F$4:$F$1203*(1+Log!$G$4:$G$1203/30)))))</f>
        <v/>
      </c>
      <c r="J73" s="82" t="str">
        <f aca="false">IF($A73="","",IF(SUMPRODUCT(MAX((Log!$D$4:$D$1203=$A73)*(Log!$B$4:$B$1203=J$53)*(Log!$E$4:$E$1203="A")*(Log!$F$4:$F$1203&lt;&gt;"")*(Log!$G$4:$G$1203&lt;&gt;"")*Log!$F$4:$F$1203*(1+Log!$G$4:$G$1203/30)))=0,"",SUMPRODUCT(MAX((Log!$D$4:$D$1203=$A73)*(Log!$B$4:$B$1203=J$53)*(Log!$E$4:$E$1203="A")*(Log!$F$4:$F$1203&lt;&gt;"")*(Log!$G$4:$G$1203&lt;&gt;"")*Log!$F$4:$F$1203*(1+Log!$G$4:$G$1203/30)))))</f>
        <v/>
      </c>
      <c r="K73" s="82" t="str">
        <f aca="false">IF($A73="","",IF(SUMPRODUCT(MAX((Log!$D$4:$D$1203=$A73)*(Log!$B$4:$B$1203=K$53)*(Log!$E$4:$E$1203="A")*(Log!$F$4:$F$1203&lt;&gt;"")*(Log!$G$4:$G$1203&lt;&gt;"")*Log!$F$4:$F$1203*(1+Log!$G$4:$G$1203/30)))=0,"",SUMPRODUCT(MAX((Log!$D$4:$D$1203=$A73)*(Log!$B$4:$B$1203=K$53)*(Log!$E$4:$E$1203="A")*(Log!$F$4:$F$1203&lt;&gt;"")*(Log!$G$4:$G$1203&lt;&gt;"")*Log!$F$4:$F$1203*(1+Log!$G$4:$G$1203/30)))))</f>
        <v/>
      </c>
      <c r="L73" s="82" t="str">
        <f aca="false">IF($A73="","",IF(SUMPRODUCT(MAX((Log!$D$4:$D$1203=$A73)*(Log!$B$4:$B$1203=L$53)*(Log!$E$4:$E$1203="A")*(Log!$F$4:$F$1203&lt;&gt;"")*(Log!$G$4:$G$1203&lt;&gt;"")*Log!$F$4:$F$1203*(1+Log!$G$4:$G$1203/30)))=0,"",SUMPRODUCT(MAX((Log!$D$4:$D$1203=$A73)*(Log!$B$4:$B$1203=L$53)*(Log!$E$4:$E$1203="A")*(Log!$F$4:$F$1203&lt;&gt;"")*(Log!$G$4:$G$1203&lt;&gt;"")*Log!$F$4:$F$1203*(1+Log!$G$4:$G$1203/30)))))</f>
        <v/>
      </c>
      <c r="M73" s="82" t="str">
        <f aca="false">IF($A73="","",IF(SUMPRODUCT(MAX((Log!$D$4:$D$1203=$A73)*(Log!$B$4:$B$1203=M$53)*(Log!$E$4:$E$1203="A")*(Log!$F$4:$F$1203&lt;&gt;"")*(Log!$G$4:$G$1203&lt;&gt;"")*Log!$F$4:$F$1203*(1+Log!$G$4:$G$1203/30)))=0,"",SUMPRODUCT(MAX((Log!$D$4:$D$1203=$A73)*(Log!$B$4:$B$1203=M$53)*(Log!$E$4:$E$1203="A")*(Log!$F$4:$F$1203&lt;&gt;"")*(Log!$G$4:$G$1203&lt;&gt;"")*Log!$F$4:$F$1203*(1+Log!$G$4:$G$1203/30)))))</f>
        <v/>
      </c>
      <c r="N73" s="82" t="str">
        <f aca="false">IF($A73="","",IF(SUMPRODUCT(MAX((Log!$D$4:$D$1203=$A73)*(Log!$B$4:$B$1203=N$53)*(Log!$E$4:$E$1203="A")*(Log!$F$4:$F$1203&lt;&gt;"")*(Log!$G$4:$G$1203&lt;&gt;"")*Log!$F$4:$F$1203*(1+Log!$G$4:$G$1203/30)))=0,"",SUMPRODUCT(MAX((Log!$D$4:$D$1203=$A73)*(Log!$B$4:$B$1203=N$53)*(Log!$E$4:$E$1203="A")*(Log!$F$4:$F$1203&lt;&gt;"")*(Log!$G$4:$G$1203&lt;&gt;"")*Log!$F$4:$F$1203*(1+Log!$G$4:$G$1203/30)))))</f>
        <v/>
      </c>
      <c r="O73" s="82" t="str">
        <f aca="false">IF($A73="","",IF(SUMPRODUCT(MAX((Log!$D$4:$D$1203=$A73)*(Log!$B$4:$B$1203=O$53)*(Log!$E$4:$E$1203="A")*(Log!$F$4:$F$1203&lt;&gt;"")*(Log!$G$4:$G$1203&lt;&gt;"")*Log!$F$4:$F$1203*(1+Log!$G$4:$G$1203/30)))=0,"",SUMPRODUCT(MAX((Log!$D$4:$D$1203=$A73)*(Log!$B$4:$B$1203=O$53)*(Log!$E$4:$E$1203="A")*(Log!$F$4:$F$1203&lt;&gt;"")*(Log!$G$4:$G$1203&lt;&gt;"")*Log!$F$4:$F$1203*(1+Log!$G$4:$G$1203/30)))))</f>
        <v/>
      </c>
      <c r="P73" s="82" t="str">
        <f aca="false">IF($A73="","",IF(SUMPRODUCT(MAX((Log!$D$4:$D$1203=$A73)*(Log!$B$4:$B$1203=P$53)*(Log!$E$4:$E$1203="A")*(Log!$F$4:$F$1203&lt;&gt;"")*(Log!$G$4:$G$1203&lt;&gt;"")*Log!$F$4:$F$1203*(1+Log!$G$4:$G$1203/30)))=0,"",SUMPRODUCT(MAX((Log!$D$4:$D$1203=$A73)*(Log!$B$4:$B$1203=P$53)*(Log!$E$4:$E$1203="A")*(Log!$F$4:$F$1203&lt;&gt;"")*(Log!$G$4:$G$1203&lt;&gt;"")*Log!$F$4:$F$1203*(1+Log!$G$4:$G$1203/30)))))</f>
        <v/>
      </c>
      <c r="Q73" s="82" t="str">
        <f aca="false">IF($A73="","",IF(SUMPRODUCT(MAX((Log!$D$4:$D$1203=$A73)*(Log!$B$4:$B$1203=Q$53)*(Log!$E$4:$E$1203="A")*(Log!$F$4:$F$1203&lt;&gt;"")*(Log!$G$4:$G$1203&lt;&gt;"")*Log!$F$4:$F$1203*(1+Log!$G$4:$G$1203/30)))=0,"",SUMPRODUCT(MAX((Log!$D$4:$D$1203=$A73)*(Log!$B$4:$B$1203=Q$53)*(Log!$E$4:$E$1203="A")*(Log!$F$4:$F$1203&lt;&gt;"")*(Log!$G$4:$G$1203&lt;&gt;"")*Log!$F$4:$F$1203*(1+Log!$G$4:$G$1203/30)))))</f>
        <v/>
      </c>
      <c r="R73" s="81"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2">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2">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2">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439</v>
      </c>
      <c r="B1" s="1"/>
      <c r="C1" s="1"/>
      <c r="D1" s="1"/>
      <c r="E1" s="1"/>
      <c r="F1" s="1"/>
      <c r="G1" s="1"/>
      <c r="H1" s="1"/>
      <c r="I1" s="1"/>
      <c r="J1" s="1"/>
      <c r="K1" s="1"/>
    </row>
    <row r="2" customFormat="false" ht="15" hidden="false" customHeight="true" outlineLevel="0" collapsed="false">
      <c r="A2" s="2" t="s">
        <v>440</v>
      </c>
      <c r="B2" s="2"/>
      <c r="C2" s="2"/>
      <c r="D2" s="2"/>
      <c r="E2" s="2"/>
      <c r="F2" s="2"/>
      <c r="G2" s="2"/>
      <c r="H2" s="2"/>
      <c r="I2" s="2"/>
      <c r="J2" s="2"/>
      <c r="K2" s="2"/>
    </row>
    <row r="3" customFormat="false" ht="33.75" hidden="false" customHeight="true" outlineLevel="0" collapsed="false">
      <c r="A3" s="13" t="s">
        <v>168</v>
      </c>
      <c r="B3" s="13" t="s">
        <v>441</v>
      </c>
      <c r="C3" s="13" t="s">
        <v>442</v>
      </c>
      <c r="D3" s="13" t="s">
        <v>443</v>
      </c>
      <c r="E3" s="13" t="s">
        <v>444</v>
      </c>
      <c r="F3" s="13" t="s">
        <v>445</v>
      </c>
      <c r="G3" s="13" t="s">
        <v>446</v>
      </c>
      <c r="H3" s="13" t="s">
        <v>447</v>
      </c>
      <c r="I3" s="13" t="s">
        <v>448</v>
      </c>
      <c r="J3" s="13" t="s">
        <v>449</v>
      </c>
      <c r="K3" s="13" t="s">
        <v>450</v>
      </c>
      <c r="L3" s="13" t="s">
        <v>451</v>
      </c>
      <c r="M3" s="13" t="s">
        <v>452</v>
      </c>
      <c r="N3" s="13" t="s">
        <v>453</v>
      </c>
    </row>
    <row r="4" customFormat="false" ht="25.5" hidden="false" customHeight="true" outlineLevel="0" collapsed="false">
      <c r="A4" s="34" t="str">
        <f aca="false">IF(Übungen!$A4="","",Übungen!$A4)</f>
        <v>Beinpresse eng</v>
      </c>
      <c r="B4" s="77" t="n">
        <f aca="false">IF($A4="","",IF(SUMPRODUCT(MAX((Log!$D$4:$D$1203=$A4)*(Log!$E$4:$E$1203="A")*Log!$B$4:$B$1203))=0,"",SUMPRODUCT(MIN((Log!$D$4:$D$1203=$A4)*(Log!$E$4:$E$1203="A")*Log!$B$4:$B$1203+((Log!$D$4:$D$1203&lt;&gt;$A4)+(Log!$E$4:$E$1203&lt;&gt;"A")&gt;0)*9999))))</f>
        <v>5</v>
      </c>
      <c r="C4" s="77" t="n">
        <f aca="false">IF($B4="","",SUMIFS(Log!$I$4:$I$1203,Log!$D$4:$D$1203,$A4,Log!$B$4:$B$1203,$B4,Log!$E$4:$E$1203,"A"))</f>
        <v>5766</v>
      </c>
      <c r="D4" s="77" t="n">
        <f aca="false">IF($A4="","",IF(SUMPRODUCT(MAX((Log!$D$4:$D$1203=$A4)*(Log!$E$4:$E$1203="A")*Log!$B$4:$B$1203))=0,"",SUMPRODUCT(MAX((Log!$D$4:$D$1203=$A4)*(Log!$E$4:$E$1203="A")*Log!$B$4:$B$1203))))</f>
        <v>17</v>
      </c>
      <c r="E4" s="77" t="n">
        <f aca="false">IF($D4="","",SUMIFS(Log!$I$4:$I$1203,Log!$D$4:$D$1203,$A4,Log!$B$4:$B$1203,$D4,Log!$E$4:$E$1203,"A"))</f>
        <v>5400</v>
      </c>
      <c r="F4" s="77" t="n">
        <f aca="false">IF(OR($C4="",$E4=""),"",$E4-$C4)</f>
        <v>-366</v>
      </c>
      <c r="G4" s="83" t="n">
        <f aca="false">IF(OR($C4="",$E4="",$C4=0),"",$E4/$C4-1)</f>
        <v>-0.0634755463059313</v>
      </c>
      <c r="H4" s="80" t="n">
        <f aca="false">IF($D4="","",IF(SUMPRODUCT(MAX((Log!$D$4:$D$1203=$A4)*(Log!$B$4:$B$1203=$D4)*(Log!$E$4:$E$1203="A")*(Log!$F$4:$F$1203&lt;&gt;"")*Log!$F$4:$F$1203))=0,"",SUMPRODUCT(MAX((Log!$D$4:$D$1203=$A4)*(Log!$B$4:$B$1203=$D4)*(Log!$E$4:$E$1203="A")*(Log!$F$4:$F$1203&lt;&gt;"")*Log!$F$4:$F$1203))))</f>
        <v>300</v>
      </c>
      <c r="I4" s="80" t="n">
        <f aca="false">IF($A4="","",IF(SUMPRODUCT(MAX((Log!$D$4:$D$1203=$A4)*(Log!$E$4:$E$1203="A")*(Log!$F$4:$F$1203&lt;&gt;"")*Log!$F$4:$F$1203))=0,"",SUMPRODUCT(MAX((Log!$D$4:$D$1203=$A4)*(Log!$E$4:$E$1203="A")*(Log!$F$4:$F$1203&lt;&gt;"")*Log!$F$4:$F$1203))))</f>
        <v>333</v>
      </c>
      <c r="J4" s="80" t="n">
        <f aca="false">IF(OR($H4="",$I4=""),"",$H4-$I4)</f>
        <v>-33</v>
      </c>
      <c r="K4" s="84" t="str">
        <f aca="false">IF($G4="","",IF($G4&gt;0.05,"steigend",IF($G4&lt;-0.05,"fallend","stabil")))</f>
        <v>fallend</v>
      </c>
      <c r="L4" s="77" t="n">
        <f aca="false">IF($H4="","",SUMPRODUCT((COUNTIFS(Log!$D$4:$D$1203,$A4,Log!$E$4:$E$1203,"A",Log!$F$4:$F$1203,$H4,Log!$B$4:$B$1203,Einheiten!$A$4:$A$63)&gt;0)*1))</f>
        <v>3</v>
      </c>
      <c r="M4" s="85" t="str">
        <f aca="false">IFERROR(INDEX(Rekorde!$Q$4:$Q$23,MATCH($A4,Rekorde!$A$4:$A$23,0)),"")</f>
        <v>Gewicht +5 kg (1.7%), Wdh zurück auf 5</v>
      </c>
      <c r="N4" s="86" t="n">
        <f aca="false">IF(OR($H4="",Übungen!$J4=""),"",CEILING($H4*1.01^12/Übungen!$J4,1)*Übungen!$J4)</f>
        <v>340</v>
      </c>
    </row>
    <row r="5" customFormat="false" ht="25.5" hidden="false" customHeight="true" outlineLevel="0" collapsed="false">
      <c r="A5" s="40" t="str">
        <f aca="false">IF(Übungen!$A5="","",Übungen!$A5)</f>
        <v>Split Squat</v>
      </c>
      <c r="B5" s="79" t="n">
        <f aca="false">IF($A5="","",IF(SUMPRODUCT(MAX((Log!$D$4:$D$1203=$A5)*(Log!$E$4:$E$1203="A")*Log!$B$4:$B$1203))=0,"",SUMPRODUCT(MIN((Log!$D$4:$D$1203=$A5)*(Log!$E$4:$E$1203="A")*Log!$B$4:$B$1203+((Log!$D$4:$D$1203&lt;&gt;$A5)+(Log!$E$4:$E$1203&lt;&gt;"A")&gt;0)*9999))))</f>
        <v>1</v>
      </c>
      <c r="C5" s="79" t="n">
        <f aca="false">IF($B5="","",SUMIFS(Log!$I$4:$I$1203,Log!$D$4:$D$1203,$A5,Log!$B$4:$B$1203,$B5,Log!$E$4:$E$1203,"A"))</f>
        <v>1610</v>
      </c>
      <c r="D5" s="79" t="n">
        <f aca="false">IF($A5="","",IF(SUMPRODUCT(MAX((Log!$D$4:$D$1203=$A5)*(Log!$E$4:$E$1203="A")*Log!$B$4:$B$1203))=0,"",SUMPRODUCT(MAX((Log!$D$4:$D$1203=$A5)*(Log!$E$4:$E$1203="A")*Log!$B$4:$B$1203))))</f>
        <v>17</v>
      </c>
      <c r="E5" s="79" t="n">
        <f aca="false">IF($D5="","",SUMIFS(Log!$I$4:$I$1203,Log!$D$4:$D$1203,$A5,Log!$B$4:$B$1203,$D5,Log!$E$4:$E$1203,"A"))</f>
        <v>1870</v>
      </c>
      <c r="F5" s="79" t="n">
        <f aca="false">IF(OR($C5="",$E5=""),"",$E5-$C5)</f>
        <v>260</v>
      </c>
      <c r="G5" s="87" t="n">
        <f aca="false">IF(OR($C5="",$E5="",$C5=0),"",$E5/$C5-1)</f>
        <v>0.161490683229814</v>
      </c>
      <c r="H5" s="82" t="n">
        <f aca="false">IF($D5="","",IF(SUMPRODUCT(MAX((Log!$D$4:$D$1203=$A5)*(Log!$B$4:$B$1203=$D5)*(Log!$E$4:$E$1203="A")*(Log!$F$4:$F$1203&lt;&gt;"")*Log!$F$4:$F$1203))=0,"",SUMPRODUCT(MAX((Log!$D$4:$D$1203=$A5)*(Log!$B$4:$B$1203=$D5)*(Log!$E$4:$E$1203="A")*(Log!$F$4:$F$1203&lt;&gt;"")*Log!$F$4:$F$1203))))</f>
        <v>120</v>
      </c>
      <c r="I5" s="82" t="n">
        <f aca="false">IF($A5="","",IF(SUMPRODUCT(MAX((Log!$D$4:$D$1203=$A5)*(Log!$E$4:$E$1203="A")*(Log!$F$4:$F$1203&lt;&gt;"")*Log!$F$4:$F$1203))=0,"",SUMPRODUCT(MAX((Log!$D$4:$D$1203=$A5)*(Log!$E$4:$E$1203="A")*(Log!$F$4:$F$1203&lt;&gt;"")*Log!$F$4:$F$1203))))</f>
        <v>120</v>
      </c>
      <c r="J5" s="82" t="n">
        <f aca="false">IF(OR($H5="",$I5=""),"",$H5-$I5)</f>
        <v>0</v>
      </c>
      <c r="K5" s="88" t="str">
        <f aca="false">IF($G5="","",IF($G5&gt;0.05,"steigend",IF($G5&lt;-0.05,"fallend","stabil")))</f>
        <v>steigend</v>
      </c>
      <c r="L5" s="79" t="n">
        <f aca="false">IF($H5="","",SUMPRODUCT((COUNTIFS(Log!$D$4:$D$1203,$A5,Log!$E$4:$E$1203,"A",Log!$F$4:$F$1203,$H5,Log!$B$4:$B$1203,Einheiten!$A$4:$A$63)&gt;0)*1))</f>
        <v>1</v>
      </c>
      <c r="M5" s="89" t="str">
        <f aca="false">IFERROR(INDEX(Rekorde!$Q$4:$Q$23,MATCH($A5,Rekorde!$A$4:$A$23,0)),"")</f>
        <v>Gewicht +2.5 kg (2.1%), Wdh zurück auf 5</v>
      </c>
      <c r="N5" s="90" t="n">
        <f aca="false">IF(OR($H5="",Übungen!$J5=""),"",CEILING($H5*1.01^12/Übungen!$J5,1)*Übungen!$J5)</f>
        <v>137.5</v>
      </c>
    </row>
    <row r="6" customFormat="false" ht="25.5" hidden="false" customHeight="true" outlineLevel="0" collapsed="false">
      <c r="A6" s="34" t="str">
        <f aca="false">IF(Übungen!$A6="","",Übungen!$A6)</f>
        <v>Beinstrecker</v>
      </c>
      <c r="B6" s="77" t="n">
        <f aca="false">IF($A6="","",IF(SUMPRODUCT(MAX((Log!$D$4:$D$1203=$A6)*(Log!$E$4:$E$1203="A")*Log!$B$4:$B$1203))=0,"",SUMPRODUCT(MIN((Log!$D$4:$D$1203=$A6)*(Log!$E$4:$E$1203="A")*Log!$B$4:$B$1203+((Log!$D$4:$D$1203&lt;&gt;$A6)+(Log!$E$4:$E$1203&lt;&gt;"A")&gt;0)*9999))))</f>
        <v>1</v>
      </c>
      <c r="C6" s="77" t="n">
        <f aca="false">IF($B6="","",SUMIFS(Log!$I$4:$I$1203,Log!$D$4:$D$1203,$A6,Log!$B$4:$B$1203,$B6,Log!$E$4:$E$1203,"A"))</f>
        <v>1205</v>
      </c>
      <c r="D6" s="77" t="n">
        <f aca="false">IF($A6="","",IF(SUMPRODUCT(MAX((Log!$D$4:$D$1203=$A6)*(Log!$E$4:$E$1203="A")*Log!$B$4:$B$1203))=0,"",SUMPRODUCT(MAX((Log!$D$4:$D$1203=$A6)*(Log!$E$4:$E$1203="A")*Log!$B$4:$B$1203))))</f>
        <v>17</v>
      </c>
      <c r="E6" s="77" t="n">
        <f aca="false">IF($D6="","",SUMIFS(Log!$I$4:$I$1203,Log!$D$4:$D$1203,$A6,Log!$B$4:$B$1203,$D6,Log!$E$4:$E$1203,"A"))</f>
        <v>1435</v>
      </c>
      <c r="F6" s="77" t="n">
        <f aca="false">IF(OR($C6="",$E6=""),"",$E6-$C6)</f>
        <v>230</v>
      </c>
      <c r="G6" s="83" t="n">
        <f aca="false">IF(OR($C6="",$E6="",$C6=0),"",$E6/$C6-1)</f>
        <v>0.190871369294606</v>
      </c>
      <c r="H6" s="80" t="n">
        <f aca="false">IF($D6="","",IF(SUMPRODUCT(MAX((Log!$D$4:$D$1203=$A6)*(Log!$B$4:$B$1203=$D6)*(Log!$E$4:$E$1203="A")*(Log!$F$4:$F$1203&lt;&gt;"")*Log!$F$4:$F$1203))=0,"",SUMPRODUCT(MAX((Log!$D$4:$D$1203=$A6)*(Log!$B$4:$B$1203=$D6)*(Log!$E$4:$E$1203="A")*(Log!$F$4:$F$1203&lt;&gt;"")*Log!$F$4:$F$1203))))</f>
        <v>95</v>
      </c>
      <c r="I6" s="80" t="n">
        <f aca="false">IF($A6="","",IF(SUMPRODUCT(MAX((Log!$D$4:$D$1203=$A6)*(Log!$E$4:$E$1203="A")*(Log!$F$4:$F$1203&lt;&gt;"")*Log!$F$4:$F$1203))=0,"",SUMPRODUCT(MAX((Log!$D$4:$D$1203=$A6)*(Log!$E$4:$E$1203="A")*(Log!$F$4:$F$1203&lt;&gt;"")*Log!$F$4:$F$1203))))</f>
        <v>95</v>
      </c>
      <c r="J6" s="80" t="n">
        <f aca="false">IF(OR($H6="",$I6=""),"",$H6-$I6)</f>
        <v>0</v>
      </c>
      <c r="K6" s="84" t="str">
        <f aca="false">IF($G6="","",IF($G6&gt;0.05,"steigend",IF($G6&lt;-0.05,"fallend","stabil")))</f>
        <v>steigend</v>
      </c>
      <c r="L6" s="77" t="n">
        <f aca="false">IF($H6="","",SUMPRODUCT((COUNTIFS(Log!$D$4:$D$1203,$A6,Log!$E$4:$E$1203,"A",Log!$F$4:$F$1203,$H6,Log!$B$4:$B$1203,Einheiten!$A$4:$A$63)&gt;0)*1))</f>
        <v>2</v>
      </c>
      <c r="M6" s="85" t="str">
        <f aca="false">IFERROR(INDEX(Rekorde!$Q$4:$Q$23,MATCH($A6,Rekorde!$A$4:$A$23,0)),"")</f>
        <v>Wdh +1 auf 6 bei gleichem Gewicht</v>
      </c>
      <c r="N6" s="86" t="n">
        <f aca="false">IF(OR($H6="",Übungen!$J6=""),"",CEILING($H6*1.01^12/Übungen!$J6,1)*Übungen!$J6)</f>
        <v>110</v>
      </c>
    </row>
    <row r="7" customFormat="false" ht="25.5" hidden="false" customHeight="true" outlineLevel="0" collapsed="false">
      <c r="A7" s="40" t="str">
        <f aca="false">IF(Übungen!$A7="","",Übungen!$A7)</f>
        <v>Adduktion</v>
      </c>
      <c r="B7" s="79" t="n">
        <f aca="false">IF($A7="","",IF(SUMPRODUCT(MAX((Log!$D$4:$D$1203=$A7)*(Log!$E$4:$E$1203="A")*Log!$B$4:$B$1203))=0,"",SUMPRODUCT(MIN((Log!$D$4:$D$1203=$A7)*(Log!$E$4:$E$1203="A")*Log!$B$4:$B$1203+((Log!$D$4:$D$1203&lt;&gt;$A7)+(Log!$E$4:$E$1203&lt;&gt;"A")&gt;0)*9999))))</f>
        <v>1</v>
      </c>
      <c r="C7" s="79" t="n">
        <f aca="false">IF($B7="","",SUMIFS(Log!$I$4:$I$1203,Log!$D$4:$D$1203,$A7,Log!$B$4:$B$1203,$B7,Log!$E$4:$E$1203,"A"))</f>
        <v>4117.5</v>
      </c>
      <c r="D7" s="79" t="n">
        <f aca="false">IF($A7="","",IF(SUMPRODUCT(MAX((Log!$D$4:$D$1203=$A7)*(Log!$E$4:$E$1203="A")*Log!$B$4:$B$1203))=0,"",SUMPRODUCT(MAX((Log!$D$4:$D$1203=$A7)*(Log!$E$4:$E$1203="A")*Log!$B$4:$B$1203))))</f>
        <v>8</v>
      </c>
      <c r="E7" s="79" t="n">
        <f aca="false">IF($D7="","",SUMIFS(Log!$I$4:$I$1203,Log!$D$4:$D$1203,$A7,Log!$B$4:$B$1203,$D7,Log!$E$4:$E$1203,"A"))</f>
        <v>3146.5</v>
      </c>
      <c r="F7" s="79" t="n">
        <f aca="false">IF(OR($C7="",$E7=""),"",$E7-$C7)</f>
        <v>-971</v>
      </c>
      <c r="G7" s="87" t="n">
        <f aca="false">IF(OR($C7="",$E7="",$C7=0),"",$E7/$C7-1)</f>
        <v>-0.235822707953856</v>
      </c>
      <c r="H7" s="82" t="n">
        <f aca="false">IF($D7="","",IF(SUMPRODUCT(MAX((Log!$D$4:$D$1203=$A7)*(Log!$B$4:$B$1203=$D7)*(Log!$E$4:$E$1203="A")*(Log!$F$4:$F$1203&lt;&gt;"")*Log!$F$4:$F$1203))=0,"",SUMPRODUCT(MAX((Log!$D$4:$D$1203=$A7)*(Log!$B$4:$B$1203=$D7)*(Log!$E$4:$E$1203="A")*(Log!$F$4:$F$1203&lt;&gt;"")*Log!$F$4:$F$1203))))</f>
        <v>185</v>
      </c>
      <c r="I7" s="82" t="n">
        <f aca="false">IF($A7="","",IF(SUMPRODUCT(MAX((Log!$D$4:$D$1203=$A7)*(Log!$E$4:$E$1203="A")*(Log!$F$4:$F$1203&lt;&gt;"")*Log!$F$4:$F$1203))=0,"",SUMPRODUCT(MAX((Log!$D$4:$D$1203=$A7)*(Log!$E$4:$E$1203="A")*(Log!$F$4:$F$1203&lt;&gt;"")*Log!$F$4:$F$1203))))</f>
        <v>185</v>
      </c>
      <c r="J7" s="82" t="n">
        <f aca="false">IF(OR($H7="",$I7=""),"",$H7-$I7)</f>
        <v>0</v>
      </c>
      <c r="K7" s="88" t="str">
        <f aca="false">IF($G7="","",IF($G7&gt;0.05,"steigend",IF($G7&lt;-0.05,"fallend","stabil")))</f>
        <v>fallend</v>
      </c>
      <c r="L7" s="79" t="n">
        <f aca="false">IF($H7="","",SUMPRODUCT((COUNTIFS(Log!$D$4:$D$1203,$A7,Log!$E$4:$E$1203,"A",Log!$F$4:$F$1203,$H7,Log!$B$4:$B$1203,Einheiten!$A$4:$A$63)&gt;0)*1))</f>
        <v>1</v>
      </c>
      <c r="M7" s="89" t="str">
        <f aca="false">IFERROR(INDEX(Rekorde!$Q$4:$Q$23,MATCH($A7,Rekorde!$A$4:$A$23,0)),"")</f>
        <v>Wdh +1 auf 6 bei gleichem Gewicht</v>
      </c>
      <c r="N7" s="90" t="n">
        <f aca="false">IF(OR($H7="",Übungen!$J7=""),"",CEILING($H7*1.01^12/Übungen!$J7,1)*Übungen!$J7)</f>
        <v>210</v>
      </c>
    </row>
    <row r="8" customFormat="false" ht="25.5" hidden="false" customHeight="true" outlineLevel="0" collapsed="false">
      <c r="A8" s="34" t="str">
        <f aca="false">IF(Übungen!$A8="","",Übungen!$A8)</f>
        <v>Reverse V-Squat</v>
      </c>
      <c r="B8" s="77" t="n">
        <f aca="false">IF($A8="","",IF(SUMPRODUCT(MAX((Log!$D$4:$D$1203=$A8)*(Log!$E$4:$E$1203="A")*Log!$B$4:$B$1203))=0,"",SUMPRODUCT(MIN((Log!$D$4:$D$1203=$A8)*(Log!$E$4:$E$1203="A")*Log!$B$4:$B$1203+((Log!$D$4:$D$1203&lt;&gt;$A8)+(Log!$E$4:$E$1203&lt;&gt;"A")&gt;0)*9999))))</f>
        <v>13</v>
      </c>
      <c r="C8" s="77" t="n">
        <f aca="false">IF($B8="","",SUMIFS(Log!$I$4:$I$1203,Log!$D$4:$D$1203,$A8,Log!$B$4:$B$1203,$B8,Log!$E$4:$E$1203,"A"))</f>
        <v>4220</v>
      </c>
      <c r="D8" s="77" t="n">
        <f aca="false">IF($A8="","",IF(SUMPRODUCT(MAX((Log!$D$4:$D$1203=$A8)*(Log!$E$4:$E$1203="A")*Log!$B$4:$B$1203))=0,"",SUMPRODUCT(MAX((Log!$D$4:$D$1203=$A8)*(Log!$E$4:$E$1203="A")*Log!$B$4:$B$1203))))</f>
        <v>14</v>
      </c>
      <c r="E8" s="77" t="n">
        <f aca="false">IF($D8="","",SUMIFS(Log!$I$4:$I$1203,Log!$D$4:$D$1203,$A8,Log!$B$4:$B$1203,$D8,Log!$E$4:$E$1203,"A"))</f>
        <v>3463</v>
      </c>
      <c r="F8" s="77" t="n">
        <f aca="false">IF(OR($C8="",$E8=""),"",$E8-$C8)</f>
        <v>-757</v>
      </c>
      <c r="G8" s="83" t="n">
        <f aca="false">IF(OR($C8="",$E8="",$C8=0),"",$E8/$C8-1)</f>
        <v>-0.179383886255924</v>
      </c>
      <c r="H8" s="80" t="n">
        <f aca="false">IF($D8="","",IF(SUMPRODUCT(MAX((Log!$D$4:$D$1203=$A8)*(Log!$B$4:$B$1203=$D8)*(Log!$E$4:$E$1203="A")*(Log!$F$4:$F$1203&lt;&gt;"")*Log!$F$4:$F$1203))=0,"",SUMPRODUCT(MAX((Log!$D$4:$D$1203=$A8)*(Log!$B$4:$B$1203=$D8)*(Log!$E$4:$E$1203="A")*(Log!$F$4:$F$1203&lt;&gt;"")*Log!$F$4:$F$1203))))</f>
        <v>215</v>
      </c>
      <c r="I8" s="80" t="n">
        <f aca="false">IF($A8="","",IF(SUMPRODUCT(MAX((Log!$D$4:$D$1203=$A8)*(Log!$E$4:$E$1203="A")*(Log!$F$4:$F$1203&lt;&gt;"")*Log!$F$4:$F$1203))=0,"",SUMPRODUCT(MAX((Log!$D$4:$D$1203=$A8)*(Log!$E$4:$E$1203="A")*(Log!$F$4:$F$1203&lt;&gt;"")*Log!$F$4:$F$1203))))</f>
        <v>215</v>
      </c>
      <c r="J8" s="80" t="n">
        <f aca="false">IF(OR($H8="",$I8=""),"",$H8-$I8)</f>
        <v>0</v>
      </c>
      <c r="K8" s="84" t="str">
        <f aca="false">IF($G8="","",IF($G8&gt;0.05,"steigend",IF($G8&lt;-0.05,"fallend","stabil")))</f>
        <v>fallend</v>
      </c>
      <c r="L8" s="77" t="n">
        <f aca="false">IF($H8="","",SUMPRODUCT((COUNTIFS(Log!$D$4:$D$1203,$A8,Log!$E$4:$E$1203,"A",Log!$F$4:$F$1203,$H8,Log!$B$4:$B$1203,Einheiten!$A$4:$A$63)&gt;0)*1))</f>
        <v>1</v>
      </c>
      <c r="M8" s="85" t="str">
        <f aca="false">IFERROR(INDEX(Rekorde!$Q$4:$Q$23,MATCH($A8,Rekorde!$A$4:$A$23,0)),"")</f>
        <v>Wdh +1 auf 6 bei gleichem Gewicht</v>
      </c>
      <c r="N8" s="86" t="n">
        <f aca="false">IF(OR($H8="",Übungen!$J8=""),"",CEILING($H8*1.01^12/Übungen!$J8,1)*Übungen!$J8)</f>
        <v>245</v>
      </c>
    </row>
    <row r="9" customFormat="false" ht="25.5" hidden="false" customHeight="true" outlineLevel="0" collapsed="false">
      <c r="A9" s="40" t="str">
        <f aca="false">IF(Übungen!$A9="","",Übungen!$A9)</f>
        <v>Rumänisches Kreuzheben</v>
      </c>
      <c r="B9" s="79" t="n">
        <f aca="false">IF($A9="","",IF(SUMPRODUCT(MAX((Log!$D$4:$D$1203=$A9)*(Log!$E$4:$E$1203="A")*Log!$B$4:$B$1203))=0,"",SUMPRODUCT(MIN((Log!$D$4:$D$1203=$A9)*(Log!$E$4:$E$1203="A")*Log!$B$4:$B$1203+((Log!$D$4:$D$1203&lt;&gt;$A9)+(Log!$E$4:$E$1203&lt;&gt;"A")&gt;0)*9999))))</f>
        <v>5</v>
      </c>
      <c r="C9" s="79" t="n">
        <f aca="false">IF($B9="","",SUMIFS(Log!$I$4:$I$1203,Log!$D$4:$D$1203,$A9,Log!$B$4:$B$1203,$B9,Log!$E$4:$E$1203,"A"))</f>
        <v>3740</v>
      </c>
      <c r="D9" s="79" t="n">
        <f aca="false">IF($A9="","",IF(SUMPRODUCT(MAX((Log!$D$4:$D$1203=$A9)*(Log!$E$4:$E$1203="A")*Log!$B$4:$B$1203))=0,"",SUMPRODUCT(MAX((Log!$D$4:$D$1203=$A9)*(Log!$E$4:$E$1203="A")*Log!$B$4:$B$1203))))</f>
        <v>11</v>
      </c>
      <c r="E9" s="79" t="n">
        <f aca="false">IF($D9="","",SUMIFS(Log!$I$4:$I$1203,Log!$D$4:$D$1203,$A9,Log!$B$4:$B$1203,$D9,Log!$E$4:$E$1203,"A"))</f>
        <v>1540</v>
      </c>
      <c r="F9" s="79" t="n">
        <f aca="false">IF(OR($C9="",$E9=""),"",$E9-$C9)</f>
        <v>-2200</v>
      </c>
      <c r="G9" s="87" t="n">
        <f aca="false">IF(OR($C9="",$E9="",$C9=0),"",$E9/$C9-1)</f>
        <v>-0.588235294117647</v>
      </c>
      <c r="H9" s="82" t="n">
        <f aca="false">IF($D9="","",IF(SUMPRODUCT(MAX((Log!$D$4:$D$1203=$A9)*(Log!$B$4:$B$1203=$D9)*(Log!$E$4:$E$1203="A")*(Log!$F$4:$F$1203&lt;&gt;"")*Log!$F$4:$F$1203))=0,"",SUMPRODUCT(MAX((Log!$D$4:$D$1203=$A9)*(Log!$B$4:$B$1203=$D9)*(Log!$E$4:$E$1203="A")*(Log!$F$4:$F$1203&lt;&gt;"")*Log!$F$4:$F$1203))))</f>
        <v>115</v>
      </c>
      <c r="I9" s="82" t="n">
        <f aca="false">IF($A9="","",IF(SUMPRODUCT(MAX((Log!$D$4:$D$1203=$A9)*(Log!$E$4:$E$1203="A")*(Log!$F$4:$F$1203&lt;&gt;"")*Log!$F$4:$F$1203))=0,"",SUMPRODUCT(MAX((Log!$D$4:$D$1203=$A9)*(Log!$E$4:$E$1203="A")*(Log!$F$4:$F$1203&lt;&gt;"")*Log!$F$4:$F$1203))))</f>
        <v>135</v>
      </c>
      <c r="J9" s="82" t="n">
        <f aca="false">IF(OR($H9="",$I9=""),"",$H9-$I9)</f>
        <v>-20</v>
      </c>
      <c r="K9" s="88" t="str">
        <f aca="false">IF($G9="","",IF($G9&gt;0.05,"steigend",IF($G9&lt;-0.05,"fallend","stabil")))</f>
        <v>fallend</v>
      </c>
      <c r="L9" s="79" t="n">
        <f aca="false">IF($H9="","",SUMPRODUCT((COUNTIFS(Log!$D$4:$D$1203,$A9,Log!$E$4:$E$1203,"A",Log!$F$4:$F$1203,$H9,Log!$B$4:$B$1203,Einheiten!$A$4:$A$63)&gt;0)*1))</f>
        <v>1</v>
      </c>
      <c r="M9" s="89" t="str">
        <f aca="false">IFERROR(INDEX(Rekorde!$Q$4:$Q$23,MATCH($A9,Rekorde!$A$4:$A$23,0)),"")</f>
        <v>Gewicht +2.5 kg (2.2%), Wdh zurück auf 5</v>
      </c>
      <c r="N9" s="90" t="n">
        <f aca="false">IF(OR($H9="",Übungen!$J9=""),"",CEILING($H9*1.01^12/Übungen!$J9,1)*Übungen!$J9)</f>
        <v>130</v>
      </c>
    </row>
    <row r="10" customFormat="false" ht="25.5" hidden="false" customHeight="true" outlineLevel="0" collapsed="false">
      <c r="A10" s="34" t="str">
        <f aca="false">IF(Übungen!$A10="","",Übungen!$A10)</f>
        <v>Rumänisches Kreuzheben KH</v>
      </c>
      <c r="B10" s="77" t="n">
        <f aca="false">IF($A10="","",IF(SUMPRODUCT(MAX((Log!$D$4:$D$1203=$A10)*(Log!$E$4:$E$1203="A")*Log!$B$4:$B$1203))=0,"",SUMPRODUCT(MIN((Log!$D$4:$D$1203=$A10)*(Log!$E$4:$E$1203="A")*Log!$B$4:$B$1203+((Log!$D$4:$D$1203&lt;&gt;$A10)+(Log!$E$4:$E$1203&lt;&gt;"A")&gt;0)*9999))))</f>
        <v>14</v>
      </c>
      <c r="C10" s="77" t="n">
        <f aca="false">IF($B10="","",SUMIFS(Log!$I$4:$I$1203,Log!$D$4:$D$1203,$A10,Log!$B$4:$B$1203,$B10,Log!$E$4:$E$1203,"A"))</f>
        <v>480</v>
      </c>
      <c r="D10" s="77" t="n">
        <f aca="false">IF($A10="","",IF(SUMPRODUCT(MAX((Log!$D$4:$D$1203=$A10)*(Log!$E$4:$E$1203="A")*Log!$B$4:$B$1203))=0,"",SUMPRODUCT(MAX((Log!$D$4:$D$1203=$A10)*(Log!$E$4:$E$1203="A")*Log!$B$4:$B$1203))))</f>
        <v>14</v>
      </c>
      <c r="E10" s="77" t="n">
        <f aca="false">IF($D10="","",SUMIFS(Log!$I$4:$I$1203,Log!$D$4:$D$1203,$A10,Log!$B$4:$B$1203,$D10,Log!$E$4:$E$1203,"A"))</f>
        <v>480</v>
      </c>
      <c r="F10" s="77" t="n">
        <f aca="false">IF(OR($C10="",$E10=""),"",$E10-$C10)</f>
        <v>0</v>
      </c>
      <c r="G10" s="83" t="n">
        <f aca="false">IF(OR($C10="",$E10="",$C10=0),"",$E10/$C10-1)</f>
        <v>0</v>
      </c>
      <c r="H10" s="80" t="n">
        <f aca="false">IF($D10="","",IF(SUMPRODUCT(MAX((Log!$D$4:$D$1203=$A10)*(Log!$B$4:$B$1203=$D10)*(Log!$E$4:$E$1203="A")*(Log!$F$4:$F$1203&lt;&gt;"")*Log!$F$4:$F$1203))=0,"",SUMPRODUCT(MAX((Log!$D$4:$D$1203=$A10)*(Log!$B$4:$B$1203=$D10)*(Log!$E$4:$E$1203="A")*(Log!$F$4:$F$1203&lt;&gt;"")*Log!$F$4:$F$1203))))</f>
        <v>34</v>
      </c>
      <c r="I10" s="80" t="n">
        <f aca="false">IF($A10="","",IF(SUMPRODUCT(MAX((Log!$D$4:$D$1203=$A10)*(Log!$E$4:$E$1203="A")*(Log!$F$4:$F$1203&lt;&gt;"")*Log!$F$4:$F$1203))=0,"",SUMPRODUCT(MAX((Log!$D$4:$D$1203=$A10)*(Log!$E$4:$E$1203="A")*(Log!$F$4:$F$1203&lt;&gt;"")*Log!$F$4:$F$1203))))</f>
        <v>34</v>
      </c>
      <c r="J10" s="80" t="n">
        <f aca="false">IF(OR($H10="",$I10=""),"",$H10-$I10)</f>
        <v>0</v>
      </c>
      <c r="K10" s="84" t="str">
        <f aca="false">IF($G10="","",IF($G10&gt;0.05,"steigend",IF($G10&lt;-0.05,"fallend","stabil")))</f>
        <v>stabil</v>
      </c>
      <c r="L10" s="77" t="n">
        <f aca="false">IF($H10="","",SUMPRODUCT((COUNTIFS(Log!$D$4:$D$1203,$A10,Log!$E$4:$E$1203,"A",Log!$F$4:$F$1203,$H10,Log!$B$4:$B$1203,Einheiten!$A$4:$A$63)&gt;0)*1))</f>
        <v>1</v>
      </c>
      <c r="M10" s="85" t="str">
        <f aca="false">IFERROR(INDEX(Rekorde!$Q$4:$Q$23,MATCH($A10,Rekorde!$A$4:$A$23,0)),"")</f>
        <v>Wdh +1 auf 6 bei gleichem Gewicht</v>
      </c>
      <c r="N10" s="86" t="n">
        <f aca="false">IF(OR($H10="",Übungen!$J10=""),"",CEILING($H10*1.01^12/Übungen!$J10,1)*Übungen!$J10)</f>
        <v>40</v>
      </c>
    </row>
    <row r="11" customFormat="false" ht="25.5" hidden="false" customHeight="true" outlineLevel="0" collapsed="false">
      <c r="A11" s="40" t="str">
        <f aca="false">IF(Übungen!$A11="","",Übungen!$A11)</f>
        <v>Beinpresse breit</v>
      </c>
      <c r="B11" s="79" t="str">
        <f aca="false">IF($A11="","",IF(SUMPRODUCT(MAX((Log!$D$4:$D$1203=$A11)*(Log!$E$4:$E$1203="A")*Log!$B$4:$B$1203))=0,"",SUMPRODUCT(MIN((Log!$D$4:$D$1203=$A11)*(Log!$E$4:$E$1203="A")*Log!$B$4:$B$1203+((Log!$D$4:$D$1203&lt;&gt;$A11)+(Log!$E$4:$E$1203&lt;&gt;"A")&gt;0)*9999))))</f>
        <v/>
      </c>
      <c r="C11" s="79" t="str">
        <f aca="false">IF($B11="","",SUMIFS(Log!$I$4:$I$1203,Log!$D$4:$D$1203,$A11,Log!$B$4:$B$1203,$B11,Log!$E$4:$E$1203,"A"))</f>
        <v/>
      </c>
      <c r="D11" s="79" t="str">
        <f aca="false">IF($A11="","",IF(SUMPRODUCT(MAX((Log!$D$4:$D$1203=$A11)*(Log!$E$4:$E$1203="A")*Log!$B$4:$B$1203))=0,"",SUMPRODUCT(MAX((Log!$D$4:$D$1203=$A11)*(Log!$E$4:$E$1203="A")*Log!$B$4:$B$1203))))</f>
        <v/>
      </c>
      <c r="E11" s="79" t="str">
        <f aca="false">IF($D11="","",SUMIFS(Log!$I$4:$I$1203,Log!$D$4:$D$1203,$A11,Log!$B$4:$B$1203,$D11,Log!$E$4:$E$1203,"A"))</f>
        <v/>
      </c>
      <c r="F11" s="79" t="str">
        <f aca="false">IF(OR($C11="",$E11=""),"",$E11-$C11)</f>
        <v/>
      </c>
      <c r="G11" s="87" t="str">
        <f aca="false">IF(OR($C11="",$E11="",$C11=0),"",$E11/$C11-1)</f>
        <v/>
      </c>
      <c r="H11" s="82" t="str">
        <f aca="false">IF($D11="","",IF(SUMPRODUCT(MAX((Log!$D$4:$D$1203=$A11)*(Log!$B$4:$B$1203=$D11)*(Log!$E$4:$E$1203="A")*(Log!$F$4:$F$1203&lt;&gt;"")*Log!$F$4:$F$1203))=0,"",SUMPRODUCT(MAX((Log!$D$4:$D$1203=$A11)*(Log!$B$4:$B$1203=$D11)*(Log!$E$4:$E$1203="A")*(Log!$F$4:$F$1203&lt;&gt;"")*Log!$F$4:$F$1203))))</f>
        <v/>
      </c>
      <c r="I11" s="82" t="str">
        <f aca="false">IF($A11="","",IF(SUMPRODUCT(MAX((Log!$D$4:$D$1203=$A11)*(Log!$E$4:$E$1203="A")*(Log!$F$4:$F$1203&lt;&gt;"")*Log!$F$4:$F$1203))=0,"",SUMPRODUCT(MAX((Log!$D$4:$D$1203=$A11)*(Log!$E$4:$E$1203="A")*(Log!$F$4:$F$1203&lt;&gt;"")*Log!$F$4:$F$1203))))</f>
        <v/>
      </c>
      <c r="J11" s="82" t="str">
        <f aca="false">IF(OR($H11="",$I11=""),"",$H11-$I11)</f>
        <v/>
      </c>
      <c r="K11" s="88" t="str">
        <f aca="false">IF($G11="","",IF($G11&gt;0.05,"steigend",IF($G11&lt;-0.05,"fallend","stabil")))</f>
        <v/>
      </c>
      <c r="L11" s="79" t="str">
        <f aca="false">IF($H11="","",SUMPRODUCT((COUNTIFS(Log!$D$4:$D$1203,$A11,Log!$E$4:$E$1203,"A",Log!$F$4:$F$1203,$H11,Log!$B$4:$B$1203,Einheiten!$A$4:$A$63)&gt;0)*1))</f>
        <v/>
      </c>
      <c r="M11" s="89" t="str">
        <f aca="false">IFERROR(INDEX(Rekorde!$Q$4:$Q$23,MATCH($A11,Rekorde!$A$4:$A$23,0)),"")</f>
        <v>Einstieg mit Startgewicht</v>
      </c>
      <c r="N11" s="90" t="str">
        <f aca="false">IF(OR($H11="",Übungen!$J11=""),"",CEILING($H11*1.01^12/Übungen!$J11,1)*Übungen!$J11)</f>
        <v/>
      </c>
    </row>
    <row r="12" customFormat="false" ht="25.5" hidden="false" customHeight="true" outlineLevel="0" collapsed="false">
      <c r="A12" s="34" t="str">
        <f aca="false">IF(Übungen!$A12="","",Übungen!$A12)</f>
        <v>Hip Thrust</v>
      </c>
      <c r="B12" s="77" t="n">
        <f aca="false">IF($A12="","",IF(SUMPRODUCT(MAX((Log!$D$4:$D$1203=$A12)*(Log!$E$4:$E$1203="A")*Log!$B$4:$B$1203))=0,"",SUMPRODUCT(MIN((Log!$D$4:$D$1203=$A12)*(Log!$E$4:$E$1203="A")*Log!$B$4:$B$1203+((Log!$D$4:$D$1203&lt;&gt;$A12)+(Log!$E$4:$E$1203&lt;&gt;"A")&gt;0)*9999))))</f>
        <v>1</v>
      </c>
      <c r="C12" s="77" t="n">
        <f aca="false">IF($B12="","",SUMIFS(Log!$I$4:$I$1203,Log!$D$4:$D$1203,$A12,Log!$B$4:$B$1203,$B12,Log!$E$4:$E$1203,"A"))</f>
        <v>4560</v>
      </c>
      <c r="D12" s="77" t="n">
        <f aca="false">IF($A12="","",IF(SUMPRODUCT(MAX((Log!$D$4:$D$1203=$A12)*(Log!$E$4:$E$1203="A")*Log!$B$4:$B$1203))=0,"",SUMPRODUCT(MAX((Log!$D$4:$D$1203=$A12)*(Log!$E$4:$E$1203="A")*Log!$B$4:$B$1203))))</f>
        <v>14</v>
      </c>
      <c r="E12" s="77" t="n">
        <f aca="false">IF($D12="","",SUMIFS(Log!$I$4:$I$1203,Log!$D$4:$D$1203,$A12,Log!$B$4:$B$1203,$D12,Log!$E$4:$E$1203,"A"))</f>
        <v>4590</v>
      </c>
      <c r="F12" s="77" t="n">
        <f aca="false">IF(OR($C12="",$E12=""),"",$E12-$C12)</f>
        <v>30</v>
      </c>
      <c r="G12" s="83" t="n">
        <f aca="false">IF(OR($C12="",$E12="",$C12=0),"",$E12/$C12-1)</f>
        <v>0.00657894736842102</v>
      </c>
      <c r="H12" s="80" t="n">
        <f aca="false">IF($D12="","",IF(SUMPRODUCT(MAX((Log!$D$4:$D$1203=$A12)*(Log!$B$4:$B$1203=$D12)*(Log!$E$4:$E$1203="A")*(Log!$F$4:$F$1203&lt;&gt;"")*Log!$F$4:$F$1203))=0,"",SUMPRODUCT(MAX((Log!$D$4:$D$1203=$A12)*(Log!$B$4:$B$1203=$D12)*(Log!$E$4:$E$1203="A")*(Log!$F$4:$F$1203&lt;&gt;"")*Log!$F$4:$F$1203))))</f>
        <v>285</v>
      </c>
      <c r="I12" s="80" t="n">
        <f aca="false">IF($A12="","",IF(SUMPRODUCT(MAX((Log!$D$4:$D$1203=$A12)*(Log!$E$4:$E$1203="A")*(Log!$F$4:$F$1203&lt;&gt;"")*Log!$F$4:$F$1203))=0,"",SUMPRODUCT(MAX((Log!$D$4:$D$1203=$A12)*(Log!$E$4:$E$1203="A")*(Log!$F$4:$F$1203&lt;&gt;"")*Log!$F$4:$F$1203))))</f>
        <v>290</v>
      </c>
      <c r="J12" s="80" t="n">
        <f aca="false">IF(OR($H12="",$I12=""),"",$H12-$I12)</f>
        <v>-5</v>
      </c>
      <c r="K12" s="84" t="str">
        <f aca="false">IF($G12="","",IF($G12&gt;0.05,"steigend",IF($G12&lt;-0.05,"fallend","stabil")))</f>
        <v>stabil</v>
      </c>
      <c r="L12" s="77" t="n">
        <f aca="false">IF($H12="","",SUMPRODUCT((COUNTIFS(Log!$D$4:$D$1203,$A12,Log!$E$4:$E$1203,"A",Log!$F$4:$F$1203,$H12,Log!$B$4:$B$1203,Einheiten!$A$4:$A$63)&gt;0)*1))</f>
        <v>1</v>
      </c>
      <c r="M12" s="85" t="str">
        <f aca="false">IFERROR(INDEX(Rekorde!$Q$4:$Q$23,MATCH($A12,Rekorde!$A$4:$A$23,0)),"")</f>
        <v>Wdh +1 auf 6 bei gleichem Gewicht</v>
      </c>
      <c r="N12" s="86" t="n">
        <f aca="false">IF(OR($H12="",Übungen!$J12=""),"",CEILING($H12*1.01^12/Übungen!$J12,1)*Übungen!$J12)</f>
        <v>325</v>
      </c>
    </row>
    <row r="13" customFormat="false" ht="25.5" hidden="false" customHeight="true" outlineLevel="0" collapsed="false">
      <c r="A13" s="40" t="str">
        <f aca="false">IF(Übungen!$A13="","",Übungen!$A13)</f>
        <v>Hip &amp; Glute</v>
      </c>
      <c r="B13" s="79" t="n">
        <f aca="false">IF($A13="","",IF(SUMPRODUCT(MAX((Log!$D$4:$D$1203=$A13)*(Log!$E$4:$E$1203="A")*Log!$B$4:$B$1203))=0,"",SUMPRODUCT(MIN((Log!$D$4:$D$1203=$A13)*(Log!$E$4:$E$1203="A")*Log!$B$4:$B$1203+((Log!$D$4:$D$1203&lt;&gt;$A13)+(Log!$E$4:$E$1203&lt;&gt;"A")&gt;0)*9999))))</f>
        <v>7</v>
      </c>
      <c r="C13" s="79" t="n">
        <f aca="false">IF($B13="","",SUMIFS(Log!$I$4:$I$1203,Log!$D$4:$D$1203,$A13,Log!$B$4:$B$1203,$B13,Log!$E$4:$E$1203,"A"))</f>
        <v>3732</v>
      </c>
      <c r="D13" s="79" t="n">
        <f aca="false">IF($A13="","",IF(SUMPRODUCT(MAX((Log!$D$4:$D$1203=$A13)*(Log!$E$4:$E$1203="A")*Log!$B$4:$B$1203))=0,"",SUMPRODUCT(MAX((Log!$D$4:$D$1203=$A13)*(Log!$E$4:$E$1203="A")*Log!$B$4:$B$1203))))</f>
        <v>14</v>
      </c>
      <c r="E13" s="79" t="n">
        <f aca="false">IF($D13="","",SUMIFS(Log!$I$4:$I$1203,Log!$D$4:$D$1203,$A13,Log!$B$4:$B$1203,$D13,Log!$E$4:$E$1203,"A"))</f>
        <v>2737</v>
      </c>
      <c r="F13" s="79" t="n">
        <f aca="false">IF(OR($C13="",$E13=""),"",$E13-$C13)</f>
        <v>-995</v>
      </c>
      <c r="G13" s="87" t="n">
        <f aca="false">IF(OR($C13="",$E13="",$C13=0),"",$E13/$C13-1)</f>
        <v>-0.266613076098607</v>
      </c>
      <c r="H13" s="82" t="n">
        <f aca="false">IF($D13="","",IF(SUMPRODUCT(MAX((Log!$D$4:$D$1203=$A13)*(Log!$B$4:$B$1203=$D13)*(Log!$E$4:$E$1203="A")*(Log!$F$4:$F$1203&lt;&gt;"")*Log!$F$4:$F$1203))=0,"",SUMPRODUCT(MAX((Log!$D$4:$D$1203=$A13)*(Log!$B$4:$B$1203=$D13)*(Log!$E$4:$E$1203="A")*(Log!$F$4:$F$1203&lt;&gt;"")*Log!$F$4:$F$1203))))</f>
        <v>170</v>
      </c>
      <c r="I13" s="82" t="n">
        <f aca="false">IF($A13="","",IF(SUMPRODUCT(MAX((Log!$D$4:$D$1203=$A13)*(Log!$E$4:$E$1203="A")*(Log!$F$4:$F$1203&lt;&gt;"")*Log!$F$4:$F$1203))=0,"",SUMPRODUCT(MAX((Log!$D$4:$D$1203=$A13)*(Log!$E$4:$E$1203="A")*(Log!$F$4:$F$1203&lt;&gt;"")*Log!$F$4:$F$1203))))</f>
        <v>176</v>
      </c>
      <c r="J13" s="82" t="n">
        <f aca="false">IF(OR($H13="",$I13=""),"",$H13-$I13)</f>
        <v>-6</v>
      </c>
      <c r="K13" s="88" t="str">
        <f aca="false">IF($G13="","",IF($G13&gt;0.05,"steigend",IF($G13&lt;-0.05,"fallend","stabil")))</f>
        <v>fallend</v>
      </c>
      <c r="L13" s="79" t="n">
        <f aca="false">IF($H13="","",SUMPRODUCT((COUNTIFS(Log!$D$4:$D$1203,$A13,Log!$E$4:$E$1203,"A",Log!$F$4:$F$1203,$H13,Log!$B$4:$B$1203,Einheiten!$A$4:$A$63)&gt;0)*1))</f>
        <v>1</v>
      </c>
      <c r="M13" s="89" t="str">
        <f aca="false">IFERROR(INDEX(Rekorde!$Q$4:$Q$23,MATCH($A13,Rekorde!$A$4:$A$23,0)),"")</f>
        <v>Wdh +1 auf 6 bei gleichem Gewicht</v>
      </c>
      <c r="N13" s="90" t="n">
        <f aca="false">IF(OR($H13="",Übungen!$J13=""),"",CEILING($H13*1.01^12/Übungen!$J13,1)*Übungen!$J13)</f>
        <v>195</v>
      </c>
    </row>
    <row r="14" customFormat="false" ht="25.5" hidden="false" customHeight="true" outlineLevel="0" collapsed="false">
      <c r="A14" s="34" t="str">
        <f aca="false">IF(Übungen!$A14="","",Übungen!$A14)</f>
        <v>Beinbeuger</v>
      </c>
      <c r="B14" s="77" t="n">
        <f aca="false">IF($A14="","",IF(SUMPRODUCT(MAX((Log!$D$4:$D$1203=$A14)*(Log!$E$4:$E$1203="A")*Log!$B$4:$B$1203))=0,"",SUMPRODUCT(MIN((Log!$D$4:$D$1203=$A14)*(Log!$E$4:$E$1203="A")*Log!$B$4:$B$1203+((Log!$D$4:$D$1203&lt;&gt;$A14)+(Log!$E$4:$E$1203&lt;&gt;"A")&gt;0)*9999))))</f>
        <v>1</v>
      </c>
      <c r="C14" s="77" t="n">
        <f aca="false">IF($B14="","",SUMIFS(Log!$I$4:$I$1203,Log!$D$4:$D$1203,$A14,Log!$B$4:$B$1203,$B14,Log!$E$4:$E$1203,"A"))</f>
        <v>1130</v>
      </c>
      <c r="D14" s="77" t="n">
        <f aca="false">IF($A14="","",IF(SUMPRODUCT(MAX((Log!$D$4:$D$1203=$A14)*(Log!$E$4:$E$1203="A")*Log!$B$4:$B$1203))=0,"",SUMPRODUCT(MAX((Log!$D$4:$D$1203=$A14)*(Log!$E$4:$E$1203="A")*Log!$B$4:$B$1203))))</f>
        <v>14</v>
      </c>
      <c r="E14" s="77" t="n">
        <f aca="false">IF($D14="","",SUMIFS(Log!$I$4:$I$1203,Log!$D$4:$D$1203,$A14,Log!$B$4:$B$1203,$D14,Log!$E$4:$E$1203,"A"))</f>
        <v>726</v>
      </c>
      <c r="F14" s="77" t="n">
        <f aca="false">IF(OR($C14="",$E14=""),"",$E14-$C14)</f>
        <v>-404</v>
      </c>
      <c r="G14" s="83" t="n">
        <f aca="false">IF(OR($C14="",$E14="",$C14=0),"",$E14/$C14-1)</f>
        <v>-0.357522123893805</v>
      </c>
      <c r="H14" s="80" t="n">
        <f aca="false">IF($D14="","",IF(SUMPRODUCT(MAX((Log!$D$4:$D$1203=$A14)*(Log!$B$4:$B$1203=$D14)*(Log!$E$4:$E$1203="A")*(Log!$F$4:$F$1203&lt;&gt;"")*Log!$F$4:$F$1203))=0,"",SUMPRODUCT(MAX((Log!$D$4:$D$1203=$A14)*(Log!$B$4:$B$1203=$D14)*(Log!$E$4:$E$1203="A")*(Log!$F$4:$F$1203&lt;&gt;"")*Log!$F$4:$F$1203))))</f>
        <v>45</v>
      </c>
      <c r="I14" s="80" t="n">
        <f aca="false">IF($A14="","",IF(SUMPRODUCT(MAX((Log!$D$4:$D$1203=$A14)*(Log!$E$4:$E$1203="A")*(Log!$F$4:$F$1203&lt;&gt;"")*Log!$F$4:$F$1203))=0,"",SUMPRODUCT(MAX((Log!$D$4:$D$1203=$A14)*(Log!$E$4:$E$1203="A")*(Log!$F$4:$F$1203&lt;&gt;"")*Log!$F$4:$F$1203))))</f>
        <v>57.5</v>
      </c>
      <c r="J14" s="80" t="n">
        <f aca="false">IF(OR($H14="",$I14=""),"",$H14-$I14)</f>
        <v>-12.5</v>
      </c>
      <c r="K14" s="84" t="str">
        <f aca="false">IF($G14="","",IF($G14&gt;0.05,"steigend",IF($G14&lt;-0.05,"fallend","stabil")))</f>
        <v>fallend</v>
      </c>
      <c r="L14" s="77" t="n">
        <f aca="false">IF($H14="","",SUMPRODUCT((COUNTIFS(Log!$D$4:$D$1203,$A14,Log!$E$4:$E$1203,"A",Log!$F$4:$F$1203,$H14,Log!$B$4:$B$1203,Einheiten!$A$4:$A$63)&gt;0)*1))</f>
        <v>4</v>
      </c>
      <c r="M14" s="85" t="str">
        <f aca="false">IFERROR(INDEX(Rekorde!$Q$4:$Q$23,MATCH($A14,Rekorde!$A$4:$A$23,0)),"")</f>
        <v>Wdh +1 auf 6 bei gleichem Gewicht</v>
      </c>
      <c r="N14" s="86" t="n">
        <f aca="false">IF(OR($H14="",Übungen!$J14=""),"",CEILING($H14*1.01^12/Übungen!$J14,1)*Übungen!$J14)</f>
        <v>52.5</v>
      </c>
    </row>
    <row r="15" customFormat="false" ht="25.5" hidden="false" customHeight="true" outlineLevel="0" collapsed="false">
      <c r="A15" s="40" t="str">
        <f aca="false">IF(Übungen!$A15="","",Übungen!$A15)</f>
        <v>Seitliche Kickbacks</v>
      </c>
      <c r="B15" s="79" t="n">
        <f aca="false">IF($A15="","",IF(SUMPRODUCT(MAX((Log!$D$4:$D$1203=$A15)*(Log!$E$4:$E$1203="A")*Log!$B$4:$B$1203))=0,"",SUMPRODUCT(MIN((Log!$D$4:$D$1203=$A15)*(Log!$E$4:$E$1203="A")*Log!$B$4:$B$1203+((Log!$D$4:$D$1203&lt;&gt;$A15)+(Log!$E$4:$E$1203&lt;&gt;"A")&gt;0)*9999))))</f>
        <v>1</v>
      </c>
      <c r="C15" s="79" t="n">
        <f aca="false">IF($B15="","",SUMIFS(Log!$I$4:$I$1203,Log!$D$4:$D$1203,$A15,Log!$B$4:$B$1203,$B15,Log!$E$4:$E$1203,"A"))</f>
        <v>1078</v>
      </c>
      <c r="D15" s="79" t="n">
        <f aca="false">IF($A15="","",IF(SUMPRODUCT(MAX((Log!$D$4:$D$1203=$A15)*(Log!$E$4:$E$1203="A")*Log!$B$4:$B$1203))=0,"",SUMPRODUCT(MAX((Log!$D$4:$D$1203=$A15)*(Log!$E$4:$E$1203="A")*Log!$B$4:$B$1203))))</f>
        <v>5</v>
      </c>
      <c r="E15" s="79" t="n">
        <f aca="false">IF($D15="","",SUMIFS(Log!$I$4:$I$1203,Log!$D$4:$D$1203,$A15,Log!$B$4:$B$1203,$D15,Log!$E$4:$E$1203,"A"))</f>
        <v>720</v>
      </c>
      <c r="F15" s="79" t="n">
        <f aca="false">IF(OR($C15="",$E15=""),"",$E15-$C15)</f>
        <v>-358</v>
      </c>
      <c r="G15" s="87" t="n">
        <f aca="false">IF(OR($C15="",$E15="",$C15=0),"",$E15/$C15-1)</f>
        <v>-0.332096474953618</v>
      </c>
      <c r="H15" s="82" t="n">
        <f aca="false">IF($D15="","",IF(SUMPRODUCT(MAX((Log!$D$4:$D$1203=$A15)*(Log!$B$4:$B$1203=$D15)*(Log!$E$4:$E$1203="A")*(Log!$F$4:$F$1203&lt;&gt;"")*Log!$F$4:$F$1203))=0,"",SUMPRODUCT(MAX((Log!$D$4:$D$1203=$A15)*(Log!$B$4:$B$1203=$D15)*(Log!$E$4:$E$1203="A")*(Log!$F$4:$F$1203&lt;&gt;"")*Log!$F$4:$F$1203))))</f>
        <v>36</v>
      </c>
      <c r="I15" s="82" t="n">
        <f aca="false">IF($A15="","",IF(SUMPRODUCT(MAX((Log!$D$4:$D$1203=$A15)*(Log!$E$4:$E$1203="A")*(Log!$F$4:$F$1203&lt;&gt;"")*Log!$F$4:$F$1203))=0,"",SUMPRODUCT(MAX((Log!$D$4:$D$1203=$A15)*(Log!$E$4:$E$1203="A")*(Log!$F$4:$F$1203&lt;&gt;"")*Log!$F$4:$F$1203))))</f>
        <v>49</v>
      </c>
      <c r="J15" s="82" t="n">
        <f aca="false">IF(OR($H15="",$I15=""),"",$H15-$I15)</f>
        <v>-13</v>
      </c>
      <c r="K15" s="88" t="str">
        <f aca="false">IF($G15="","",IF($G15&gt;0.05,"steigend",IF($G15&lt;-0.05,"fallend","stabil")))</f>
        <v>fallend</v>
      </c>
      <c r="L15" s="79" t="n">
        <f aca="false">IF($H15="","",SUMPRODUCT((COUNTIFS(Log!$D$4:$D$1203,$A15,Log!$E$4:$E$1203,"A",Log!$F$4:$F$1203,$H15,Log!$B$4:$B$1203,Einheiten!$A$4:$A$63)&gt;0)*1))</f>
        <v>1</v>
      </c>
      <c r="M15" s="89" t="str">
        <f aca="false">IFERROR(INDEX(Rekorde!$Q$4:$Q$23,MATCH($A15,Rekorde!$A$4:$A$23,0)),"")</f>
        <v>RM-Korrektur nach 10 Wdh: +4 kg (11.1%), Wdh zurück auf 5</v>
      </c>
      <c r="N15" s="90" t="n">
        <f aca="false">IF(OR($H15="",Übungen!$J15=""),"",CEILING($H15*1.01^12/Übungen!$J15,1)*Übungen!$J15)</f>
        <v>42</v>
      </c>
    </row>
    <row r="16" customFormat="false" ht="25.5" hidden="false" customHeight="true" outlineLevel="0" collapsed="false">
      <c r="A16" s="34" t="str">
        <f aca="false">IF(Übungen!$A16="","",Übungen!$A16)</f>
        <v>Waden</v>
      </c>
      <c r="B16" s="77" t="n">
        <f aca="false">IF($A16="","",IF(SUMPRODUCT(MAX((Log!$D$4:$D$1203=$A16)*(Log!$E$4:$E$1203="A")*Log!$B$4:$B$1203))=0,"",SUMPRODUCT(MIN((Log!$D$4:$D$1203=$A16)*(Log!$E$4:$E$1203="A")*Log!$B$4:$B$1203+((Log!$D$4:$D$1203&lt;&gt;$A16)+(Log!$E$4:$E$1203&lt;&gt;"A")&gt;0)*9999))))</f>
        <v>1</v>
      </c>
      <c r="C16" s="77" t="n">
        <f aca="false">IF($B16="","",SUMIFS(Log!$I$4:$I$1203,Log!$D$4:$D$1203,$A16,Log!$B$4:$B$1203,$B16,Log!$E$4:$E$1203,"A"))</f>
        <v>3465</v>
      </c>
      <c r="D16" s="77" t="n">
        <f aca="false">IF($A16="","",IF(SUMPRODUCT(MAX((Log!$D$4:$D$1203=$A16)*(Log!$E$4:$E$1203="A")*Log!$B$4:$B$1203))=0,"",SUMPRODUCT(MAX((Log!$D$4:$D$1203=$A16)*(Log!$E$4:$E$1203="A")*Log!$B$4:$B$1203))))</f>
        <v>14</v>
      </c>
      <c r="E16" s="77" t="n">
        <f aca="false">IF($D16="","",SUMIFS(Log!$I$4:$I$1203,Log!$D$4:$D$1203,$A16,Log!$B$4:$B$1203,$D16,Log!$E$4:$E$1203,"A"))</f>
        <v>3059</v>
      </c>
      <c r="F16" s="77" t="n">
        <f aca="false">IF(OR($C16="",$E16=""),"",$E16-$C16)</f>
        <v>-406</v>
      </c>
      <c r="G16" s="83" t="n">
        <f aca="false">IF(OR($C16="",$E16="",$C16=0),"",$E16/$C16-1)</f>
        <v>-0.117171717171717</v>
      </c>
      <c r="H16" s="80" t="n">
        <f aca="false">IF($D16="","",IF(SUMPRODUCT(MAX((Log!$D$4:$D$1203=$A16)*(Log!$B$4:$B$1203=$D16)*(Log!$E$4:$E$1203="A")*(Log!$F$4:$F$1203&lt;&gt;"")*Log!$F$4:$F$1203))=0,"",SUMPRODUCT(MAX((Log!$D$4:$D$1203=$A16)*(Log!$B$4:$B$1203=$D16)*(Log!$E$4:$E$1203="A")*(Log!$F$4:$F$1203&lt;&gt;"")*Log!$F$4:$F$1203))))</f>
        <v>190</v>
      </c>
      <c r="I16" s="80" t="n">
        <f aca="false">IF($A16="","",IF(SUMPRODUCT(MAX((Log!$D$4:$D$1203=$A16)*(Log!$E$4:$E$1203="A")*(Log!$F$4:$F$1203&lt;&gt;"")*Log!$F$4:$F$1203))=0,"",SUMPRODUCT(MAX((Log!$D$4:$D$1203=$A16)*(Log!$E$4:$E$1203="A")*(Log!$F$4:$F$1203&lt;&gt;"")*Log!$F$4:$F$1203))))</f>
        <v>190</v>
      </c>
      <c r="J16" s="80" t="n">
        <f aca="false">IF(OR($H16="",$I16=""),"",$H16-$I16)</f>
        <v>0</v>
      </c>
      <c r="K16" s="84" t="str">
        <f aca="false">IF($G16="","",IF($G16&gt;0.05,"steigend",IF($G16&lt;-0.05,"fallend","stabil")))</f>
        <v>fallend</v>
      </c>
      <c r="L16" s="77" t="n">
        <f aca="false">IF($H16="","",SUMPRODUCT((COUNTIFS(Log!$D$4:$D$1203,$A16,Log!$E$4:$E$1203,"A",Log!$F$4:$F$1203,$H16,Log!$B$4:$B$1203,Einheiten!$A$4:$A$63)&gt;0)*1))</f>
        <v>1</v>
      </c>
      <c r="M16" s="85" t="str">
        <f aca="false">IFERROR(INDEX(Rekorde!$Q$4:$Q$23,MATCH($A16,Rekorde!$A$4:$A$23,0)),"")</f>
        <v>Wdh +1 auf 6 bei gleichem Gewicht</v>
      </c>
      <c r="N16" s="86" t="n">
        <f aca="false">IF(OR($H16="",Übungen!$J16=""),"",CEILING($H16*1.01^12/Übungen!$J16,1)*Übungen!$J16)</f>
        <v>215</v>
      </c>
    </row>
    <row r="17" customFormat="false" ht="25.5" hidden="false" customHeight="true" outlineLevel="0" collapsed="false">
      <c r="A17" s="40" t="str">
        <f aca="false">IF(Übungen!$A17="","",Übungen!$A17)</f>
        <v>Squat Maschine Bülach</v>
      </c>
      <c r="B17" s="79" t="n">
        <f aca="false">IF($A17="","",IF(SUMPRODUCT(MAX((Log!$D$4:$D$1203=$A17)*(Log!$E$4:$E$1203="A")*Log!$B$4:$B$1203))=0,"",SUMPRODUCT(MIN((Log!$D$4:$D$1203=$A17)*(Log!$E$4:$E$1203="A")*Log!$B$4:$B$1203+((Log!$D$4:$D$1203&lt;&gt;$A17)+(Log!$E$4:$E$1203&lt;&gt;"A")&gt;0)*9999))))</f>
        <v>15</v>
      </c>
      <c r="C17" s="79" t="n">
        <f aca="false">IF($B17="","",SUMIFS(Log!$I$4:$I$1203,Log!$D$4:$D$1203,$A17,Log!$B$4:$B$1203,$B17,Log!$E$4:$E$1203,"A"))</f>
        <v>2200</v>
      </c>
      <c r="D17" s="79" t="n">
        <f aca="false">IF($A17="","",IF(SUMPRODUCT(MAX((Log!$D$4:$D$1203=$A17)*(Log!$E$4:$E$1203="A")*Log!$B$4:$B$1203))=0,"",SUMPRODUCT(MAX((Log!$D$4:$D$1203=$A17)*(Log!$E$4:$E$1203="A")*Log!$B$4:$B$1203))))</f>
        <v>15</v>
      </c>
      <c r="E17" s="79" t="n">
        <f aca="false">IF($D17="","",SUMIFS(Log!$I$4:$I$1203,Log!$D$4:$D$1203,$A17,Log!$B$4:$B$1203,$D17,Log!$E$4:$E$1203,"A"))</f>
        <v>2200</v>
      </c>
      <c r="F17" s="79" t="n">
        <f aca="false">IF(OR($C17="",$E17=""),"",$E17-$C17)</f>
        <v>0</v>
      </c>
      <c r="G17" s="87" t="n">
        <f aca="false">IF(OR($C17="",$E17="",$C17=0),"",$E17/$C17-1)</f>
        <v>0</v>
      </c>
      <c r="H17" s="82" t="n">
        <f aca="false">IF($D17="","",IF(SUMPRODUCT(MAX((Log!$D$4:$D$1203=$A17)*(Log!$B$4:$B$1203=$D17)*(Log!$E$4:$E$1203="A")*(Log!$F$4:$F$1203&lt;&gt;"")*Log!$F$4:$F$1203))=0,"",SUMPRODUCT(MAX((Log!$D$4:$D$1203=$A17)*(Log!$B$4:$B$1203=$D17)*(Log!$E$4:$E$1203="A")*(Log!$F$4:$F$1203&lt;&gt;"")*Log!$F$4:$F$1203))))</f>
        <v>120</v>
      </c>
      <c r="I17" s="82" t="n">
        <f aca="false">IF($A17="","",IF(SUMPRODUCT(MAX((Log!$D$4:$D$1203=$A17)*(Log!$E$4:$E$1203="A")*(Log!$F$4:$F$1203&lt;&gt;"")*Log!$F$4:$F$1203))=0,"",SUMPRODUCT(MAX((Log!$D$4:$D$1203=$A17)*(Log!$E$4:$E$1203="A")*(Log!$F$4:$F$1203&lt;&gt;"")*Log!$F$4:$F$1203))))</f>
        <v>120</v>
      </c>
      <c r="J17" s="82" t="n">
        <f aca="false">IF(OR($H17="",$I17=""),"",$H17-$I17)</f>
        <v>0</v>
      </c>
      <c r="K17" s="88" t="str">
        <f aca="false">IF($G17="","",IF($G17&gt;0.05,"steigend",IF($G17&lt;-0.05,"fallend","stabil")))</f>
        <v>stabil</v>
      </c>
      <c r="L17" s="79" t="n">
        <f aca="false">IF($H17="","",SUMPRODUCT((COUNTIFS(Log!$D$4:$D$1203,$A17,Log!$E$4:$E$1203,"A",Log!$F$4:$F$1203,$H17,Log!$B$4:$B$1203,Einheiten!$A$4:$A$63)&gt;0)*1))</f>
        <v>1</v>
      </c>
      <c r="M17" s="89" t="str">
        <f aca="false">IFERROR(INDEX(Rekorde!$Q$4:$Q$23,MATCH($A17,Rekorde!$A$4:$A$23,0)),"")</f>
        <v>RM-Korrektur nach 9 Wdh: +10 kg (8.3%), Wdh zurück auf 5</v>
      </c>
      <c r="N17" s="90" t="n">
        <f aca="false">IF(OR($H17="",Übungen!$J17=""),"",CEILING($H17*1.01^12/Übungen!$J17,1)*Übungen!$J17)</f>
        <v>140</v>
      </c>
    </row>
    <row r="18" customFormat="false" ht="25.5" hidden="false" customHeight="true" outlineLevel="0" collapsed="false">
      <c r="A18" s="34" t="str">
        <f aca="false">IF(Übungen!$A18="","",Übungen!$A18)</f>
        <v>Hip Thrust Bülach</v>
      </c>
      <c r="B18" s="77" t="n">
        <f aca="false">IF($A18="","",IF(SUMPRODUCT(MAX((Log!$D$4:$D$1203=$A18)*(Log!$E$4:$E$1203="A")*Log!$B$4:$B$1203))=0,"",SUMPRODUCT(MIN((Log!$D$4:$D$1203=$A18)*(Log!$E$4:$E$1203="A")*Log!$B$4:$B$1203+((Log!$D$4:$D$1203&lt;&gt;$A18)+(Log!$E$4:$E$1203&lt;&gt;"A")&gt;0)*9999))))</f>
        <v>15</v>
      </c>
      <c r="C18" s="77" t="n">
        <f aca="false">IF($B18="","",SUMIFS(Log!$I$4:$I$1203,Log!$D$4:$D$1203,$A18,Log!$B$4:$B$1203,$B18,Log!$E$4:$E$1203,"A"))</f>
        <v>6000</v>
      </c>
      <c r="D18" s="77" t="n">
        <f aca="false">IF($A18="","",IF(SUMPRODUCT(MAX((Log!$D$4:$D$1203=$A18)*(Log!$E$4:$E$1203="A")*Log!$B$4:$B$1203))=0,"",SUMPRODUCT(MAX((Log!$D$4:$D$1203=$A18)*(Log!$E$4:$E$1203="A")*Log!$B$4:$B$1203))))</f>
        <v>15</v>
      </c>
      <c r="E18" s="77" t="n">
        <f aca="false">IF($D18="","",SUMIFS(Log!$I$4:$I$1203,Log!$D$4:$D$1203,$A18,Log!$B$4:$B$1203,$D18,Log!$E$4:$E$1203,"A"))</f>
        <v>6000</v>
      </c>
      <c r="F18" s="77" t="n">
        <f aca="false">IF(OR($C18="",$E18=""),"",$E18-$C18)</f>
        <v>0</v>
      </c>
      <c r="G18" s="83" t="n">
        <f aca="false">IF(OR($C18="",$E18="",$C18=0),"",$E18/$C18-1)</f>
        <v>0</v>
      </c>
      <c r="H18" s="80" t="n">
        <f aca="false">IF($D18="","",IF(SUMPRODUCT(MAX((Log!$D$4:$D$1203=$A18)*(Log!$B$4:$B$1203=$D18)*(Log!$E$4:$E$1203="A")*(Log!$F$4:$F$1203&lt;&gt;"")*Log!$F$4:$F$1203))=0,"",SUMPRODUCT(MAX((Log!$D$4:$D$1203=$A18)*(Log!$B$4:$B$1203=$D18)*(Log!$E$4:$E$1203="A")*(Log!$F$4:$F$1203&lt;&gt;"")*Log!$F$4:$F$1203))))</f>
        <v>200</v>
      </c>
      <c r="I18" s="80" t="n">
        <f aca="false">IF($A18="","",IF(SUMPRODUCT(MAX((Log!$D$4:$D$1203=$A18)*(Log!$E$4:$E$1203="A")*(Log!$F$4:$F$1203&lt;&gt;"")*Log!$F$4:$F$1203))=0,"",SUMPRODUCT(MAX((Log!$D$4:$D$1203=$A18)*(Log!$E$4:$E$1203="A")*(Log!$F$4:$F$1203&lt;&gt;"")*Log!$F$4:$F$1203))))</f>
        <v>200</v>
      </c>
      <c r="J18" s="80" t="n">
        <f aca="false">IF(OR($H18="",$I18=""),"",$H18-$I18)</f>
        <v>0</v>
      </c>
      <c r="K18" s="84" t="str">
        <f aca="false">IF($G18="","",IF($G18&gt;0.05,"steigend",IF($G18&lt;-0.05,"fallend","stabil")))</f>
        <v>stabil</v>
      </c>
      <c r="L18" s="77" t="n">
        <f aca="false">IF($H18="","",SUMPRODUCT((COUNTIFS(Log!$D$4:$D$1203,$A18,Log!$E$4:$E$1203,"A",Log!$F$4:$F$1203,$H18,Log!$B$4:$B$1203,Einheiten!$A$4:$A$63)&gt;0)*1))</f>
        <v>1</v>
      </c>
      <c r="M18" s="85" t="str">
        <f aca="false">IFERROR(INDEX(Rekorde!$Q$4:$Q$23,MATCH($A18,Rekorde!$A$4:$A$23,0)),"")</f>
        <v>RM-Korrektur nach 10 Wdh: +20 kg (10.0%), Wdh zurück auf 5</v>
      </c>
      <c r="N18" s="86" t="n">
        <f aca="false">IF(OR($H18="",Übungen!$J18=""),"",CEILING($H18*1.01^12/Übungen!$J18,1)*Übungen!$J18)</f>
        <v>230</v>
      </c>
    </row>
    <row r="19" customFormat="false" ht="25.5" hidden="false" customHeight="true" outlineLevel="0" collapsed="false">
      <c r="A19" s="40" t="str">
        <f aca="false">IF(Übungen!$A19="","",Übungen!$A19)</f>
        <v>Beinbeuger Bülach</v>
      </c>
      <c r="B19" s="79" t="n">
        <f aca="false">IF($A19="","",IF(SUMPRODUCT(MAX((Log!$D$4:$D$1203=$A19)*(Log!$E$4:$E$1203="A")*Log!$B$4:$B$1203))=0,"",SUMPRODUCT(MIN((Log!$D$4:$D$1203=$A19)*(Log!$E$4:$E$1203="A")*Log!$B$4:$B$1203+((Log!$D$4:$D$1203&lt;&gt;$A19)+(Log!$E$4:$E$1203&lt;&gt;"A")&gt;0)*9999))))</f>
        <v>15</v>
      </c>
      <c r="C19" s="79" t="n">
        <f aca="false">IF($B19="","",SUMIFS(Log!$I$4:$I$1203,Log!$D$4:$D$1203,$A19,Log!$B$4:$B$1203,$B19,Log!$E$4:$E$1203,"A"))</f>
        <v>854</v>
      </c>
      <c r="D19" s="79" t="n">
        <f aca="false">IF($A19="","",IF(SUMPRODUCT(MAX((Log!$D$4:$D$1203=$A19)*(Log!$E$4:$E$1203="A")*Log!$B$4:$B$1203))=0,"",SUMPRODUCT(MAX((Log!$D$4:$D$1203=$A19)*(Log!$E$4:$E$1203="A")*Log!$B$4:$B$1203))))</f>
        <v>15</v>
      </c>
      <c r="E19" s="79" t="n">
        <f aca="false">IF($D19="","",SUMIFS(Log!$I$4:$I$1203,Log!$D$4:$D$1203,$A19,Log!$B$4:$B$1203,$D19,Log!$E$4:$E$1203,"A"))</f>
        <v>854</v>
      </c>
      <c r="F19" s="79" t="n">
        <f aca="false">IF(OR($C19="",$E19=""),"",$E19-$C19)</f>
        <v>0</v>
      </c>
      <c r="G19" s="87" t="n">
        <f aca="false">IF(OR($C19="",$E19="",$C19=0),"",$E19/$C19-1)</f>
        <v>0</v>
      </c>
      <c r="H19" s="82" t="n">
        <f aca="false">IF($D19="","",IF(SUMPRODUCT(MAX((Log!$D$4:$D$1203=$A19)*(Log!$B$4:$B$1203=$D19)*(Log!$E$4:$E$1203="A")*(Log!$F$4:$F$1203&lt;&gt;"")*Log!$F$4:$F$1203))=0,"",SUMPRODUCT(MAX((Log!$D$4:$D$1203=$A19)*(Log!$B$4:$B$1203=$D19)*(Log!$E$4:$E$1203="A")*(Log!$F$4:$F$1203&lt;&gt;"")*Log!$F$4:$F$1203))))</f>
        <v>59</v>
      </c>
      <c r="I19" s="82" t="n">
        <f aca="false">IF($A19="","",IF(SUMPRODUCT(MAX((Log!$D$4:$D$1203=$A19)*(Log!$E$4:$E$1203="A")*(Log!$F$4:$F$1203&lt;&gt;"")*Log!$F$4:$F$1203))=0,"",SUMPRODUCT(MAX((Log!$D$4:$D$1203=$A19)*(Log!$E$4:$E$1203="A")*(Log!$F$4:$F$1203&lt;&gt;"")*Log!$F$4:$F$1203))))</f>
        <v>59</v>
      </c>
      <c r="J19" s="82" t="n">
        <f aca="false">IF(OR($H19="",$I19=""),"",$H19-$I19)</f>
        <v>0</v>
      </c>
      <c r="K19" s="88" t="str">
        <f aca="false">IF($G19="","",IF($G19&gt;0.05,"steigend",IF($G19&lt;-0.05,"fallend","stabil")))</f>
        <v>stabil</v>
      </c>
      <c r="L19" s="79" t="n">
        <f aca="false">IF($H19="","",SUMPRODUCT((COUNTIFS(Log!$D$4:$D$1203,$A19,Log!$E$4:$E$1203,"A",Log!$F$4:$F$1203,$H19,Log!$B$4:$B$1203,Einheiten!$A$4:$A$63)&gt;0)*1))</f>
        <v>1</v>
      </c>
      <c r="M19" s="89" t="str">
        <f aca="false">IFERROR(INDEX(Rekorde!$Q$4:$Q$23,MATCH($A19,Rekorde!$A$4:$A$23,0)),"")</f>
        <v>Gewicht +4 kg (6.8%), Wdh zurück auf 5</v>
      </c>
      <c r="N19" s="90" t="n">
        <f aca="false">IF(OR($H19="",Übungen!$J19=""),"",CEILING($H19*1.01^12/Übungen!$J19,1)*Übungen!$J19)</f>
        <v>67.5</v>
      </c>
    </row>
    <row r="20" customFormat="false" ht="25.5" hidden="false" customHeight="true" outlineLevel="0" collapsed="false">
      <c r="A20" s="34" t="str">
        <f aca="false">IF(Übungen!$A20="","",Übungen!$A20)</f>
        <v>Lunges</v>
      </c>
      <c r="B20" s="77" t="n">
        <f aca="false">IF($A20="","",IF(SUMPRODUCT(MAX((Log!$D$4:$D$1203=$A20)*(Log!$E$4:$E$1203="A")*Log!$B$4:$B$1203))=0,"",SUMPRODUCT(MIN((Log!$D$4:$D$1203=$A20)*(Log!$E$4:$E$1203="A")*Log!$B$4:$B$1203+((Log!$D$4:$D$1203&lt;&gt;$A20)+(Log!$E$4:$E$1203&lt;&gt;"A")&gt;0)*9999))))</f>
        <v>1</v>
      </c>
      <c r="C20" s="77" t="n">
        <f aca="false">IF($B20="","",SUMIFS(Log!$I$4:$I$1203,Log!$D$4:$D$1203,$A20,Log!$B$4:$B$1203,$B20,Log!$E$4:$E$1203,"A"))</f>
        <v>0</v>
      </c>
      <c r="D20" s="77" t="n">
        <f aca="false">IF($A20="","",IF(SUMPRODUCT(MAX((Log!$D$4:$D$1203=$A20)*(Log!$E$4:$E$1203="A")*Log!$B$4:$B$1203))=0,"",SUMPRODUCT(MAX((Log!$D$4:$D$1203=$A20)*(Log!$E$4:$E$1203="A")*Log!$B$4:$B$1203))))</f>
        <v>3</v>
      </c>
      <c r="E20" s="77" t="n">
        <f aca="false">IF($D20="","",SUMIFS(Log!$I$4:$I$1203,Log!$D$4:$D$1203,$A20,Log!$B$4:$B$1203,$D20,Log!$E$4:$E$1203,"A"))</f>
        <v>0</v>
      </c>
      <c r="F20" s="77" t="n">
        <f aca="false">IF(OR($C20="",$E20=""),"",$E20-$C20)</f>
        <v>0</v>
      </c>
      <c r="G20" s="83" t="str">
        <f aca="false">IF(OR($C20="",$E20="",$C20=0),"",$E20/$C20-1)</f>
        <v/>
      </c>
      <c r="H20" s="80" t="n">
        <f aca="false">IF($D20="","",IF(SUMPRODUCT(MAX((Log!$D$4:$D$1203=$A20)*(Log!$B$4:$B$1203=$D20)*(Log!$E$4:$E$1203="A")*(Log!$F$4:$F$1203&lt;&gt;"")*Log!$F$4:$F$1203))=0,"",SUMPRODUCT(MAX((Log!$D$4:$D$1203=$A20)*(Log!$B$4:$B$1203=$D20)*(Log!$E$4:$E$1203="A")*(Log!$F$4:$F$1203&lt;&gt;"")*Log!$F$4:$F$1203))))</f>
        <v>18</v>
      </c>
      <c r="I20" s="80" t="n">
        <f aca="false">IF($A20="","",IF(SUMPRODUCT(MAX((Log!$D$4:$D$1203=$A20)*(Log!$E$4:$E$1203="A")*(Log!$F$4:$F$1203&lt;&gt;"")*Log!$F$4:$F$1203))=0,"",SUMPRODUCT(MAX((Log!$D$4:$D$1203=$A20)*(Log!$E$4:$E$1203="A")*(Log!$F$4:$F$1203&lt;&gt;"")*Log!$F$4:$F$1203))))</f>
        <v>18</v>
      </c>
      <c r="J20" s="80" t="n">
        <f aca="false">IF(OR($H20="",$I20=""),"",$H20-$I20)</f>
        <v>0</v>
      </c>
      <c r="K20" s="84" t="str">
        <f aca="false">IF($G20="","",IF($G20&gt;0.05,"steigend",IF($G20&lt;-0.05,"fallend","stabil")))</f>
        <v/>
      </c>
      <c r="L20" s="77" t="n">
        <f aca="false">IF($H20="","",SUMPRODUCT((COUNTIFS(Log!$D$4:$D$1203,$A20,Log!$E$4:$E$1203,"A",Log!$F$4:$F$1203,$H20,Log!$B$4:$B$1203,Einheiten!$A$4:$A$63)&gt;0)*1))</f>
        <v>1</v>
      </c>
      <c r="M20" s="85" t="str">
        <f aca="false">IFERROR(INDEX(Rekorde!$Q$4:$Q$23,MATCH($A20,Rekorde!$A$4:$A$23,0)),"")</f>
        <v>Gewicht halten, erst 5 Wdh sauber schaffen</v>
      </c>
      <c r="N20" s="86" t="str">
        <f aca="false">IF(OR($H20="",Übungen!$J20=""),"",CEILING($H20*1.01^12/Übungen!$J20,1)*Übungen!$J20)</f>
        <v/>
      </c>
    </row>
    <row r="21" customFormat="false" ht="25.5" hidden="false" customHeight="true" outlineLevel="0" collapsed="false">
      <c r="A21" s="40" t="str">
        <f aca="false">IF(Übungen!$A21="","",Übungen!$A21)</f>
        <v>Kickback</v>
      </c>
      <c r="B21" s="79" t="n">
        <f aca="false">IF($A21="","",IF(SUMPRODUCT(MAX((Log!$D$4:$D$1203=$A21)*(Log!$E$4:$E$1203="A")*Log!$B$4:$B$1203))=0,"",SUMPRODUCT(MIN((Log!$D$4:$D$1203=$A21)*(Log!$E$4:$E$1203="A")*Log!$B$4:$B$1203+((Log!$D$4:$D$1203&lt;&gt;$A21)+(Log!$E$4:$E$1203&lt;&gt;"A")&gt;0)*9999))))</f>
        <v>1</v>
      </c>
      <c r="C21" s="79" t="n">
        <f aca="false">IF($B21="","",SUMIFS(Log!$I$4:$I$1203,Log!$D$4:$D$1203,$A21,Log!$B$4:$B$1203,$B21,Log!$E$4:$E$1203,"A"))</f>
        <v>1974</v>
      </c>
      <c r="D21" s="79" t="n">
        <f aca="false">IF($A21="","",IF(SUMPRODUCT(MAX((Log!$D$4:$D$1203=$A21)*(Log!$E$4:$E$1203="A")*Log!$B$4:$B$1203))=0,"",SUMPRODUCT(MAX((Log!$D$4:$D$1203=$A21)*(Log!$E$4:$E$1203="A")*Log!$B$4:$B$1203))))</f>
        <v>4</v>
      </c>
      <c r="E21" s="79" t="n">
        <f aca="false">IF($D21="","",SUMIFS(Log!$I$4:$I$1203,Log!$D$4:$D$1203,$A21,Log!$B$4:$B$1203,$D21,Log!$E$4:$E$1203,"A"))</f>
        <v>1785</v>
      </c>
      <c r="F21" s="79" t="n">
        <f aca="false">IF(OR($C21="",$E21=""),"",$E21-$C21)</f>
        <v>-189</v>
      </c>
      <c r="G21" s="87" t="n">
        <f aca="false">IF(OR($C21="",$E21="",$C21=0),"",$E21/$C21-1)</f>
        <v>-0.0957446808510638</v>
      </c>
      <c r="H21" s="82" t="n">
        <f aca="false">IF($D21="","",IF(SUMPRODUCT(MAX((Log!$D$4:$D$1203=$A21)*(Log!$B$4:$B$1203=$D21)*(Log!$E$4:$E$1203="A")*(Log!$F$4:$F$1203&lt;&gt;"")*Log!$F$4:$F$1203))=0,"",SUMPRODUCT(MAX((Log!$D$4:$D$1203=$A21)*(Log!$B$4:$B$1203=$D21)*(Log!$E$4:$E$1203="A")*(Log!$F$4:$F$1203&lt;&gt;"")*Log!$F$4:$F$1203))))</f>
        <v>63</v>
      </c>
      <c r="I21" s="82" t="n">
        <f aca="false">IF($A21="","",IF(SUMPRODUCT(MAX((Log!$D$4:$D$1203=$A21)*(Log!$E$4:$E$1203="A")*(Log!$F$4:$F$1203&lt;&gt;"")*Log!$F$4:$F$1203))=0,"",SUMPRODUCT(MAX((Log!$D$4:$D$1203=$A21)*(Log!$E$4:$E$1203="A")*(Log!$F$4:$F$1203&lt;&gt;"")*Log!$F$4:$F$1203))))</f>
        <v>84</v>
      </c>
      <c r="J21" s="82" t="n">
        <f aca="false">IF(OR($H21="",$I21=""),"",$H21-$I21)</f>
        <v>-21</v>
      </c>
      <c r="K21" s="88" t="str">
        <f aca="false">IF($G21="","",IF($G21&gt;0.05,"steigend",IF($G21&lt;-0.05,"fallend","stabil")))</f>
        <v>fallend</v>
      </c>
      <c r="L21" s="79" t="n">
        <f aca="false">IF($H21="","",SUMPRODUCT((COUNTIFS(Log!$D$4:$D$1203,$A21,Log!$E$4:$E$1203,"A",Log!$F$4:$F$1203,$H21,Log!$B$4:$B$1203,Einheiten!$A$4:$A$63)&gt;0)*1))</f>
        <v>1</v>
      </c>
      <c r="M21" s="89" t="str">
        <f aca="false">IFERROR(INDEX(Rekorde!$Q$4:$Q$23,MATCH($A21,Rekorde!$A$4:$A$23,0)),"")</f>
        <v>RM-Korrektur nach 15 Wdh: +16 kg (25.4%), Wdh zurück auf 5</v>
      </c>
      <c r="N21" s="90" t="str">
        <f aca="false">IF(OR($H21="",Übungen!$J21=""),"",CEILING($H21*1.01^12/Übungen!$J21,1)*Übungen!$J21)</f>
        <v/>
      </c>
    </row>
    <row r="22" customFormat="false" ht="25.5" hidden="false" customHeight="true" outlineLevel="0" collapsed="false">
      <c r="A22" s="34" t="str">
        <f aca="false">IF(Übungen!$A22="","",Übungen!$A22)</f>
        <v/>
      </c>
      <c r="B22" s="77" t="str">
        <f aca="false">IF($A22="","",IF(SUMPRODUCT(MAX((Log!$D$4:$D$1203=$A22)*(Log!$E$4:$E$1203="A")*Log!$B$4:$B$1203))=0,"",SUMPRODUCT(MIN((Log!$D$4:$D$1203=$A22)*(Log!$E$4:$E$1203="A")*Log!$B$4:$B$1203+((Log!$D$4:$D$1203&lt;&gt;$A22)+(Log!$E$4:$E$1203&lt;&gt;"A")&gt;0)*9999))))</f>
        <v/>
      </c>
      <c r="C22" s="77" t="str">
        <f aca="false">IF($B22="","",SUMIFS(Log!$I$4:$I$1203,Log!$D$4:$D$1203,$A22,Log!$B$4:$B$1203,$B22,Log!$E$4:$E$1203,"A"))</f>
        <v/>
      </c>
      <c r="D22" s="77" t="str">
        <f aca="false">IF($A22="","",IF(SUMPRODUCT(MAX((Log!$D$4:$D$1203=$A22)*(Log!$E$4:$E$1203="A")*Log!$B$4:$B$1203))=0,"",SUMPRODUCT(MAX((Log!$D$4:$D$1203=$A22)*(Log!$E$4:$E$1203="A")*Log!$B$4:$B$1203))))</f>
        <v/>
      </c>
      <c r="E22" s="77" t="str">
        <f aca="false">IF($D22="","",SUMIFS(Log!$I$4:$I$1203,Log!$D$4:$D$1203,$A22,Log!$B$4:$B$1203,$D22,Log!$E$4:$E$1203,"A"))</f>
        <v/>
      </c>
      <c r="F22" s="77" t="str">
        <f aca="false">IF(OR($C22="",$E22=""),"",$E22-$C22)</f>
        <v/>
      </c>
      <c r="G22" s="83" t="str">
        <f aca="false">IF(OR($C22="",$E22="",$C22=0),"",$E22/$C22-1)</f>
        <v/>
      </c>
      <c r="H22" s="80" t="str">
        <f aca="false">IF($D22="","",IF(SUMPRODUCT(MAX((Log!$D$4:$D$1203=$A22)*(Log!$B$4:$B$1203=$D22)*(Log!$E$4:$E$1203="A")*(Log!$F$4:$F$1203&lt;&gt;"")*Log!$F$4:$F$1203))=0,"",SUMPRODUCT(MAX((Log!$D$4:$D$1203=$A22)*(Log!$B$4:$B$1203=$D22)*(Log!$E$4:$E$1203="A")*(Log!$F$4:$F$1203&lt;&gt;"")*Log!$F$4:$F$1203))))</f>
        <v/>
      </c>
      <c r="I22" s="80" t="str">
        <f aca="false">IF($A22="","",IF(SUMPRODUCT(MAX((Log!$D$4:$D$1203=$A22)*(Log!$E$4:$E$1203="A")*(Log!$F$4:$F$1203&lt;&gt;"")*Log!$F$4:$F$1203))=0,"",SUMPRODUCT(MAX((Log!$D$4:$D$1203=$A22)*(Log!$E$4:$E$1203="A")*(Log!$F$4:$F$1203&lt;&gt;"")*Log!$F$4:$F$1203))))</f>
        <v/>
      </c>
      <c r="J22" s="80" t="str">
        <f aca="false">IF(OR($H22="",$I22=""),"",$H22-$I22)</f>
        <v/>
      </c>
      <c r="K22" s="84" t="str">
        <f aca="false">IF($G22="","",IF($G22&gt;0.05,"steigend",IF($G22&lt;-0.05,"fallend","stabil")))</f>
        <v/>
      </c>
      <c r="L22" s="77" t="str">
        <f aca="false">IF($H22="","",SUMPRODUCT((COUNTIFS(Log!$D$4:$D$1203,$A22,Log!$E$4:$E$1203,"A",Log!$F$4:$F$1203,$H22,Log!$B$4:$B$1203,Einheiten!$A$4:$A$63)&gt;0)*1))</f>
        <v/>
      </c>
      <c r="M22" s="85" t="str">
        <f aca="false">IFERROR(INDEX(Rekorde!$Q$4:$Q$23,MATCH($A22,Rekorde!$A$4:$A$23,0)),"")</f>
        <v/>
      </c>
      <c r="N22" s="86" t="str">
        <f aca="false">IF(OR($H22="",Übungen!$J22=""),"",CEILING($H22*1.01^12/Übungen!$J22,1)*Übungen!$J22)</f>
        <v/>
      </c>
    </row>
    <row r="23" customFormat="false" ht="25.5" hidden="false" customHeight="true" outlineLevel="0" collapsed="false">
      <c r="A23" s="40" t="str">
        <f aca="false">IF(Übungen!$A23="","",Übungen!$A23)</f>
        <v/>
      </c>
      <c r="B23" s="79" t="str">
        <f aca="false">IF($A23="","",IF(SUMPRODUCT(MAX((Log!$D$4:$D$1203=$A23)*(Log!$E$4:$E$1203="A")*Log!$B$4:$B$1203))=0,"",SUMPRODUCT(MIN((Log!$D$4:$D$1203=$A23)*(Log!$E$4:$E$1203="A")*Log!$B$4:$B$1203+((Log!$D$4:$D$1203&lt;&gt;$A23)+(Log!$E$4:$E$1203&lt;&gt;"A")&gt;0)*9999))))</f>
        <v/>
      </c>
      <c r="C23" s="79" t="str">
        <f aca="false">IF($B23="","",SUMIFS(Log!$I$4:$I$1203,Log!$D$4:$D$1203,$A23,Log!$B$4:$B$1203,$B23,Log!$E$4:$E$1203,"A"))</f>
        <v/>
      </c>
      <c r="D23" s="79" t="str">
        <f aca="false">IF($A23="","",IF(SUMPRODUCT(MAX((Log!$D$4:$D$1203=$A23)*(Log!$E$4:$E$1203="A")*Log!$B$4:$B$1203))=0,"",SUMPRODUCT(MAX((Log!$D$4:$D$1203=$A23)*(Log!$E$4:$E$1203="A")*Log!$B$4:$B$1203))))</f>
        <v/>
      </c>
      <c r="E23" s="79" t="str">
        <f aca="false">IF($D23="","",SUMIFS(Log!$I$4:$I$1203,Log!$D$4:$D$1203,$A23,Log!$B$4:$B$1203,$D23,Log!$E$4:$E$1203,"A"))</f>
        <v/>
      </c>
      <c r="F23" s="79" t="str">
        <f aca="false">IF(OR($C23="",$E23=""),"",$E23-$C23)</f>
        <v/>
      </c>
      <c r="G23" s="87" t="str">
        <f aca="false">IF(OR($C23="",$E23="",$C23=0),"",$E23/$C23-1)</f>
        <v/>
      </c>
      <c r="H23" s="82" t="str">
        <f aca="false">IF($D23="","",IF(SUMPRODUCT(MAX((Log!$D$4:$D$1203=$A23)*(Log!$B$4:$B$1203=$D23)*(Log!$E$4:$E$1203="A")*(Log!$F$4:$F$1203&lt;&gt;"")*Log!$F$4:$F$1203))=0,"",SUMPRODUCT(MAX((Log!$D$4:$D$1203=$A23)*(Log!$B$4:$B$1203=$D23)*(Log!$E$4:$E$1203="A")*(Log!$F$4:$F$1203&lt;&gt;"")*Log!$F$4:$F$1203))))</f>
        <v/>
      </c>
      <c r="I23" s="82" t="str">
        <f aca="false">IF($A23="","",IF(SUMPRODUCT(MAX((Log!$D$4:$D$1203=$A23)*(Log!$E$4:$E$1203="A")*(Log!$F$4:$F$1203&lt;&gt;"")*Log!$F$4:$F$1203))=0,"",SUMPRODUCT(MAX((Log!$D$4:$D$1203=$A23)*(Log!$E$4:$E$1203="A")*(Log!$F$4:$F$1203&lt;&gt;"")*Log!$F$4:$F$1203))))</f>
        <v/>
      </c>
      <c r="J23" s="82" t="str">
        <f aca="false">IF(OR($H23="",$I23=""),"",$H23-$I23)</f>
        <v/>
      </c>
      <c r="K23" s="88" t="str">
        <f aca="false">IF($G23="","",IF($G23&gt;0.05,"steigend",IF($G23&lt;-0.05,"fallend","stabil")))</f>
        <v/>
      </c>
      <c r="L23" s="79" t="str">
        <f aca="false">IF($H23="","",SUMPRODUCT((COUNTIFS(Log!$D$4:$D$1203,$A23,Log!$E$4:$E$1203,"A",Log!$F$4:$F$1203,$H23,Log!$B$4:$B$1203,Einheiten!$A$4:$A$63)&gt;0)*1))</f>
        <v/>
      </c>
      <c r="M23" s="89" t="str">
        <f aca="false">IFERROR(INDEX(Rekorde!$Q$4:$Q$23,MATCH($A23,Rekorde!$A$4:$A$23,0)),"")</f>
        <v/>
      </c>
      <c r="N23" s="90" t="str">
        <f aca="false">IF(OR($H23="",Übungen!$J23=""),"",CEILING($H23*1.01^12/Übungen!$J23,1)*Übungen!$J23)</f>
        <v/>
      </c>
    </row>
    <row r="25" customFormat="false" ht="25.5" hidden="false" customHeight="true" outlineLevel="0" collapsed="false">
      <c r="A25" s="43" t="s">
        <v>454</v>
      </c>
      <c r="B25" s="43"/>
      <c r="C25" s="43"/>
      <c r="D25" s="43"/>
      <c r="E25" s="43"/>
      <c r="F25" s="43"/>
      <c r="G25" s="43"/>
      <c r="H25" s="43"/>
      <c r="I25" s="43"/>
      <c r="J25" s="43"/>
      <c r="K25" s="43"/>
      <c r="L25" s="43"/>
      <c r="M25" s="43"/>
      <c r="N25" s="43"/>
    </row>
  </sheetData>
  <mergeCells count="3">
    <mergeCell ref="A1:K1"/>
    <mergeCell ref="A2:K2"/>
    <mergeCell ref="A25:N25"/>
  </mergeCells>
  <conditionalFormatting sqref="F4:G23">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3">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4">
      <formula>AND($H4&lt;&gt;"",$I4&lt;&gt;"",$H4&lt;$I4*0.9)</formula>
    </cfRule>
  </conditionalFormatting>
  <conditionalFormatting sqref="A4:N23">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455</v>
      </c>
      <c r="B1" s="1"/>
      <c r="C1" s="1"/>
      <c r="D1" s="1"/>
      <c r="E1" s="1"/>
      <c r="F1" s="1"/>
      <c r="G1" s="1"/>
      <c r="H1" s="1"/>
      <c r="I1" s="1"/>
      <c r="J1" s="1"/>
      <c r="K1" s="1"/>
      <c r="L1" s="1"/>
      <c r="M1" s="1"/>
      <c r="N1" s="1"/>
    </row>
    <row r="2" customFormat="false" ht="15" hidden="false" customHeight="true" outlineLevel="0" collapsed="false">
      <c r="A2" s="2" t="s">
        <v>456</v>
      </c>
      <c r="B2" s="2"/>
      <c r="C2" s="2"/>
      <c r="D2" s="2"/>
      <c r="E2" s="2"/>
      <c r="F2" s="2"/>
      <c r="G2" s="2"/>
      <c r="H2" s="2"/>
      <c r="I2" s="2"/>
      <c r="J2" s="2"/>
      <c r="K2" s="2"/>
      <c r="L2" s="2"/>
      <c r="M2" s="2"/>
      <c r="N2" s="2"/>
    </row>
    <row r="3" customFormat="false" ht="33.75" hidden="false" customHeight="true" outlineLevel="0" collapsed="false">
      <c r="A3" s="13" t="s">
        <v>168</v>
      </c>
      <c r="B3" s="13" t="s">
        <v>371</v>
      </c>
      <c r="C3" s="13" t="s">
        <v>457</v>
      </c>
      <c r="D3" s="13" t="s">
        <v>363</v>
      </c>
      <c r="E3" s="13" t="s">
        <v>458</v>
      </c>
      <c r="F3" s="13" t="s">
        <v>459</v>
      </c>
      <c r="G3" s="13" t="s">
        <v>460</v>
      </c>
      <c r="H3" s="13" t="s">
        <v>461</v>
      </c>
      <c r="I3" s="13" t="s">
        <v>460</v>
      </c>
      <c r="J3" s="13" t="s">
        <v>462</v>
      </c>
      <c r="K3" s="13" t="s">
        <v>443</v>
      </c>
      <c r="L3" s="13" t="s">
        <v>447</v>
      </c>
      <c r="M3" s="13" t="s">
        <v>463</v>
      </c>
      <c r="N3" s="13" t="s">
        <v>464</v>
      </c>
      <c r="O3" s="13" t="s">
        <v>465</v>
      </c>
      <c r="P3" s="13" t="s">
        <v>466</v>
      </c>
      <c r="Q3" s="13" t="s">
        <v>452</v>
      </c>
    </row>
    <row r="4" customFormat="false" ht="18" hidden="false" customHeight="true" outlineLevel="0" collapsed="false">
      <c r="A4" s="34" t="str">
        <f aca="false">IF(Übungen!$A4="","",Übungen!$A4)</f>
        <v>Beinpresse eng</v>
      </c>
      <c r="B4" s="91" t="str">
        <f aca="false">IF(Übungen!$B4="","",Übungen!$B4)</f>
        <v>Beine vorne</v>
      </c>
      <c r="C4" s="77" t="n">
        <f aca="false">IF($D4="","",SUMPRODUCT((COUNTIFS(Log!$D$4:$D$1203,$A4,Log!$E$4:$E$1203,"A",Log!$B$4:$B$1203,Einheiten!$A$4:$A$63)&gt;0)*1))</f>
        <v>7</v>
      </c>
      <c r="D4" s="77" t="n">
        <f aca="false">IF($A4="","",IF(COUNTIFS(Log!$D$4:$D$1203,$A4,Log!$E$4:$E$1203,"A")=0,"",COUNTIFS(Log!$D$4:$D$1203,$A4,Log!$E$4:$E$1203,"A")))</f>
        <v>20</v>
      </c>
      <c r="E4" s="77" t="n">
        <f aca="false">IF($D4="","",SUMIFS(Log!$I$4:$I$1203,Log!$D$4:$D$1203,$A4,Log!$E$4:$E$1203,"A"))</f>
        <v>45176</v>
      </c>
      <c r="F4" s="92" t="n">
        <f aca="false">IF($D4="","",IF(SUMPRODUCT(MAX((Log!$D$4:$D$1203=$A4)*(Log!$E$4:$E$1203="A")*(Log!$F$4:$F$1203&lt;&gt;"")*Log!$F$4:$F$1203))=0,"",SUMPRODUCT(MAX((Log!$D$4:$D$1203=$A4)*(Log!$E$4:$E$1203="A")*(Log!$F$4:$F$1203&lt;&gt;"")*Log!$F$4:$F$1203))))</f>
        <v>333</v>
      </c>
      <c r="G4" s="77"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7" t="n">
        <f aca="false">IF($H4="","",SUMPRODUCT(MAX((Log!$D$4:$D$1203=$A4)*(Log!$E$4:$E$1203="A")*(Log!$F$4:$F$1203&lt;&gt;"")*(Log!$G$4:$G$1203&lt;&gt;"")*(ROUND(Log!$F$4:$F$1203*(1+Log!$G$4:$G$1203/30),6)=ROUND($H4,6))*Log!$B$4:$B$1203)))</f>
        <v>10</v>
      </c>
      <c r="J4" s="77" t="n">
        <f aca="false">IF($D4="","",IF(SUMPRODUCT(MAX((Log!$D$4:$D$1203=$A4)*(Log!$E$4:$E$1203="A")*(Log!$F$4:$F$1203&lt;&gt;"")*(Log!$G$4:$G$1203&lt;&gt;"")*Log!$F$4:$F$1203*Log!$G$4:$G$1203))=0,"",SUMPRODUCT(MAX((Log!$D$4:$D$1203=$A4)*(Log!$E$4:$E$1203="A")*(Log!$F$4:$F$1203&lt;&gt;"")*(Log!$G$4:$G$1203&lt;&gt;"")*Log!$F$4:$F$1203*Log!$G$4:$G$1203))))</f>
        <v>3300</v>
      </c>
      <c r="K4" s="77" t="n">
        <f aca="false">IF($D4="","",IF(SUMPRODUCT(MAX((Log!$D$4:$D$1203=$A4)*(Log!$E$4:$E$1203="A")*Log!$B$4:$B$1203))=0,"",SUMPRODUCT(MAX((Log!$D$4:$D$1203=$A4)*(Log!$E$4:$E$1203="A")*Log!$B$4:$B$1203))))</f>
        <v>17</v>
      </c>
      <c r="L4" s="80" t="n">
        <f aca="false">IF($K4="","",IF(SUMPRODUCT(MAX((Log!$D$4:$D$1203=$A4)*(Log!$B$4:$B$1203=$K4)*(Log!$E$4:$E$1203="A")*(Log!$F$4:$F$1203&lt;&gt;"")*Log!$F$4:$F$1203))=0,"",SUMPRODUCT(MAX((Log!$D$4:$D$1203=$A4)*(Log!$B$4:$B$1203=$K4)*(Log!$E$4:$E$1203="A")*(Log!$F$4:$F$1203&lt;&gt;"")*Log!$F$4:$F$1203))))</f>
        <v>300</v>
      </c>
      <c r="M4" s="77" t="n">
        <f aca="false">IF($L4="","",IF(SUMPRODUCT(MAX((Log!$D$4:$D$1203=$A4)*(Log!$B$4:$B$1203=$K4)*(Log!$E$4:$E$1203="A")*(Log!$F$4:$F$1203=$L4)*Log!$G$4:$G$1203))=0,"",SUMPRODUCT(MAX((Log!$D$4:$D$1203=$A4)*(Log!$B$4:$B$1203=$K4)*(Log!$E$4:$E$1203="A")*(Log!$F$4:$F$1203=$L4)*Log!$G$4:$G$1203))))</f>
        <v>6</v>
      </c>
      <c r="N4" s="77"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4" t="n">
        <f aca="false">IF(Übungen!$D4="","",IF($O4="","",IF($L4="",Übungen!$D4,IF(AND($N4&lt;&gt;"",Übungen!$E4&lt;&gt;"",$N4&gt;=Übungen!$E4),Übungen!$D4,IF(OR($N4="",$N4&lt;Übungen!$D4),Übungen!$D4,MIN(Übungen!$E4,$N4+1))))))</f>
        <v>5</v>
      </c>
      <c r="Q4" s="85"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0" t="str">
        <f aca="false">IF(Übungen!$A5="","",Übungen!$A5)</f>
        <v>Split Squat</v>
      </c>
      <c r="B5" s="4" t="str">
        <f aca="false">IF(Übungen!$B5="","",Übungen!$B5)</f>
        <v>Beine vorne</v>
      </c>
      <c r="C5" s="79" t="n">
        <f aca="false">IF($D5="","",SUMPRODUCT((COUNTIFS(Log!$D$4:$D$1203,$A5,Log!$E$4:$E$1203,"A",Log!$B$4:$B$1203,Einheiten!$A$4:$A$63)&gt;0)*1))</f>
        <v>11</v>
      </c>
      <c r="D5" s="79" t="n">
        <f aca="false">IF($A5="","",IF(COUNTIFS(Log!$D$4:$D$1203,$A5,Log!$E$4:$E$1203,"A")=0,"",COUNTIFS(Log!$D$4:$D$1203,$A5,Log!$E$4:$E$1203,"A")))</f>
        <v>32</v>
      </c>
      <c r="E5" s="79" t="n">
        <f aca="false">IF($D5="","",SUMIFS(Log!$I$4:$I$1203,Log!$D$4:$D$1203,$A5,Log!$E$4:$E$1203,"A"))</f>
        <v>20460</v>
      </c>
      <c r="F5" s="95" t="n">
        <f aca="false">IF($D5="","",IF(SUMPRODUCT(MAX((Log!$D$4:$D$1203=$A5)*(Log!$E$4:$E$1203="A")*(Log!$F$4:$F$1203&lt;&gt;"")*Log!$F$4:$F$1203))=0,"",SUMPRODUCT(MAX((Log!$D$4:$D$1203=$A5)*(Log!$E$4:$E$1203="A")*(Log!$F$4:$F$1203&lt;&gt;"")*Log!$F$4:$F$1203))))</f>
        <v>120</v>
      </c>
      <c r="G5" s="79" t="n">
        <f aca="false">IF($F5="","",SUMPRODUCT(MAX((Log!$D$4:$D$1203=$A5)*(Log!$E$4:$E$1203="A")*(Log!$F$4:$F$1203=$F5)*Log!$B$4:$B$1203)))</f>
        <v>17</v>
      </c>
      <c r="H5" s="95" t="n">
        <f aca="false">IF($D5="","",IF(SUMPRODUCT(MAX((Log!$D$4:$D$1203=$A5)*(Log!$E$4:$E$1203="A")*(Log!$F$4:$F$1203&lt;&gt;"")*(Log!$G$4:$G$1203&lt;&gt;"")*Log!$F$4:$F$1203*(1+Log!$G$4:$G$1203/30)))=0,"",SUMPRODUCT(MAX((Log!$D$4:$D$1203=$A5)*(Log!$E$4:$E$1203="A")*(Log!$F$4:$F$1203&lt;&gt;"")*(Log!$G$4:$G$1203&lt;&gt;"")*Log!$F$4:$F$1203*(1+Log!$G$4:$G$1203/30)))))</f>
        <v>144</v>
      </c>
      <c r="I5" s="79" t="n">
        <f aca="false">IF($H5="","",SUMPRODUCT(MAX((Log!$D$4:$D$1203=$A5)*(Log!$E$4:$E$1203="A")*(Log!$F$4:$F$1203&lt;&gt;"")*(Log!$G$4:$G$1203&lt;&gt;"")*(ROUND(Log!$F$4:$F$1203*(1+Log!$G$4:$G$1203/30),6)=ROUND($H5,6))*Log!$B$4:$B$1203)))</f>
        <v>17</v>
      </c>
      <c r="J5" s="79" t="n">
        <f aca="false">IF($D5="","",IF(SUMPRODUCT(MAX((Log!$D$4:$D$1203=$A5)*(Log!$E$4:$E$1203="A")*(Log!$F$4:$F$1203&lt;&gt;"")*(Log!$G$4:$G$1203&lt;&gt;"")*Log!$F$4:$F$1203*Log!$G$4:$G$1203))=0,"",SUMPRODUCT(MAX((Log!$D$4:$D$1203=$A5)*(Log!$E$4:$E$1203="A")*(Log!$F$4:$F$1203&lt;&gt;"")*(Log!$G$4:$G$1203&lt;&gt;"")*Log!$F$4:$F$1203*Log!$G$4:$G$1203))))</f>
        <v>1000</v>
      </c>
      <c r="K5" s="79" t="n">
        <f aca="false">IF($D5="","",IF(SUMPRODUCT(MAX((Log!$D$4:$D$1203=$A5)*(Log!$E$4:$E$1203="A")*Log!$B$4:$B$1203))=0,"",SUMPRODUCT(MAX((Log!$D$4:$D$1203=$A5)*(Log!$E$4:$E$1203="A")*Log!$B$4:$B$1203))))</f>
        <v>17</v>
      </c>
      <c r="L5" s="82" t="n">
        <f aca="false">IF($K5="","",IF(SUMPRODUCT(MAX((Log!$D$4:$D$1203=$A5)*(Log!$B$4:$B$1203=$K5)*(Log!$E$4:$E$1203="A")*(Log!$F$4:$F$1203&lt;&gt;"")*Log!$F$4:$F$1203))=0,"",SUMPRODUCT(MAX((Log!$D$4:$D$1203=$A5)*(Log!$B$4:$B$1203=$K5)*(Log!$E$4:$E$1203="A")*(Log!$F$4:$F$1203&lt;&gt;"")*Log!$F$4:$F$1203))))</f>
        <v>120</v>
      </c>
      <c r="M5" s="79" t="n">
        <f aca="false">IF($L5="","",IF(SUMPRODUCT(MAX((Log!$D$4:$D$1203=$A5)*(Log!$B$4:$B$1203=$K5)*(Log!$E$4:$E$1203="A")*(Log!$F$4:$F$1203=$L5)*Log!$G$4:$G$1203))=0,"",SUMPRODUCT(MAX((Log!$D$4:$D$1203=$A5)*(Log!$B$4:$B$1203=$K5)*(Log!$E$4:$E$1203="A")*(Log!$F$4:$F$1203=$L5)*Log!$G$4:$G$1203))))</f>
        <v>6</v>
      </c>
      <c r="N5" s="7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97" t="n">
        <f aca="false">IF(Übungen!$D5="","",IF($O5="","",IF($L5="",Übungen!$D5,IF(AND($N5&lt;&gt;"",Übungen!$E5&lt;&gt;"",$N5&gt;=Übungen!$E5),Übungen!$D5,IF(OR($N5="",$N5&lt;Übungen!$D5),Übungen!$D5,MIN(Übungen!$E5,$N5+1))))))</f>
        <v>5</v>
      </c>
      <c r="Q5" s="89"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34" t="str">
        <f aca="false">IF(Übungen!$A6="","",Übungen!$A6)</f>
        <v>Beinstrecker</v>
      </c>
      <c r="B6" s="91" t="str">
        <f aca="false">IF(Übungen!$B6="","",Übungen!$B6)</f>
        <v>Beine vorne</v>
      </c>
      <c r="C6" s="77" t="n">
        <f aca="false">IF($D6="","",SUMPRODUCT((COUNTIFS(Log!$D$4:$D$1203,$A6,Log!$E$4:$E$1203,"A",Log!$B$4:$B$1203,Einheiten!$A$4:$A$63)&gt;0)*1))</f>
        <v>11</v>
      </c>
      <c r="D6" s="77" t="n">
        <f aca="false">IF($A6="","",IF(COUNTIFS(Log!$D$4:$D$1203,$A6,Log!$E$4:$E$1203,"A")=0,"",COUNTIFS(Log!$D$4:$D$1203,$A6,Log!$E$4:$E$1203,"A")))</f>
        <v>28</v>
      </c>
      <c r="E6" s="77" t="n">
        <f aca="false">IF($D6="","",SUMIFS(Log!$I$4:$I$1203,Log!$D$4:$D$1203,$A6,Log!$E$4:$E$1203,"A"))</f>
        <v>17570</v>
      </c>
      <c r="F6" s="92" t="n">
        <f aca="false">IF($D6="","",IF(SUMPRODUCT(MAX((Log!$D$4:$D$1203=$A6)*(Log!$E$4:$E$1203="A")*(Log!$F$4:$F$1203&lt;&gt;"")*Log!$F$4:$F$1203))=0,"",SUMPRODUCT(MAX((Log!$D$4:$D$1203=$A6)*(Log!$E$4:$E$1203="A")*(Log!$F$4:$F$1203&lt;&gt;"")*Log!$F$4:$F$1203))))</f>
        <v>95</v>
      </c>
      <c r="G6" s="77" t="n">
        <f aca="false">IF($F6="","",SUMPRODUCT(MAX((Log!$D$4:$D$1203=$A6)*(Log!$E$4:$E$1203="A")*(Log!$F$4:$F$1203=$F6)*Log!$B$4:$B$1203)))</f>
        <v>17</v>
      </c>
      <c r="H6" s="92" t="n">
        <f aca="false">IF($D6="","",IF(SUMPRODUCT(MAX((Log!$D$4:$D$1203=$A6)*(Log!$E$4:$E$1203="A")*(Log!$F$4:$F$1203&lt;&gt;"")*(Log!$G$4:$G$1203&lt;&gt;"")*Log!$F$4:$F$1203*(1+Log!$G$4:$G$1203/30)))=0,"",SUMPRODUCT(MAX((Log!$D$4:$D$1203=$A6)*(Log!$E$4:$E$1203="A")*(Log!$F$4:$F$1203&lt;&gt;"")*(Log!$G$4:$G$1203&lt;&gt;"")*Log!$F$4:$F$1203*(1+Log!$G$4:$G$1203/30)))))</f>
        <v>114</v>
      </c>
      <c r="I6" s="77" t="n">
        <f aca="false">IF($H6="","",SUMPRODUCT(MAX((Log!$D$4:$D$1203=$A6)*(Log!$E$4:$E$1203="A")*(Log!$F$4:$F$1203&lt;&gt;"")*(Log!$G$4:$G$1203&lt;&gt;"")*(ROUND(Log!$F$4:$F$1203*(1+Log!$G$4:$G$1203/30),6)=ROUND($H6,6))*Log!$B$4:$B$1203)))</f>
        <v>6</v>
      </c>
      <c r="J6" s="77" t="n">
        <f aca="false">IF($D6="","",IF(SUMPRODUCT(MAX((Log!$D$4:$D$1203=$A6)*(Log!$E$4:$E$1203="A")*(Log!$F$4:$F$1203&lt;&gt;"")*(Log!$G$4:$G$1203&lt;&gt;"")*Log!$F$4:$F$1203*Log!$G$4:$G$1203))=0,"",SUMPRODUCT(MAX((Log!$D$4:$D$1203=$A6)*(Log!$E$4:$E$1203="A")*(Log!$F$4:$F$1203&lt;&gt;"")*(Log!$G$4:$G$1203&lt;&gt;"")*Log!$F$4:$F$1203*Log!$G$4:$G$1203))))</f>
        <v>960</v>
      </c>
      <c r="K6" s="77" t="n">
        <f aca="false">IF($D6="","",IF(SUMPRODUCT(MAX((Log!$D$4:$D$1203=$A6)*(Log!$E$4:$E$1203="A")*Log!$B$4:$B$1203))=0,"",SUMPRODUCT(MAX((Log!$D$4:$D$1203=$A6)*(Log!$E$4:$E$1203="A")*Log!$B$4:$B$1203))))</f>
        <v>17</v>
      </c>
      <c r="L6" s="80" t="n">
        <f aca="false">IF($K6="","",IF(SUMPRODUCT(MAX((Log!$D$4:$D$1203=$A6)*(Log!$B$4:$B$1203=$K6)*(Log!$E$4:$E$1203="A")*(Log!$F$4:$F$1203&lt;&gt;"")*Log!$F$4:$F$1203))=0,"",SUMPRODUCT(MAX((Log!$D$4:$D$1203=$A6)*(Log!$B$4:$B$1203=$K6)*(Log!$E$4:$E$1203="A")*(Log!$F$4:$F$1203&lt;&gt;"")*Log!$F$4:$F$1203))))</f>
        <v>95</v>
      </c>
      <c r="M6" s="77" t="n">
        <f aca="false">IF($L6="","",IF(SUMPRODUCT(MAX((Log!$D$4:$D$1203=$A6)*(Log!$B$4:$B$1203=$K6)*(Log!$E$4:$E$1203="A")*(Log!$F$4:$F$1203=$L6)*Log!$G$4:$G$1203))=0,"",SUMPRODUCT(MAX((Log!$D$4:$D$1203=$A6)*(Log!$B$4:$B$1203=$K6)*(Log!$E$4:$E$1203="A")*(Log!$F$4:$F$1203=$L6)*Log!$G$4:$G$1203))))</f>
        <v>5</v>
      </c>
      <c r="N6" s="7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4" t="n">
        <f aca="false">IF(Übungen!$D6="","",IF($O6="","",IF($L6="",Übungen!$D6,IF(AND($N6&lt;&gt;"",Übungen!$E6&lt;&gt;"",$N6&gt;=Übungen!$E6),Übungen!$D6,IF(OR($N6="",$N6&lt;Übungen!$D6),Übungen!$D6,MIN(Übungen!$E6,$N6+1))))))</f>
        <v>6</v>
      </c>
      <c r="Q6" s="85"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40" t="str">
        <f aca="false">IF(Übungen!$A7="","",Übungen!$A7)</f>
        <v>Adduktion</v>
      </c>
      <c r="B7" s="4" t="str">
        <f aca="false">IF(Übungen!$B7="","",Übungen!$B7)</f>
        <v>Beine vorne</v>
      </c>
      <c r="C7" s="79" t="n">
        <f aca="false">IF($D7="","",SUMPRODUCT((COUNTIFS(Log!$D$4:$D$1203,$A7,Log!$E$4:$E$1203,"A",Log!$B$4:$B$1203,Einheiten!$A$4:$A$63)&gt;0)*1))</f>
        <v>7</v>
      </c>
      <c r="D7" s="79" t="n">
        <f aca="false">IF($A7="","",IF(COUNTIFS(Log!$D$4:$D$1203,$A7,Log!$E$4:$E$1203,"A")=0,"",COUNTIFS(Log!$D$4:$D$1203,$A7,Log!$E$4:$E$1203,"A")))</f>
        <v>15</v>
      </c>
      <c r="E7" s="79" t="n">
        <f aca="false">IF($D7="","",SUMIFS(Log!$I$4:$I$1203,Log!$D$4:$D$1203,$A7,Log!$E$4:$E$1203,"A"))</f>
        <v>30398</v>
      </c>
      <c r="F7" s="95" t="n">
        <f aca="false">IF($D7="","",IF(SUMPRODUCT(MAX((Log!$D$4:$D$1203=$A7)*(Log!$E$4:$E$1203="A")*(Log!$F$4:$F$1203&lt;&gt;"")*Log!$F$4:$F$1203))=0,"",SUMPRODUCT(MAX((Log!$D$4:$D$1203=$A7)*(Log!$E$4:$E$1203="A")*(Log!$F$4:$F$1203&lt;&gt;"")*Log!$F$4:$F$1203))))</f>
        <v>185</v>
      </c>
      <c r="G7" s="79"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9" t="n">
        <f aca="false">IF($H7="","",SUMPRODUCT(MAX((Log!$D$4:$D$1203=$A7)*(Log!$E$4:$E$1203="A")*(Log!$F$4:$F$1203&lt;&gt;"")*(Log!$G$4:$G$1203&lt;&gt;"")*(ROUND(Log!$F$4:$F$1203*(1+Log!$G$4:$G$1203/30),6)=ROUND($H7,6))*Log!$B$4:$B$1203)))</f>
        <v>4</v>
      </c>
      <c r="J7" s="79" t="n">
        <f aca="false">IF($D7="","",IF(SUMPRODUCT(MAX((Log!$D$4:$D$1203=$A7)*(Log!$E$4:$E$1203="A")*(Log!$F$4:$F$1203&lt;&gt;"")*(Log!$G$4:$G$1203&lt;&gt;"")*Log!$F$4:$F$1203*Log!$G$4:$G$1203))=0,"",SUMPRODUCT(MAX((Log!$D$4:$D$1203=$A7)*(Log!$E$4:$E$1203="A")*(Log!$F$4:$F$1203&lt;&gt;"")*(Log!$G$4:$G$1203&lt;&gt;"")*Log!$F$4:$F$1203*Log!$G$4:$G$1203))))</f>
        <v>3812.5</v>
      </c>
      <c r="K7" s="79" t="n">
        <f aca="false">IF($D7="","",IF(SUMPRODUCT(MAX((Log!$D$4:$D$1203=$A7)*(Log!$E$4:$E$1203="A")*Log!$B$4:$B$1203))=0,"",SUMPRODUCT(MAX((Log!$D$4:$D$1203=$A7)*(Log!$E$4:$E$1203="A")*Log!$B$4:$B$1203))))</f>
        <v>8</v>
      </c>
      <c r="L7" s="82" t="n">
        <f aca="false">IF($K7="","",IF(SUMPRODUCT(MAX((Log!$D$4:$D$1203=$A7)*(Log!$B$4:$B$1203=$K7)*(Log!$E$4:$E$1203="A")*(Log!$F$4:$F$1203&lt;&gt;"")*Log!$F$4:$F$1203))=0,"",SUMPRODUCT(MAX((Log!$D$4:$D$1203=$A7)*(Log!$B$4:$B$1203=$K7)*(Log!$E$4:$E$1203="A")*(Log!$F$4:$F$1203&lt;&gt;"")*Log!$F$4:$F$1203))))</f>
        <v>185</v>
      </c>
      <c r="M7" s="79" t="n">
        <f aca="false">IF($L7="","",IF(SUMPRODUCT(MAX((Log!$D$4:$D$1203=$A7)*(Log!$B$4:$B$1203=$K7)*(Log!$E$4:$E$1203="A")*(Log!$F$4:$F$1203=$L7)*Log!$G$4:$G$1203))=0,"",SUMPRODUCT(MAX((Log!$D$4:$D$1203=$A7)*(Log!$B$4:$B$1203=$K7)*(Log!$E$4:$E$1203="A")*(Log!$F$4:$F$1203=$L7)*Log!$G$4:$G$1203))))</f>
        <v>5</v>
      </c>
      <c r="N7" s="7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7" t="n">
        <f aca="false">IF(Übungen!$D7="","",IF($O7="","",IF($L7="",Übungen!$D7,IF(AND($N7&lt;&gt;"",Übungen!$E7&lt;&gt;"",$N7&gt;=Übungen!$E7),Übungen!$D7,IF(OR($N7="",$N7&lt;Übungen!$D7),Übungen!$D7,MIN(Übungen!$E7,$N7+1))))))</f>
        <v>6</v>
      </c>
      <c r="Q7" s="89"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Reverse V-Squat</v>
      </c>
      <c r="B8" s="91" t="str">
        <f aca="false">IF(Übungen!$B8="","",Übungen!$B8)</f>
        <v>Beine hinten</v>
      </c>
      <c r="C8" s="77" t="n">
        <f aca="false">IF($D8="","",SUMPRODUCT((COUNTIFS(Log!$D$4:$D$1203,$A8,Log!$E$4:$E$1203,"A",Log!$B$4:$B$1203,Einheiten!$A$4:$A$63)&gt;0)*1))</f>
        <v>2</v>
      </c>
      <c r="D8" s="77" t="n">
        <f aca="false">IF($A8="","",IF(COUNTIFS(Log!$D$4:$D$1203,$A8,Log!$E$4:$E$1203,"A")=0,"",COUNTIFS(Log!$D$4:$D$1203,$A8,Log!$E$4:$E$1203,"A")))</f>
        <v>6</v>
      </c>
      <c r="E8" s="77" t="n">
        <f aca="false">IF($D8="","",SUMIFS(Log!$I$4:$I$1203,Log!$D$4:$D$1203,$A8,Log!$E$4:$E$1203,"A"))</f>
        <v>7683</v>
      </c>
      <c r="F8" s="92" t="n">
        <f aca="false">IF($D8="","",IF(SUMPRODUCT(MAX((Log!$D$4:$D$1203=$A8)*(Log!$E$4:$E$1203="A")*(Log!$F$4:$F$1203&lt;&gt;"")*Log!$F$4:$F$1203))=0,"",SUMPRODUCT(MAX((Log!$D$4:$D$1203=$A8)*(Log!$E$4:$E$1203="A")*(Log!$F$4:$F$1203&lt;&gt;"")*Log!$F$4:$F$1203))))</f>
        <v>215</v>
      </c>
      <c r="G8" s="77" t="n">
        <f aca="false">IF($F8="","",SUMPRODUCT(MAX((Log!$D$4:$D$1203=$A8)*(Log!$E$4:$E$1203="A")*(Log!$F$4:$F$1203=$F8)*Log!$B$4:$B$1203)))</f>
        <v>14</v>
      </c>
      <c r="H8" s="92" t="n">
        <f aca="false">IF($D8="","",IF(SUMPRODUCT(MAX((Log!$D$4:$D$1203=$A8)*(Log!$E$4:$E$1203="A")*(Log!$F$4:$F$1203&lt;&gt;"")*(Log!$G$4:$G$1203&lt;&gt;"")*Log!$F$4:$F$1203*(1+Log!$G$4:$G$1203/30)))=0,"",SUMPRODUCT(MAX((Log!$D$4:$D$1203=$A8)*(Log!$E$4:$E$1203="A")*(Log!$F$4:$F$1203&lt;&gt;"")*(Log!$G$4:$G$1203&lt;&gt;"")*Log!$F$4:$F$1203*(1+Log!$G$4:$G$1203/30)))))</f>
        <v>252</v>
      </c>
      <c r="I8" s="77" t="n">
        <f aca="false">IF($H8="","",SUMPRODUCT(MAX((Log!$D$4:$D$1203=$A8)*(Log!$E$4:$E$1203="A")*(Log!$F$4:$F$1203&lt;&gt;"")*(Log!$G$4:$G$1203&lt;&gt;"")*(ROUND(Log!$F$4:$F$1203*(1+Log!$G$4:$G$1203/30),6)=ROUND($H8,6))*Log!$B$4:$B$1203)))</f>
        <v>13</v>
      </c>
      <c r="J8" s="77" t="n">
        <f aca="false">IF($D8="","",IF(SUMPRODUCT(MAX((Log!$D$4:$D$1203=$A8)*(Log!$E$4:$E$1203="A")*(Log!$F$4:$F$1203&lt;&gt;"")*(Log!$G$4:$G$1203&lt;&gt;"")*Log!$F$4:$F$1203*Log!$G$4:$G$1203))=0,"",SUMPRODUCT(MAX((Log!$D$4:$D$1203=$A8)*(Log!$E$4:$E$1203="A")*(Log!$F$4:$F$1203&lt;&gt;"")*(Log!$G$4:$G$1203&lt;&gt;"")*Log!$F$4:$F$1203*Log!$G$4:$G$1203))))</f>
        <v>1520</v>
      </c>
      <c r="K8" s="77" t="n">
        <f aca="false">IF($D8="","",IF(SUMPRODUCT(MAX((Log!$D$4:$D$1203=$A8)*(Log!$E$4:$E$1203="A")*Log!$B$4:$B$1203))=0,"",SUMPRODUCT(MAX((Log!$D$4:$D$1203=$A8)*(Log!$E$4:$E$1203="A")*Log!$B$4:$B$1203))))</f>
        <v>14</v>
      </c>
      <c r="L8" s="80" t="n">
        <f aca="false">IF($K8="","",IF(SUMPRODUCT(MAX((Log!$D$4:$D$1203=$A8)*(Log!$B$4:$B$1203=$K8)*(Log!$E$4:$E$1203="A")*(Log!$F$4:$F$1203&lt;&gt;"")*Log!$F$4:$F$1203))=0,"",SUMPRODUCT(MAX((Log!$D$4:$D$1203=$A8)*(Log!$B$4:$B$1203=$K8)*(Log!$E$4:$E$1203="A")*(Log!$F$4:$F$1203&lt;&gt;"")*Log!$F$4:$F$1203))))</f>
        <v>215</v>
      </c>
      <c r="M8" s="77" t="n">
        <f aca="false">IF($L8="","",IF(SUMPRODUCT(MAX((Log!$D$4:$D$1203=$A8)*(Log!$B$4:$B$1203=$K8)*(Log!$E$4:$E$1203="A")*(Log!$F$4:$F$1203=$L8)*Log!$G$4:$G$1203))=0,"",SUMPRODUCT(MAX((Log!$D$4:$D$1203=$A8)*(Log!$B$4:$B$1203=$K8)*(Log!$E$4:$E$1203="A")*(Log!$F$4:$F$1203=$L8)*Log!$G$4:$G$1203))))</f>
        <v>5</v>
      </c>
      <c r="N8" s="77"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6</v>
      </c>
      <c r="Q8" s="85"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79" t="n">
        <f aca="false">IF($D9="","",SUMPRODUCT((COUNTIFS(Log!$D$4:$D$1203,$A9,Log!$E$4:$E$1203,"A",Log!$B$4:$B$1203,Einheiten!$A$4:$A$63)&gt;0)*1))</f>
        <v>4</v>
      </c>
      <c r="D9" s="79" t="n">
        <f aca="false">IF($A9="","",IF(COUNTIFS(Log!$D$4:$D$1203,$A9,Log!$E$4:$E$1203,"A")=0,"",COUNTIFS(Log!$D$4:$D$1203,$A9,Log!$E$4:$E$1203,"A")))</f>
        <v>11</v>
      </c>
      <c r="E9" s="79" t="n">
        <f aca="false">IF($D9="","",SUMIFS(Log!$I$4:$I$1203,Log!$D$4:$D$1203,$A9,Log!$E$4:$E$1203,"A"))</f>
        <v>10755</v>
      </c>
      <c r="F9" s="95" t="n">
        <f aca="false">IF($D9="","",IF(SUMPRODUCT(MAX((Log!$D$4:$D$1203=$A9)*(Log!$E$4:$E$1203="A")*(Log!$F$4:$F$1203&lt;&gt;"")*Log!$F$4:$F$1203))=0,"",SUMPRODUCT(MAX((Log!$D$4:$D$1203=$A9)*(Log!$E$4:$E$1203="A")*(Log!$F$4:$F$1203&lt;&gt;"")*Log!$F$4:$F$1203))))</f>
        <v>135</v>
      </c>
      <c r="G9" s="79"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9" t="n">
        <f aca="false">IF($H9="","",SUMPRODUCT(MAX((Log!$D$4:$D$1203=$A9)*(Log!$E$4:$E$1203="A")*(Log!$F$4:$F$1203&lt;&gt;"")*(Log!$G$4:$G$1203&lt;&gt;"")*(ROUND(Log!$F$4:$F$1203*(1+Log!$G$4:$G$1203/30),6)=ROUND($H9,6))*Log!$B$4:$B$1203)))</f>
        <v>9</v>
      </c>
      <c r="J9" s="79" t="n">
        <f aca="false">IF($D9="","",IF(SUMPRODUCT(MAX((Log!$D$4:$D$1203=$A9)*(Log!$E$4:$E$1203="A")*(Log!$F$4:$F$1203&lt;&gt;"")*(Log!$G$4:$G$1203&lt;&gt;"")*Log!$F$4:$F$1203*Log!$G$4:$G$1203))=0,"",SUMPRODUCT(MAX((Log!$D$4:$D$1203=$A9)*(Log!$E$4:$E$1203="A")*(Log!$F$4:$F$1203&lt;&gt;"")*(Log!$G$4:$G$1203&lt;&gt;"")*Log!$F$4:$F$1203*Log!$G$4:$G$1203))))</f>
        <v>1320</v>
      </c>
      <c r="K9" s="79" t="n">
        <f aca="false">IF($D9="","",IF(SUMPRODUCT(MAX((Log!$D$4:$D$1203=$A9)*(Log!$E$4:$E$1203="A")*Log!$B$4:$B$1203))=0,"",SUMPRODUCT(MAX((Log!$D$4:$D$1203=$A9)*(Log!$E$4:$E$1203="A")*Log!$B$4:$B$1203))))</f>
        <v>11</v>
      </c>
      <c r="L9" s="82" t="n">
        <f aca="false">IF($K9="","",IF(SUMPRODUCT(MAX((Log!$D$4:$D$1203=$A9)*(Log!$B$4:$B$1203=$K9)*(Log!$E$4:$E$1203="A")*(Log!$F$4:$F$1203&lt;&gt;"")*Log!$F$4:$F$1203))=0,"",SUMPRODUCT(MAX((Log!$D$4:$D$1203=$A9)*(Log!$B$4:$B$1203=$K9)*(Log!$E$4:$E$1203="A")*(Log!$F$4:$F$1203&lt;&gt;"")*Log!$F$4:$F$1203))))</f>
        <v>115</v>
      </c>
      <c r="M9" s="79" t="n">
        <f aca="false">IF($L9="","",IF(SUMPRODUCT(MAX((Log!$D$4:$D$1203=$A9)*(Log!$B$4:$B$1203=$K9)*(Log!$E$4:$E$1203="A")*(Log!$F$4:$F$1203=$L9)*Log!$G$4:$G$1203))=0,"",SUMPRODUCT(MAX((Log!$D$4:$D$1203=$A9)*(Log!$B$4:$B$1203=$K9)*(Log!$E$4:$E$1203="A")*(Log!$F$4:$F$1203=$L9)*Log!$G$4:$G$1203))))</f>
        <v>7</v>
      </c>
      <c r="N9" s="7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9"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Rumänisches Kreuzheben KH</v>
      </c>
      <c r="B10" s="91" t="str">
        <f aca="false">IF(Übungen!$B10="","",Übungen!$B10)</f>
        <v>Beine hinten</v>
      </c>
      <c r="C10" s="77" t="n">
        <f aca="false">IF($D10="","",SUMPRODUCT((COUNTIFS(Log!$D$4:$D$1203,$A10,Log!$E$4:$E$1203,"A",Log!$B$4:$B$1203,Einheiten!$A$4:$A$63)&gt;0)*1))</f>
        <v>1</v>
      </c>
      <c r="D10" s="77" t="n">
        <f aca="false">IF($A10="","",IF(COUNTIFS(Log!$D$4:$D$1203,$A10,Log!$E$4:$E$1203,"A")=0,"",COUNTIFS(Log!$D$4:$D$1203,$A10,Log!$E$4:$E$1203,"A")))</f>
        <v>3</v>
      </c>
      <c r="E10" s="77" t="n">
        <f aca="false">IF($D10="","",SUMIFS(Log!$I$4:$I$1203,Log!$D$4:$D$1203,$A10,Log!$E$4:$E$1203,"A"))</f>
        <v>480</v>
      </c>
      <c r="F10" s="92" t="n">
        <f aca="false">IF($D10="","",IF(SUMPRODUCT(MAX((Log!$D$4:$D$1203=$A10)*(Log!$E$4:$E$1203="A")*(Log!$F$4:$F$1203&lt;&gt;"")*Log!$F$4:$F$1203))=0,"",SUMPRODUCT(MAX((Log!$D$4:$D$1203=$A10)*(Log!$E$4:$E$1203="A")*(Log!$F$4:$F$1203&lt;&gt;"")*Log!$F$4:$F$1203))))</f>
        <v>34</v>
      </c>
      <c r="G10" s="77" t="n">
        <f aca="false">IF($F10="","",SUMPRODUCT(MAX((Log!$D$4:$D$1203=$A10)*(Log!$E$4:$E$1203="A")*(Log!$F$4:$F$1203=$F10)*Log!$B$4:$B$1203)))</f>
        <v>14</v>
      </c>
      <c r="H10" s="92" t="n">
        <f aca="false">IF($D10="","",IF(SUMPRODUCT(MAX((Log!$D$4:$D$1203=$A10)*(Log!$E$4:$E$1203="A")*(Log!$F$4:$F$1203&lt;&gt;"")*(Log!$G$4:$G$1203&lt;&gt;"")*Log!$F$4:$F$1203*(1+Log!$G$4:$G$1203/30)))=0,"",SUMPRODUCT(MAX((Log!$D$4:$D$1203=$A10)*(Log!$E$4:$E$1203="A")*(Log!$F$4:$F$1203&lt;&gt;"")*(Log!$G$4:$G$1203&lt;&gt;"")*Log!$F$4:$F$1203*(1+Log!$G$4:$G$1203/30)))))</f>
        <v>39.6666666666667</v>
      </c>
      <c r="I10" s="77" t="n">
        <f aca="false">IF($H10="","",SUMPRODUCT(MAX((Log!$D$4:$D$1203=$A10)*(Log!$E$4:$E$1203="A")*(Log!$F$4:$F$1203&lt;&gt;"")*(Log!$G$4:$G$1203&lt;&gt;"")*(ROUND(Log!$F$4:$F$1203*(1+Log!$G$4:$G$1203/30),6)=ROUND($H10,6))*Log!$B$4:$B$1203)))</f>
        <v>14</v>
      </c>
      <c r="J10" s="77" t="n">
        <f aca="false">IF($D10="","",IF(SUMPRODUCT(MAX((Log!$D$4:$D$1203=$A10)*(Log!$E$4:$E$1203="A")*(Log!$F$4:$F$1203&lt;&gt;"")*(Log!$G$4:$G$1203&lt;&gt;"")*Log!$F$4:$F$1203*Log!$G$4:$G$1203))=0,"",SUMPRODUCT(MAX((Log!$D$4:$D$1203=$A10)*(Log!$E$4:$E$1203="A")*(Log!$F$4:$F$1203&lt;&gt;"")*(Log!$G$4:$G$1203&lt;&gt;"")*Log!$F$4:$F$1203*Log!$G$4:$G$1203))))</f>
        <v>170</v>
      </c>
      <c r="K10" s="77" t="n">
        <f aca="false">IF($D10="","",IF(SUMPRODUCT(MAX((Log!$D$4:$D$1203=$A10)*(Log!$E$4:$E$1203="A")*Log!$B$4:$B$1203))=0,"",SUMPRODUCT(MAX((Log!$D$4:$D$1203=$A10)*(Log!$E$4:$E$1203="A")*Log!$B$4:$B$1203))))</f>
        <v>14</v>
      </c>
      <c r="L10" s="80" t="n">
        <f aca="false">IF($K10="","",IF(SUMPRODUCT(MAX((Log!$D$4:$D$1203=$A10)*(Log!$B$4:$B$1203=$K10)*(Log!$E$4:$E$1203="A")*(Log!$F$4:$F$1203&lt;&gt;"")*Log!$F$4:$F$1203))=0,"",SUMPRODUCT(MAX((Log!$D$4:$D$1203=$A10)*(Log!$B$4:$B$1203=$K10)*(Log!$E$4:$E$1203="A")*(Log!$F$4:$F$1203&lt;&gt;"")*Log!$F$4:$F$1203))))</f>
        <v>34</v>
      </c>
      <c r="M10" s="77" t="n">
        <f aca="false">IF($L10="","",IF(SUMPRODUCT(MAX((Log!$D$4:$D$1203=$A10)*(Log!$B$4:$B$1203=$K10)*(Log!$E$4:$E$1203="A")*(Log!$F$4:$F$1203=$L10)*Log!$G$4:$G$1203))=0,"",SUMPRODUCT(MAX((Log!$D$4:$D$1203=$A10)*(Log!$B$4:$B$1203=$K10)*(Log!$E$4:$E$1203="A")*(Log!$F$4:$F$1203=$L10)*Log!$G$4:$G$1203))))</f>
        <v>5</v>
      </c>
      <c r="N10" s="77"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4" t="n">
        <f aca="false">IF(Übungen!$D10="","",IF($O10="","",IF($L10="",Übungen!$D10,IF(AND($N10&lt;&gt;"",Übungen!$E10&lt;&gt;"",$N10&gt;=Übungen!$E10),Übungen!$D10,IF(OR($N10="",$N10&lt;Übungen!$D10),Übungen!$D10,MIN(Übungen!$E10,$N10+1))))))</f>
        <v>6</v>
      </c>
      <c r="Q10" s="85"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79" t="str">
        <f aca="false">IF($D11="","",SUMPRODUCT((COUNTIFS(Log!$D$4:$D$1203,$A11,Log!$E$4:$E$1203,"A",Log!$B$4:$B$1203,Einheiten!$A$4:$A$63)&gt;0)*1))</f>
        <v/>
      </c>
      <c r="D11" s="79" t="str">
        <f aca="false">IF($A11="","",IF(COUNTIFS(Log!$D$4:$D$1203,$A11,Log!$E$4:$E$1203,"A")=0,"",COUNTIFS(Log!$D$4:$D$1203,$A11,Log!$E$4:$E$1203,"A")))</f>
        <v/>
      </c>
      <c r="E11" s="79" t="str">
        <f aca="false">IF($D11="","",SUMIFS(Log!$I$4:$I$1203,Log!$D$4:$D$1203,$A11,Log!$E$4:$E$1203,"A"))</f>
        <v/>
      </c>
      <c r="F11" s="95" t="str">
        <f aca="false">IF($D11="","",IF(SUMPRODUCT(MAX((Log!$D$4:$D$1203=$A11)*(Log!$E$4:$E$1203="A")*(Log!$F$4:$F$1203&lt;&gt;"")*Log!$F$4:$F$1203))=0,"",SUMPRODUCT(MAX((Log!$D$4:$D$1203=$A11)*(Log!$E$4:$E$1203="A")*(Log!$F$4:$F$1203&lt;&gt;"")*Log!$F$4:$F$1203))))</f>
        <v/>
      </c>
      <c r="G11" s="79" t="str">
        <f aca="false">IF($F11="","",SUMPRODUCT(MAX((Log!$D$4:$D$1203=$A11)*(Log!$E$4:$E$1203="A")*(Log!$F$4:$F$1203=$F11)*Log!$B$4:$B$1203)))</f>
        <v/>
      </c>
      <c r="H11" s="95" t="str">
        <f aca="false">IF($D11="","",IF(SUMPRODUCT(MAX((Log!$D$4:$D$1203=$A11)*(Log!$E$4:$E$1203="A")*(Log!$F$4:$F$1203&lt;&gt;"")*(Log!$G$4:$G$1203&lt;&gt;"")*Log!$F$4:$F$1203*(1+Log!$G$4:$G$1203/30)))=0,"",SUMPRODUCT(MAX((Log!$D$4:$D$1203=$A11)*(Log!$E$4:$E$1203="A")*(Log!$F$4:$F$1203&lt;&gt;"")*(Log!$G$4:$G$1203&lt;&gt;"")*Log!$F$4:$F$1203*(1+Log!$G$4:$G$1203/30)))))</f>
        <v/>
      </c>
      <c r="I11" s="79" t="str">
        <f aca="false">IF($H11="","",SUMPRODUCT(MAX((Log!$D$4:$D$1203=$A11)*(Log!$E$4:$E$1203="A")*(Log!$F$4:$F$1203&lt;&gt;"")*(Log!$G$4:$G$1203&lt;&gt;"")*(ROUND(Log!$F$4:$F$1203*(1+Log!$G$4:$G$1203/30),6)=ROUND($H11,6))*Log!$B$4:$B$1203)))</f>
        <v/>
      </c>
      <c r="J11" s="79" t="str">
        <f aca="false">IF($D11="","",IF(SUMPRODUCT(MAX((Log!$D$4:$D$1203=$A11)*(Log!$E$4:$E$1203="A")*(Log!$F$4:$F$1203&lt;&gt;"")*(Log!$G$4:$G$1203&lt;&gt;"")*Log!$F$4:$F$1203*Log!$G$4:$G$1203))=0,"",SUMPRODUCT(MAX((Log!$D$4:$D$1203=$A11)*(Log!$E$4:$E$1203="A")*(Log!$F$4:$F$1203&lt;&gt;"")*(Log!$G$4:$G$1203&lt;&gt;"")*Log!$F$4:$F$1203*Log!$G$4:$G$1203))))</f>
        <v/>
      </c>
      <c r="K11" s="79" t="str">
        <f aca="false">IF($D11="","",IF(SUMPRODUCT(MAX((Log!$D$4:$D$1203=$A11)*(Log!$E$4:$E$1203="A")*Log!$B$4:$B$1203))=0,"",SUMPRODUCT(MAX((Log!$D$4:$D$1203=$A11)*(Log!$E$4:$E$1203="A")*Log!$B$4:$B$1203))))</f>
        <v/>
      </c>
      <c r="L11" s="82" t="str">
        <f aca="false">IF($K11="","",IF(SUMPRODUCT(MAX((Log!$D$4:$D$1203=$A11)*(Log!$B$4:$B$1203=$K11)*(Log!$E$4:$E$1203="A")*(Log!$F$4:$F$1203&lt;&gt;"")*Log!$F$4:$F$1203))=0,"",SUMPRODUCT(MAX((Log!$D$4:$D$1203=$A11)*(Log!$B$4:$B$1203=$K11)*(Log!$E$4:$E$1203="A")*(Log!$F$4:$F$1203&lt;&gt;"")*Log!$F$4:$F$1203))))</f>
        <v/>
      </c>
      <c r="M11" s="79" t="str">
        <f aca="false">IF($L11="","",IF(SUMPRODUCT(MAX((Log!$D$4:$D$1203=$A11)*(Log!$B$4:$B$1203=$K11)*(Log!$E$4:$E$1203="A")*(Log!$F$4:$F$1203=$L11)*Log!$G$4:$G$1203))=0,"",SUMPRODUCT(MAX((Log!$D$4:$D$1203=$A11)*(Log!$B$4:$B$1203=$K11)*(Log!$E$4:$E$1203="A")*(Log!$F$4:$F$1203=$L11)*Log!$G$4:$G$1203))))</f>
        <v/>
      </c>
      <c r="N11" s="79"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7" t="n">
        <f aca="false">IF(Übungen!$D11="","",IF($O11="","",IF($L11="",Übungen!$D11,IF(AND($N11&lt;&gt;"",Übungen!$E11&lt;&gt;"",$N11&gt;=Übungen!$E11),Übungen!$D11,IF(OR($N11="",$N11&lt;Übungen!$D11),Übungen!$D11,MIN(Übungen!$E11,$N11+1))))))</f>
        <v>5</v>
      </c>
      <c r="Q11" s="89"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34" t="str">
        <f aca="false">IF(Übungen!$A12="","",Übungen!$A12)</f>
        <v>Hip Thrust</v>
      </c>
      <c r="B12" s="91" t="str">
        <f aca="false">IF(Übungen!$B12="","",Übungen!$B12)</f>
        <v>Beine hinten</v>
      </c>
      <c r="C12" s="77" t="n">
        <f aca="false">IF($D12="","",SUMPRODUCT((COUNTIFS(Log!$D$4:$D$1203,$A12,Log!$E$4:$E$1203,"A",Log!$B$4:$B$1203,Einheiten!$A$4:$A$63)&gt;0)*1))</f>
        <v>9</v>
      </c>
      <c r="D12" s="77" t="n">
        <f aca="false">IF($A12="","",IF(COUNTIFS(Log!$D$4:$D$1203,$A12,Log!$E$4:$E$1203,"A")=0,"",COUNTIFS(Log!$D$4:$D$1203,$A12,Log!$E$4:$E$1203,"A")))</f>
        <v>24</v>
      </c>
      <c r="E12" s="77" t="n">
        <f aca="false">IF($D12="","",SUMIFS(Log!$I$4:$I$1203,Log!$D$4:$D$1203,$A12,Log!$E$4:$E$1203,"A"))</f>
        <v>48370</v>
      </c>
      <c r="F12" s="92" t="n">
        <f aca="false">IF($D12="","",IF(SUMPRODUCT(MAX((Log!$D$4:$D$1203=$A12)*(Log!$E$4:$E$1203="A")*(Log!$F$4:$F$1203&lt;&gt;"")*Log!$F$4:$F$1203))=0,"",SUMPRODUCT(MAX((Log!$D$4:$D$1203=$A12)*(Log!$E$4:$E$1203="A")*(Log!$F$4:$F$1203&lt;&gt;"")*Log!$F$4:$F$1203))))</f>
        <v>290</v>
      </c>
      <c r="G12" s="77" t="n">
        <f aca="false">IF($F12="","",SUMPRODUCT(MAX((Log!$D$4:$D$1203=$A12)*(Log!$E$4:$E$1203="A")*(Log!$F$4:$F$1203=$F12)*Log!$B$4:$B$1203)))</f>
        <v>7</v>
      </c>
      <c r="H12" s="92" t="n">
        <f aca="false">IF($D12="","",IF(SUMPRODUCT(MAX((Log!$D$4:$D$1203=$A12)*(Log!$E$4:$E$1203="A")*(Log!$F$4:$F$1203&lt;&gt;"")*(Log!$G$4:$G$1203&lt;&gt;"")*Log!$F$4:$F$1203*(1+Log!$G$4:$G$1203/30)))=0,"",SUMPRODUCT(MAX((Log!$D$4:$D$1203=$A12)*(Log!$E$4:$E$1203="A")*(Log!$F$4:$F$1203&lt;&gt;"")*(Log!$G$4:$G$1203&lt;&gt;"")*Log!$F$4:$F$1203*(1+Log!$G$4:$G$1203/30)))))</f>
        <v>367.333333333333</v>
      </c>
      <c r="I12" s="77" t="n">
        <f aca="false">IF($H12="","",SUMPRODUCT(MAX((Log!$D$4:$D$1203=$A12)*(Log!$E$4:$E$1203="A")*(Log!$F$4:$F$1203&lt;&gt;"")*(Log!$G$4:$G$1203&lt;&gt;"")*(ROUND(Log!$F$4:$F$1203*(1+Log!$G$4:$G$1203/30),6)=ROUND($H12,6))*Log!$B$4:$B$1203)))</f>
        <v>7</v>
      </c>
      <c r="J12" s="77" t="n">
        <f aca="false">IF($D12="","",IF(SUMPRODUCT(MAX((Log!$D$4:$D$1203=$A12)*(Log!$E$4:$E$1203="A")*(Log!$F$4:$F$1203&lt;&gt;"")*(Log!$G$4:$G$1203&lt;&gt;"")*Log!$F$4:$F$1203*Log!$G$4:$G$1203))=0,"",SUMPRODUCT(MAX((Log!$D$4:$D$1203=$A12)*(Log!$E$4:$E$1203="A")*(Log!$F$4:$F$1203&lt;&gt;"")*(Log!$G$4:$G$1203&lt;&gt;"")*Log!$F$4:$F$1203*Log!$G$4:$G$1203))))</f>
        <v>2700</v>
      </c>
      <c r="K12" s="77" t="n">
        <f aca="false">IF($D12="","",IF(SUMPRODUCT(MAX((Log!$D$4:$D$1203=$A12)*(Log!$E$4:$E$1203="A")*Log!$B$4:$B$1203))=0,"",SUMPRODUCT(MAX((Log!$D$4:$D$1203=$A12)*(Log!$E$4:$E$1203="A")*Log!$B$4:$B$1203))))</f>
        <v>14</v>
      </c>
      <c r="L12" s="80" t="n">
        <f aca="false">IF($K12="","",IF(SUMPRODUCT(MAX((Log!$D$4:$D$1203=$A12)*(Log!$B$4:$B$1203=$K12)*(Log!$E$4:$E$1203="A")*(Log!$F$4:$F$1203&lt;&gt;"")*Log!$F$4:$F$1203))=0,"",SUMPRODUCT(MAX((Log!$D$4:$D$1203=$A12)*(Log!$B$4:$B$1203=$K12)*(Log!$E$4:$E$1203="A")*(Log!$F$4:$F$1203&lt;&gt;"")*Log!$F$4:$F$1203))))</f>
        <v>285</v>
      </c>
      <c r="M12" s="77" t="n">
        <f aca="false">IF($L12="","",IF(SUMPRODUCT(MAX((Log!$D$4:$D$1203=$A12)*(Log!$B$4:$B$1203=$K12)*(Log!$E$4:$E$1203="A")*(Log!$F$4:$F$1203=$L12)*Log!$G$4:$G$1203))=0,"",SUMPRODUCT(MAX((Log!$D$4:$D$1203=$A12)*(Log!$B$4:$B$1203=$K12)*(Log!$E$4:$E$1203="A")*(Log!$F$4:$F$1203=$L12)*Log!$G$4:$G$1203))))</f>
        <v>5</v>
      </c>
      <c r="N12" s="7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4" t="n">
        <f aca="false">IF(Übungen!$D12="","",IF($O12="","",IF($L12="",Übungen!$D12,IF(AND($N12&lt;&gt;"",Übungen!$E12&lt;&gt;"",$N12&gt;=Übungen!$E12),Übungen!$D12,IF(OR($N12="",$N12&lt;Übungen!$D12),Übungen!$D12,MIN(Übungen!$E12,$N12+1))))))</f>
        <v>6</v>
      </c>
      <c r="Q12" s="85"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79" t="n">
        <f aca="false">IF($D13="","",SUMPRODUCT((COUNTIFS(Log!$D$4:$D$1203,$A13,Log!$E$4:$E$1203,"A",Log!$B$4:$B$1203,Einheiten!$A$4:$A$63)&gt;0)*1))</f>
        <v>5</v>
      </c>
      <c r="D13" s="79" t="n">
        <f aca="false">IF($A13="","",IF(COUNTIFS(Log!$D$4:$D$1203,$A13,Log!$E$4:$E$1203,"A")=0,"",COUNTIFS(Log!$D$4:$D$1203,$A13,Log!$E$4:$E$1203,"A")))</f>
        <v>14</v>
      </c>
      <c r="E13" s="79" t="n">
        <f aca="false">IF($D13="","",SUMIFS(Log!$I$4:$I$1203,Log!$D$4:$D$1203,$A13,Log!$E$4:$E$1203,"A"))</f>
        <v>18037</v>
      </c>
      <c r="F13" s="95" t="n">
        <f aca="false">IF($D13="","",IF(SUMPRODUCT(MAX((Log!$D$4:$D$1203=$A13)*(Log!$E$4:$E$1203="A")*(Log!$F$4:$F$1203&lt;&gt;"")*Log!$F$4:$F$1203))=0,"",SUMPRODUCT(MAX((Log!$D$4:$D$1203=$A13)*(Log!$E$4:$E$1203="A")*(Log!$F$4:$F$1203&lt;&gt;"")*Log!$F$4:$F$1203))))</f>
        <v>176</v>
      </c>
      <c r="G13" s="79"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234.666666666667</v>
      </c>
      <c r="I13" s="79" t="n">
        <f aca="false">IF($H13="","",SUMPRODUCT(MAX((Log!$D$4:$D$1203=$A13)*(Log!$E$4:$E$1203="A")*(Log!$F$4:$F$1203&lt;&gt;"")*(Log!$G$4:$G$1203&lt;&gt;"")*(ROUND(Log!$F$4:$F$1203*(1+Log!$G$4:$G$1203/30),6)=ROUND($H13,6))*Log!$B$4:$B$1203)))</f>
        <v>9</v>
      </c>
      <c r="J13" s="79" t="n">
        <f aca="false">IF($D13="","",IF(SUMPRODUCT(MAX((Log!$D$4:$D$1203=$A13)*(Log!$E$4:$E$1203="A")*(Log!$F$4:$F$1203&lt;&gt;"")*(Log!$G$4:$G$1203&lt;&gt;"")*Log!$F$4:$F$1203*Log!$G$4:$G$1203))=0,"",SUMPRODUCT(MAX((Log!$D$4:$D$1203=$A13)*(Log!$E$4:$E$1203="A")*(Log!$F$4:$F$1203&lt;&gt;"")*(Log!$G$4:$G$1203&lt;&gt;"")*Log!$F$4:$F$1203*Log!$G$4:$G$1203))))</f>
        <v>2040</v>
      </c>
      <c r="K13" s="79" t="n">
        <f aca="false">IF($D13="","",IF(SUMPRODUCT(MAX((Log!$D$4:$D$1203=$A13)*(Log!$E$4:$E$1203="A")*Log!$B$4:$B$1203))=0,"",SUMPRODUCT(MAX((Log!$D$4:$D$1203=$A13)*(Log!$E$4:$E$1203="A")*Log!$B$4:$B$1203))))</f>
        <v>14</v>
      </c>
      <c r="L13" s="82" t="n">
        <f aca="false">IF($K13="","",IF(SUMPRODUCT(MAX((Log!$D$4:$D$1203=$A13)*(Log!$B$4:$B$1203=$K13)*(Log!$E$4:$E$1203="A")*(Log!$F$4:$F$1203&lt;&gt;"")*Log!$F$4:$F$1203))=0,"",SUMPRODUCT(MAX((Log!$D$4:$D$1203=$A13)*(Log!$B$4:$B$1203=$K13)*(Log!$E$4:$E$1203="A")*(Log!$F$4:$F$1203&lt;&gt;"")*Log!$F$4:$F$1203))))</f>
        <v>170</v>
      </c>
      <c r="M13" s="79" t="n">
        <f aca="false">IF($L13="","",IF(SUMPRODUCT(MAX((Log!$D$4:$D$1203=$A13)*(Log!$B$4:$B$1203=$K13)*(Log!$E$4:$E$1203="A")*(Log!$F$4:$F$1203=$L13)*Log!$G$4:$G$1203))=0,"",SUMPRODUCT(MAX((Log!$D$4:$D$1203=$A13)*(Log!$B$4:$B$1203=$K13)*(Log!$E$4:$E$1203="A")*(Log!$F$4:$F$1203=$L13)*Log!$G$4:$G$1203))))</f>
        <v>5</v>
      </c>
      <c r="N13" s="79"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7" t="n">
        <f aca="false">IF(Übungen!$D13="","",IF($O13="","",IF($L13="",Übungen!$D13,IF(AND($N13&lt;&gt;"",Übungen!$E13&lt;&gt;"",$N13&gt;=Übungen!$E13),Übungen!$D13,IF(OR($N13="",$N13&lt;Übungen!$D13),Übungen!$D13,MIN(Übungen!$E13,$N13+1))))))</f>
        <v>6</v>
      </c>
      <c r="Q13" s="89"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Beinbeuger</v>
      </c>
      <c r="B14" s="91" t="str">
        <f aca="false">IF(Übungen!$B14="","",Übungen!$B14)</f>
        <v>Beine hinten</v>
      </c>
      <c r="C14" s="77" t="n">
        <f aca="false">IF($D14="","",SUMPRODUCT((COUNTIFS(Log!$D$4:$D$1203,$A14,Log!$E$4:$E$1203,"A",Log!$B$4:$B$1203,Einheiten!$A$4:$A$63)&gt;0)*1))</f>
        <v>8</v>
      </c>
      <c r="D14" s="77" t="n">
        <f aca="false">IF($A14="","",IF(COUNTIFS(Log!$D$4:$D$1203,$A14,Log!$E$4:$E$1203,"A")=0,"",COUNTIFS(Log!$D$4:$D$1203,$A14,Log!$E$4:$E$1203,"A")))</f>
        <v>18</v>
      </c>
      <c r="E14" s="77" t="n">
        <f aca="false">IF($D14="","",SUMIFS(Log!$I$4:$I$1203,Log!$D$4:$D$1203,$A14,Log!$E$4:$E$1203,"A"))</f>
        <v>8013.5</v>
      </c>
      <c r="F14" s="92" t="n">
        <f aca="false">IF($D14="","",IF(SUMPRODUCT(MAX((Log!$D$4:$D$1203=$A14)*(Log!$E$4:$E$1203="A")*(Log!$F$4:$F$1203&lt;&gt;"")*Log!$F$4:$F$1203))=0,"",SUMPRODUCT(MAX((Log!$D$4:$D$1203=$A14)*(Log!$E$4:$E$1203="A")*(Log!$F$4:$F$1203&lt;&gt;"")*Log!$F$4:$F$1203))))</f>
        <v>57.5</v>
      </c>
      <c r="G14" s="77" t="n">
        <f aca="false">IF($F14="","",SUMPRODUCT(MAX((Log!$D$4:$D$1203=$A14)*(Log!$E$4:$E$1203="A")*(Log!$F$4:$F$1203=$F14)*Log!$B$4:$B$1203)))</f>
        <v>9</v>
      </c>
      <c r="H14" s="92" t="n">
        <f aca="false">IF($D14="","",IF(SUMPRODUCT(MAX((Log!$D$4:$D$1203=$A14)*(Log!$E$4:$E$1203="A")*(Log!$F$4:$F$1203&lt;&gt;"")*(Log!$G$4:$G$1203&lt;&gt;"")*Log!$F$4:$F$1203*(1+Log!$G$4:$G$1203/30)))=0,"",SUMPRODUCT(MAX((Log!$D$4:$D$1203=$A14)*(Log!$E$4:$E$1203="A")*(Log!$F$4:$F$1203&lt;&gt;"")*(Log!$G$4:$G$1203&lt;&gt;"")*Log!$F$4:$F$1203*(1+Log!$G$4:$G$1203/30)))))</f>
        <v>73.3333333333333</v>
      </c>
      <c r="I14" s="77" t="n">
        <f aca="false">IF($H14="","",SUMPRODUCT(MAX((Log!$D$4:$D$1203=$A14)*(Log!$E$4:$E$1203="A")*(Log!$F$4:$F$1203&lt;&gt;"")*(Log!$G$4:$G$1203&lt;&gt;"")*(ROUND(Log!$F$4:$F$1203*(1+Log!$G$4:$G$1203/30),6)=ROUND($H14,6))*Log!$B$4:$B$1203)))</f>
        <v>2</v>
      </c>
      <c r="J14" s="77" t="n">
        <f aca="false">IF($D14="","",IF(SUMPRODUCT(MAX((Log!$D$4:$D$1203=$A14)*(Log!$E$4:$E$1203="A")*(Log!$F$4:$F$1203&lt;&gt;"")*(Log!$G$4:$G$1203&lt;&gt;"")*Log!$F$4:$F$1203*Log!$G$4:$G$1203))=0,"",SUMPRODUCT(MAX((Log!$D$4:$D$1203=$A14)*(Log!$E$4:$E$1203="A")*(Log!$F$4:$F$1203&lt;&gt;"")*(Log!$G$4:$G$1203&lt;&gt;"")*Log!$F$4:$F$1203*Log!$G$4:$G$1203))))</f>
        <v>675</v>
      </c>
      <c r="K14" s="77" t="n">
        <f aca="false">IF($D14="","",IF(SUMPRODUCT(MAX((Log!$D$4:$D$1203=$A14)*(Log!$E$4:$E$1203="A")*Log!$B$4:$B$1203))=0,"",SUMPRODUCT(MAX((Log!$D$4:$D$1203=$A14)*(Log!$E$4:$E$1203="A")*Log!$B$4:$B$1203))))</f>
        <v>14</v>
      </c>
      <c r="L14" s="80" t="n">
        <f aca="false">IF($K14="","",IF(SUMPRODUCT(MAX((Log!$D$4:$D$1203=$A14)*(Log!$B$4:$B$1203=$K14)*(Log!$E$4:$E$1203="A")*(Log!$F$4:$F$1203&lt;&gt;"")*Log!$F$4:$F$1203))=0,"",SUMPRODUCT(MAX((Log!$D$4:$D$1203=$A14)*(Log!$B$4:$B$1203=$K14)*(Log!$E$4:$E$1203="A")*(Log!$F$4:$F$1203&lt;&gt;"")*Log!$F$4:$F$1203))))</f>
        <v>45</v>
      </c>
      <c r="M14" s="77" t="n">
        <f aca="false">IF($L14="","",IF(SUMPRODUCT(MAX((Log!$D$4:$D$1203=$A14)*(Log!$B$4:$B$1203=$K14)*(Log!$E$4:$E$1203="A")*(Log!$F$4:$F$1203=$L14)*Log!$G$4:$G$1203))=0,"",SUMPRODUCT(MAX((Log!$D$4:$D$1203=$A14)*(Log!$B$4:$B$1203=$K14)*(Log!$E$4:$E$1203="A")*(Log!$F$4:$F$1203=$L14)*Log!$G$4:$G$1203))))</f>
        <v>5</v>
      </c>
      <c r="N14" s="7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4" t="n">
        <f aca="false">IF(Übungen!$D14="","",IF($O14="","",IF($L14="",Übungen!$D14,IF(AND($N14&lt;&gt;"",Übungen!$E14&lt;&gt;"",$N14&gt;=Übungen!$E14),Übungen!$D14,IF(OR($N14="",$N14&lt;Übungen!$D14),Übungen!$D14,MIN(Übungen!$E14,$N14+1))))))</f>
        <v>6</v>
      </c>
      <c r="Q14" s="85"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79" t="n">
        <f aca="false">IF($D15="","",SUMPRODUCT((COUNTIFS(Log!$D$4:$D$1203,$A15,Log!$E$4:$E$1203,"A",Log!$B$4:$B$1203,Einheiten!$A$4:$A$63)&gt;0)*1))</f>
        <v>3</v>
      </c>
      <c r="D15" s="79" t="n">
        <f aca="false">IF($A15="","",IF(COUNTIFS(Log!$D$4:$D$1203,$A15,Log!$E$4:$E$1203,"A")=0,"",COUNTIFS(Log!$D$4:$D$1203,$A15,Log!$E$4:$E$1203,"A")))</f>
        <v>6</v>
      </c>
      <c r="E15" s="79" t="n">
        <f aca="false">IF($D15="","",SUMIFS(Log!$I$4:$I$1203,Log!$D$4:$D$1203,$A15,Log!$E$4:$E$1203,"A"))</f>
        <v>2773</v>
      </c>
      <c r="F15" s="95" t="n">
        <f aca="false">IF($D15="","",IF(SUMPRODUCT(MAX((Log!$D$4:$D$1203=$A15)*(Log!$E$4:$E$1203="A")*(Log!$F$4:$F$1203&lt;&gt;"")*Log!$F$4:$F$1203))=0,"",SUMPRODUCT(MAX((Log!$D$4:$D$1203=$A15)*(Log!$E$4:$E$1203="A")*(Log!$F$4:$F$1203&lt;&gt;"")*Log!$F$4:$F$1203))))</f>
        <v>49</v>
      </c>
      <c r="G15" s="79" t="n">
        <f aca="false">IF($F15="","",SUMPRODUCT(MAX((Log!$D$4:$D$1203=$A15)*(Log!$E$4:$E$1203="A")*(Log!$F$4:$F$1203=$F15)*Log!$B$4:$B$1203)))</f>
        <v>1</v>
      </c>
      <c r="H15" s="95" t="n">
        <f aca="false">IF($D15="","",IF(SUMPRODUCT(MAX((Log!$D$4:$D$1203=$A15)*(Log!$E$4:$E$1203="A")*(Log!$F$4:$F$1203&lt;&gt;"")*(Log!$G$4:$G$1203&lt;&gt;"")*Log!$F$4:$F$1203*(1+Log!$G$4:$G$1203/30)))=0,"",SUMPRODUCT(MAX((Log!$D$4:$D$1203=$A15)*(Log!$E$4:$E$1203="A")*(Log!$F$4:$F$1203&lt;&gt;"")*(Log!$G$4:$G$1203&lt;&gt;"")*Log!$F$4:$F$1203*(1+Log!$G$4:$G$1203/30)))))</f>
        <v>68.6</v>
      </c>
      <c r="I15" s="79" t="n">
        <f aca="false">IF($H15="","",SUMPRODUCT(MAX((Log!$D$4:$D$1203=$A15)*(Log!$E$4:$E$1203="A")*(Log!$F$4:$F$1203&lt;&gt;"")*(Log!$G$4:$G$1203&lt;&gt;"")*(ROUND(Log!$F$4:$F$1203*(1+Log!$G$4:$G$1203/30),6)=ROUND($H15,6))*Log!$B$4:$B$1203)))</f>
        <v>1</v>
      </c>
      <c r="J15" s="79" t="n">
        <f aca="false">IF($D15="","",IF(SUMPRODUCT(MAX((Log!$D$4:$D$1203=$A15)*(Log!$E$4:$E$1203="A")*(Log!$F$4:$F$1203&lt;&gt;"")*(Log!$G$4:$G$1203&lt;&gt;"")*Log!$F$4:$F$1203*Log!$G$4:$G$1203))=0,"",SUMPRODUCT(MAX((Log!$D$4:$D$1203=$A15)*(Log!$E$4:$E$1203="A")*(Log!$F$4:$F$1203&lt;&gt;"")*(Log!$G$4:$G$1203&lt;&gt;"")*Log!$F$4:$F$1203*Log!$G$4:$G$1203))))</f>
        <v>588</v>
      </c>
      <c r="K15" s="79" t="n">
        <f aca="false">IF($D15="","",IF(SUMPRODUCT(MAX((Log!$D$4:$D$1203=$A15)*(Log!$E$4:$E$1203="A")*Log!$B$4:$B$1203))=0,"",SUMPRODUCT(MAX((Log!$D$4:$D$1203=$A15)*(Log!$E$4:$E$1203="A")*Log!$B$4:$B$1203))))</f>
        <v>5</v>
      </c>
      <c r="L15" s="82" t="n">
        <f aca="false">IF($K15="","",IF(SUMPRODUCT(MAX((Log!$D$4:$D$1203=$A15)*(Log!$B$4:$B$1203=$K15)*(Log!$E$4:$E$1203="A")*(Log!$F$4:$F$1203&lt;&gt;"")*Log!$F$4:$F$1203))=0,"",SUMPRODUCT(MAX((Log!$D$4:$D$1203=$A15)*(Log!$B$4:$B$1203=$K15)*(Log!$E$4:$E$1203="A")*(Log!$F$4:$F$1203&lt;&gt;"")*Log!$F$4:$F$1203))))</f>
        <v>36</v>
      </c>
      <c r="M15" s="79" t="n">
        <f aca="false">IF($L15="","",IF(SUMPRODUCT(MAX((Log!$D$4:$D$1203=$A15)*(Log!$B$4:$B$1203=$K15)*(Log!$E$4:$E$1203="A")*(Log!$F$4:$F$1203=$L15)*Log!$G$4:$G$1203))=0,"",SUMPRODUCT(MAX((Log!$D$4:$D$1203=$A15)*(Log!$B$4:$B$1203=$K15)*(Log!$E$4:$E$1203="A")*(Log!$F$4:$F$1203=$L15)*Log!$G$4:$G$1203))))</f>
        <v>10</v>
      </c>
      <c r="N15" s="79"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7" t="n">
        <f aca="false">IF(Übungen!$D15="","",IF($O15="","",IF($L15="",Übungen!$D15,IF(AND($N15&lt;&gt;"",Übungen!$E15&lt;&gt;"",$N15&gt;=Übungen!$E15),Übungen!$D15,IF(OR($N15="",$N15&lt;Übungen!$D15),Übungen!$D15,MIN(Übungen!$E15,$N15+1))))))</f>
        <v>5</v>
      </c>
      <c r="Q15" s="89"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34" t="str">
        <f aca="false">IF(Übungen!$A16="","",Übungen!$A16)</f>
        <v>Waden</v>
      </c>
      <c r="B16" s="91" t="str">
        <f aca="false">IF(Übungen!$B16="","",Übungen!$B16)</f>
        <v>Beine hinten</v>
      </c>
      <c r="C16" s="77" t="n">
        <f aca="false">IF($D16="","",SUMPRODUCT((COUNTIFS(Log!$D$4:$D$1203,$A16,Log!$E$4:$E$1203,"A",Log!$B$4:$B$1203,Einheiten!$A$4:$A$63)&gt;0)*1))</f>
        <v>8</v>
      </c>
      <c r="D16" s="77" t="n">
        <f aca="false">IF($A16="","",IF(COUNTIFS(Log!$D$4:$D$1203,$A16,Log!$E$4:$E$1203,"A")=0,"",COUNTIFS(Log!$D$4:$D$1203,$A16,Log!$E$4:$E$1203,"A")))</f>
        <v>16</v>
      </c>
      <c r="E16" s="77" t="n">
        <f aca="false">IF($D16="","",SUMIFS(Log!$I$4:$I$1203,Log!$D$4:$D$1203,$A16,Log!$E$4:$E$1203,"A"))</f>
        <v>23519</v>
      </c>
      <c r="F16" s="92" t="n">
        <f aca="false">IF($D16="","",IF(SUMPRODUCT(MAX((Log!$D$4:$D$1203=$A16)*(Log!$E$4:$E$1203="A")*(Log!$F$4:$F$1203&lt;&gt;"")*Log!$F$4:$F$1203))=0,"",SUMPRODUCT(MAX((Log!$D$4:$D$1203=$A16)*(Log!$E$4:$E$1203="A")*(Log!$F$4:$F$1203&lt;&gt;"")*Log!$F$4:$F$1203))))</f>
        <v>190</v>
      </c>
      <c r="G16" s="77" t="n">
        <f aca="false">IF($F16="","",SUMPRODUCT(MAX((Log!$D$4:$D$1203=$A16)*(Log!$E$4:$E$1203="A")*(Log!$F$4:$F$1203=$F16)*Log!$B$4:$B$1203)))</f>
        <v>14</v>
      </c>
      <c r="H16" s="92" t="n">
        <f aca="false">IF($D16="","",IF(SUMPRODUCT(MAX((Log!$D$4:$D$1203=$A16)*(Log!$E$4:$E$1203="A")*(Log!$F$4:$F$1203&lt;&gt;"")*(Log!$G$4:$G$1203&lt;&gt;"")*Log!$F$4:$F$1203*(1+Log!$G$4:$G$1203/30)))=0,"",SUMPRODUCT(MAX((Log!$D$4:$D$1203=$A16)*(Log!$E$4:$E$1203="A")*(Log!$F$4:$F$1203&lt;&gt;"")*(Log!$G$4:$G$1203&lt;&gt;"")*Log!$F$4:$F$1203*(1+Log!$G$4:$G$1203/30)))))</f>
        <v>224</v>
      </c>
      <c r="I16" s="77" t="n">
        <f aca="false">IF($H16="","",SUMPRODUCT(MAX((Log!$D$4:$D$1203=$A16)*(Log!$E$4:$E$1203="A")*(Log!$F$4:$F$1203&lt;&gt;"")*(Log!$G$4:$G$1203&lt;&gt;"")*(ROUND(Log!$F$4:$F$1203*(1+Log!$G$4:$G$1203/30),6)=ROUND($H16,6))*Log!$B$4:$B$1203)))</f>
        <v>7</v>
      </c>
      <c r="J16" s="77" t="n">
        <f aca="false">IF($D16="","",IF(SUMPRODUCT(MAX((Log!$D$4:$D$1203=$A16)*(Log!$E$4:$E$1203="A")*(Log!$F$4:$F$1203&lt;&gt;"")*(Log!$G$4:$G$1203&lt;&gt;"")*Log!$F$4:$F$1203*Log!$G$4:$G$1203))=0,"",SUMPRODUCT(MAX((Log!$D$4:$D$1203=$A16)*(Log!$E$4:$E$1203="A")*(Log!$F$4:$F$1203&lt;&gt;"")*(Log!$G$4:$G$1203&lt;&gt;"")*Log!$F$4:$F$1203*Log!$G$4:$G$1203))))</f>
        <v>1920</v>
      </c>
      <c r="K16" s="77" t="n">
        <f aca="false">IF($D16="","",IF(SUMPRODUCT(MAX((Log!$D$4:$D$1203=$A16)*(Log!$E$4:$E$1203="A")*Log!$B$4:$B$1203))=0,"",SUMPRODUCT(MAX((Log!$D$4:$D$1203=$A16)*(Log!$E$4:$E$1203="A")*Log!$B$4:$B$1203))))</f>
        <v>14</v>
      </c>
      <c r="L16" s="80" t="n">
        <f aca="false">IF($K16="","",IF(SUMPRODUCT(MAX((Log!$D$4:$D$1203=$A16)*(Log!$B$4:$B$1203=$K16)*(Log!$E$4:$E$1203="A")*(Log!$F$4:$F$1203&lt;&gt;"")*Log!$F$4:$F$1203))=0,"",SUMPRODUCT(MAX((Log!$D$4:$D$1203=$A16)*(Log!$B$4:$B$1203=$K16)*(Log!$E$4:$E$1203="A")*(Log!$F$4:$F$1203&lt;&gt;"")*Log!$F$4:$F$1203))))</f>
        <v>190</v>
      </c>
      <c r="M16" s="77" t="n">
        <f aca="false">IF($L16="","",IF(SUMPRODUCT(MAX((Log!$D$4:$D$1203=$A16)*(Log!$B$4:$B$1203=$K16)*(Log!$E$4:$E$1203="A")*(Log!$F$4:$F$1203=$L16)*Log!$G$4:$G$1203))=0,"",SUMPRODUCT(MAX((Log!$D$4:$D$1203=$A16)*(Log!$B$4:$B$1203=$K16)*(Log!$E$4:$E$1203="A")*(Log!$F$4:$F$1203=$L16)*Log!$G$4:$G$1203))))</f>
        <v>5</v>
      </c>
      <c r="N16" s="77"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4" t="n">
        <f aca="false">IF(Übungen!$D16="","",IF($O16="","",IF($L16="",Übungen!$D16,IF(AND($N16&lt;&gt;"",Übungen!$E16&lt;&gt;"",$N16&gt;=Übungen!$E16),Übungen!$D16,IF(OR($N16="",$N16&lt;Übungen!$D16),Übungen!$D16,MIN(Übungen!$E16,$N16+1))))))</f>
        <v>6</v>
      </c>
      <c r="Q16" s="85"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79" t="n">
        <f aca="false">IF($D17="","",SUMPRODUCT((COUNTIFS(Log!$D$4:$D$1203,$A17,Log!$E$4:$E$1203,"A",Log!$B$4:$B$1203,Einheiten!$A$4:$A$63)&gt;0)*1))</f>
        <v>1</v>
      </c>
      <c r="D17" s="79" t="n">
        <f aca="false">IF($A17="","",IF(COUNTIFS(Log!$D$4:$D$1203,$A17,Log!$E$4:$E$1203,"A")=0,"",COUNTIFS(Log!$D$4:$D$1203,$A17,Log!$E$4:$E$1203,"A")))</f>
        <v>3</v>
      </c>
      <c r="E17" s="79" t="n">
        <f aca="false">IF($D17="","",SUMIFS(Log!$I$4:$I$1203,Log!$D$4:$D$1203,$A17,Log!$E$4:$E$1203,"A"))</f>
        <v>2200</v>
      </c>
      <c r="F17" s="95" t="n">
        <f aca="false">IF($D17="","",IF(SUMPRODUCT(MAX((Log!$D$4:$D$1203=$A17)*(Log!$E$4:$E$1203="A")*(Log!$F$4:$F$1203&lt;&gt;"")*Log!$F$4:$F$1203))=0,"",SUMPRODUCT(MAX((Log!$D$4:$D$1203=$A17)*(Log!$E$4:$E$1203="A")*(Log!$F$4:$F$1203&lt;&gt;"")*Log!$F$4:$F$1203))))</f>
        <v>120</v>
      </c>
      <c r="G17" s="79" t="n">
        <f aca="false">IF($F17="","",SUMPRODUCT(MAX((Log!$D$4:$D$1203=$A17)*(Log!$E$4:$E$1203="A")*(Log!$F$4:$F$1203=$F17)*Log!$B$4:$B$1203)))</f>
        <v>15</v>
      </c>
      <c r="H17" s="95" t="n">
        <f aca="false">IF($D17="","",IF(SUMPRODUCT(MAX((Log!$D$4:$D$1203=$A17)*(Log!$E$4:$E$1203="A")*(Log!$F$4:$F$1203&lt;&gt;"")*(Log!$G$4:$G$1203&lt;&gt;"")*Log!$F$4:$F$1203*(1+Log!$G$4:$G$1203/30)))=0,"",SUMPRODUCT(MAX((Log!$D$4:$D$1203=$A17)*(Log!$E$4:$E$1203="A")*(Log!$F$4:$F$1203&lt;&gt;"")*(Log!$G$4:$G$1203&lt;&gt;"")*Log!$F$4:$F$1203*(1+Log!$G$4:$G$1203/30)))))</f>
        <v>156</v>
      </c>
      <c r="I17" s="79" t="n">
        <f aca="false">IF($H17="","",SUMPRODUCT(MAX((Log!$D$4:$D$1203=$A17)*(Log!$E$4:$E$1203="A")*(Log!$F$4:$F$1203&lt;&gt;"")*(Log!$G$4:$G$1203&lt;&gt;"")*(ROUND(Log!$F$4:$F$1203*(1+Log!$G$4:$G$1203/30),6)=ROUND($H17,6))*Log!$B$4:$B$1203)))</f>
        <v>15</v>
      </c>
      <c r="J17" s="79" t="n">
        <f aca="false">IF($D17="","",IF(SUMPRODUCT(MAX((Log!$D$4:$D$1203=$A17)*(Log!$E$4:$E$1203="A")*(Log!$F$4:$F$1203&lt;&gt;"")*(Log!$G$4:$G$1203&lt;&gt;"")*Log!$F$4:$F$1203*Log!$G$4:$G$1203))=0,"",SUMPRODUCT(MAX((Log!$D$4:$D$1203=$A17)*(Log!$E$4:$E$1203="A")*(Log!$F$4:$F$1203&lt;&gt;"")*(Log!$G$4:$G$1203&lt;&gt;"")*Log!$F$4:$F$1203*Log!$G$4:$G$1203))))</f>
        <v>1080</v>
      </c>
      <c r="K17" s="79" t="n">
        <f aca="false">IF($D17="","",IF(SUMPRODUCT(MAX((Log!$D$4:$D$1203=$A17)*(Log!$E$4:$E$1203="A")*Log!$B$4:$B$1203))=0,"",SUMPRODUCT(MAX((Log!$D$4:$D$1203=$A17)*(Log!$E$4:$E$1203="A")*Log!$B$4:$B$1203))))</f>
        <v>15</v>
      </c>
      <c r="L17" s="82" t="n">
        <f aca="false">IF($K17="","",IF(SUMPRODUCT(MAX((Log!$D$4:$D$1203=$A17)*(Log!$B$4:$B$1203=$K17)*(Log!$E$4:$E$1203="A")*(Log!$F$4:$F$1203&lt;&gt;"")*Log!$F$4:$F$1203))=0,"",SUMPRODUCT(MAX((Log!$D$4:$D$1203=$A17)*(Log!$B$4:$B$1203=$K17)*(Log!$E$4:$E$1203="A")*(Log!$F$4:$F$1203&lt;&gt;"")*Log!$F$4:$F$1203))))</f>
        <v>120</v>
      </c>
      <c r="M17" s="79" t="n">
        <f aca="false">IF($L17="","",IF(SUMPRODUCT(MAX((Log!$D$4:$D$1203=$A17)*(Log!$B$4:$B$1203=$K17)*(Log!$E$4:$E$1203="A")*(Log!$F$4:$F$1203=$L17)*Log!$G$4:$G$1203))=0,"",SUMPRODUCT(MAX((Log!$D$4:$D$1203=$A17)*(Log!$B$4:$B$1203=$K17)*(Log!$E$4:$E$1203="A")*(Log!$F$4:$F$1203=$L17)*Log!$G$4:$G$1203))))</f>
        <v>9</v>
      </c>
      <c r="N17" s="79"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7" t="n">
        <f aca="false">IF(Übungen!$D17="","",IF($O17="","",IF($L17="",Übungen!$D17,IF(AND($N17&lt;&gt;"",Übungen!$E17&lt;&gt;"",$N17&gt;=Übungen!$E17),Übungen!$D17,IF(OR($N17="",$N17&lt;Übungen!$D17),Übungen!$D17,MIN(Übungen!$E17,$N17+1))))))</f>
        <v>5</v>
      </c>
      <c r="Q17" s="89"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34" t="str">
        <f aca="false">IF(Übungen!$A18="","",Übungen!$A18)</f>
        <v>Hip Thrust Bülach</v>
      </c>
      <c r="B18" s="91" t="str">
        <f aca="false">IF(Übungen!$B18="","",Übungen!$B18)</f>
        <v>Auswärts Bülach</v>
      </c>
      <c r="C18" s="77" t="n">
        <f aca="false">IF($D18="","",SUMPRODUCT((COUNTIFS(Log!$D$4:$D$1203,$A18,Log!$E$4:$E$1203,"A",Log!$B$4:$B$1203,Einheiten!$A$4:$A$63)&gt;0)*1))</f>
        <v>1</v>
      </c>
      <c r="D18" s="77" t="n">
        <f aca="false">IF($A18="","",IF(COUNTIFS(Log!$D$4:$D$1203,$A18,Log!$E$4:$E$1203,"A")=0,"",COUNTIFS(Log!$D$4:$D$1203,$A18,Log!$E$4:$E$1203,"A")))</f>
        <v>3</v>
      </c>
      <c r="E18" s="77" t="n">
        <f aca="false">IF($D18="","",SUMIFS(Log!$I$4:$I$1203,Log!$D$4:$D$1203,$A18,Log!$E$4:$E$1203,"A"))</f>
        <v>6000</v>
      </c>
      <c r="F18" s="92" t="n">
        <f aca="false">IF($D18="","",IF(SUMPRODUCT(MAX((Log!$D$4:$D$1203=$A18)*(Log!$E$4:$E$1203="A")*(Log!$F$4:$F$1203&lt;&gt;"")*Log!$F$4:$F$1203))=0,"",SUMPRODUCT(MAX((Log!$D$4:$D$1203=$A18)*(Log!$E$4:$E$1203="A")*(Log!$F$4:$F$1203&lt;&gt;"")*Log!$F$4:$F$1203))))</f>
        <v>200</v>
      </c>
      <c r="G18" s="77" t="n">
        <f aca="false">IF($F18="","",SUMPRODUCT(MAX((Log!$D$4:$D$1203=$A18)*(Log!$E$4:$E$1203="A")*(Log!$F$4:$F$1203=$F18)*Log!$B$4:$B$1203)))</f>
        <v>15</v>
      </c>
      <c r="H18" s="92" t="n">
        <f aca="false">IF($D18="","",IF(SUMPRODUCT(MAX((Log!$D$4:$D$1203=$A18)*(Log!$E$4:$E$1203="A")*(Log!$F$4:$F$1203&lt;&gt;"")*(Log!$G$4:$G$1203&lt;&gt;"")*Log!$F$4:$F$1203*(1+Log!$G$4:$G$1203/30)))=0,"",SUMPRODUCT(MAX((Log!$D$4:$D$1203=$A18)*(Log!$E$4:$E$1203="A")*(Log!$F$4:$F$1203&lt;&gt;"")*(Log!$G$4:$G$1203&lt;&gt;"")*Log!$F$4:$F$1203*(1+Log!$G$4:$G$1203/30)))))</f>
        <v>266.666666666667</v>
      </c>
      <c r="I18" s="77" t="n">
        <f aca="false">IF($H18="","",SUMPRODUCT(MAX((Log!$D$4:$D$1203=$A18)*(Log!$E$4:$E$1203="A")*(Log!$F$4:$F$1203&lt;&gt;"")*(Log!$G$4:$G$1203&lt;&gt;"")*(ROUND(Log!$F$4:$F$1203*(1+Log!$G$4:$G$1203/30),6)=ROUND($H18,6))*Log!$B$4:$B$1203)))</f>
        <v>15</v>
      </c>
      <c r="J18" s="77" t="n">
        <f aca="false">IF($D18="","",IF(SUMPRODUCT(MAX((Log!$D$4:$D$1203=$A18)*(Log!$E$4:$E$1203="A")*(Log!$F$4:$F$1203&lt;&gt;"")*(Log!$G$4:$G$1203&lt;&gt;"")*Log!$F$4:$F$1203*Log!$G$4:$G$1203))=0,"",SUMPRODUCT(MAX((Log!$D$4:$D$1203=$A18)*(Log!$E$4:$E$1203="A")*(Log!$F$4:$F$1203&lt;&gt;"")*(Log!$G$4:$G$1203&lt;&gt;"")*Log!$F$4:$F$1203*Log!$G$4:$G$1203))))</f>
        <v>2000</v>
      </c>
      <c r="K18" s="77" t="n">
        <f aca="false">IF($D18="","",IF(SUMPRODUCT(MAX((Log!$D$4:$D$1203=$A18)*(Log!$E$4:$E$1203="A")*Log!$B$4:$B$1203))=0,"",SUMPRODUCT(MAX((Log!$D$4:$D$1203=$A18)*(Log!$E$4:$E$1203="A")*Log!$B$4:$B$1203))))</f>
        <v>15</v>
      </c>
      <c r="L18" s="80" t="n">
        <f aca="false">IF($K18="","",IF(SUMPRODUCT(MAX((Log!$D$4:$D$1203=$A18)*(Log!$B$4:$B$1203=$K18)*(Log!$E$4:$E$1203="A")*(Log!$F$4:$F$1203&lt;&gt;"")*Log!$F$4:$F$1203))=0,"",SUMPRODUCT(MAX((Log!$D$4:$D$1203=$A18)*(Log!$B$4:$B$1203=$K18)*(Log!$E$4:$E$1203="A")*(Log!$F$4:$F$1203&lt;&gt;"")*Log!$F$4:$F$1203))))</f>
        <v>200</v>
      </c>
      <c r="M18" s="77" t="n">
        <f aca="false">IF($L18="","",IF(SUMPRODUCT(MAX((Log!$D$4:$D$1203=$A18)*(Log!$B$4:$B$1203=$K18)*(Log!$E$4:$E$1203="A")*(Log!$F$4:$F$1203=$L18)*Log!$G$4:$G$1203))=0,"",SUMPRODUCT(MAX((Log!$D$4:$D$1203=$A18)*(Log!$B$4:$B$1203=$K18)*(Log!$E$4:$E$1203="A")*(Log!$F$4:$F$1203=$L18)*Log!$G$4:$G$1203))))</f>
        <v>10</v>
      </c>
      <c r="N18" s="77"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3"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4" t="n">
        <f aca="false">IF(Übungen!$D18="","",IF($O18="","",IF($L18="",Übungen!$D18,IF(AND($N18&lt;&gt;"",Übungen!$E18&lt;&gt;"",$N18&gt;=Übungen!$E18),Übungen!$D18,IF(OR($N18="",$N18&lt;Übungen!$D18),Übungen!$D18,MIN(Übungen!$E18,$N18+1))))))</f>
        <v>5</v>
      </c>
      <c r="Q18" s="85"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79" t="n">
        <f aca="false">IF($D19="","",SUMPRODUCT((COUNTIFS(Log!$D$4:$D$1203,$A19,Log!$E$4:$E$1203,"A",Log!$B$4:$B$1203,Einheiten!$A$4:$A$63)&gt;0)*1))</f>
        <v>1</v>
      </c>
      <c r="D19" s="79" t="n">
        <f aca="false">IF($A19="","",IF(COUNTIFS(Log!$D$4:$D$1203,$A19,Log!$E$4:$E$1203,"A")=0,"",COUNTIFS(Log!$D$4:$D$1203,$A19,Log!$E$4:$E$1203,"A")))</f>
        <v>2</v>
      </c>
      <c r="E19" s="79" t="n">
        <f aca="false">IF($D19="","",SUMIFS(Log!$I$4:$I$1203,Log!$D$4:$D$1203,$A19,Log!$E$4:$E$1203,"A"))</f>
        <v>854</v>
      </c>
      <c r="F19" s="95" t="n">
        <f aca="false">IF($D19="","",IF(SUMPRODUCT(MAX((Log!$D$4:$D$1203=$A19)*(Log!$E$4:$E$1203="A")*(Log!$F$4:$F$1203&lt;&gt;"")*Log!$F$4:$F$1203))=0,"",SUMPRODUCT(MAX((Log!$D$4:$D$1203=$A19)*(Log!$E$4:$E$1203="A")*(Log!$F$4:$F$1203&lt;&gt;"")*Log!$F$4:$F$1203))))</f>
        <v>59</v>
      </c>
      <c r="G19" s="79" t="n">
        <f aca="false">IF($F19="","",SUMPRODUCT(MAX((Log!$D$4:$D$1203=$A19)*(Log!$E$4:$E$1203="A")*(Log!$F$4:$F$1203=$F19)*Log!$B$4:$B$1203)))</f>
        <v>15</v>
      </c>
      <c r="H19" s="95" t="n">
        <f aca="false">IF($D19="","",IF(SUMPRODUCT(MAX((Log!$D$4:$D$1203=$A19)*(Log!$E$4:$E$1203="A")*(Log!$F$4:$F$1203&lt;&gt;"")*(Log!$G$4:$G$1203&lt;&gt;"")*Log!$F$4:$F$1203*(1+Log!$G$4:$G$1203/30)))=0,"",SUMPRODUCT(MAX((Log!$D$4:$D$1203=$A19)*(Log!$E$4:$E$1203="A")*(Log!$F$4:$F$1203&lt;&gt;"")*(Log!$G$4:$G$1203&lt;&gt;"")*Log!$F$4:$F$1203*(1+Log!$G$4:$G$1203/30)))))</f>
        <v>70.8</v>
      </c>
      <c r="I19" s="79" t="n">
        <f aca="false">IF($H19="","",SUMPRODUCT(MAX((Log!$D$4:$D$1203=$A19)*(Log!$E$4:$E$1203="A")*(Log!$F$4:$F$1203&lt;&gt;"")*(Log!$G$4:$G$1203&lt;&gt;"")*(ROUND(Log!$F$4:$F$1203*(1+Log!$G$4:$G$1203/30),6)=ROUND($H19,6))*Log!$B$4:$B$1203)))</f>
        <v>15</v>
      </c>
      <c r="J19" s="79" t="n">
        <f aca="false">IF($D19="","",IF(SUMPRODUCT(MAX((Log!$D$4:$D$1203=$A19)*(Log!$E$4:$E$1203="A")*(Log!$F$4:$F$1203&lt;&gt;"")*(Log!$G$4:$G$1203&lt;&gt;"")*Log!$F$4:$F$1203*Log!$G$4:$G$1203))=0,"",SUMPRODUCT(MAX((Log!$D$4:$D$1203=$A19)*(Log!$E$4:$E$1203="A")*(Log!$F$4:$F$1203&lt;&gt;"")*(Log!$G$4:$G$1203&lt;&gt;"")*Log!$F$4:$F$1203*Log!$G$4:$G$1203))))</f>
        <v>500</v>
      </c>
      <c r="K19" s="79" t="n">
        <f aca="false">IF($D19="","",IF(SUMPRODUCT(MAX((Log!$D$4:$D$1203=$A19)*(Log!$E$4:$E$1203="A")*Log!$B$4:$B$1203))=0,"",SUMPRODUCT(MAX((Log!$D$4:$D$1203=$A19)*(Log!$E$4:$E$1203="A")*Log!$B$4:$B$1203))))</f>
        <v>15</v>
      </c>
      <c r="L19" s="82" t="n">
        <f aca="false">IF($K19="","",IF(SUMPRODUCT(MAX((Log!$D$4:$D$1203=$A19)*(Log!$B$4:$B$1203=$K19)*(Log!$E$4:$E$1203="A")*(Log!$F$4:$F$1203&lt;&gt;"")*Log!$F$4:$F$1203))=0,"",SUMPRODUCT(MAX((Log!$D$4:$D$1203=$A19)*(Log!$B$4:$B$1203=$K19)*(Log!$E$4:$E$1203="A")*(Log!$F$4:$F$1203&lt;&gt;"")*Log!$F$4:$F$1203))))</f>
        <v>59</v>
      </c>
      <c r="M19" s="79" t="n">
        <f aca="false">IF($L19="","",IF(SUMPRODUCT(MAX((Log!$D$4:$D$1203=$A19)*(Log!$B$4:$B$1203=$K19)*(Log!$E$4:$E$1203="A")*(Log!$F$4:$F$1203=$L19)*Log!$G$4:$G$1203))=0,"",SUMPRODUCT(MAX((Log!$D$4:$D$1203=$A19)*(Log!$B$4:$B$1203=$K19)*(Log!$E$4:$E$1203="A")*(Log!$F$4:$F$1203=$L19)*Log!$G$4:$G$1203))))</f>
        <v>6</v>
      </c>
      <c r="N19" s="79"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6"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7" t="n">
        <f aca="false">IF(Übungen!$D19="","",IF($O19="","",IF($L19="",Übungen!$D19,IF(AND($N19&lt;&gt;"",Übungen!$E19&lt;&gt;"",$N19&gt;=Übungen!$E19),Übungen!$D19,IF(OR($N19="",$N19&lt;Übungen!$D19),Übungen!$D19,MIN(Übungen!$E19,$N19+1))))))</f>
        <v>5</v>
      </c>
      <c r="Q19" s="89"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34" t="str">
        <f aca="false">IF(Übungen!$A20="","",Übungen!$A20)</f>
        <v>Lunges</v>
      </c>
      <c r="B20" s="91" t="str">
        <f aca="false">IF(Übungen!$B20="","",Übungen!$B20)</f>
        <v>Beine vorne</v>
      </c>
      <c r="C20" s="77" t="n">
        <f aca="false">IF($D20="","",SUMPRODUCT((COUNTIFS(Log!$D$4:$D$1203,$A20,Log!$E$4:$E$1203,"A",Log!$B$4:$B$1203,Einheiten!$A$4:$A$63)&gt;0)*1))</f>
        <v>3</v>
      </c>
      <c r="D20" s="77" t="n">
        <f aca="false">IF($A20="","",IF(COUNTIFS(Log!$D$4:$D$1203,$A20,Log!$E$4:$E$1203,"A")=0,"",COUNTIFS(Log!$D$4:$D$1203,$A20,Log!$E$4:$E$1203,"A")))</f>
        <v>3</v>
      </c>
      <c r="E20" s="77" t="n">
        <f aca="false">IF($D20="","",SUMIFS(Log!$I$4:$I$1203,Log!$D$4:$D$1203,$A20,Log!$E$4:$E$1203,"A"))</f>
        <v>0</v>
      </c>
      <c r="F20" s="92" t="n">
        <f aca="false">IF($D20="","",IF(SUMPRODUCT(MAX((Log!$D$4:$D$1203=$A20)*(Log!$E$4:$E$1203="A")*(Log!$F$4:$F$1203&lt;&gt;"")*Log!$F$4:$F$1203))=0,"",SUMPRODUCT(MAX((Log!$D$4:$D$1203=$A20)*(Log!$E$4:$E$1203="A")*(Log!$F$4:$F$1203&lt;&gt;"")*Log!$F$4:$F$1203))))</f>
        <v>18</v>
      </c>
      <c r="G20" s="77" t="n">
        <f aca="false">IF($F20="","",SUMPRODUCT(MAX((Log!$D$4:$D$1203=$A20)*(Log!$E$4:$E$1203="A")*(Log!$F$4:$F$1203=$F20)*Log!$B$4:$B$1203)))</f>
        <v>3</v>
      </c>
      <c r="H20" s="92" t="str">
        <f aca="false">IF($D20="","",IF(SUMPRODUCT(MAX((Log!$D$4:$D$1203=$A20)*(Log!$E$4:$E$1203="A")*(Log!$F$4:$F$1203&lt;&gt;"")*(Log!$G$4:$G$1203&lt;&gt;"")*Log!$F$4:$F$1203*(1+Log!$G$4:$G$1203/30)))=0,"",SUMPRODUCT(MAX((Log!$D$4:$D$1203=$A20)*(Log!$E$4:$E$1203="A")*(Log!$F$4:$F$1203&lt;&gt;"")*(Log!$G$4:$G$1203&lt;&gt;"")*Log!$F$4:$F$1203*(1+Log!$G$4:$G$1203/30)))))</f>
        <v/>
      </c>
      <c r="I20" s="77" t="str">
        <f aca="false">IF($H20="","",SUMPRODUCT(MAX((Log!$D$4:$D$1203=$A20)*(Log!$E$4:$E$1203="A")*(Log!$F$4:$F$1203&lt;&gt;"")*(Log!$G$4:$G$1203&lt;&gt;"")*(ROUND(Log!$F$4:$F$1203*(1+Log!$G$4:$G$1203/30),6)=ROUND($H20,6))*Log!$B$4:$B$1203)))</f>
        <v/>
      </c>
      <c r="J20" s="77" t="str">
        <f aca="false">IF($D20="","",IF(SUMPRODUCT(MAX((Log!$D$4:$D$1203=$A20)*(Log!$E$4:$E$1203="A")*(Log!$F$4:$F$1203&lt;&gt;"")*(Log!$G$4:$G$1203&lt;&gt;"")*Log!$F$4:$F$1203*Log!$G$4:$G$1203))=0,"",SUMPRODUCT(MAX((Log!$D$4:$D$1203=$A20)*(Log!$E$4:$E$1203="A")*(Log!$F$4:$F$1203&lt;&gt;"")*(Log!$G$4:$G$1203&lt;&gt;"")*Log!$F$4:$F$1203*Log!$G$4:$G$1203))))</f>
        <v/>
      </c>
      <c r="K20" s="77" t="n">
        <f aca="false">IF($D20="","",IF(SUMPRODUCT(MAX((Log!$D$4:$D$1203=$A20)*(Log!$E$4:$E$1203="A")*Log!$B$4:$B$1203))=0,"",SUMPRODUCT(MAX((Log!$D$4:$D$1203=$A20)*(Log!$E$4:$E$1203="A")*Log!$B$4:$B$1203))))</f>
        <v>3</v>
      </c>
      <c r="L20" s="80" t="n">
        <f aca="false">IF($K20="","",IF(SUMPRODUCT(MAX((Log!$D$4:$D$1203=$A20)*(Log!$B$4:$B$1203=$K20)*(Log!$E$4:$E$1203="A")*(Log!$F$4:$F$1203&lt;&gt;"")*Log!$F$4:$F$1203))=0,"",SUMPRODUCT(MAX((Log!$D$4:$D$1203=$A20)*(Log!$B$4:$B$1203=$K20)*(Log!$E$4:$E$1203="A")*(Log!$F$4:$F$1203&lt;&gt;"")*Log!$F$4:$F$1203))))</f>
        <v>18</v>
      </c>
      <c r="M20" s="77" t="str">
        <f aca="false">IF($L20="","",IF(SUMPRODUCT(MAX((Log!$D$4:$D$1203=$A20)*(Log!$B$4:$B$1203=$K20)*(Log!$E$4:$E$1203="A")*(Log!$F$4:$F$1203=$L20)*Log!$G$4:$G$1203))=0,"",SUMPRODUCT(MAX((Log!$D$4:$D$1203=$A20)*(Log!$B$4:$B$1203=$K20)*(Log!$E$4:$E$1203="A")*(Log!$F$4:$F$1203=$L20)*Log!$G$4:$G$1203))))</f>
        <v/>
      </c>
      <c r="N20" s="77"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3"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4" t="n">
        <f aca="false">IF(Übungen!$D20="","",IF($O20="","",IF($L20="",Übungen!$D20,IF(AND($N20&lt;&gt;"",Übungen!$E20&lt;&gt;"",$N20&gt;=Übungen!$E20),Übungen!$D20,IF(OR($N20="",$N20&lt;Übungen!$D20),Übungen!$D20,MIN(Übungen!$E20,$N20+1))))))</f>
        <v>5</v>
      </c>
      <c r="Q20" s="85"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79" t="n">
        <f aca="false">IF($D21="","",SUMPRODUCT((COUNTIFS(Log!$D$4:$D$1203,$A21,Log!$E$4:$E$1203,"A",Log!$B$4:$B$1203,Einheiten!$A$4:$A$63)&gt;0)*1))</f>
        <v>4</v>
      </c>
      <c r="D21" s="79" t="n">
        <f aca="false">IF($A21="","",IF(COUNTIFS(Log!$D$4:$D$1203,$A21,Log!$E$4:$E$1203,"A")=0,"",COUNTIFS(Log!$D$4:$D$1203,$A21,Log!$E$4:$E$1203,"A")))</f>
        <v>8</v>
      </c>
      <c r="E21" s="79" t="n">
        <f aca="false">IF($D21="","",SUMIFS(Log!$I$4:$I$1203,Log!$D$4:$D$1203,$A21,Log!$E$4:$E$1203,"A"))</f>
        <v>7119</v>
      </c>
      <c r="F21" s="95" t="n">
        <f aca="false">IF($D21="","",IF(SUMPRODUCT(MAX((Log!$D$4:$D$1203=$A21)*(Log!$E$4:$E$1203="A")*(Log!$F$4:$F$1203&lt;&gt;"")*Log!$F$4:$F$1203))=0,"",SUMPRODUCT(MAX((Log!$D$4:$D$1203=$A21)*(Log!$E$4:$E$1203="A")*(Log!$F$4:$F$1203&lt;&gt;"")*Log!$F$4:$F$1203))))</f>
        <v>84</v>
      </c>
      <c r="G21" s="79" t="n">
        <f aca="false">IF($F21="","",SUMPRODUCT(MAX((Log!$D$4:$D$1203=$A21)*(Log!$E$4:$E$1203="A")*(Log!$F$4:$F$1203=$F21)*Log!$B$4:$B$1203)))</f>
        <v>3</v>
      </c>
      <c r="H21" s="95" t="n">
        <f aca="false">IF($D21="","",IF(SUMPRODUCT(MAX((Log!$D$4:$D$1203=$A21)*(Log!$E$4:$E$1203="A")*(Log!$F$4:$F$1203&lt;&gt;"")*(Log!$G$4:$G$1203&lt;&gt;"")*Log!$F$4:$F$1203*(1+Log!$G$4:$G$1203/30)))=0,"",SUMPRODUCT(MAX((Log!$D$4:$D$1203=$A21)*(Log!$E$4:$E$1203="A")*(Log!$F$4:$F$1203&lt;&gt;"")*(Log!$G$4:$G$1203&lt;&gt;"")*Log!$F$4:$F$1203*(1+Log!$G$4:$G$1203/30)))))</f>
        <v>117.6</v>
      </c>
      <c r="I21" s="79" t="n">
        <f aca="false">IF($H21="","",SUMPRODUCT(MAX((Log!$D$4:$D$1203=$A21)*(Log!$E$4:$E$1203="A")*(Log!$F$4:$F$1203&lt;&gt;"")*(Log!$G$4:$G$1203&lt;&gt;"")*(ROUND(Log!$F$4:$F$1203*(1+Log!$G$4:$G$1203/30),6)=ROUND($H21,6))*Log!$B$4:$B$1203)))</f>
        <v>3</v>
      </c>
      <c r="J21" s="79" t="n">
        <f aca="false">IF($D21="","",IF(SUMPRODUCT(MAX((Log!$D$4:$D$1203=$A21)*(Log!$E$4:$E$1203="A")*(Log!$F$4:$F$1203&lt;&gt;"")*(Log!$G$4:$G$1203&lt;&gt;"")*Log!$F$4:$F$1203*Log!$G$4:$G$1203))=0,"",SUMPRODUCT(MAX((Log!$D$4:$D$1203=$A21)*(Log!$E$4:$E$1203="A")*(Log!$F$4:$F$1203&lt;&gt;"")*(Log!$G$4:$G$1203&lt;&gt;"")*Log!$F$4:$F$1203*Log!$G$4:$G$1203))))</f>
        <v>1078</v>
      </c>
      <c r="K21" s="79" t="n">
        <f aca="false">IF($D21="","",IF(SUMPRODUCT(MAX((Log!$D$4:$D$1203=$A21)*(Log!$E$4:$E$1203="A")*Log!$B$4:$B$1203))=0,"",SUMPRODUCT(MAX((Log!$D$4:$D$1203=$A21)*(Log!$E$4:$E$1203="A")*Log!$B$4:$B$1203))))</f>
        <v>4</v>
      </c>
      <c r="L21" s="82" t="n">
        <f aca="false">IF($K21="","",IF(SUMPRODUCT(MAX((Log!$D$4:$D$1203=$A21)*(Log!$B$4:$B$1203=$K21)*(Log!$E$4:$E$1203="A")*(Log!$F$4:$F$1203&lt;&gt;"")*Log!$F$4:$F$1203))=0,"",SUMPRODUCT(MAX((Log!$D$4:$D$1203=$A21)*(Log!$B$4:$B$1203=$K21)*(Log!$E$4:$E$1203="A")*(Log!$F$4:$F$1203&lt;&gt;"")*Log!$F$4:$F$1203))))</f>
        <v>63</v>
      </c>
      <c r="M21" s="79" t="n">
        <f aca="false">IF($L21="","",IF(SUMPRODUCT(MAX((Log!$D$4:$D$1203=$A21)*(Log!$B$4:$B$1203=$K21)*(Log!$E$4:$E$1203="A")*(Log!$F$4:$F$1203=$L21)*Log!$G$4:$G$1203))=0,"",SUMPRODUCT(MAX((Log!$D$4:$D$1203=$A21)*(Log!$B$4:$B$1203=$K21)*(Log!$E$4:$E$1203="A")*(Log!$F$4:$F$1203=$L21)*Log!$G$4:$G$1203))))</f>
        <v>15</v>
      </c>
      <c r="N21" s="79"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6"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7" t="n">
        <f aca="false">IF(Übungen!$D21="","",IF($O21="","",IF($L21="",Übungen!$D21,IF(AND($N21&lt;&gt;"",Übungen!$E21&lt;&gt;"",$N21&gt;=Übungen!$E21),Übungen!$D21,IF(OR($N21="",$N21&lt;Übungen!$D21),Übungen!$D21,MIN(Übungen!$E21,$N21+1))))))</f>
        <v>5</v>
      </c>
      <c r="Q21" s="89"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34" t="str">
        <f aca="false">IF(Übungen!$A22="","",Übungen!$A22)</f>
        <v/>
      </c>
      <c r="B22" s="91" t="str">
        <f aca="false">IF(Übungen!$B22="","",Übungen!$B22)</f>
        <v/>
      </c>
      <c r="C22" s="77" t="str">
        <f aca="false">IF($D22="","",SUMPRODUCT((COUNTIFS(Log!$D$4:$D$1203,$A22,Log!$E$4:$E$1203,"A",Log!$B$4:$B$1203,Einheiten!$A$4:$A$63)&gt;0)*1))</f>
        <v/>
      </c>
      <c r="D22" s="77" t="str">
        <f aca="false">IF($A22="","",IF(COUNTIFS(Log!$D$4:$D$1203,$A22,Log!$E$4:$E$1203,"A")=0,"",COUNTIFS(Log!$D$4:$D$1203,$A22,Log!$E$4:$E$1203,"A")))</f>
        <v/>
      </c>
      <c r="E22" s="77" t="str">
        <f aca="false">IF($D22="","",SUMIFS(Log!$I$4:$I$1203,Log!$D$4:$D$1203,$A22,Log!$E$4:$E$1203,"A"))</f>
        <v/>
      </c>
      <c r="F22" s="92" t="str">
        <f aca="false">IF($D22="","",IF(SUMPRODUCT(MAX((Log!$D$4:$D$1203=$A22)*(Log!$E$4:$E$1203="A")*(Log!$F$4:$F$1203&lt;&gt;"")*Log!$F$4:$F$1203))=0,"",SUMPRODUCT(MAX((Log!$D$4:$D$1203=$A22)*(Log!$E$4:$E$1203="A")*(Log!$F$4:$F$1203&lt;&gt;"")*Log!$F$4:$F$1203))))</f>
        <v/>
      </c>
      <c r="G22" s="77" t="str">
        <f aca="false">IF($F22="","",SUMPRODUCT(MAX((Log!$D$4:$D$1203=$A22)*(Log!$E$4:$E$1203="A")*(Log!$F$4:$F$1203=$F22)*Log!$B$4:$B$1203)))</f>
        <v/>
      </c>
      <c r="H22" s="92" t="str">
        <f aca="false">IF($D22="","",IF(SUMPRODUCT(MAX((Log!$D$4:$D$1203=$A22)*(Log!$E$4:$E$1203="A")*(Log!$F$4:$F$1203&lt;&gt;"")*(Log!$G$4:$G$1203&lt;&gt;"")*Log!$F$4:$F$1203*(1+Log!$G$4:$G$1203/30)))=0,"",SUMPRODUCT(MAX((Log!$D$4:$D$1203=$A22)*(Log!$E$4:$E$1203="A")*(Log!$F$4:$F$1203&lt;&gt;"")*(Log!$G$4:$G$1203&lt;&gt;"")*Log!$F$4:$F$1203*(1+Log!$G$4:$G$1203/30)))))</f>
        <v/>
      </c>
      <c r="I22" s="77" t="str">
        <f aca="false">IF($H22="","",SUMPRODUCT(MAX((Log!$D$4:$D$1203=$A22)*(Log!$E$4:$E$1203="A")*(Log!$F$4:$F$1203&lt;&gt;"")*(Log!$G$4:$G$1203&lt;&gt;"")*(ROUND(Log!$F$4:$F$1203*(1+Log!$G$4:$G$1203/30),6)=ROUND($H22,6))*Log!$B$4:$B$1203)))</f>
        <v/>
      </c>
      <c r="J22" s="77" t="str">
        <f aca="false">IF($D22="","",IF(SUMPRODUCT(MAX((Log!$D$4:$D$1203=$A22)*(Log!$E$4:$E$1203="A")*(Log!$F$4:$F$1203&lt;&gt;"")*(Log!$G$4:$G$1203&lt;&gt;"")*Log!$F$4:$F$1203*Log!$G$4:$G$1203))=0,"",SUMPRODUCT(MAX((Log!$D$4:$D$1203=$A22)*(Log!$E$4:$E$1203="A")*(Log!$F$4:$F$1203&lt;&gt;"")*(Log!$G$4:$G$1203&lt;&gt;"")*Log!$F$4:$F$1203*Log!$G$4:$G$1203))))</f>
        <v/>
      </c>
      <c r="K22" s="77" t="str">
        <f aca="false">IF($D22="","",IF(SUMPRODUCT(MAX((Log!$D$4:$D$1203=$A22)*(Log!$E$4:$E$1203="A")*Log!$B$4:$B$1203))=0,"",SUMPRODUCT(MAX((Log!$D$4:$D$1203=$A22)*(Log!$E$4:$E$1203="A")*Log!$B$4:$B$1203))))</f>
        <v/>
      </c>
      <c r="L22" s="80" t="str">
        <f aca="false">IF($K22="","",IF(SUMPRODUCT(MAX((Log!$D$4:$D$1203=$A22)*(Log!$B$4:$B$1203=$K22)*(Log!$E$4:$E$1203="A")*(Log!$F$4:$F$1203&lt;&gt;"")*Log!$F$4:$F$1203))=0,"",SUMPRODUCT(MAX((Log!$D$4:$D$1203=$A22)*(Log!$B$4:$B$1203=$K22)*(Log!$E$4:$E$1203="A")*(Log!$F$4:$F$1203&lt;&gt;"")*Log!$F$4:$F$1203))))</f>
        <v/>
      </c>
      <c r="M22" s="77" t="str">
        <f aca="false">IF($L22="","",IF(SUMPRODUCT(MAX((Log!$D$4:$D$1203=$A22)*(Log!$B$4:$B$1203=$K22)*(Log!$E$4:$E$1203="A")*(Log!$F$4:$F$1203=$L22)*Log!$G$4:$G$1203))=0,"",SUMPRODUCT(MAX((Log!$D$4:$D$1203=$A22)*(Log!$B$4:$B$1203=$K22)*(Log!$E$4:$E$1203="A")*(Log!$F$4:$F$1203=$L22)*Log!$G$4:$G$1203))))</f>
        <v/>
      </c>
      <c r="N22" s="77"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3"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4" t="str">
        <f aca="false">IF(Übungen!$D22="","",IF($O22="","",IF($L22="",Übungen!$D22,IF(AND($N22&lt;&gt;"",Übungen!$E22&lt;&gt;"",$N22&gt;=Übungen!$E22),Übungen!$D22,IF(OR($N22="",$N22&lt;Übungen!$D22),Übungen!$D22,MIN(Übungen!$E22,$N22+1))))))</f>
        <v/>
      </c>
      <c r="Q22" s="85"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79" t="str">
        <f aca="false">IF($D23="","",SUMPRODUCT((COUNTIFS(Log!$D$4:$D$1203,$A23,Log!$E$4:$E$1203,"A",Log!$B$4:$B$1203,Einheiten!$A$4:$A$63)&gt;0)*1))</f>
        <v/>
      </c>
      <c r="D23" s="79" t="str">
        <f aca="false">IF($A23="","",IF(COUNTIFS(Log!$D$4:$D$1203,$A23,Log!$E$4:$E$1203,"A")=0,"",COUNTIFS(Log!$D$4:$D$1203,$A23,Log!$E$4:$E$1203,"A")))</f>
        <v/>
      </c>
      <c r="E23" s="79" t="str">
        <f aca="false">IF($D23="","",SUMIFS(Log!$I$4:$I$1203,Log!$D$4:$D$1203,$A23,Log!$E$4:$E$1203,"A"))</f>
        <v/>
      </c>
      <c r="F23" s="95" t="str">
        <f aca="false">IF($D23="","",IF(SUMPRODUCT(MAX((Log!$D$4:$D$1203=$A23)*(Log!$E$4:$E$1203="A")*(Log!$F$4:$F$1203&lt;&gt;"")*Log!$F$4:$F$1203))=0,"",SUMPRODUCT(MAX((Log!$D$4:$D$1203=$A23)*(Log!$E$4:$E$1203="A")*(Log!$F$4:$F$1203&lt;&gt;"")*Log!$F$4:$F$1203))))</f>
        <v/>
      </c>
      <c r="G23" s="79" t="str">
        <f aca="false">IF($F23="","",SUMPRODUCT(MAX((Log!$D$4:$D$1203=$A23)*(Log!$E$4:$E$1203="A")*(Log!$F$4:$F$1203=$F23)*Log!$B$4:$B$1203)))</f>
        <v/>
      </c>
      <c r="H23" s="95" t="str">
        <f aca="false">IF($D23="","",IF(SUMPRODUCT(MAX((Log!$D$4:$D$1203=$A23)*(Log!$E$4:$E$1203="A")*(Log!$F$4:$F$1203&lt;&gt;"")*(Log!$G$4:$G$1203&lt;&gt;"")*Log!$F$4:$F$1203*(1+Log!$G$4:$G$1203/30)))=0,"",SUMPRODUCT(MAX((Log!$D$4:$D$1203=$A23)*(Log!$E$4:$E$1203="A")*(Log!$F$4:$F$1203&lt;&gt;"")*(Log!$G$4:$G$1203&lt;&gt;"")*Log!$F$4:$F$1203*(1+Log!$G$4:$G$1203/30)))))</f>
        <v/>
      </c>
      <c r="I23" s="79" t="str">
        <f aca="false">IF($H23="","",SUMPRODUCT(MAX((Log!$D$4:$D$1203=$A23)*(Log!$E$4:$E$1203="A")*(Log!$F$4:$F$1203&lt;&gt;"")*(Log!$G$4:$G$1203&lt;&gt;"")*(ROUND(Log!$F$4:$F$1203*(1+Log!$G$4:$G$1203/30),6)=ROUND($H23,6))*Log!$B$4:$B$1203)))</f>
        <v/>
      </c>
      <c r="J23" s="79" t="str">
        <f aca="false">IF($D23="","",IF(SUMPRODUCT(MAX((Log!$D$4:$D$1203=$A23)*(Log!$E$4:$E$1203="A")*(Log!$F$4:$F$1203&lt;&gt;"")*(Log!$G$4:$G$1203&lt;&gt;"")*Log!$F$4:$F$1203*Log!$G$4:$G$1203))=0,"",SUMPRODUCT(MAX((Log!$D$4:$D$1203=$A23)*(Log!$E$4:$E$1203="A")*(Log!$F$4:$F$1203&lt;&gt;"")*(Log!$G$4:$G$1203&lt;&gt;"")*Log!$F$4:$F$1203*Log!$G$4:$G$1203))))</f>
        <v/>
      </c>
      <c r="K23" s="79" t="str">
        <f aca="false">IF($D23="","",IF(SUMPRODUCT(MAX((Log!$D$4:$D$1203=$A23)*(Log!$E$4:$E$1203="A")*Log!$B$4:$B$1203))=0,"",SUMPRODUCT(MAX((Log!$D$4:$D$1203=$A23)*(Log!$E$4:$E$1203="A")*Log!$B$4:$B$1203))))</f>
        <v/>
      </c>
      <c r="L23" s="82" t="str">
        <f aca="false">IF($K23="","",IF(SUMPRODUCT(MAX((Log!$D$4:$D$1203=$A23)*(Log!$B$4:$B$1203=$K23)*(Log!$E$4:$E$1203="A")*(Log!$F$4:$F$1203&lt;&gt;"")*Log!$F$4:$F$1203))=0,"",SUMPRODUCT(MAX((Log!$D$4:$D$1203=$A23)*(Log!$B$4:$B$1203=$K23)*(Log!$E$4:$E$1203="A")*(Log!$F$4:$F$1203&lt;&gt;"")*Log!$F$4:$F$1203))))</f>
        <v/>
      </c>
      <c r="M23" s="79" t="str">
        <f aca="false">IF($L23="","",IF(SUMPRODUCT(MAX((Log!$D$4:$D$1203=$A23)*(Log!$B$4:$B$1203=$K23)*(Log!$E$4:$E$1203="A")*(Log!$F$4:$F$1203=$L23)*Log!$G$4:$G$1203))=0,"",SUMPRODUCT(MAX((Log!$D$4:$D$1203=$A23)*(Log!$B$4:$B$1203=$K23)*(Log!$E$4:$E$1203="A")*(Log!$F$4:$F$1203=$L23)*Log!$G$4:$G$1203))))</f>
        <v/>
      </c>
      <c r="N23" s="79"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6"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7" t="str">
        <f aca="false">IF(Übungen!$D23="","",IF($O23="","",IF($L23="",Übungen!$D23,IF(AND($N23&lt;&gt;"",Übungen!$E23&lt;&gt;"",$N23&gt;=Übungen!$E23),Übungen!$D23,IF(OR($N23="",$N23&lt;Übungen!$D23),Übungen!$D23,MIN(Übungen!$E23,$N23+1))))))</f>
        <v/>
      </c>
      <c r="Q23" s="89"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43" t="s">
        <v>467</v>
      </c>
      <c r="B25" s="43"/>
      <c r="C25" s="43"/>
      <c r="D25" s="43"/>
      <c r="E25" s="43"/>
      <c r="F25" s="43"/>
      <c r="G25" s="43"/>
      <c r="H25" s="43"/>
      <c r="I25" s="43"/>
      <c r="J25" s="43"/>
      <c r="K25" s="43"/>
      <c r="L25" s="43"/>
      <c r="M25" s="43"/>
      <c r="N25" s="43"/>
      <c r="O25" s="43"/>
      <c r="P25" s="43"/>
      <c r="Q25" s="43"/>
    </row>
  </sheetData>
  <mergeCells count="3">
    <mergeCell ref="A1:N1"/>
    <mergeCell ref="A2:N2"/>
    <mergeCell ref="A25:Q25"/>
  </mergeCells>
  <conditionalFormatting sqref="A4:Q23">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468</v>
      </c>
      <c r="B1" s="1"/>
      <c r="C1" s="1"/>
      <c r="D1" s="1"/>
      <c r="E1" s="1"/>
      <c r="F1" s="1"/>
      <c r="G1" s="1"/>
      <c r="H1" s="1"/>
      <c r="I1" s="1"/>
    </row>
    <row r="2" customFormat="false" ht="12" hidden="false" customHeight="true" outlineLevel="0" collapsed="false">
      <c r="A2" s="98" t="s">
        <v>73</v>
      </c>
      <c r="B2" s="98"/>
      <c r="C2" s="99" t="s">
        <v>469</v>
      </c>
      <c r="D2" s="99" t="s">
        <v>470</v>
      </c>
      <c r="E2" s="98" t="s">
        <v>471</v>
      </c>
      <c r="F2" s="98"/>
      <c r="G2" s="98" t="s">
        <v>472</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7" s="103"/>
      <c r="C7" s="103"/>
      <c r="D7" s="103"/>
      <c r="E7" s="103"/>
      <c r="F7" s="103"/>
      <c r="G7" s="103"/>
      <c r="H7" s="103"/>
      <c r="I7" s="103"/>
    </row>
    <row r="8" customFormat="false" ht="18" hidden="false" customHeight="true" outlineLevel="0" collapsed="false">
      <c r="A8" s="104" t="s">
        <v>473</v>
      </c>
      <c r="B8" s="104" t="s">
        <v>474</v>
      </c>
      <c r="C8" s="104" t="s">
        <v>475</v>
      </c>
      <c r="D8" s="104" t="s">
        <v>476</v>
      </c>
      <c r="E8" s="104" t="s">
        <v>477</v>
      </c>
      <c r="F8" s="104" t="s">
        <v>374</v>
      </c>
      <c r="G8" s="104" t="s">
        <v>48</v>
      </c>
      <c r="H8" s="104" t="s">
        <v>478</v>
      </c>
      <c r="I8" s="104" t="s">
        <v>255</v>
      </c>
    </row>
    <row r="9" customFormat="false" ht="18" hidden="false" customHeight="true" outlineLevel="0" collapsed="false">
      <c r="A9" s="105" t="n">
        <v>1</v>
      </c>
      <c r="B9" s="106" t="s">
        <v>479</v>
      </c>
      <c r="C9" s="107" t="n">
        <f aca="false">IF(OR(FALSE(),Übungen!$L$4="pause"),"",IF(IFERROR(INDEX(Rekorde!$O$4:$O$23,MATCH(Übungen!$A$4,Rekorde!$A$4:$A$23,0)),"")="","",ROUND(IFERROR(INDEX(Rekorde!$O$4:$O$23,MATCH(Übungen!$A$4,Rekorde!$A$4:$A$23,0)),"")*0.4*2,0)/2))</f>
        <v>122</v>
      </c>
      <c r="D9" s="108"/>
      <c r="E9" s="109"/>
      <c r="F9" s="109"/>
      <c r="G9" s="109"/>
      <c r="H9" s="109"/>
      <c r="I9" s="109"/>
    </row>
    <row r="10" customFormat="false" ht="18" hidden="false" customHeight="true" outlineLevel="0" collapsed="false">
      <c r="A10" s="105" t="n">
        <v>2</v>
      </c>
      <c r="B10" s="106" t="s">
        <v>480</v>
      </c>
      <c r="C10" s="107" t="n">
        <f aca="false">IF(OR(FALSE(),Übungen!$L$4="pause"),"",IF(IFERROR(INDEX(Rekorde!$O$4:$O$23,MATCH(Übungen!$A$4,Rekorde!$A$4:$A$23,0)),"")="","",ROUND(IFERROR(INDEX(Rekorde!$O$4:$O$23,MATCH(Übungen!$A$4,Rekorde!$A$4:$A$23,0)),"")*0.7*2,0)/2))</f>
        <v>213.5</v>
      </c>
      <c r="D10" s="108"/>
      <c r="E10" s="109"/>
      <c r="F10" s="109"/>
      <c r="G10" s="109"/>
      <c r="H10" s="109"/>
      <c r="I10" s="109"/>
    </row>
    <row r="11" customFormat="false" ht="18" hidden="false" customHeight="true" outlineLevel="0" collapsed="false">
      <c r="A11" s="105" t="n">
        <v>3</v>
      </c>
      <c r="B11" s="110" t="s">
        <v>481</v>
      </c>
      <c r="C11" s="111" t="n">
        <f aca="false">IF(OR(FALSE(),Übungen!$L$4="pause"),"",IF(IFERROR(INDEX(Rekorde!$O$4:$O$23,MATCH(Übungen!$A$4,Rekorde!$A$4:$A$23,0)),"")="","",ROUND(IFERROR(INDEX(Rekorde!$O$4:$O$23,MATCH(Übungen!$A$4,Rekorde!$A$4:$A$23,0)),"")*1*2,0)/2))</f>
        <v>305</v>
      </c>
      <c r="D11" s="112" t="n">
        <f aca="false">IF(OR(FALSE(),Übungen!$L$4="pause"),"",IF(IFERROR(INDEX(Rekorde!$P$4:$P$23,MATCH(Übungen!$A$4,Rekorde!$A$4:$A$23,0)),"")="","",MIN(Übungen!$E$4,IFERROR(INDEX(Rekorde!$P$4:$P$23,MATCH(Übungen!$A$4,Rekorde!$A$4:$A$23,0)),"")+0)))</f>
        <v>5</v>
      </c>
      <c r="E11" s="109"/>
      <c r="F11" s="109"/>
      <c r="G11" s="109"/>
      <c r="H11" s="109"/>
      <c r="I11" s="109"/>
    </row>
    <row r="12" customFormat="false" ht="18" hidden="false" customHeight="true" outlineLevel="0" collapsed="false">
      <c r="A12" s="105" t="n">
        <v>4</v>
      </c>
      <c r="B12" s="110" t="s">
        <v>482</v>
      </c>
      <c r="C12" s="107" t="n">
        <f aca="false">IF(OR(FALSE(),Übungen!$L$4="pause"),"",IF(IFERROR(INDEX(Rekorde!$O$4:$O$23,MATCH(Übungen!$A$4,Rekorde!$A$4:$A$23,0)),"")="","",ROUND(IFERROR(INDEX(Rekorde!$O$4:$O$23,MATCH(Übungen!$A$4,Rekorde!$A$4:$A$23,0)),"")*0.95*2,0)/2))</f>
        <v>290</v>
      </c>
      <c r="D12" s="112" t="n">
        <f aca="false">IF(OR(FALSE(),Übungen!$L$4="pause"),"",IF(IFERROR(INDEX(Rekorde!$P$4:$P$23,MATCH(Übungen!$A$4,Rekorde!$A$4:$A$23,0)),"")="","",MIN(Übungen!$E$4,IFERROR(INDEX(Rekorde!$P$4:$P$23,MATCH(Übungen!$A$4,Rekorde!$A$4:$A$23,0)),"")+1)))</f>
        <v>6</v>
      </c>
      <c r="E12" s="109"/>
      <c r="F12" s="109"/>
      <c r="G12" s="109"/>
      <c r="H12" s="109"/>
      <c r="I12" s="109"/>
    </row>
    <row r="13" customFormat="false" ht="18" hidden="false" customHeight="true" outlineLevel="0" collapsed="false">
      <c r="A13" s="105" t="n">
        <v>5</v>
      </c>
      <c r="B13" s="110" t="s">
        <v>483</v>
      </c>
      <c r="C13" s="107" t="n">
        <f aca="false">IF(OR(FALSE(),Übungen!$L$4="pause"),"",IF(IFERROR(INDEX(Rekorde!$O$4:$O$23,MATCH(Übungen!$A$4,Rekorde!$A$4:$A$23,0)),"")="","",ROUND(IFERROR(INDEX(Rekorde!$O$4:$O$23,MATCH(Übungen!$A$4,Rekorde!$A$4:$A$23,0)),"")*0.9*2,0)/2))</f>
        <v>274.5</v>
      </c>
      <c r="D13" s="112" t="n">
        <f aca="false">IF(OR(FALSE(),Übungen!$L$4="pause"),"",IF(IFERROR(INDEX(Rekorde!$P$4:$P$23,MATCH(Übungen!$A$4,Rekorde!$A$4:$A$23,0)),"")="","",MIN(Übungen!$E$4,IFERROR(INDEX(Rekorde!$P$4:$P$23,MATCH(Übungen!$A$4,Rekorde!$A$4:$A$23,0)),"")+2)))</f>
        <v>6</v>
      </c>
      <c r="E13" s="109"/>
      <c r="F13" s="109"/>
      <c r="G13" s="109"/>
      <c r="H13" s="109"/>
      <c r="I13" s="109"/>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17" s="103"/>
      <c r="C17" s="103"/>
      <c r="D17" s="103"/>
      <c r="E17" s="103"/>
      <c r="F17" s="103"/>
      <c r="G17" s="103"/>
      <c r="H17" s="103"/>
      <c r="I17" s="103"/>
    </row>
    <row r="18" customFormat="false" ht="18" hidden="false" customHeight="true" outlineLevel="0" collapsed="false">
      <c r="A18" s="104" t="s">
        <v>473</v>
      </c>
      <c r="B18" s="104" t="s">
        <v>474</v>
      </c>
      <c r="C18" s="104" t="s">
        <v>475</v>
      </c>
      <c r="D18" s="104" t="s">
        <v>476</v>
      </c>
      <c r="E18" s="104" t="s">
        <v>477</v>
      </c>
      <c r="F18" s="104" t="s">
        <v>374</v>
      </c>
      <c r="G18" s="104" t="s">
        <v>48</v>
      </c>
      <c r="H18" s="104" t="s">
        <v>478</v>
      </c>
      <c r="I18" s="104" t="s">
        <v>255</v>
      </c>
    </row>
    <row r="19" customFormat="false" ht="18" hidden="false" customHeight="true" outlineLevel="0" collapsed="false">
      <c r="A19" s="105" t="n">
        <v>1</v>
      </c>
      <c r="B19" s="106" t="s">
        <v>479</v>
      </c>
      <c r="C19" s="107" t="n">
        <f aca="false">IF(OR(FALSE(),Übungen!$L$5="pause"),"",IF(IFERROR(INDEX(Rekorde!$O$4:$O$23,MATCH(Übungen!$A$5,Rekorde!$A$4:$A$23,0)),"")="","",ROUND(IFERROR(INDEX(Rekorde!$O$4:$O$23,MATCH(Übungen!$A$5,Rekorde!$A$4:$A$23,0)),"")*0.4*2,0)/2))</f>
        <v>49</v>
      </c>
      <c r="D19" s="108"/>
      <c r="E19" s="109"/>
      <c r="F19" s="109"/>
      <c r="G19" s="109"/>
      <c r="H19" s="109"/>
      <c r="I19" s="109"/>
    </row>
    <row r="20" customFormat="false" ht="18" hidden="false" customHeight="true" outlineLevel="0" collapsed="false">
      <c r="A20" s="105" t="n">
        <v>2</v>
      </c>
      <c r="B20" s="106" t="s">
        <v>480</v>
      </c>
      <c r="C20" s="107" t="n">
        <f aca="false">IF(OR(FALSE(),Übungen!$L$5="pause"),"",IF(IFERROR(INDEX(Rekorde!$O$4:$O$23,MATCH(Übungen!$A$5,Rekorde!$A$4:$A$23,0)),"")="","",ROUND(IFERROR(INDEX(Rekorde!$O$4:$O$23,MATCH(Übungen!$A$5,Rekorde!$A$4:$A$23,0)),"")*0.7*2,0)/2))</f>
        <v>86</v>
      </c>
      <c r="D20" s="108"/>
      <c r="E20" s="109"/>
      <c r="F20" s="109"/>
      <c r="G20" s="109"/>
      <c r="H20" s="109"/>
      <c r="I20" s="109"/>
    </row>
    <row r="21" customFormat="false" ht="18" hidden="false" customHeight="true" outlineLevel="0" collapsed="false">
      <c r="A21" s="105" t="n">
        <v>3</v>
      </c>
      <c r="B21" s="110" t="s">
        <v>481</v>
      </c>
      <c r="C21" s="111" t="n">
        <f aca="false">IF(OR(FALSE(),Übungen!$L$5="pause"),"",IF(IFERROR(INDEX(Rekorde!$O$4:$O$23,MATCH(Übungen!$A$5,Rekorde!$A$4:$A$23,0)),"")="","",ROUND(IFERROR(INDEX(Rekorde!$O$4:$O$23,MATCH(Übungen!$A$5,Rekorde!$A$4:$A$23,0)),"")*1*2,0)/2))</f>
        <v>122.5</v>
      </c>
      <c r="D21" s="112" t="n">
        <f aca="false">IF(OR(FALSE(),Übungen!$L$5="pause"),"",IF(IFERROR(INDEX(Rekorde!$P$4:$P$23,MATCH(Übungen!$A$5,Rekorde!$A$4:$A$23,0)),"")="","",MIN(Übungen!$E$5,IFERROR(INDEX(Rekorde!$P$4:$P$23,MATCH(Übungen!$A$5,Rekorde!$A$4:$A$23,0)),"")+0)))</f>
        <v>5</v>
      </c>
      <c r="E21" s="109"/>
      <c r="F21" s="109"/>
      <c r="G21" s="109"/>
      <c r="H21" s="109"/>
      <c r="I21" s="109"/>
    </row>
    <row r="22" customFormat="false" ht="18" hidden="false" customHeight="true" outlineLevel="0" collapsed="false">
      <c r="A22" s="105" t="n">
        <v>4</v>
      </c>
      <c r="B22" s="110" t="s">
        <v>482</v>
      </c>
      <c r="C22" s="107" t="n">
        <f aca="false">IF(OR(FALSE(),Übungen!$L$5="pause"),"",IF(IFERROR(INDEX(Rekorde!$O$4:$O$23,MATCH(Übungen!$A$5,Rekorde!$A$4:$A$23,0)),"")="","",ROUND(IFERROR(INDEX(Rekorde!$O$4:$O$23,MATCH(Übungen!$A$5,Rekorde!$A$4:$A$23,0)),"")*0.95*2,0)/2))</f>
        <v>116.5</v>
      </c>
      <c r="D22" s="112" t="n">
        <f aca="false">IF(OR(FALSE(),Übungen!$L$5="pause"),"",IF(IFERROR(INDEX(Rekorde!$P$4:$P$23,MATCH(Übungen!$A$5,Rekorde!$A$4:$A$23,0)),"")="","",MIN(Übungen!$E$5,IFERROR(INDEX(Rekorde!$P$4:$P$23,MATCH(Übungen!$A$5,Rekorde!$A$4:$A$23,0)),"")+1)))</f>
        <v>6</v>
      </c>
      <c r="E22" s="109"/>
      <c r="F22" s="109"/>
      <c r="G22" s="109"/>
      <c r="H22" s="109"/>
      <c r="I22" s="109"/>
    </row>
    <row r="23" customFormat="false" ht="18" hidden="false" customHeight="true" outlineLevel="0" collapsed="false">
      <c r="A23" s="105" t="n">
        <v>5</v>
      </c>
      <c r="B23" s="110" t="s">
        <v>483</v>
      </c>
      <c r="C23" s="107" t="n">
        <f aca="false">IF(OR(FALSE(),Übungen!$L$5="pause"),"",IF(IFERROR(INDEX(Rekorde!$O$4:$O$23,MATCH(Übungen!$A$5,Rekorde!$A$4:$A$23,0)),"")="","",ROUND(IFERROR(INDEX(Rekorde!$O$4:$O$23,MATCH(Übungen!$A$5,Rekorde!$A$4:$A$23,0)),"")*0.9*2,0)/2))</f>
        <v>110.5</v>
      </c>
      <c r="D23" s="112" t="n">
        <f aca="false">IF(OR(FALSE(),Übungen!$L$5="pause"),"",IF(IFERROR(INDEX(Rekorde!$P$4:$P$23,MATCH(Übungen!$A$5,Rekorde!$A$4:$A$23,0)),"")="","",MIN(Übungen!$E$5,IFERROR(INDEX(Rekorde!$P$4:$P$23,MATCH(Übungen!$A$5,Rekorde!$A$4:$A$23,0)),"")+2)))</f>
        <v>6</v>
      </c>
      <c r="E23" s="109"/>
      <c r="F23" s="109"/>
      <c r="G23" s="109"/>
      <c r="H23" s="109"/>
      <c r="I23" s="109"/>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7" s="103"/>
      <c r="C27" s="103"/>
      <c r="D27" s="103"/>
      <c r="E27" s="103"/>
      <c r="F27" s="103"/>
      <c r="G27" s="103"/>
      <c r="H27" s="103"/>
      <c r="I27" s="103"/>
    </row>
    <row r="28" customFormat="false" ht="18" hidden="false" customHeight="true" outlineLevel="0" collapsed="false">
      <c r="A28" s="104" t="s">
        <v>473</v>
      </c>
      <c r="B28" s="104" t="s">
        <v>474</v>
      </c>
      <c r="C28" s="104" t="s">
        <v>475</v>
      </c>
      <c r="D28" s="104" t="s">
        <v>476</v>
      </c>
      <c r="E28" s="104" t="s">
        <v>477</v>
      </c>
      <c r="F28" s="104" t="s">
        <v>374</v>
      </c>
      <c r="G28" s="104" t="s">
        <v>48</v>
      </c>
      <c r="H28" s="104" t="s">
        <v>478</v>
      </c>
      <c r="I28" s="104" t="s">
        <v>255</v>
      </c>
    </row>
    <row r="29" customFormat="false" ht="18" hidden="false" customHeight="true" outlineLevel="0" collapsed="false">
      <c r="A29" s="105" t="n">
        <v>1</v>
      </c>
      <c r="B29" s="106" t="s">
        <v>479</v>
      </c>
      <c r="C29" s="107" t="n">
        <f aca="false">IF(OR(FALSE(),Übungen!$L$6="pause"),"",IF(IFERROR(INDEX(Rekorde!$O$4:$O$23,MATCH(Übungen!$A$6,Rekorde!$A$4:$A$23,0)),"")="","",ROUND(IFERROR(INDEX(Rekorde!$O$4:$O$23,MATCH(Übungen!$A$6,Rekorde!$A$4:$A$23,0)),"")*0.4*2,0)/2))</f>
        <v>38</v>
      </c>
      <c r="D29" s="108"/>
      <c r="E29" s="109"/>
      <c r="F29" s="109"/>
      <c r="G29" s="109"/>
      <c r="H29" s="109"/>
      <c r="I29" s="109"/>
    </row>
    <row r="30" customFormat="false" ht="18" hidden="false" customHeight="true" outlineLevel="0" collapsed="false">
      <c r="A30" s="105" t="n">
        <v>2</v>
      </c>
      <c r="B30" s="106" t="s">
        <v>480</v>
      </c>
      <c r="C30" s="107" t="n">
        <f aca="false">IF(OR(FALSE(),Übungen!$L$6="pause"),"",IF(IFERROR(INDEX(Rekorde!$O$4:$O$23,MATCH(Übungen!$A$6,Rekorde!$A$4:$A$23,0)),"")="","",ROUND(IFERROR(INDEX(Rekorde!$O$4:$O$23,MATCH(Übungen!$A$6,Rekorde!$A$4:$A$23,0)),"")*0.7*2,0)/2))</f>
        <v>66.5</v>
      </c>
      <c r="D30" s="108"/>
      <c r="E30" s="109"/>
      <c r="F30" s="109"/>
      <c r="G30" s="109"/>
      <c r="H30" s="109"/>
      <c r="I30" s="109"/>
    </row>
    <row r="31" customFormat="false" ht="18" hidden="false" customHeight="true" outlineLevel="0" collapsed="false">
      <c r="A31" s="105" t="n">
        <v>3</v>
      </c>
      <c r="B31" s="110" t="s">
        <v>481</v>
      </c>
      <c r="C31" s="111" t="n">
        <f aca="false">IF(OR(FALSE(),Übungen!$L$6="pause"),"",IF(IFERROR(INDEX(Rekorde!$O$4:$O$23,MATCH(Übungen!$A$6,Rekorde!$A$4:$A$23,0)),"")="","",ROUND(IFERROR(INDEX(Rekorde!$O$4:$O$23,MATCH(Übungen!$A$6,Rekorde!$A$4:$A$23,0)),"")*1*2,0)/2))</f>
        <v>95</v>
      </c>
      <c r="D31" s="112" t="n">
        <f aca="false">IF(OR(FALSE(),Übungen!$L$6="pause"),"",IF(IFERROR(INDEX(Rekorde!$P$4:$P$23,MATCH(Übungen!$A$6,Rekorde!$A$4:$A$23,0)),"")="","",MIN(Übungen!$E$6,IFERROR(INDEX(Rekorde!$P$4:$P$23,MATCH(Übungen!$A$6,Rekorde!$A$4:$A$23,0)),"")+0)))</f>
        <v>6</v>
      </c>
      <c r="E31" s="109"/>
      <c r="F31" s="109"/>
      <c r="G31" s="109"/>
      <c r="H31" s="109"/>
      <c r="I31" s="109"/>
    </row>
    <row r="32" customFormat="false" ht="18" hidden="false" customHeight="true" outlineLevel="0" collapsed="false">
      <c r="A32" s="105" t="n">
        <v>4</v>
      </c>
      <c r="B32" s="110" t="s">
        <v>482</v>
      </c>
      <c r="C32" s="107" t="n">
        <f aca="false">IF(OR(FALSE(),Übungen!$L$6="pause"),"",IF(IFERROR(INDEX(Rekorde!$O$4:$O$23,MATCH(Übungen!$A$6,Rekorde!$A$4:$A$23,0)),"")="","",ROUND(IFERROR(INDEX(Rekorde!$O$4:$O$23,MATCH(Übungen!$A$6,Rekorde!$A$4:$A$23,0)),"")*0.95*2,0)/2))</f>
        <v>90.5</v>
      </c>
      <c r="D32" s="112" t="n">
        <f aca="false">IF(OR(FALSE(),Übungen!$L$6="pause"),"",IF(IFERROR(INDEX(Rekorde!$P$4:$P$23,MATCH(Übungen!$A$6,Rekorde!$A$4:$A$23,0)),"")="","",MIN(Übungen!$E$6,IFERROR(INDEX(Rekorde!$P$4:$P$23,MATCH(Übungen!$A$6,Rekorde!$A$4:$A$23,0)),"")+1)))</f>
        <v>6</v>
      </c>
      <c r="E32" s="109"/>
      <c r="F32" s="109"/>
      <c r="G32" s="109"/>
      <c r="H32" s="109"/>
      <c r="I32" s="109"/>
    </row>
    <row r="33" customFormat="false" ht="18" hidden="false" customHeight="true" outlineLevel="0" collapsed="false">
      <c r="A33" s="105" t="n">
        <v>5</v>
      </c>
      <c r="B33" s="110" t="s">
        <v>483</v>
      </c>
      <c r="C33" s="107" t="n">
        <f aca="false">IF(OR(FALSE(),Übungen!$L$6="pause"),"",IF(IFERROR(INDEX(Rekorde!$O$4:$O$23,MATCH(Übungen!$A$6,Rekorde!$A$4:$A$23,0)),"")="","",ROUND(IFERROR(INDEX(Rekorde!$O$4:$O$23,MATCH(Übungen!$A$6,Rekorde!$A$4:$A$23,0)),"")*0.9*2,0)/2))</f>
        <v>85.5</v>
      </c>
      <c r="D33" s="112" t="n">
        <f aca="false">IF(OR(FALSE(),Übungen!$L$6="pause"),"",IF(IFERROR(INDEX(Rekorde!$P$4:$P$23,MATCH(Übungen!$A$6,Rekorde!$A$4:$A$23,0)),"")="","",MIN(Übungen!$E$6,IFERROR(INDEX(Rekorde!$P$4:$P$23,MATCH(Übungen!$A$6,Rekorde!$A$4:$A$23,0)),"")+2)))</f>
        <v>6</v>
      </c>
      <c r="E33" s="109"/>
      <c r="F33" s="109"/>
      <c r="G33" s="109"/>
      <c r="H33" s="109"/>
      <c r="I33" s="109"/>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37" s="103"/>
      <c r="C37" s="103"/>
      <c r="D37" s="103"/>
      <c r="E37" s="103"/>
      <c r="F37" s="103"/>
      <c r="G37" s="103"/>
      <c r="H37" s="103"/>
      <c r="I37" s="103"/>
    </row>
    <row r="38" customFormat="false" ht="18" hidden="false" customHeight="true" outlineLevel="0" collapsed="false">
      <c r="A38" s="104" t="s">
        <v>473</v>
      </c>
      <c r="B38" s="104" t="s">
        <v>474</v>
      </c>
      <c r="C38" s="104" t="s">
        <v>475</v>
      </c>
      <c r="D38" s="104" t="s">
        <v>476</v>
      </c>
      <c r="E38" s="104" t="s">
        <v>477</v>
      </c>
      <c r="F38" s="104" t="s">
        <v>374</v>
      </c>
      <c r="G38" s="104" t="s">
        <v>48</v>
      </c>
      <c r="H38" s="104" t="s">
        <v>478</v>
      </c>
      <c r="I38" s="104" t="s">
        <v>255</v>
      </c>
    </row>
    <row r="39" customFormat="false" ht="18" hidden="false" customHeight="true" outlineLevel="0" collapsed="false">
      <c r="A39" s="105" t="n">
        <v>1</v>
      </c>
      <c r="B39" s="106" t="s">
        <v>479</v>
      </c>
      <c r="C39" s="107" t="n">
        <f aca="false">IF(OR(FALSE(),Übungen!$L$7="pause"),"",IF(IFERROR(INDEX(Rekorde!$O$4:$O$23,MATCH(Übungen!$A$7,Rekorde!$A$4:$A$23,0)),"")="","",ROUND(IFERROR(INDEX(Rekorde!$O$4:$O$23,MATCH(Übungen!$A$7,Rekorde!$A$4:$A$23,0)),"")*0.4*2,0)/2))</f>
        <v>66</v>
      </c>
      <c r="D39" s="108"/>
      <c r="E39" s="109"/>
      <c r="F39" s="109"/>
      <c r="G39" s="109"/>
      <c r="H39" s="109"/>
      <c r="I39" s="109"/>
    </row>
    <row r="40" customFormat="false" ht="18" hidden="false" customHeight="true" outlineLevel="0" collapsed="false">
      <c r="A40" s="105" t="n">
        <v>2</v>
      </c>
      <c r="B40" s="106" t="s">
        <v>480</v>
      </c>
      <c r="C40" s="107" t="n">
        <f aca="false">IF(OR(FALSE(),Übungen!$L$7="pause"),"",IF(IFERROR(INDEX(Rekorde!$O$4:$O$23,MATCH(Übungen!$A$7,Rekorde!$A$4:$A$23,0)),"")="","",ROUND(IFERROR(INDEX(Rekorde!$O$4:$O$23,MATCH(Übungen!$A$7,Rekorde!$A$4:$A$23,0)),"")*0.7*2,0)/2))</f>
        <v>115.5</v>
      </c>
      <c r="D40" s="108"/>
      <c r="E40" s="109"/>
      <c r="F40" s="109"/>
      <c r="G40" s="109"/>
      <c r="H40" s="109"/>
      <c r="I40" s="109"/>
    </row>
    <row r="41" customFormat="false" ht="18" hidden="false" customHeight="true" outlineLevel="0" collapsed="false">
      <c r="A41" s="105" t="n">
        <v>3</v>
      </c>
      <c r="B41" s="110" t="s">
        <v>481</v>
      </c>
      <c r="C41" s="111" t="n">
        <f aca="false">IF(OR(FALSE(),Übungen!$L$7="pause"),"",IF(IFERROR(INDEX(Rekorde!$O$4:$O$23,MATCH(Übungen!$A$7,Rekorde!$A$4:$A$23,0)),"")="","",ROUND(IFERROR(INDEX(Rekorde!$O$4:$O$23,MATCH(Übungen!$A$7,Rekorde!$A$4:$A$23,0)),"")*1*2,0)/2))</f>
        <v>165</v>
      </c>
      <c r="D41" s="112" t="n">
        <f aca="false">IF(OR(FALSE(),Übungen!$L$7="pause"),"",IF(IFERROR(INDEX(Rekorde!$P$4:$P$23,MATCH(Übungen!$A$7,Rekorde!$A$4:$A$23,0)),"")="","",MIN(Übungen!$E$7,IFERROR(INDEX(Rekorde!$P$4:$P$23,MATCH(Übungen!$A$7,Rekorde!$A$4:$A$23,0)),"")+0)))</f>
        <v>6</v>
      </c>
      <c r="E41" s="109"/>
      <c r="F41" s="109"/>
      <c r="G41" s="109"/>
      <c r="H41" s="109"/>
      <c r="I41" s="109"/>
    </row>
    <row r="42" customFormat="false" ht="18" hidden="false" customHeight="true" outlineLevel="0" collapsed="false">
      <c r="A42" s="105" t="n">
        <v>4</v>
      </c>
      <c r="B42" s="110" t="s">
        <v>482</v>
      </c>
      <c r="C42" s="107" t="n">
        <f aca="false">IF(OR(FALSE(),Übungen!$L$7="pause"),"",IF(IFERROR(INDEX(Rekorde!$O$4:$O$23,MATCH(Übungen!$A$7,Rekorde!$A$4:$A$23,0)),"")="","",ROUND(IFERROR(INDEX(Rekorde!$O$4:$O$23,MATCH(Übungen!$A$7,Rekorde!$A$4:$A$23,0)),"")*0.95*2,0)/2))</f>
        <v>157</v>
      </c>
      <c r="D42" s="112" t="n">
        <f aca="false">IF(OR(FALSE(),Übungen!$L$7="pause"),"",IF(IFERROR(INDEX(Rekorde!$P$4:$P$23,MATCH(Übungen!$A$7,Rekorde!$A$4:$A$23,0)),"")="","",MIN(Übungen!$E$7,IFERROR(INDEX(Rekorde!$P$4:$P$23,MATCH(Übungen!$A$7,Rekorde!$A$4:$A$23,0)),"")+1)))</f>
        <v>6</v>
      </c>
      <c r="E42" s="109"/>
      <c r="F42" s="109"/>
      <c r="G42" s="109"/>
      <c r="H42" s="109"/>
      <c r="I42" s="109"/>
    </row>
    <row r="44" customFormat="false" ht="15.75" hidden="false" customHeight="true" outlineLevel="0" collapsed="false">
      <c r="A44" s="3" t="s">
        <v>484</v>
      </c>
      <c r="B44" s="3"/>
      <c r="C44" s="3"/>
      <c r="D44" s="3"/>
      <c r="E44" s="3"/>
      <c r="F44" s="3"/>
      <c r="G44" s="3"/>
      <c r="H44" s="3"/>
      <c r="I44" s="3"/>
    </row>
    <row r="45" customFormat="false" ht="18" hidden="false" customHeight="true" outlineLevel="0" collapsed="false">
      <c r="A45" s="113"/>
      <c r="B45" s="113"/>
      <c r="C45" s="113"/>
      <c r="D45" s="113"/>
      <c r="E45" s="113"/>
      <c r="F45" s="113"/>
      <c r="G45" s="113"/>
      <c r="H45" s="113"/>
      <c r="I45" s="113"/>
    </row>
    <row r="46" customFormat="false" ht="18" hidden="false" customHeight="true" outlineLevel="0" collapsed="false">
      <c r="A46" s="113"/>
      <c r="B46" s="113"/>
      <c r="C46" s="113"/>
      <c r="D46" s="113"/>
      <c r="E46" s="113"/>
      <c r="F46" s="113"/>
      <c r="G46" s="113"/>
      <c r="H46" s="113"/>
      <c r="I46" s="113"/>
    </row>
    <row r="48" customFormat="false" ht="27.75" hidden="false" customHeight="true" outlineLevel="0" collapsed="false">
      <c r="A48" s="1" t="s">
        <v>485</v>
      </c>
      <c r="B48" s="1"/>
      <c r="C48" s="1"/>
      <c r="D48" s="1"/>
      <c r="E48" s="1"/>
      <c r="F48" s="1"/>
      <c r="G48" s="1"/>
      <c r="H48" s="1"/>
      <c r="I48" s="1"/>
    </row>
    <row r="49" customFormat="false" ht="12" hidden="false" customHeight="true" outlineLevel="0" collapsed="false">
      <c r="A49" s="98" t="s">
        <v>73</v>
      </c>
      <c r="B49" s="98"/>
      <c r="C49" s="99" t="s">
        <v>469</v>
      </c>
      <c r="D49" s="99" t="s">
        <v>470</v>
      </c>
      <c r="E49" s="98" t="s">
        <v>471</v>
      </c>
      <c r="F49" s="98"/>
      <c r="G49" s="98" t="s">
        <v>472</v>
      </c>
      <c r="H49" s="98"/>
    </row>
    <row r="50" customFormat="false" ht="18" hidden="false" customHeight="true" outlineLevel="0" collapsed="false">
      <c r="A50" s="100"/>
      <c r="B50" s="100"/>
      <c r="C50" s="100"/>
      <c r="D50" s="100"/>
      <c r="E50" s="100"/>
      <c r="F50" s="100"/>
      <c r="G50" s="100"/>
      <c r="H50" s="100"/>
    </row>
    <row r="52" customFormat="false" ht="18.75" hidden="false" customHeight="true" outlineLevel="0" collapsed="false">
      <c r="A52" s="101" t="str">
        <f aca="false">Übungen!$A$8</f>
        <v>Reverse V-Squat</v>
      </c>
      <c r="B52" s="101"/>
      <c r="C52" s="101"/>
      <c r="D52" s="101"/>
      <c r="E52" s="101"/>
      <c r="F52" s="101"/>
      <c r="G52" s="101"/>
      <c r="H52" s="101"/>
      <c r="I52" s="101"/>
    </row>
    <row r="53" customFormat="false" ht="13.5" hidden="false" customHeight="true" outlineLevel="0" collapsed="false">
      <c r="A53"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53" s="102"/>
      <c r="C53" s="102"/>
      <c r="D53" s="102"/>
      <c r="E53" s="102"/>
      <c r="F53" s="102"/>
      <c r="G53" s="102"/>
      <c r="H53" s="102"/>
      <c r="I53" s="102"/>
    </row>
    <row r="54" customFormat="false" ht="13.5" hidden="false" customHeight="true" outlineLevel="0" collapsed="false">
      <c r="A54"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54" s="103"/>
      <c r="C54" s="103"/>
      <c r="D54" s="103"/>
      <c r="E54" s="103"/>
      <c r="F54" s="103"/>
      <c r="G54" s="103"/>
      <c r="H54" s="103"/>
      <c r="I54" s="103"/>
    </row>
    <row r="55" customFormat="false" ht="18" hidden="false" customHeight="true" outlineLevel="0" collapsed="false">
      <c r="A55" s="104" t="s">
        <v>473</v>
      </c>
      <c r="B55" s="104" t="s">
        <v>474</v>
      </c>
      <c r="C55" s="104" t="s">
        <v>475</v>
      </c>
      <c r="D55" s="104" t="s">
        <v>476</v>
      </c>
      <c r="E55" s="104" t="s">
        <v>477</v>
      </c>
      <c r="F55" s="104" t="s">
        <v>374</v>
      </c>
      <c r="G55" s="104" t="s">
        <v>48</v>
      </c>
      <c r="H55" s="104" t="s">
        <v>478</v>
      </c>
      <c r="I55" s="104" t="s">
        <v>255</v>
      </c>
    </row>
    <row r="56" customFormat="false" ht="18" hidden="false" customHeight="true" outlineLevel="0" collapsed="false">
      <c r="A56" s="105" t="n">
        <v>1</v>
      </c>
      <c r="B56" s="106" t="s">
        <v>479</v>
      </c>
      <c r="C56" s="107" t="n">
        <f aca="false">IF(OR(FALSE(),Übungen!$L$8="pause"),"",IF(IFERROR(INDEX(Rekorde!$O$4:$O$23,MATCH(Übungen!$A$8,Rekorde!$A$4:$A$23,0)),"")="","",ROUND(IFERROR(INDEX(Rekorde!$O$4:$O$23,MATCH(Übungen!$A$8,Rekorde!$A$4:$A$23,0)),"")*0.4*2,0)/2))</f>
        <v>86</v>
      </c>
      <c r="D56" s="108"/>
      <c r="E56" s="109"/>
      <c r="F56" s="109"/>
      <c r="G56" s="109"/>
      <c r="H56" s="109"/>
      <c r="I56" s="109"/>
    </row>
    <row r="57" customFormat="false" ht="18" hidden="false" customHeight="true" outlineLevel="0" collapsed="false">
      <c r="A57" s="105" t="n">
        <v>2</v>
      </c>
      <c r="B57" s="106" t="s">
        <v>480</v>
      </c>
      <c r="C57" s="107" t="n">
        <f aca="false">IF(OR(FALSE(),Übungen!$L$8="pause"),"",IF(IFERROR(INDEX(Rekorde!$O$4:$O$23,MATCH(Übungen!$A$8,Rekorde!$A$4:$A$23,0)),"")="","",ROUND(IFERROR(INDEX(Rekorde!$O$4:$O$23,MATCH(Übungen!$A$8,Rekorde!$A$4:$A$23,0)),"")*0.7*2,0)/2))</f>
        <v>150.5</v>
      </c>
      <c r="D57" s="108"/>
      <c r="E57" s="109"/>
      <c r="F57" s="109"/>
      <c r="G57" s="109"/>
      <c r="H57" s="109"/>
      <c r="I57" s="109"/>
    </row>
    <row r="58" customFormat="false" ht="18" hidden="false" customHeight="true" outlineLevel="0" collapsed="false">
      <c r="A58" s="105" t="n">
        <v>3</v>
      </c>
      <c r="B58" s="110" t="s">
        <v>481</v>
      </c>
      <c r="C58" s="111" t="n">
        <f aca="false">IF(OR(FALSE(),Übungen!$L$8="pause"),"",IF(IFERROR(INDEX(Rekorde!$O$4:$O$23,MATCH(Übungen!$A$8,Rekorde!$A$4:$A$23,0)),"")="","",ROUND(IFERROR(INDEX(Rekorde!$O$4:$O$23,MATCH(Übungen!$A$8,Rekorde!$A$4:$A$23,0)),"")*1*2,0)/2))</f>
        <v>215</v>
      </c>
      <c r="D58" s="112" t="n">
        <f aca="false">IF(OR(FALSE(),Übungen!$L$8="pause"),"",IF(IFERROR(INDEX(Rekorde!$P$4:$P$23,MATCH(Übungen!$A$8,Rekorde!$A$4:$A$23,0)),"")="","",MIN(Übungen!$E$8,IFERROR(INDEX(Rekorde!$P$4:$P$23,MATCH(Übungen!$A$8,Rekorde!$A$4:$A$23,0)),"")+0)))</f>
        <v>6</v>
      </c>
      <c r="E58" s="109"/>
      <c r="F58" s="109"/>
      <c r="G58" s="109"/>
      <c r="H58" s="109"/>
      <c r="I58" s="109"/>
    </row>
    <row r="59" customFormat="false" ht="18" hidden="false" customHeight="true" outlineLevel="0" collapsed="false">
      <c r="A59" s="105" t="n">
        <v>4</v>
      </c>
      <c r="B59" s="110" t="s">
        <v>482</v>
      </c>
      <c r="C59" s="107" t="n">
        <f aca="false">IF(OR(FALSE(),Übungen!$L$8="pause"),"",IF(IFERROR(INDEX(Rekorde!$O$4:$O$23,MATCH(Übungen!$A$8,Rekorde!$A$4:$A$23,0)),"")="","",ROUND(IFERROR(INDEX(Rekorde!$O$4:$O$23,MATCH(Übungen!$A$8,Rekorde!$A$4:$A$23,0)),"")*0.95*2,0)/2))</f>
        <v>204.5</v>
      </c>
      <c r="D59" s="112" t="n">
        <f aca="false">IF(OR(FALSE(),Übungen!$L$8="pause"),"",IF(IFERROR(INDEX(Rekorde!$P$4:$P$23,MATCH(Übungen!$A$8,Rekorde!$A$4:$A$23,0)),"")="","",MIN(Übungen!$E$8,IFERROR(INDEX(Rekorde!$P$4:$P$23,MATCH(Übungen!$A$8,Rekorde!$A$4:$A$23,0)),"")+1)))</f>
        <v>6</v>
      </c>
      <c r="E59" s="109"/>
      <c r="F59" s="109"/>
      <c r="G59" s="109"/>
      <c r="H59" s="109"/>
      <c r="I59" s="109"/>
    </row>
    <row r="60" customFormat="false" ht="18" hidden="false" customHeight="true" outlineLevel="0" collapsed="false">
      <c r="A60" s="105" t="n">
        <v>5</v>
      </c>
      <c r="B60" s="110" t="s">
        <v>483</v>
      </c>
      <c r="C60" s="107" t="n">
        <f aca="false">IF(OR(FALSE(),Übungen!$L$8="pause"),"",IF(IFERROR(INDEX(Rekorde!$O$4:$O$23,MATCH(Übungen!$A$8,Rekorde!$A$4:$A$23,0)),"")="","",ROUND(IFERROR(INDEX(Rekorde!$O$4:$O$23,MATCH(Übungen!$A$8,Rekorde!$A$4:$A$23,0)),"")*0.9*2,0)/2))</f>
        <v>193.5</v>
      </c>
      <c r="D60" s="112" t="n">
        <f aca="false">IF(OR(FALSE(),Übungen!$L$8="pause"),"",IF(IFERROR(INDEX(Rekorde!$P$4:$P$23,MATCH(Übungen!$A$8,Rekorde!$A$4:$A$23,0)),"")="","",MIN(Übungen!$E$8,IFERROR(INDEX(Rekorde!$P$4:$P$23,MATCH(Übungen!$A$8,Rekorde!$A$4:$A$23,0)),"")+2)))</f>
        <v>6</v>
      </c>
      <c r="E60" s="109"/>
      <c r="F60" s="109"/>
      <c r="G60" s="109"/>
      <c r="H60" s="109"/>
      <c r="I60" s="109"/>
    </row>
    <row r="62" customFormat="false" ht="18.75" hidden="false" customHeight="true" outlineLevel="0" collapsed="false">
      <c r="A62" s="101" t="str">
        <f aca="false">Übungen!$A$9</f>
        <v>Rumänisches Kreuzheben</v>
      </c>
      <c r="B62" s="101"/>
      <c r="C62" s="101"/>
      <c r="D62" s="101"/>
      <c r="E62" s="101"/>
      <c r="F62" s="101"/>
      <c r="G62" s="101"/>
      <c r="H62" s="101"/>
      <c r="I62" s="101"/>
    </row>
    <row r="63" customFormat="false" ht="13.5" hidden="false" customHeight="true" outlineLevel="0" collapsed="false">
      <c r="A63"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2"/>
      <c r="C63" s="102"/>
      <c r="D63" s="102"/>
      <c r="E63" s="102"/>
      <c r="F63" s="102"/>
      <c r="G63" s="102"/>
      <c r="H63" s="102"/>
      <c r="I63" s="102"/>
    </row>
    <row r="64" customFormat="false" ht="13.5" hidden="false" customHeight="true" outlineLevel="0" collapsed="false">
      <c r="A64"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4" s="103"/>
      <c r="C64" s="103"/>
      <c r="D64" s="103"/>
      <c r="E64" s="103"/>
      <c r="F64" s="103"/>
      <c r="G64" s="103"/>
      <c r="H64" s="103"/>
      <c r="I64" s="103"/>
    </row>
    <row r="65" customFormat="false" ht="18" hidden="false" customHeight="true" outlineLevel="0" collapsed="false">
      <c r="A65" s="104" t="s">
        <v>473</v>
      </c>
      <c r="B65" s="104" t="s">
        <v>474</v>
      </c>
      <c r="C65" s="104" t="s">
        <v>475</v>
      </c>
      <c r="D65" s="104" t="s">
        <v>476</v>
      </c>
      <c r="E65" s="104" t="s">
        <v>477</v>
      </c>
      <c r="F65" s="104" t="s">
        <v>374</v>
      </c>
      <c r="G65" s="104" t="s">
        <v>48</v>
      </c>
      <c r="H65" s="104" t="s">
        <v>478</v>
      </c>
      <c r="I65" s="104" t="s">
        <v>255</v>
      </c>
    </row>
    <row r="66" customFormat="false" ht="18" hidden="false" customHeight="true" outlineLevel="0" collapsed="false">
      <c r="A66" s="105" t="n">
        <v>1</v>
      </c>
      <c r="B66" s="106" t="s">
        <v>479</v>
      </c>
      <c r="C66" s="107" t="str">
        <f aca="false">IF(OR(FALSE(),Übungen!$L$9="pause"),"",IF(IFERROR(INDEX(Rekorde!$O$4:$O$23,MATCH(Übungen!$A$9,Rekorde!$A$4:$A$23,0)),"")="","",ROUND(IFERROR(INDEX(Rekorde!$O$4:$O$23,MATCH(Übungen!$A$9,Rekorde!$A$4:$A$23,0)),"")*0.4*2,0)/2))</f>
        <v/>
      </c>
      <c r="D66" s="108"/>
      <c r="E66" s="109"/>
      <c r="F66" s="109"/>
      <c r="G66" s="109"/>
      <c r="H66" s="109"/>
      <c r="I66" s="109"/>
    </row>
    <row r="67" customFormat="false" ht="18" hidden="false" customHeight="true" outlineLevel="0" collapsed="false">
      <c r="A67" s="105" t="n">
        <v>2</v>
      </c>
      <c r="B67" s="106" t="s">
        <v>480</v>
      </c>
      <c r="C67" s="107" t="str">
        <f aca="false">IF(OR(FALSE(),Übungen!$L$9="pause"),"",IF(IFERROR(INDEX(Rekorde!$O$4:$O$23,MATCH(Übungen!$A$9,Rekorde!$A$4:$A$23,0)),"")="","",ROUND(IFERROR(INDEX(Rekorde!$O$4:$O$23,MATCH(Übungen!$A$9,Rekorde!$A$4:$A$23,0)),"")*0.7*2,0)/2))</f>
        <v/>
      </c>
      <c r="D67" s="108"/>
      <c r="E67" s="109"/>
      <c r="F67" s="109"/>
      <c r="G67" s="109"/>
      <c r="H67" s="109"/>
      <c r="I67" s="109"/>
    </row>
    <row r="68" customFormat="false" ht="18" hidden="false" customHeight="true" outlineLevel="0" collapsed="false">
      <c r="A68" s="105" t="n">
        <v>3</v>
      </c>
      <c r="B68" s="110" t="s">
        <v>481</v>
      </c>
      <c r="C68" s="111" t="str">
        <f aca="false">IF(OR(FALSE(),Übungen!$L$9="pause"),"",IF(IFERROR(INDEX(Rekorde!$O$4:$O$23,MATCH(Übungen!$A$9,Rekorde!$A$4:$A$23,0)),"")="","",ROUND(IFERROR(INDEX(Rekorde!$O$4:$O$23,MATCH(Übungen!$A$9,Rekorde!$A$4:$A$23,0)),"")*1*2,0)/2))</f>
        <v/>
      </c>
      <c r="D68" s="112" t="str">
        <f aca="false">IF(OR(FALSE(),Übungen!$L$9="pause"),"",IF(IFERROR(INDEX(Rekorde!$P$4:$P$23,MATCH(Übungen!$A$9,Rekorde!$A$4:$A$23,0)),"")="","",MIN(Übungen!$E$9,IFERROR(INDEX(Rekorde!$P$4:$P$23,MATCH(Übungen!$A$9,Rekorde!$A$4:$A$23,0)),"")+0)))</f>
        <v/>
      </c>
      <c r="E68" s="109"/>
      <c r="F68" s="109"/>
      <c r="G68" s="109"/>
      <c r="H68" s="109"/>
      <c r="I68" s="109"/>
    </row>
    <row r="69" customFormat="false" ht="18" hidden="false" customHeight="true" outlineLevel="0" collapsed="false">
      <c r="A69" s="105" t="n">
        <v>4</v>
      </c>
      <c r="B69" s="110" t="s">
        <v>482</v>
      </c>
      <c r="C69" s="107" t="str">
        <f aca="false">IF(OR(FALSE(),Übungen!$L$9="pause"),"",IF(IFERROR(INDEX(Rekorde!$O$4:$O$23,MATCH(Übungen!$A$9,Rekorde!$A$4:$A$23,0)),"")="","",ROUND(IFERROR(INDEX(Rekorde!$O$4:$O$23,MATCH(Übungen!$A$9,Rekorde!$A$4:$A$23,0)),"")*0.95*2,0)/2))</f>
        <v/>
      </c>
      <c r="D69" s="112" t="str">
        <f aca="false">IF(OR(FALSE(),Übungen!$L$9="pause"),"",IF(IFERROR(INDEX(Rekorde!$P$4:$P$23,MATCH(Übungen!$A$9,Rekorde!$A$4:$A$23,0)),"")="","",MIN(Übungen!$E$9,IFERROR(INDEX(Rekorde!$P$4:$P$23,MATCH(Übungen!$A$9,Rekorde!$A$4:$A$23,0)),"")+1)))</f>
        <v/>
      </c>
      <c r="E69" s="109"/>
      <c r="F69" s="109"/>
      <c r="G69" s="109"/>
      <c r="H69" s="109"/>
      <c r="I69" s="109"/>
    </row>
    <row r="70" customFormat="false" ht="18" hidden="false" customHeight="true" outlineLevel="0" collapsed="false">
      <c r="A70" s="105" t="n">
        <v>5</v>
      </c>
      <c r="B70" s="110" t="s">
        <v>483</v>
      </c>
      <c r="C70" s="107" t="str">
        <f aca="false">IF(OR(FALSE(),Übungen!$L$9="pause"),"",IF(IFERROR(INDEX(Rekorde!$O$4:$O$23,MATCH(Übungen!$A$9,Rekorde!$A$4:$A$23,0)),"")="","",ROUND(IFERROR(INDEX(Rekorde!$O$4:$O$23,MATCH(Übungen!$A$9,Rekorde!$A$4:$A$23,0)),"")*0.9*2,0)/2))</f>
        <v/>
      </c>
      <c r="D70" s="112" t="str">
        <f aca="false">IF(OR(FALSE(),Übungen!$L$9="pause"),"",IF(IFERROR(INDEX(Rekorde!$P$4:$P$23,MATCH(Übungen!$A$9,Rekorde!$A$4:$A$23,0)),"")="","",MIN(Übungen!$E$9,IFERROR(INDEX(Rekorde!$P$4:$P$23,MATCH(Übungen!$A$9,Rekorde!$A$4:$A$23,0)),"")+2)))</f>
        <v/>
      </c>
      <c r="E70" s="109"/>
      <c r="F70" s="109"/>
      <c r="G70" s="109"/>
      <c r="H70" s="109"/>
      <c r="I70" s="109"/>
    </row>
    <row r="72" customFormat="false" ht="18.75" hidden="false" customHeight="true" outlineLevel="0" collapsed="false">
      <c r="A72" s="101" t="str">
        <f aca="false">Übungen!$A$10</f>
        <v>Rumänisches Kreuzheben KH</v>
      </c>
      <c r="B72" s="101"/>
      <c r="C72" s="101"/>
      <c r="D72" s="101"/>
      <c r="E72" s="101"/>
      <c r="F72" s="101"/>
      <c r="G72" s="101"/>
      <c r="H72" s="101"/>
      <c r="I72" s="101"/>
    </row>
    <row r="73" customFormat="false" ht="13.5" hidden="false" customHeight="true" outlineLevel="0" collapsed="false">
      <c r="A73"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73" s="102"/>
      <c r="C73" s="102"/>
      <c r="D73" s="102"/>
      <c r="E73" s="102"/>
      <c r="F73" s="102"/>
      <c r="G73" s="102"/>
      <c r="H73" s="102"/>
      <c r="I73" s="102"/>
    </row>
    <row r="74" customFormat="false" ht="13.5" hidden="false" customHeight="true" outlineLevel="0" collapsed="false">
      <c r="A74"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74" s="103"/>
      <c r="C74" s="103"/>
      <c r="D74" s="103"/>
      <c r="E74" s="103"/>
      <c r="F74" s="103"/>
      <c r="G74" s="103"/>
      <c r="H74" s="103"/>
      <c r="I74" s="103"/>
    </row>
    <row r="75" customFormat="false" ht="18" hidden="false" customHeight="true" outlineLevel="0" collapsed="false">
      <c r="A75" s="104" t="s">
        <v>473</v>
      </c>
      <c r="B75" s="104" t="s">
        <v>474</v>
      </c>
      <c r="C75" s="104" t="s">
        <v>475</v>
      </c>
      <c r="D75" s="104" t="s">
        <v>476</v>
      </c>
      <c r="E75" s="104" t="s">
        <v>477</v>
      </c>
      <c r="F75" s="104" t="s">
        <v>374</v>
      </c>
      <c r="G75" s="104" t="s">
        <v>48</v>
      </c>
      <c r="H75" s="104" t="s">
        <v>478</v>
      </c>
      <c r="I75" s="104" t="s">
        <v>255</v>
      </c>
    </row>
    <row r="76" customFormat="false" ht="18" hidden="false" customHeight="true" outlineLevel="0" collapsed="false">
      <c r="A76" s="105" t="n">
        <v>1</v>
      </c>
      <c r="B76" s="106" t="s">
        <v>479</v>
      </c>
      <c r="C76" s="107" t="n">
        <f aca="false">IF(OR(FALSE(),Übungen!$L$10="pause"),"",IF(IFERROR(INDEX(Rekorde!$O$4:$O$23,MATCH(Übungen!$A$10,Rekorde!$A$4:$A$23,0)),"")="","",ROUND(IFERROR(INDEX(Rekorde!$O$4:$O$23,MATCH(Übungen!$A$10,Rekorde!$A$4:$A$23,0)),"")*0.4*2,0)/2))</f>
        <v>13.5</v>
      </c>
      <c r="D76" s="108"/>
      <c r="E76" s="109"/>
      <c r="F76" s="109"/>
      <c r="G76" s="109"/>
      <c r="H76" s="109"/>
      <c r="I76" s="109"/>
    </row>
    <row r="77" customFormat="false" ht="18" hidden="false" customHeight="true" outlineLevel="0" collapsed="false">
      <c r="A77" s="105" t="n">
        <v>2</v>
      </c>
      <c r="B77" s="106" t="s">
        <v>480</v>
      </c>
      <c r="C77" s="107" t="n">
        <f aca="false">IF(OR(FALSE(),Übungen!$L$10="pause"),"",IF(IFERROR(INDEX(Rekorde!$O$4:$O$23,MATCH(Übungen!$A$10,Rekorde!$A$4:$A$23,0)),"")="","",ROUND(IFERROR(INDEX(Rekorde!$O$4:$O$23,MATCH(Übungen!$A$10,Rekorde!$A$4:$A$23,0)),"")*0.7*2,0)/2))</f>
        <v>24</v>
      </c>
      <c r="D77" s="108"/>
      <c r="E77" s="109"/>
      <c r="F77" s="109"/>
      <c r="G77" s="109"/>
      <c r="H77" s="109"/>
      <c r="I77" s="109"/>
    </row>
    <row r="78" customFormat="false" ht="18" hidden="false" customHeight="true" outlineLevel="0" collapsed="false">
      <c r="A78" s="105" t="n">
        <v>3</v>
      </c>
      <c r="B78" s="110" t="s">
        <v>481</v>
      </c>
      <c r="C78" s="111" t="n">
        <f aca="false">IF(OR(FALSE(),Übungen!$L$10="pause"),"",IF(IFERROR(INDEX(Rekorde!$O$4:$O$23,MATCH(Übungen!$A$10,Rekorde!$A$4:$A$23,0)),"")="","",ROUND(IFERROR(INDEX(Rekorde!$O$4:$O$23,MATCH(Übungen!$A$10,Rekorde!$A$4:$A$23,0)),"")*1*2,0)/2))</f>
        <v>34</v>
      </c>
      <c r="D78" s="112" t="n">
        <f aca="false">IF(OR(FALSE(),Übungen!$L$10="pause"),"",IF(IFERROR(INDEX(Rekorde!$P$4:$P$23,MATCH(Übungen!$A$10,Rekorde!$A$4:$A$23,0)),"")="","",MIN(Übungen!$E$10,IFERROR(INDEX(Rekorde!$P$4:$P$23,MATCH(Übungen!$A$10,Rekorde!$A$4:$A$23,0)),"")+0)))</f>
        <v>6</v>
      </c>
      <c r="E78" s="109"/>
      <c r="F78" s="109"/>
      <c r="G78" s="109"/>
      <c r="H78" s="109"/>
      <c r="I78" s="109"/>
    </row>
    <row r="79" customFormat="false" ht="18" hidden="false" customHeight="true" outlineLevel="0" collapsed="false">
      <c r="A79" s="105" t="n">
        <v>4</v>
      </c>
      <c r="B79" s="110" t="s">
        <v>482</v>
      </c>
      <c r="C79" s="107" t="n">
        <f aca="false">IF(OR(FALSE(),Übungen!$L$10="pause"),"",IF(IFERROR(INDEX(Rekorde!$O$4:$O$23,MATCH(Übungen!$A$10,Rekorde!$A$4:$A$23,0)),"")="","",ROUND(IFERROR(INDEX(Rekorde!$O$4:$O$23,MATCH(Übungen!$A$10,Rekorde!$A$4:$A$23,0)),"")*0.95*2,0)/2))</f>
        <v>32.5</v>
      </c>
      <c r="D79" s="112" t="n">
        <f aca="false">IF(OR(FALSE(),Übungen!$L$10="pause"),"",IF(IFERROR(INDEX(Rekorde!$P$4:$P$23,MATCH(Übungen!$A$10,Rekorde!$A$4:$A$23,0)),"")="","",MIN(Übungen!$E$10,IFERROR(INDEX(Rekorde!$P$4:$P$23,MATCH(Übungen!$A$10,Rekorde!$A$4:$A$23,0)),"")+1)))</f>
        <v>6</v>
      </c>
      <c r="E79" s="109"/>
      <c r="F79" s="109"/>
      <c r="G79" s="109"/>
      <c r="H79" s="109"/>
      <c r="I79" s="109"/>
    </row>
    <row r="80" customFormat="false" ht="18" hidden="false" customHeight="true" outlineLevel="0" collapsed="false">
      <c r="A80" s="105" t="n">
        <v>5</v>
      </c>
      <c r="B80" s="110" t="s">
        <v>483</v>
      </c>
      <c r="C80" s="107" t="n">
        <f aca="false">IF(OR(FALSE(),Übungen!$L$10="pause"),"",IF(IFERROR(INDEX(Rekorde!$O$4:$O$23,MATCH(Übungen!$A$10,Rekorde!$A$4:$A$23,0)),"")="","",ROUND(IFERROR(INDEX(Rekorde!$O$4:$O$23,MATCH(Übungen!$A$10,Rekorde!$A$4:$A$23,0)),"")*0.9*2,0)/2))</f>
        <v>30.5</v>
      </c>
      <c r="D80" s="112" t="n">
        <f aca="false">IF(OR(FALSE(),Übungen!$L$10="pause"),"",IF(IFERROR(INDEX(Rekorde!$P$4:$P$23,MATCH(Übungen!$A$10,Rekorde!$A$4:$A$23,0)),"")="","",MIN(Übungen!$E$10,IFERROR(INDEX(Rekorde!$P$4:$P$23,MATCH(Übungen!$A$10,Rekorde!$A$4:$A$23,0)),"")+2)))</f>
        <v>6</v>
      </c>
      <c r="E80" s="109"/>
      <c r="F80" s="109"/>
      <c r="G80" s="109"/>
      <c r="H80" s="109"/>
      <c r="I80" s="109"/>
    </row>
    <row r="82" customFormat="false" ht="18.75" hidden="false" customHeight="true" outlineLevel="0" collapsed="false">
      <c r="A82" s="101" t="str">
        <f aca="false">Übungen!$A$11</f>
        <v>Beinpresse breit</v>
      </c>
      <c r="B82" s="101"/>
      <c r="C82" s="101"/>
      <c r="D82" s="101"/>
      <c r="E82" s="101"/>
      <c r="F82" s="101"/>
      <c r="G82" s="101"/>
      <c r="H82" s="101"/>
      <c r="I82" s="101"/>
    </row>
    <row r="83" customFormat="false" ht="13.5" hidden="false" customHeight="true" outlineLevel="0" collapsed="false">
      <c r="A83"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83" s="102"/>
      <c r="C83" s="102"/>
      <c r="D83" s="102"/>
      <c r="E83" s="102"/>
      <c r="F83" s="102"/>
      <c r="G83" s="102"/>
      <c r="H83" s="102"/>
      <c r="I83" s="102"/>
    </row>
    <row r="84" customFormat="false" ht="13.5" hidden="false" customHeight="true" outlineLevel="0" collapsed="false">
      <c r="A84"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84" s="103"/>
      <c r="C84" s="103"/>
      <c r="D84" s="103"/>
      <c r="E84" s="103"/>
      <c r="F84" s="103"/>
      <c r="G84" s="103"/>
      <c r="H84" s="103"/>
      <c r="I84" s="103"/>
    </row>
    <row r="85" customFormat="false" ht="18" hidden="false" customHeight="true" outlineLevel="0" collapsed="false">
      <c r="A85" s="104" t="s">
        <v>473</v>
      </c>
      <c r="B85" s="104" t="s">
        <v>474</v>
      </c>
      <c r="C85" s="104" t="s">
        <v>475</v>
      </c>
      <c r="D85" s="104" t="s">
        <v>476</v>
      </c>
      <c r="E85" s="104" t="s">
        <v>477</v>
      </c>
      <c r="F85" s="104" t="s">
        <v>374</v>
      </c>
      <c r="G85" s="104" t="s">
        <v>48</v>
      </c>
      <c r="H85" s="104" t="s">
        <v>478</v>
      </c>
      <c r="I85" s="104" t="s">
        <v>255</v>
      </c>
    </row>
    <row r="86" customFormat="false" ht="18" hidden="false" customHeight="true" outlineLevel="0" collapsed="false">
      <c r="A86" s="105" t="n">
        <v>1</v>
      </c>
      <c r="B86" s="106" t="s">
        <v>479</v>
      </c>
      <c r="C86" s="107" t="n">
        <f aca="false">IF(OR(FALSE(),Übungen!$L$11="pause"),"",IF(IFERROR(INDEX(Rekorde!$O$4:$O$23,MATCH(Übungen!$A$11,Rekorde!$A$4:$A$23,0)),"")="","",ROUND(IFERROR(INDEX(Rekorde!$O$4:$O$23,MATCH(Übungen!$A$11,Rekorde!$A$4:$A$23,0)),"")*0.4*2,0)/2))</f>
        <v>88</v>
      </c>
      <c r="D86" s="108"/>
      <c r="E86" s="109"/>
      <c r="F86" s="109"/>
      <c r="G86" s="109"/>
      <c r="H86" s="109"/>
      <c r="I86" s="109"/>
    </row>
    <row r="87" customFormat="false" ht="18" hidden="false" customHeight="true" outlineLevel="0" collapsed="false">
      <c r="A87" s="105" t="n">
        <v>2</v>
      </c>
      <c r="B87" s="106" t="s">
        <v>480</v>
      </c>
      <c r="C87" s="107" t="n">
        <f aca="false">IF(OR(FALSE(),Übungen!$L$11="pause"),"",IF(IFERROR(INDEX(Rekorde!$O$4:$O$23,MATCH(Übungen!$A$11,Rekorde!$A$4:$A$23,0)),"")="","",ROUND(IFERROR(INDEX(Rekorde!$O$4:$O$23,MATCH(Übungen!$A$11,Rekorde!$A$4:$A$23,0)),"")*0.7*2,0)/2))</f>
        <v>154</v>
      </c>
      <c r="D87" s="108"/>
      <c r="E87" s="109"/>
      <c r="F87" s="109"/>
      <c r="G87" s="109"/>
      <c r="H87" s="109"/>
      <c r="I87" s="109"/>
    </row>
    <row r="88" customFormat="false" ht="18" hidden="false" customHeight="true" outlineLevel="0" collapsed="false">
      <c r="A88" s="105" t="n">
        <v>3</v>
      </c>
      <c r="B88" s="110" t="s">
        <v>481</v>
      </c>
      <c r="C88" s="111" t="n">
        <f aca="false">IF(OR(FALSE(),Übungen!$L$11="pause"),"",IF(IFERROR(INDEX(Rekorde!$O$4:$O$23,MATCH(Übungen!$A$11,Rekorde!$A$4:$A$23,0)),"")="","",ROUND(IFERROR(INDEX(Rekorde!$O$4:$O$23,MATCH(Übungen!$A$11,Rekorde!$A$4:$A$23,0)),"")*1*2,0)/2))</f>
        <v>220</v>
      </c>
      <c r="D88" s="112" t="n">
        <f aca="false">IF(OR(FALSE(),Übungen!$L$11="pause"),"",IF(IFERROR(INDEX(Rekorde!$P$4:$P$23,MATCH(Übungen!$A$11,Rekorde!$A$4:$A$23,0)),"")="","",MIN(Übungen!$E$11,IFERROR(INDEX(Rekorde!$P$4:$P$23,MATCH(Übungen!$A$11,Rekorde!$A$4:$A$23,0)),"")+0)))</f>
        <v>5</v>
      </c>
      <c r="E88" s="109"/>
      <c r="F88" s="109"/>
      <c r="G88" s="109"/>
      <c r="H88" s="109"/>
      <c r="I88" s="109"/>
    </row>
    <row r="89" customFormat="false" ht="18" hidden="false" customHeight="true" outlineLevel="0" collapsed="false">
      <c r="A89" s="105" t="n">
        <v>4</v>
      </c>
      <c r="B89" s="110" t="s">
        <v>482</v>
      </c>
      <c r="C89" s="107" t="n">
        <f aca="false">IF(OR(FALSE(),Übungen!$L$11="pause"),"",IF(IFERROR(INDEX(Rekorde!$O$4:$O$23,MATCH(Übungen!$A$11,Rekorde!$A$4:$A$23,0)),"")="","",ROUND(IFERROR(INDEX(Rekorde!$O$4:$O$23,MATCH(Übungen!$A$11,Rekorde!$A$4:$A$23,0)),"")*0.95*2,0)/2))</f>
        <v>209</v>
      </c>
      <c r="D89" s="112" t="n">
        <f aca="false">IF(OR(FALSE(),Übungen!$L$11="pause"),"",IF(IFERROR(INDEX(Rekorde!$P$4:$P$23,MATCH(Übungen!$A$11,Rekorde!$A$4:$A$23,0)),"")="","",MIN(Übungen!$E$11,IFERROR(INDEX(Rekorde!$P$4:$P$23,MATCH(Übungen!$A$11,Rekorde!$A$4:$A$23,0)),"")+1)))</f>
        <v>6</v>
      </c>
      <c r="E89" s="109"/>
      <c r="F89" s="109"/>
      <c r="G89" s="109"/>
      <c r="H89" s="109"/>
      <c r="I89" s="109"/>
    </row>
    <row r="90" customFormat="false" ht="18" hidden="false" customHeight="true" outlineLevel="0" collapsed="false">
      <c r="A90" s="105" t="n">
        <v>5</v>
      </c>
      <c r="B90" s="110" t="s">
        <v>483</v>
      </c>
      <c r="C90" s="107" t="n">
        <f aca="false">IF(OR(FALSE(),Übungen!$L$11="pause"),"",IF(IFERROR(INDEX(Rekorde!$O$4:$O$23,MATCH(Übungen!$A$11,Rekorde!$A$4:$A$23,0)),"")="","",ROUND(IFERROR(INDEX(Rekorde!$O$4:$O$23,MATCH(Übungen!$A$11,Rekorde!$A$4:$A$23,0)),"")*0.9*2,0)/2))</f>
        <v>198</v>
      </c>
      <c r="D90" s="112" t="n">
        <f aca="false">IF(OR(FALSE(),Übungen!$L$11="pause"),"",IF(IFERROR(INDEX(Rekorde!$P$4:$P$23,MATCH(Übungen!$A$11,Rekorde!$A$4:$A$23,0)),"")="","",MIN(Übungen!$E$11,IFERROR(INDEX(Rekorde!$P$4:$P$23,MATCH(Übungen!$A$11,Rekorde!$A$4:$A$23,0)),"")+2)))</f>
        <v>6</v>
      </c>
      <c r="E90" s="109"/>
      <c r="F90" s="109"/>
      <c r="G90" s="109"/>
      <c r="H90" s="109"/>
      <c r="I90" s="109"/>
    </row>
    <row r="92" customFormat="false" ht="18.75" hidden="false" customHeight="true" outlineLevel="0" collapsed="false">
      <c r="A92" s="101" t="str">
        <f aca="false">Übungen!$A$12</f>
        <v>Hip Thrust</v>
      </c>
      <c r="B92" s="101"/>
      <c r="C92" s="101"/>
      <c r="D92" s="101"/>
      <c r="E92" s="101"/>
      <c r="F92" s="101"/>
      <c r="G92" s="101"/>
      <c r="H92" s="101"/>
      <c r="I92" s="101"/>
    </row>
    <row r="93" customFormat="false" ht="13.5" hidden="false" customHeight="true" outlineLevel="0" collapsed="false">
      <c r="A93"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93" s="102"/>
      <c r="C93" s="102"/>
      <c r="D93" s="102"/>
      <c r="E93" s="102"/>
      <c r="F93" s="102"/>
      <c r="G93" s="102"/>
      <c r="H93" s="102"/>
      <c r="I93" s="102"/>
    </row>
    <row r="94" customFormat="false" ht="13.5" hidden="false" customHeight="true" outlineLevel="0" collapsed="false">
      <c r="A94"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94" s="103"/>
      <c r="C94" s="103"/>
      <c r="D94" s="103"/>
      <c r="E94" s="103"/>
      <c r="F94" s="103"/>
      <c r="G94" s="103"/>
      <c r="H94" s="103"/>
      <c r="I94" s="103"/>
    </row>
    <row r="95" customFormat="false" ht="18" hidden="false" customHeight="true" outlineLevel="0" collapsed="false">
      <c r="A95" s="104" t="s">
        <v>473</v>
      </c>
      <c r="B95" s="104" t="s">
        <v>474</v>
      </c>
      <c r="C95" s="104" t="s">
        <v>475</v>
      </c>
      <c r="D95" s="104" t="s">
        <v>476</v>
      </c>
      <c r="E95" s="104" t="s">
        <v>477</v>
      </c>
      <c r="F95" s="104" t="s">
        <v>374</v>
      </c>
      <c r="G95" s="104" t="s">
        <v>48</v>
      </c>
      <c r="H95" s="104" t="s">
        <v>478</v>
      </c>
      <c r="I95" s="104" t="s">
        <v>255</v>
      </c>
    </row>
    <row r="96" customFormat="false" ht="18" hidden="false" customHeight="true" outlineLevel="0" collapsed="false">
      <c r="A96" s="105" t="n">
        <v>1</v>
      </c>
      <c r="B96" s="106" t="s">
        <v>479</v>
      </c>
      <c r="C96" s="107" t="n">
        <f aca="false">IF(OR(FALSE(),Übungen!$L$12="pause"),"",IF(IFERROR(INDEX(Rekorde!$O$4:$O$23,MATCH(Übungen!$A$12,Rekorde!$A$4:$A$23,0)),"")="","",ROUND(IFERROR(INDEX(Rekorde!$O$4:$O$23,MATCH(Übungen!$A$12,Rekorde!$A$4:$A$23,0)),"")*0.4*2,0)/2))</f>
        <v>114</v>
      </c>
      <c r="D96" s="108"/>
      <c r="E96" s="109"/>
      <c r="F96" s="109"/>
      <c r="G96" s="109"/>
      <c r="H96" s="109"/>
      <c r="I96" s="109"/>
    </row>
    <row r="97" customFormat="false" ht="18" hidden="false" customHeight="true" outlineLevel="0" collapsed="false">
      <c r="A97" s="105" t="n">
        <v>2</v>
      </c>
      <c r="B97" s="106" t="s">
        <v>480</v>
      </c>
      <c r="C97" s="107" t="n">
        <f aca="false">IF(OR(FALSE(),Übungen!$L$12="pause"),"",IF(IFERROR(INDEX(Rekorde!$O$4:$O$23,MATCH(Übungen!$A$12,Rekorde!$A$4:$A$23,0)),"")="","",ROUND(IFERROR(INDEX(Rekorde!$O$4:$O$23,MATCH(Übungen!$A$12,Rekorde!$A$4:$A$23,0)),"")*0.7*2,0)/2))</f>
        <v>199.5</v>
      </c>
      <c r="D97" s="108"/>
      <c r="E97" s="109"/>
      <c r="F97" s="109"/>
      <c r="G97" s="109"/>
      <c r="H97" s="109"/>
      <c r="I97" s="109"/>
    </row>
    <row r="98" customFormat="false" ht="18" hidden="false" customHeight="true" outlineLevel="0" collapsed="false">
      <c r="A98" s="105" t="n">
        <v>3</v>
      </c>
      <c r="B98" s="110" t="s">
        <v>481</v>
      </c>
      <c r="C98" s="111" t="n">
        <f aca="false">IF(OR(FALSE(),Übungen!$L$12="pause"),"",IF(IFERROR(INDEX(Rekorde!$O$4:$O$23,MATCH(Übungen!$A$12,Rekorde!$A$4:$A$23,0)),"")="","",ROUND(IFERROR(INDEX(Rekorde!$O$4:$O$23,MATCH(Übungen!$A$12,Rekorde!$A$4:$A$23,0)),"")*1*2,0)/2))</f>
        <v>285</v>
      </c>
      <c r="D98" s="112" t="n">
        <f aca="false">IF(OR(FALSE(),Übungen!$L$12="pause"),"",IF(IFERROR(INDEX(Rekorde!$P$4:$P$23,MATCH(Übungen!$A$12,Rekorde!$A$4:$A$23,0)),"")="","",MIN(Übungen!$E$12,IFERROR(INDEX(Rekorde!$P$4:$P$23,MATCH(Übungen!$A$12,Rekorde!$A$4:$A$23,0)),"")+0)))</f>
        <v>6</v>
      </c>
      <c r="E98" s="109"/>
      <c r="F98" s="109"/>
      <c r="G98" s="109"/>
      <c r="H98" s="109"/>
      <c r="I98" s="109"/>
    </row>
    <row r="99" customFormat="false" ht="18" hidden="false" customHeight="true" outlineLevel="0" collapsed="false">
      <c r="A99" s="105" t="n">
        <v>4</v>
      </c>
      <c r="B99" s="110" t="s">
        <v>482</v>
      </c>
      <c r="C99" s="107" t="n">
        <f aca="false">IF(OR(FALSE(),Übungen!$L$12="pause"),"",IF(IFERROR(INDEX(Rekorde!$O$4:$O$23,MATCH(Übungen!$A$12,Rekorde!$A$4:$A$23,0)),"")="","",ROUND(IFERROR(INDEX(Rekorde!$O$4:$O$23,MATCH(Übungen!$A$12,Rekorde!$A$4:$A$23,0)),"")*0.95*2,0)/2))</f>
        <v>271</v>
      </c>
      <c r="D99" s="112" t="n">
        <f aca="false">IF(OR(FALSE(),Übungen!$L$12="pause"),"",IF(IFERROR(INDEX(Rekorde!$P$4:$P$23,MATCH(Übungen!$A$12,Rekorde!$A$4:$A$23,0)),"")="","",MIN(Übungen!$E$12,IFERROR(INDEX(Rekorde!$P$4:$P$23,MATCH(Übungen!$A$12,Rekorde!$A$4:$A$23,0)),"")+1)))</f>
        <v>6</v>
      </c>
      <c r="E99" s="109"/>
      <c r="F99" s="109"/>
      <c r="G99" s="109"/>
      <c r="H99" s="109"/>
      <c r="I99" s="109"/>
    </row>
    <row r="100" customFormat="false" ht="18" hidden="false" customHeight="true" outlineLevel="0" collapsed="false">
      <c r="A100" s="105" t="n">
        <v>5</v>
      </c>
      <c r="B100" s="110" t="s">
        <v>483</v>
      </c>
      <c r="C100" s="107" t="n">
        <f aca="false">IF(OR(FALSE(),Übungen!$L$12="pause"),"",IF(IFERROR(INDEX(Rekorde!$O$4:$O$23,MATCH(Übungen!$A$12,Rekorde!$A$4:$A$23,0)),"")="","",ROUND(IFERROR(INDEX(Rekorde!$O$4:$O$23,MATCH(Übungen!$A$12,Rekorde!$A$4:$A$23,0)),"")*0.9*2,0)/2))</f>
        <v>256.5</v>
      </c>
      <c r="D100" s="112" t="n">
        <f aca="false">IF(OR(FALSE(),Übungen!$L$12="pause"),"",IF(IFERROR(INDEX(Rekorde!$P$4:$P$23,MATCH(Übungen!$A$12,Rekorde!$A$4:$A$23,0)),"")="","",MIN(Übungen!$E$12,IFERROR(INDEX(Rekorde!$P$4:$P$23,MATCH(Übungen!$A$12,Rekorde!$A$4:$A$23,0)),"")+2)))</f>
        <v>6</v>
      </c>
      <c r="E100" s="109"/>
      <c r="F100" s="109"/>
      <c r="G100" s="109"/>
      <c r="H100" s="109"/>
      <c r="I100" s="109"/>
    </row>
    <row r="102" customFormat="false" ht="18.75" hidden="false" customHeight="true" outlineLevel="0" collapsed="false">
      <c r="A102" s="101" t="str">
        <f aca="false">Übungen!$A$13</f>
        <v>Hip &amp; Glute</v>
      </c>
      <c r="B102" s="101"/>
      <c r="C102" s="101"/>
      <c r="D102" s="101"/>
      <c r="E102" s="101"/>
      <c r="F102" s="101"/>
      <c r="G102" s="101"/>
      <c r="H102" s="101"/>
      <c r="I102" s="101"/>
    </row>
    <row r="103" customFormat="false" ht="13.5" hidden="false" customHeight="true" outlineLevel="0" collapsed="false">
      <c r="A103"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103" s="102"/>
      <c r="C103" s="102"/>
      <c r="D103" s="102"/>
      <c r="E103" s="102"/>
      <c r="F103" s="102"/>
      <c r="G103" s="102"/>
      <c r="H103" s="102"/>
      <c r="I103" s="102"/>
    </row>
    <row r="104" customFormat="false" ht="13.5" hidden="false" customHeight="true" outlineLevel="0" collapsed="false">
      <c r="A104"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104" s="103"/>
      <c r="C104" s="103"/>
      <c r="D104" s="103"/>
      <c r="E104" s="103"/>
      <c r="F104" s="103"/>
      <c r="G104" s="103"/>
      <c r="H104" s="103"/>
      <c r="I104" s="103"/>
    </row>
    <row r="105" customFormat="false" ht="18" hidden="false" customHeight="true" outlineLevel="0" collapsed="false">
      <c r="A105" s="104" t="s">
        <v>473</v>
      </c>
      <c r="B105" s="104" t="s">
        <v>474</v>
      </c>
      <c r="C105" s="104" t="s">
        <v>475</v>
      </c>
      <c r="D105" s="104" t="s">
        <v>476</v>
      </c>
      <c r="E105" s="104" t="s">
        <v>477</v>
      </c>
      <c r="F105" s="104" t="s">
        <v>374</v>
      </c>
      <c r="G105" s="104" t="s">
        <v>48</v>
      </c>
      <c r="H105" s="104" t="s">
        <v>478</v>
      </c>
      <c r="I105" s="104" t="s">
        <v>255</v>
      </c>
    </row>
    <row r="106" customFormat="false" ht="18" hidden="false" customHeight="true" outlineLevel="0" collapsed="false">
      <c r="A106" s="105" t="n">
        <v>1</v>
      </c>
      <c r="B106" s="106" t="s">
        <v>479</v>
      </c>
      <c r="C106" s="107" t="n">
        <f aca="false">IF(OR(FALSE(),Übungen!$L$13="pause"),"",IF(IFERROR(INDEX(Rekorde!$O$4:$O$23,MATCH(Übungen!$A$13,Rekorde!$A$4:$A$23,0)),"")="","",ROUND(IFERROR(INDEX(Rekorde!$O$4:$O$23,MATCH(Übungen!$A$13,Rekorde!$A$4:$A$23,0)),"")*0.4*2,0)/2))</f>
        <v>68</v>
      </c>
      <c r="D106" s="108"/>
      <c r="E106" s="109"/>
      <c r="F106" s="109"/>
      <c r="G106" s="109"/>
      <c r="H106" s="109"/>
      <c r="I106" s="109"/>
    </row>
    <row r="107" customFormat="false" ht="18" hidden="false" customHeight="true" outlineLevel="0" collapsed="false">
      <c r="A107" s="105" t="n">
        <v>2</v>
      </c>
      <c r="B107" s="106" t="s">
        <v>480</v>
      </c>
      <c r="C107" s="107" t="n">
        <f aca="false">IF(OR(FALSE(),Übungen!$L$13="pause"),"",IF(IFERROR(INDEX(Rekorde!$O$4:$O$23,MATCH(Übungen!$A$13,Rekorde!$A$4:$A$23,0)),"")="","",ROUND(IFERROR(INDEX(Rekorde!$O$4:$O$23,MATCH(Übungen!$A$13,Rekorde!$A$4:$A$23,0)),"")*0.7*2,0)/2))</f>
        <v>119</v>
      </c>
      <c r="D107" s="108"/>
      <c r="E107" s="109"/>
      <c r="F107" s="109"/>
      <c r="G107" s="109"/>
      <c r="H107" s="109"/>
      <c r="I107" s="109"/>
    </row>
    <row r="108" customFormat="false" ht="18" hidden="false" customHeight="true" outlineLevel="0" collapsed="false">
      <c r="A108" s="105" t="n">
        <v>3</v>
      </c>
      <c r="B108" s="110" t="s">
        <v>481</v>
      </c>
      <c r="C108" s="111" t="n">
        <f aca="false">IF(OR(FALSE(),Übungen!$L$13="pause"),"",IF(IFERROR(INDEX(Rekorde!$O$4:$O$23,MATCH(Übungen!$A$13,Rekorde!$A$4:$A$23,0)),"")="","",ROUND(IFERROR(INDEX(Rekorde!$O$4:$O$23,MATCH(Übungen!$A$13,Rekorde!$A$4:$A$23,0)),"")*1*2,0)/2))</f>
        <v>170</v>
      </c>
      <c r="D108" s="112" t="n">
        <f aca="false">IF(OR(FALSE(),Übungen!$L$13="pause"),"",IF(IFERROR(INDEX(Rekorde!$P$4:$P$23,MATCH(Übungen!$A$13,Rekorde!$A$4:$A$23,0)),"")="","",MIN(Übungen!$E$13,IFERROR(INDEX(Rekorde!$P$4:$P$23,MATCH(Übungen!$A$13,Rekorde!$A$4:$A$23,0)),"")+0)))</f>
        <v>6</v>
      </c>
      <c r="E108" s="109"/>
      <c r="F108" s="109"/>
      <c r="G108" s="109"/>
      <c r="H108" s="109"/>
      <c r="I108" s="109"/>
    </row>
    <row r="109" customFormat="false" ht="18" hidden="false" customHeight="true" outlineLevel="0" collapsed="false">
      <c r="A109" s="105" t="n">
        <v>4</v>
      </c>
      <c r="B109" s="110" t="s">
        <v>482</v>
      </c>
      <c r="C109" s="107" t="n">
        <f aca="false">IF(OR(FALSE(),Übungen!$L$13="pause"),"",IF(IFERROR(INDEX(Rekorde!$O$4:$O$23,MATCH(Übungen!$A$13,Rekorde!$A$4:$A$23,0)),"")="","",ROUND(IFERROR(INDEX(Rekorde!$O$4:$O$23,MATCH(Übungen!$A$13,Rekorde!$A$4:$A$23,0)),"")*0.95*2,0)/2))</f>
        <v>161.5</v>
      </c>
      <c r="D109" s="112" t="n">
        <f aca="false">IF(OR(FALSE(),Übungen!$L$13="pause"),"",IF(IFERROR(INDEX(Rekorde!$P$4:$P$23,MATCH(Übungen!$A$13,Rekorde!$A$4:$A$23,0)),"")="","",MIN(Übungen!$E$13,IFERROR(INDEX(Rekorde!$P$4:$P$23,MATCH(Übungen!$A$13,Rekorde!$A$4:$A$23,0)),"")+1)))</f>
        <v>6</v>
      </c>
      <c r="E109" s="109"/>
      <c r="F109" s="109"/>
      <c r="G109" s="109"/>
      <c r="H109" s="109"/>
      <c r="I109" s="109"/>
    </row>
    <row r="110" customFormat="false" ht="18" hidden="false" customHeight="true" outlineLevel="0" collapsed="false">
      <c r="A110" s="105" t="n">
        <v>5</v>
      </c>
      <c r="B110" s="110" t="s">
        <v>483</v>
      </c>
      <c r="C110" s="107" t="n">
        <f aca="false">IF(OR(FALSE(),Übungen!$L$13="pause"),"",IF(IFERROR(INDEX(Rekorde!$O$4:$O$23,MATCH(Übungen!$A$13,Rekorde!$A$4:$A$23,0)),"")="","",ROUND(IFERROR(INDEX(Rekorde!$O$4:$O$23,MATCH(Übungen!$A$13,Rekorde!$A$4:$A$23,0)),"")*0.9*2,0)/2))</f>
        <v>153</v>
      </c>
      <c r="D110" s="112" t="n">
        <f aca="false">IF(OR(FALSE(),Übungen!$L$13="pause"),"",IF(IFERROR(INDEX(Rekorde!$P$4:$P$23,MATCH(Übungen!$A$13,Rekorde!$A$4:$A$23,0)),"")="","",MIN(Übungen!$E$13,IFERROR(INDEX(Rekorde!$P$4:$P$23,MATCH(Übungen!$A$13,Rekorde!$A$4:$A$23,0)),"")+2)))</f>
        <v>6</v>
      </c>
      <c r="E110" s="109"/>
      <c r="F110" s="109"/>
      <c r="G110" s="109"/>
      <c r="H110" s="109"/>
      <c r="I110" s="109"/>
    </row>
    <row r="112" customFormat="false" ht="18.75" hidden="false" customHeight="true" outlineLevel="0" collapsed="false">
      <c r="A112" s="101" t="str">
        <f aca="false">Übungen!$A$14</f>
        <v>Beinbeuger</v>
      </c>
      <c r="B112" s="101"/>
      <c r="C112" s="101"/>
      <c r="D112" s="101"/>
      <c r="E112" s="101"/>
      <c r="F112" s="101"/>
      <c r="G112" s="101"/>
      <c r="H112" s="101"/>
      <c r="I112" s="101"/>
    </row>
    <row r="113" customFormat="false" ht="13.5" hidden="false" customHeight="true" outlineLevel="0" collapsed="false">
      <c r="A113"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3" s="102"/>
      <c r="C113" s="102"/>
      <c r="D113" s="102"/>
      <c r="E113" s="102"/>
      <c r="F113" s="102"/>
      <c r="G113" s="102"/>
      <c r="H113" s="102"/>
      <c r="I113" s="102"/>
    </row>
    <row r="114" customFormat="false" ht="13.5" hidden="false" customHeight="true" outlineLevel="0" collapsed="false">
      <c r="A114"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114" s="103"/>
      <c r="C114" s="103"/>
      <c r="D114" s="103"/>
      <c r="E114" s="103"/>
      <c r="F114" s="103"/>
      <c r="G114" s="103"/>
      <c r="H114" s="103"/>
      <c r="I114" s="103"/>
    </row>
    <row r="115" customFormat="false" ht="18" hidden="false" customHeight="true" outlineLevel="0" collapsed="false">
      <c r="A115" s="104" t="s">
        <v>473</v>
      </c>
      <c r="B115" s="104" t="s">
        <v>474</v>
      </c>
      <c r="C115" s="104" t="s">
        <v>475</v>
      </c>
      <c r="D115" s="104" t="s">
        <v>476</v>
      </c>
      <c r="E115" s="104" t="s">
        <v>477</v>
      </c>
      <c r="F115" s="104" t="s">
        <v>374</v>
      </c>
      <c r="G115" s="104" t="s">
        <v>48</v>
      </c>
      <c r="H115" s="104" t="s">
        <v>478</v>
      </c>
      <c r="I115" s="104" t="s">
        <v>255</v>
      </c>
    </row>
    <row r="116" customFormat="false" ht="18" hidden="false" customHeight="true" outlineLevel="0" collapsed="false">
      <c r="A116" s="105" t="n">
        <v>1</v>
      </c>
      <c r="B116" s="106" t="s">
        <v>479</v>
      </c>
      <c r="C116" s="107" t="n">
        <f aca="false">IF(OR(FALSE(),Übungen!$L$14="pause"),"",IF(IFERROR(INDEX(Rekorde!$O$4:$O$23,MATCH(Übungen!$A$14,Rekorde!$A$4:$A$23,0)),"")="","",ROUND(IFERROR(INDEX(Rekorde!$O$4:$O$23,MATCH(Übungen!$A$14,Rekorde!$A$4:$A$23,0)),"")*0.4*2,0)/2))</f>
        <v>18</v>
      </c>
      <c r="D116" s="108"/>
      <c r="E116" s="109"/>
      <c r="F116" s="109"/>
      <c r="G116" s="109"/>
      <c r="H116" s="109"/>
      <c r="I116" s="109"/>
    </row>
    <row r="117" customFormat="false" ht="18" hidden="false" customHeight="true" outlineLevel="0" collapsed="false">
      <c r="A117" s="105" t="n">
        <v>2</v>
      </c>
      <c r="B117" s="106" t="s">
        <v>480</v>
      </c>
      <c r="C117" s="107" t="n">
        <f aca="false">IF(OR(FALSE(),Übungen!$L$14="pause"),"",IF(IFERROR(INDEX(Rekorde!$O$4:$O$23,MATCH(Übungen!$A$14,Rekorde!$A$4:$A$23,0)),"")="","",ROUND(IFERROR(INDEX(Rekorde!$O$4:$O$23,MATCH(Übungen!$A$14,Rekorde!$A$4:$A$23,0)),"")*0.7*2,0)/2))</f>
        <v>31.5</v>
      </c>
      <c r="D117" s="108"/>
      <c r="E117" s="109"/>
      <c r="F117" s="109"/>
      <c r="G117" s="109"/>
      <c r="H117" s="109"/>
      <c r="I117" s="109"/>
    </row>
    <row r="118" customFormat="false" ht="18" hidden="false" customHeight="true" outlineLevel="0" collapsed="false">
      <c r="A118" s="105" t="n">
        <v>3</v>
      </c>
      <c r="B118" s="110" t="s">
        <v>481</v>
      </c>
      <c r="C118" s="111" t="n">
        <f aca="false">IF(OR(FALSE(),Übungen!$L$14="pause"),"",IF(IFERROR(INDEX(Rekorde!$O$4:$O$23,MATCH(Übungen!$A$14,Rekorde!$A$4:$A$23,0)),"")="","",ROUND(IFERROR(INDEX(Rekorde!$O$4:$O$23,MATCH(Übungen!$A$14,Rekorde!$A$4:$A$23,0)),"")*1*2,0)/2))</f>
        <v>45</v>
      </c>
      <c r="D118" s="112" t="n">
        <f aca="false">IF(OR(FALSE(),Übungen!$L$14="pause"),"",IF(IFERROR(INDEX(Rekorde!$P$4:$P$23,MATCH(Übungen!$A$14,Rekorde!$A$4:$A$23,0)),"")="","",MIN(Übungen!$E$14,IFERROR(INDEX(Rekorde!$P$4:$P$23,MATCH(Übungen!$A$14,Rekorde!$A$4:$A$23,0)),"")+0)))</f>
        <v>6</v>
      </c>
      <c r="E118" s="109"/>
      <c r="F118" s="109"/>
      <c r="G118" s="109"/>
      <c r="H118" s="109"/>
      <c r="I118" s="109"/>
    </row>
    <row r="119" customFormat="false" ht="18" hidden="false" customHeight="true" outlineLevel="0" collapsed="false">
      <c r="A119" s="105" t="n">
        <v>4</v>
      </c>
      <c r="B119" s="110" t="s">
        <v>482</v>
      </c>
      <c r="C119" s="107" t="n">
        <f aca="false">IF(OR(FALSE(),Übungen!$L$14="pause"),"",IF(IFERROR(INDEX(Rekorde!$O$4:$O$23,MATCH(Übungen!$A$14,Rekorde!$A$4:$A$23,0)),"")="","",ROUND(IFERROR(INDEX(Rekorde!$O$4:$O$23,MATCH(Übungen!$A$14,Rekorde!$A$4:$A$23,0)),"")*0.95*2,0)/2))</f>
        <v>43</v>
      </c>
      <c r="D119" s="112" t="n">
        <f aca="false">IF(OR(FALSE(),Übungen!$L$14="pause"),"",IF(IFERROR(INDEX(Rekorde!$P$4:$P$23,MATCH(Übungen!$A$14,Rekorde!$A$4:$A$23,0)),"")="","",MIN(Übungen!$E$14,IFERROR(INDEX(Rekorde!$P$4:$P$23,MATCH(Übungen!$A$14,Rekorde!$A$4:$A$23,0)),"")+1)))</f>
        <v>6</v>
      </c>
      <c r="E119" s="109"/>
      <c r="F119" s="109"/>
      <c r="G119" s="109"/>
      <c r="H119" s="109"/>
      <c r="I119" s="109"/>
    </row>
    <row r="120" customFormat="false" ht="18" hidden="false" customHeight="true" outlineLevel="0" collapsed="false">
      <c r="A120" s="105" t="n">
        <v>5</v>
      </c>
      <c r="B120" s="110" t="s">
        <v>483</v>
      </c>
      <c r="C120" s="107" t="n">
        <f aca="false">IF(OR(FALSE(),Übungen!$L$14="pause"),"",IF(IFERROR(INDEX(Rekorde!$O$4:$O$23,MATCH(Übungen!$A$14,Rekorde!$A$4:$A$23,0)),"")="","",ROUND(IFERROR(INDEX(Rekorde!$O$4:$O$23,MATCH(Übungen!$A$14,Rekorde!$A$4:$A$23,0)),"")*0.9*2,0)/2))</f>
        <v>40.5</v>
      </c>
      <c r="D120" s="112" t="n">
        <f aca="false">IF(OR(FALSE(),Übungen!$L$14="pause"),"",IF(IFERROR(INDEX(Rekorde!$P$4:$P$23,MATCH(Übungen!$A$14,Rekorde!$A$4:$A$23,0)),"")="","",MIN(Übungen!$E$14,IFERROR(INDEX(Rekorde!$P$4:$P$23,MATCH(Übungen!$A$14,Rekorde!$A$4:$A$23,0)),"")+2)))</f>
        <v>6</v>
      </c>
      <c r="E120" s="109"/>
      <c r="F120" s="109"/>
      <c r="G120" s="109"/>
      <c r="H120" s="109"/>
      <c r="I120" s="109"/>
    </row>
    <row r="122" customFormat="false" ht="18.75" hidden="false" customHeight="true" outlineLevel="0" collapsed="false">
      <c r="A122" s="101" t="str">
        <f aca="false">Übungen!$A$15</f>
        <v>Seitliche Kickbacks</v>
      </c>
      <c r="B122" s="101"/>
      <c r="C122" s="101"/>
      <c r="D122" s="101"/>
      <c r="E122" s="101"/>
      <c r="F122" s="101"/>
      <c r="G122" s="101"/>
      <c r="H122" s="101"/>
      <c r="I122" s="101"/>
    </row>
    <row r="123" customFormat="false" ht="13.5" hidden="false" customHeight="true" outlineLevel="0" collapsed="false">
      <c r="A123"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123" s="102"/>
      <c r="C123" s="102"/>
      <c r="D123" s="102"/>
      <c r="E123" s="102"/>
      <c r="F123" s="102"/>
      <c r="G123" s="102"/>
      <c r="H123" s="102"/>
      <c r="I123" s="102"/>
    </row>
    <row r="124" customFormat="false" ht="13.5" hidden="false" customHeight="true" outlineLevel="0" collapsed="false">
      <c r="A124"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124" s="103"/>
      <c r="C124" s="103"/>
      <c r="D124" s="103"/>
      <c r="E124" s="103"/>
      <c r="F124" s="103"/>
      <c r="G124" s="103"/>
      <c r="H124" s="103"/>
      <c r="I124" s="103"/>
    </row>
    <row r="125" customFormat="false" ht="18" hidden="false" customHeight="true" outlineLevel="0" collapsed="false">
      <c r="A125" s="104" t="s">
        <v>473</v>
      </c>
      <c r="B125" s="104" t="s">
        <v>474</v>
      </c>
      <c r="C125" s="104" t="s">
        <v>475</v>
      </c>
      <c r="D125" s="104" t="s">
        <v>476</v>
      </c>
      <c r="E125" s="104" t="s">
        <v>477</v>
      </c>
      <c r="F125" s="104" t="s">
        <v>374</v>
      </c>
      <c r="G125" s="104" t="s">
        <v>48</v>
      </c>
      <c r="H125" s="104" t="s">
        <v>478</v>
      </c>
      <c r="I125" s="104" t="s">
        <v>255</v>
      </c>
    </row>
    <row r="126" customFormat="false" ht="18" hidden="false" customHeight="true" outlineLevel="0" collapsed="false">
      <c r="A126" s="105" t="n">
        <v>1</v>
      </c>
      <c r="B126" s="106" t="s">
        <v>479</v>
      </c>
      <c r="C126" s="107" t="n">
        <f aca="false">IF(OR(FALSE(),Übungen!$L$15="pause"),"",IF(IFERROR(INDEX(Rekorde!$O$4:$O$23,MATCH(Übungen!$A$15,Rekorde!$A$4:$A$23,0)),"")="","",ROUND(IFERROR(INDEX(Rekorde!$O$4:$O$23,MATCH(Übungen!$A$15,Rekorde!$A$4:$A$23,0)),"")*0.4*2,0)/2))</f>
        <v>16</v>
      </c>
      <c r="D126" s="108"/>
      <c r="E126" s="109"/>
      <c r="F126" s="109"/>
      <c r="G126" s="109"/>
      <c r="H126" s="109"/>
      <c r="I126" s="109"/>
    </row>
    <row r="127" customFormat="false" ht="18" hidden="false" customHeight="true" outlineLevel="0" collapsed="false">
      <c r="A127" s="105" t="n">
        <v>2</v>
      </c>
      <c r="B127" s="106" t="s">
        <v>480</v>
      </c>
      <c r="C127" s="107" t="n">
        <f aca="false">IF(OR(FALSE(),Übungen!$L$15="pause"),"",IF(IFERROR(INDEX(Rekorde!$O$4:$O$23,MATCH(Übungen!$A$15,Rekorde!$A$4:$A$23,0)),"")="","",ROUND(IFERROR(INDEX(Rekorde!$O$4:$O$23,MATCH(Übungen!$A$15,Rekorde!$A$4:$A$23,0)),"")*0.7*2,0)/2))</f>
        <v>28</v>
      </c>
      <c r="D127" s="108"/>
      <c r="E127" s="109"/>
      <c r="F127" s="109"/>
      <c r="G127" s="109"/>
      <c r="H127" s="109"/>
      <c r="I127" s="109"/>
    </row>
    <row r="128" customFormat="false" ht="18" hidden="false" customHeight="true" outlineLevel="0" collapsed="false">
      <c r="A128" s="105" t="n">
        <v>3</v>
      </c>
      <c r="B128" s="110" t="s">
        <v>481</v>
      </c>
      <c r="C128" s="111" t="n">
        <f aca="false">IF(OR(FALSE(),Übungen!$L$15="pause"),"",IF(IFERROR(INDEX(Rekorde!$O$4:$O$23,MATCH(Übungen!$A$15,Rekorde!$A$4:$A$23,0)),"")="","",ROUND(IFERROR(INDEX(Rekorde!$O$4:$O$23,MATCH(Übungen!$A$15,Rekorde!$A$4:$A$23,0)),"")*1*2,0)/2))</f>
        <v>40</v>
      </c>
      <c r="D128" s="112" t="n">
        <f aca="false">IF(OR(FALSE(),Übungen!$L$15="pause"),"",IF(IFERROR(INDEX(Rekorde!$P$4:$P$23,MATCH(Übungen!$A$15,Rekorde!$A$4:$A$23,0)),"")="","",MIN(Übungen!$E$15,IFERROR(INDEX(Rekorde!$P$4:$P$23,MATCH(Übungen!$A$15,Rekorde!$A$4:$A$23,0)),"")+0)))</f>
        <v>5</v>
      </c>
      <c r="E128" s="109"/>
      <c r="F128" s="109"/>
      <c r="G128" s="109"/>
      <c r="H128" s="109"/>
      <c r="I128" s="109"/>
    </row>
    <row r="129" customFormat="false" ht="18" hidden="false" customHeight="true" outlineLevel="0" collapsed="false">
      <c r="A129" s="105" t="n">
        <v>4</v>
      </c>
      <c r="B129" s="110" t="s">
        <v>482</v>
      </c>
      <c r="C129" s="107" t="n">
        <f aca="false">IF(OR(FALSE(),Übungen!$L$15="pause"),"",IF(IFERROR(INDEX(Rekorde!$O$4:$O$23,MATCH(Übungen!$A$15,Rekorde!$A$4:$A$23,0)),"")="","",ROUND(IFERROR(INDEX(Rekorde!$O$4:$O$23,MATCH(Übungen!$A$15,Rekorde!$A$4:$A$23,0)),"")*0.95*2,0)/2))</f>
        <v>38</v>
      </c>
      <c r="D129" s="112" t="n">
        <f aca="false">IF(OR(FALSE(),Übungen!$L$15="pause"),"",IF(IFERROR(INDEX(Rekorde!$P$4:$P$23,MATCH(Übungen!$A$15,Rekorde!$A$4:$A$23,0)),"")="","",MIN(Übungen!$E$15,IFERROR(INDEX(Rekorde!$P$4:$P$23,MATCH(Übungen!$A$15,Rekorde!$A$4:$A$23,0)),"")+1)))</f>
        <v>6</v>
      </c>
      <c r="E129" s="109"/>
      <c r="F129" s="109"/>
      <c r="G129" s="109"/>
      <c r="H129" s="109"/>
      <c r="I129" s="109"/>
    </row>
    <row r="130" customFormat="false" ht="18" hidden="false" customHeight="true" outlineLevel="0" collapsed="false">
      <c r="A130" s="105" t="n">
        <v>5</v>
      </c>
      <c r="B130" s="110" t="s">
        <v>483</v>
      </c>
      <c r="C130" s="107" t="n">
        <f aca="false">IF(OR(FALSE(),Übungen!$L$15="pause"),"",IF(IFERROR(INDEX(Rekorde!$O$4:$O$23,MATCH(Übungen!$A$15,Rekorde!$A$4:$A$23,0)),"")="","",ROUND(IFERROR(INDEX(Rekorde!$O$4:$O$23,MATCH(Übungen!$A$15,Rekorde!$A$4:$A$23,0)),"")*0.9*2,0)/2))</f>
        <v>36</v>
      </c>
      <c r="D130" s="112" t="n">
        <f aca="false">IF(OR(FALSE(),Übungen!$L$15="pause"),"",IF(IFERROR(INDEX(Rekorde!$P$4:$P$23,MATCH(Übungen!$A$15,Rekorde!$A$4:$A$23,0)),"")="","",MIN(Übungen!$E$15,IFERROR(INDEX(Rekorde!$P$4:$P$23,MATCH(Übungen!$A$15,Rekorde!$A$4:$A$23,0)),"")+2)))</f>
        <v>6</v>
      </c>
      <c r="E130" s="109"/>
      <c r="F130" s="109"/>
      <c r="G130" s="109"/>
      <c r="H130" s="109"/>
      <c r="I130" s="109"/>
    </row>
    <row r="132" customFormat="false" ht="18.75" hidden="false" customHeight="true" outlineLevel="0" collapsed="false">
      <c r="A132" s="101" t="str">
        <f aca="false">Übungen!$A$16</f>
        <v>Waden</v>
      </c>
      <c r="B132" s="101"/>
      <c r="C132" s="101"/>
      <c r="D132" s="101"/>
      <c r="E132" s="101"/>
      <c r="F132" s="101"/>
      <c r="G132" s="101"/>
      <c r="H132" s="101"/>
      <c r="I132" s="101"/>
    </row>
    <row r="133" customFormat="false" ht="13.5" hidden="false" customHeight="true" outlineLevel="0" collapsed="false">
      <c r="A133"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3" s="102"/>
      <c r="C133" s="102"/>
      <c r="D133" s="102"/>
      <c r="E133" s="102"/>
      <c r="F133" s="102"/>
      <c r="G133" s="102"/>
      <c r="H133" s="102"/>
      <c r="I133" s="102"/>
    </row>
    <row r="134" customFormat="false" ht="13.5" hidden="false" customHeight="true" outlineLevel="0" collapsed="false">
      <c r="A134"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134" s="103"/>
      <c r="C134" s="103"/>
      <c r="D134" s="103"/>
      <c r="E134" s="103"/>
      <c r="F134" s="103"/>
      <c r="G134" s="103"/>
      <c r="H134" s="103"/>
      <c r="I134" s="103"/>
    </row>
    <row r="135" customFormat="false" ht="18" hidden="false" customHeight="true" outlineLevel="0" collapsed="false">
      <c r="A135" s="104" t="s">
        <v>473</v>
      </c>
      <c r="B135" s="104" t="s">
        <v>474</v>
      </c>
      <c r="C135" s="104" t="s">
        <v>475</v>
      </c>
      <c r="D135" s="104" t="s">
        <v>476</v>
      </c>
      <c r="E135" s="104" t="s">
        <v>477</v>
      </c>
      <c r="F135" s="104" t="s">
        <v>374</v>
      </c>
      <c r="G135" s="104" t="s">
        <v>48</v>
      </c>
      <c r="H135" s="104" t="s">
        <v>478</v>
      </c>
      <c r="I135" s="104" t="s">
        <v>255</v>
      </c>
    </row>
    <row r="136" customFormat="false" ht="18" hidden="false" customHeight="true" outlineLevel="0" collapsed="false">
      <c r="A136" s="105" t="n">
        <v>1</v>
      </c>
      <c r="B136" s="106" t="s">
        <v>479</v>
      </c>
      <c r="C136" s="107" t="n">
        <f aca="false">IF(OR(FALSE(),Übungen!$L$16="pause"),"",IF(IFERROR(INDEX(Rekorde!$O$4:$O$23,MATCH(Übungen!$A$16,Rekorde!$A$4:$A$23,0)),"")="","",ROUND(IFERROR(INDEX(Rekorde!$O$4:$O$23,MATCH(Übungen!$A$16,Rekorde!$A$4:$A$23,0)),"")*0.4*2,0)/2))</f>
        <v>76</v>
      </c>
      <c r="D136" s="108"/>
      <c r="E136" s="109"/>
      <c r="F136" s="109"/>
      <c r="G136" s="109"/>
      <c r="H136" s="109"/>
      <c r="I136" s="109"/>
    </row>
    <row r="137" customFormat="false" ht="18" hidden="false" customHeight="true" outlineLevel="0" collapsed="false">
      <c r="A137" s="105" t="n">
        <v>2</v>
      </c>
      <c r="B137" s="106" t="s">
        <v>480</v>
      </c>
      <c r="C137" s="107" t="n">
        <f aca="false">IF(OR(FALSE(),Übungen!$L$16="pause"),"",IF(IFERROR(INDEX(Rekorde!$O$4:$O$23,MATCH(Übungen!$A$16,Rekorde!$A$4:$A$23,0)),"")="","",ROUND(IFERROR(INDEX(Rekorde!$O$4:$O$23,MATCH(Übungen!$A$16,Rekorde!$A$4:$A$23,0)),"")*0.7*2,0)/2))</f>
        <v>133</v>
      </c>
      <c r="D137" s="108"/>
      <c r="E137" s="109"/>
      <c r="F137" s="109"/>
      <c r="G137" s="109"/>
      <c r="H137" s="109"/>
      <c r="I137" s="109"/>
    </row>
    <row r="138" customFormat="false" ht="18" hidden="false" customHeight="true" outlineLevel="0" collapsed="false">
      <c r="A138" s="105" t="n">
        <v>3</v>
      </c>
      <c r="B138" s="110" t="s">
        <v>481</v>
      </c>
      <c r="C138" s="111" t="n">
        <f aca="false">IF(OR(FALSE(),Übungen!$L$16="pause"),"",IF(IFERROR(INDEX(Rekorde!$O$4:$O$23,MATCH(Übungen!$A$16,Rekorde!$A$4:$A$23,0)),"")="","",ROUND(IFERROR(INDEX(Rekorde!$O$4:$O$23,MATCH(Übungen!$A$16,Rekorde!$A$4:$A$23,0)),"")*1*2,0)/2))</f>
        <v>190</v>
      </c>
      <c r="D138" s="112" t="n">
        <f aca="false">IF(OR(FALSE(),Übungen!$L$16="pause"),"",IF(IFERROR(INDEX(Rekorde!$P$4:$P$23,MATCH(Übungen!$A$16,Rekorde!$A$4:$A$23,0)),"")="","",MIN(Übungen!$E$16,IFERROR(INDEX(Rekorde!$P$4:$P$23,MATCH(Übungen!$A$16,Rekorde!$A$4:$A$23,0)),"")+0)))</f>
        <v>6</v>
      </c>
      <c r="E138" s="109"/>
      <c r="F138" s="109"/>
      <c r="G138" s="109"/>
      <c r="H138" s="109"/>
      <c r="I138" s="109"/>
    </row>
    <row r="139" customFormat="false" ht="18" hidden="false" customHeight="true" outlineLevel="0" collapsed="false">
      <c r="A139" s="105" t="n">
        <v>4</v>
      </c>
      <c r="B139" s="110" t="s">
        <v>482</v>
      </c>
      <c r="C139" s="107" t="n">
        <f aca="false">IF(OR(FALSE(),Übungen!$L$16="pause"),"",IF(IFERROR(INDEX(Rekorde!$O$4:$O$23,MATCH(Übungen!$A$16,Rekorde!$A$4:$A$23,0)),"")="","",ROUND(IFERROR(INDEX(Rekorde!$O$4:$O$23,MATCH(Übungen!$A$16,Rekorde!$A$4:$A$23,0)),"")*0.95*2,0)/2))</f>
        <v>180.5</v>
      </c>
      <c r="D139" s="112" t="n">
        <f aca="false">IF(OR(FALSE(),Übungen!$L$16="pause"),"",IF(IFERROR(INDEX(Rekorde!$P$4:$P$23,MATCH(Übungen!$A$16,Rekorde!$A$4:$A$23,0)),"")="","",MIN(Übungen!$E$16,IFERROR(INDEX(Rekorde!$P$4:$P$23,MATCH(Übungen!$A$16,Rekorde!$A$4:$A$23,0)),"")+1)))</f>
        <v>6</v>
      </c>
      <c r="E139" s="109"/>
      <c r="F139" s="109"/>
      <c r="G139" s="109"/>
      <c r="H139" s="109"/>
      <c r="I139" s="109"/>
    </row>
    <row r="140" customFormat="false" ht="18" hidden="false" customHeight="true" outlineLevel="0" collapsed="false">
      <c r="A140" s="105" t="n">
        <v>5</v>
      </c>
      <c r="B140" s="110" t="s">
        <v>483</v>
      </c>
      <c r="C140" s="107" t="n">
        <f aca="false">IF(OR(FALSE(),Übungen!$L$16="pause"),"",IF(IFERROR(INDEX(Rekorde!$O$4:$O$23,MATCH(Übungen!$A$16,Rekorde!$A$4:$A$23,0)),"")="","",ROUND(IFERROR(INDEX(Rekorde!$O$4:$O$23,MATCH(Übungen!$A$16,Rekorde!$A$4:$A$23,0)),"")*0.9*2,0)/2))</f>
        <v>171</v>
      </c>
      <c r="D140" s="112" t="n">
        <f aca="false">IF(OR(FALSE(),Übungen!$L$16="pause"),"",IF(IFERROR(INDEX(Rekorde!$P$4:$P$23,MATCH(Übungen!$A$16,Rekorde!$A$4:$A$23,0)),"")="","",MIN(Übungen!$E$16,IFERROR(INDEX(Rekorde!$P$4:$P$23,MATCH(Übungen!$A$16,Rekorde!$A$4:$A$23,0)),"")+2)))</f>
        <v>6</v>
      </c>
      <c r="E140" s="109"/>
      <c r="F140" s="109"/>
      <c r="G140" s="109"/>
      <c r="H140" s="109"/>
      <c r="I140" s="109"/>
    </row>
    <row r="142" customFormat="false" ht="15.75" hidden="false" customHeight="true" outlineLevel="0" collapsed="false">
      <c r="A142" s="3" t="s">
        <v>484</v>
      </c>
      <c r="B142" s="3"/>
      <c r="C142" s="3"/>
      <c r="D142" s="3"/>
      <c r="E142" s="3"/>
      <c r="F142" s="3"/>
      <c r="G142" s="3"/>
      <c r="H142" s="3"/>
      <c r="I142" s="3"/>
    </row>
    <row r="143" customFormat="false" ht="18" hidden="false" customHeight="true" outlineLevel="0" collapsed="false">
      <c r="A143" s="113"/>
      <c r="B143" s="113"/>
      <c r="C143" s="113"/>
      <c r="D143" s="113"/>
      <c r="E143" s="113"/>
      <c r="F143" s="113"/>
      <c r="G143" s="113"/>
      <c r="H143" s="113"/>
      <c r="I143" s="113"/>
    </row>
    <row r="144" customFormat="false" ht="18" hidden="false" customHeight="true" outlineLevel="0" collapsed="false">
      <c r="A144" s="113"/>
      <c r="B144" s="113"/>
      <c r="C144" s="113"/>
      <c r="D144" s="113"/>
      <c r="E144" s="113"/>
      <c r="F144" s="113"/>
      <c r="G144" s="113"/>
      <c r="H144" s="113"/>
      <c r="I144" s="113"/>
    </row>
    <row r="146" customFormat="false" ht="27.75" hidden="false" customHeight="true" outlineLevel="0" collapsed="false">
      <c r="A146" s="1" t="s">
        <v>486</v>
      </c>
      <c r="B146" s="1"/>
      <c r="C146" s="1"/>
      <c r="D146" s="1"/>
      <c r="E146" s="1"/>
      <c r="F146" s="1"/>
      <c r="G146" s="1"/>
      <c r="H146" s="1"/>
      <c r="I146" s="1"/>
    </row>
    <row r="147" customFormat="false" ht="12" hidden="false" customHeight="true" outlineLevel="0" collapsed="false">
      <c r="A147" s="98" t="s">
        <v>73</v>
      </c>
      <c r="B147" s="98"/>
      <c r="C147" s="99" t="s">
        <v>469</v>
      </c>
      <c r="D147" s="99" t="s">
        <v>470</v>
      </c>
      <c r="E147" s="98" t="s">
        <v>471</v>
      </c>
      <c r="F147" s="98"/>
      <c r="G147" s="98" t="s">
        <v>472</v>
      </c>
      <c r="H147" s="98"/>
    </row>
    <row r="148" customFormat="false" ht="18" hidden="false" customHeight="true" outlineLevel="0" collapsed="false">
      <c r="A148" s="100"/>
      <c r="B148" s="100"/>
      <c r="C148" s="100"/>
      <c r="D148" s="100"/>
      <c r="E148" s="100"/>
      <c r="F148" s="100"/>
      <c r="G148" s="100"/>
      <c r="H148" s="100"/>
    </row>
    <row r="150" customFormat="false" ht="18.75" hidden="false" customHeight="true" outlineLevel="0" collapsed="false">
      <c r="A150" s="101" t="str">
        <f aca="false">Übungen!$A$17</f>
        <v>Squat Maschine Bülach</v>
      </c>
      <c r="B150" s="101"/>
      <c r="C150" s="101"/>
      <c r="D150" s="101"/>
      <c r="E150" s="101"/>
      <c r="F150" s="101"/>
      <c r="G150" s="101"/>
      <c r="H150" s="101"/>
      <c r="I150" s="101"/>
    </row>
    <row r="151" customFormat="false" ht="13.5" hidden="false" customHeight="true" outlineLevel="0" collapsed="false">
      <c r="A151"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151" s="102"/>
      <c r="C151" s="102"/>
      <c r="D151" s="102"/>
      <c r="E151" s="102"/>
      <c r="F151" s="102"/>
      <c r="G151" s="102"/>
      <c r="H151" s="102"/>
      <c r="I151" s="102"/>
    </row>
    <row r="152" customFormat="false" ht="13.5" hidden="false" customHeight="true" outlineLevel="0" collapsed="false">
      <c r="A152"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152" s="103"/>
      <c r="C152" s="103"/>
      <c r="D152" s="103"/>
      <c r="E152" s="103"/>
      <c r="F152" s="103"/>
      <c r="G152" s="103"/>
      <c r="H152" s="103"/>
      <c r="I152" s="103"/>
    </row>
    <row r="153" customFormat="false" ht="18" hidden="false" customHeight="true" outlineLevel="0" collapsed="false">
      <c r="A153" s="104" t="s">
        <v>473</v>
      </c>
      <c r="B153" s="104" t="s">
        <v>474</v>
      </c>
      <c r="C153" s="104" t="s">
        <v>475</v>
      </c>
      <c r="D153" s="104" t="s">
        <v>476</v>
      </c>
      <c r="E153" s="104" t="s">
        <v>477</v>
      </c>
      <c r="F153" s="104" t="s">
        <v>374</v>
      </c>
      <c r="G153" s="104" t="s">
        <v>48</v>
      </c>
      <c r="H153" s="104" t="s">
        <v>478</v>
      </c>
      <c r="I153" s="104" t="s">
        <v>255</v>
      </c>
    </row>
    <row r="154" customFormat="false" ht="18" hidden="false" customHeight="true" outlineLevel="0" collapsed="false">
      <c r="A154" s="105" t="n">
        <v>1</v>
      </c>
      <c r="B154" s="106" t="s">
        <v>479</v>
      </c>
      <c r="C154" s="107" t="n">
        <f aca="false">IF(OR(FALSE(),Übungen!$L$17="pause"),"",IF(IFERROR(INDEX(Rekorde!$O$4:$O$23,MATCH(Übungen!$A$17,Rekorde!$A$4:$A$23,0)),"")="","",ROUND(IFERROR(INDEX(Rekorde!$O$4:$O$23,MATCH(Übungen!$A$17,Rekorde!$A$4:$A$23,0)),"")*0.4*2,0)/2))</f>
        <v>52</v>
      </c>
      <c r="D154" s="108"/>
      <c r="E154" s="109"/>
      <c r="F154" s="109"/>
      <c r="G154" s="109"/>
      <c r="H154" s="109"/>
      <c r="I154" s="109"/>
    </row>
    <row r="155" customFormat="false" ht="18" hidden="false" customHeight="true" outlineLevel="0" collapsed="false">
      <c r="A155" s="105" t="n">
        <v>2</v>
      </c>
      <c r="B155" s="106" t="s">
        <v>480</v>
      </c>
      <c r="C155" s="107" t="n">
        <f aca="false">IF(OR(FALSE(),Übungen!$L$17="pause"),"",IF(IFERROR(INDEX(Rekorde!$O$4:$O$23,MATCH(Übungen!$A$17,Rekorde!$A$4:$A$23,0)),"")="","",ROUND(IFERROR(INDEX(Rekorde!$O$4:$O$23,MATCH(Übungen!$A$17,Rekorde!$A$4:$A$23,0)),"")*0.7*2,0)/2))</f>
        <v>91</v>
      </c>
      <c r="D155" s="108"/>
      <c r="E155" s="109"/>
      <c r="F155" s="109"/>
      <c r="G155" s="109"/>
      <c r="H155" s="109"/>
      <c r="I155" s="109"/>
    </row>
    <row r="156" customFormat="false" ht="18" hidden="false" customHeight="true" outlineLevel="0" collapsed="false">
      <c r="A156" s="105" t="n">
        <v>3</v>
      </c>
      <c r="B156" s="110" t="s">
        <v>481</v>
      </c>
      <c r="C156" s="111" t="n">
        <f aca="false">IF(OR(FALSE(),Übungen!$L$17="pause"),"",IF(IFERROR(INDEX(Rekorde!$O$4:$O$23,MATCH(Übungen!$A$17,Rekorde!$A$4:$A$23,0)),"")="","",ROUND(IFERROR(INDEX(Rekorde!$O$4:$O$23,MATCH(Übungen!$A$17,Rekorde!$A$4:$A$23,0)),"")*1*2,0)/2))</f>
        <v>130</v>
      </c>
      <c r="D156" s="112" t="n">
        <f aca="false">IF(OR(FALSE(),Übungen!$L$17="pause"),"",IF(IFERROR(INDEX(Rekorde!$P$4:$P$23,MATCH(Übungen!$A$17,Rekorde!$A$4:$A$23,0)),"")="","",MIN(Übungen!$E$17,IFERROR(INDEX(Rekorde!$P$4:$P$23,MATCH(Übungen!$A$17,Rekorde!$A$4:$A$23,0)),"")+0)))</f>
        <v>5</v>
      </c>
      <c r="E156" s="109"/>
      <c r="F156" s="109"/>
      <c r="G156" s="109"/>
      <c r="H156" s="109"/>
      <c r="I156" s="109"/>
    </row>
    <row r="157" customFormat="false" ht="18" hidden="false" customHeight="true" outlineLevel="0" collapsed="false">
      <c r="A157" s="105" t="n">
        <v>4</v>
      </c>
      <c r="B157" s="110" t="s">
        <v>482</v>
      </c>
      <c r="C157" s="107" t="n">
        <f aca="false">IF(OR(FALSE(),Übungen!$L$17="pause"),"",IF(IFERROR(INDEX(Rekorde!$O$4:$O$23,MATCH(Übungen!$A$17,Rekorde!$A$4:$A$23,0)),"")="","",ROUND(IFERROR(INDEX(Rekorde!$O$4:$O$23,MATCH(Übungen!$A$17,Rekorde!$A$4:$A$23,0)),"")*0.95*2,0)/2))</f>
        <v>123.5</v>
      </c>
      <c r="D157" s="112" t="n">
        <f aca="false">IF(OR(FALSE(),Übungen!$L$17="pause"),"",IF(IFERROR(INDEX(Rekorde!$P$4:$P$23,MATCH(Übungen!$A$17,Rekorde!$A$4:$A$23,0)),"")="","",MIN(Übungen!$E$17,IFERROR(INDEX(Rekorde!$P$4:$P$23,MATCH(Übungen!$A$17,Rekorde!$A$4:$A$23,0)),"")+1)))</f>
        <v>6</v>
      </c>
      <c r="E157" s="109"/>
      <c r="F157" s="109"/>
      <c r="G157" s="109"/>
      <c r="H157" s="109"/>
      <c r="I157" s="109"/>
    </row>
    <row r="158" customFormat="false" ht="18" hidden="false" customHeight="true" outlineLevel="0" collapsed="false">
      <c r="A158" s="105" t="n">
        <v>5</v>
      </c>
      <c r="B158" s="110" t="s">
        <v>483</v>
      </c>
      <c r="C158" s="107" t="n">
        <f aca="false">IF(OR(FALSE(),Übungen!$L$17="pause"),"",IF(IFERROR(INDEX(Rekorde!$O$4:$O$23,MATCH(Übungen!$A$17,Rekorde!$A$4:$A$23,0)),"")="","",ROUND(IFERROR(INDEX(Rekorde!$O$4:$O$23,MATCH(Übungen!$A$17,Rekorde!$A$4:$A$23,0)),"")*0.9*2,0)/2))</f>
        <v>117</v>
      </c>
      <c r="D158" s="112" t="n">
        <f aca="false">IF(OR(FALSE(),Übungen!$L$17="pause"),"",IF(IFERROR(INDEX(Rekorde!$P$4:$P$23,MATCH(Übungen!$A$17,Rekorde!$A$4:$A$23,0)),"")="","",MIN(Übungen!$E$17,IFERROR(INDEX(Rekorde!$P$4:$P$23,MATCH(Übungen!$A$17,Rekorde!$A$4:$A$23,0)),"")+2)))</f>
        <v>6</v>
      </c>
      <c r="E158" s="109"/>
      <c r="F158" s="109"/>
      <c r="G158" s="109"/>
      <c r="H158" s="109"/>
      <c r="I158" s="109"/>
    </row>
    <row r="160" customFormat="false" ht="18.75" hidden="false" customHeight="true" outlineLevel="0" collapsed="false">
      <c r="A160" s="101" t="str">
        <f aca="false">Übungen!$A$18</f>
        <v>Hip Thrust Bülach</v>
      </c>
      <c r="B160" s="101"/>
      <c r="C160" s="101"/>
      <c r="D160" s="101"/>
      <c r="E160" s="101"/>
      <c r="F160" s="101"/>
      <c r="G160" s="101"/>
      <c r="H160" s="101"/>
      <c r="I160" s="101"/>
    </row>
    <row r="161" customFormat="false" ht="13.5" hidden="false" customHeight="true" outlineLevel="0" collapsed="false">
      <c r="A161"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161" s="102"/>
      <c r="C161" s="102"/>
      <c r="D161" s="102"/>
      <c r="E161" s="102"/>
      <c r="F161" s="102"/>
      <c r="G161" s="102"/>
      <c r="H161" s="102"/>
      <c r="I161" s="102"/>
    </row>
    <row r="162" customFormat="false" ht="13.5" hidden="false" customHeight="true" outlineLevel="0" collapsed="false">
      <c r="A162"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162" s="103"/>
      <c r="C162" s="103"/>
      <c r="D162" s="103"/>
      <c r="E162" s="103"/>
      <c r="F162" s="103"/>
      <c r="G162" s="103"/>
      <c r="H162" s="103"/>
      <c r="I162" s="103"/>
    </row>
    <row r="163" customFormat="false" ht="18" hidden="false" customHeight="true" outlineLevel="0" collapsed="false">
      <c r="A163" s="104" t="s">
        <v>473</v>
      </c>
      <c r="B163" s="104" t="s">
        <v>474</v>
      </c>
      <c r="C163" s="104" t="s">
        <v>475</v>
      </c>
      <c r="D163" s="104" t="s">
        <v>476</v>
      </c>
      <c r="E163" s="104" t="s">
        <v>477</v>
      </c>
      <c r="F163" s="104" t="s">
        <v>374</v>
      </c>
      <c r="G163" s="104" t="s">
        <v>48</v>
      </c>
      <c r="H163" s="104" t="s">
        <v>478</v>
      </c>
      <c r="I163" s="104" t="s">
        <v>255</v>
      </c>
    </row>
    <row r="164" customFormat="false" ht="18" hidden="false" customHeight="true" outlineLevel="0" collapsed="false">
      <c r="A164" s="105" t="n">
        <v>1</v>
      </c>
      <c r="B164" s="106" t="s">
        <v>479</v>
      </c>
      <c r="C164" s="107" t="n">
        <f aca="false">IF(OR(FALSE(),Übungen!$L$18="pause"),"",IF(IFERROR(INDEX(Rekorde!$O$4:$O$23,MATCH(Übungen!$A$18,Rekorde!$A$4:$A$23,0)),"")="","",ROUND(IFERROR(INDEX(Rekorde!$O$4:$O$23,MATCH(Übungen!$A$18,Rekorde!$A$4:$A$23,0)),"")*0.4*2,0)/2))</f>
        <v>88</v>
      </c>
      <c r="D164" s="108"/>
      <c r="E164" s="109"/>
      <c r="F164" s="109"/>
      <c r="G164" s="109"/>
      <c r="H164" s="109"/>
      <c r="I164" s="109"/>
    </row>
    <row r="165" customFormat="false" ht="18" hidden="false" customHeight="true" outlineLevel="0" collapsed="false">
      <c r="A165" s="105" t="n">
        <v>2</v>
      </c>
      <c r="B165" s="106" t="s">
        <v>480</v>
      </c>
      <c r="C165" s="107" t="n">
        <f aca="false">IF(OR(FALSE(),Übungen!$L$18="pause"),"",IF(IFERROR(INDEX(Rekorde!$O$4:$O$23,MATCH(Übungen!$A$18,Rekorde!$A$4:$A$23,0)),"")="","",ROUND(IFERROR(INDEX(Rekorde!$O$4:$O$23,MATCH(Übungen!$A$18,Rekorde!$A$4:$A$23,0)),"")*0.7*2,0)/2))</f>
        <v>154</v>
      </c>
      <c r="D165" s="108"/>
      <c r="E165" s="109"/>
      <c r="F165" s="109"/>
      <c r="G165" s="109"/>
      <c r="H165" s="109"/>
      <c r="I165" s="109"/>
    </row>
    <row r="166" customFormat="false" ht="18" hidden="false" customHeight="true" outlineLevel="0" collapsed="false">
      <c r="A166" s="105" t="n">
        <v>3</v>
      </c>
      <c r="B166" s="110" t="s">
        <v>481</v>
      </c>
      <c r="C166" s="111" t="n">
        <f aca="false">IF(OR(FALSE(),Übungen!$L$18="pause"),"",IF(IFERROR(INDEX(Rekorde!$O$4:$O$23,MATCH(Übungen!$A$18,Rekorde!$A$4:$A$23,0)),"")="","",ROUND(IFERROR(INDEX(Rekorde!$O$4:$O$23,MATCH(Übungen!$A$18,Rekorde!$A$4:$A$23,0)),"")*1*2,0)/2))</f>
        <v>220</v>
      </c>
      <c r="D166" s="112" t="n">
        <f aca="false">IF(OR(FALSE(),Übungen!$L$18="pause"),"",IF(IFERROR(INDEX(Rekorde!$P$4:$P$23,MATCH(Übungen!$A$18,Rekorde!$A$4:$A$23,0)),"")="","",MIN(Übungen!$E$18,IFERROR(INDEX(Rekorde!$P$4:$P$23,MATCH(Übungen!$A$18,Rekorde!$A$4:$A$23,0)),"")+0)))</f>
        <v>5</v>
      </c>
      <c r="E166" s="109"/>
      <c r="F166" s="109"/>
      <c r="G166" s="109"/>
      <c r="H166" s="109"/>
      <c r="I166" s="109"/>
    </row>
    <row r="167" customFormat="false" ht="18" hidden="false" customHeight="true" outlineLevel="0" collapsed="false">
      <c r="A167" s="105" t="n">
        <v>4</v>
      </c>
      <c r="B167" s="110" t="s">
        <v>482</v>
      </c>
      <c r="C167" s="107" t="n">
        <f aca="false">IF(OR(FALSE(),Übungen!$L$18="pause"),"",IF(IFERROR(INDEX(Rekorde!$O$4:$O$23,MATCH(Übungen!$A$18,Rekorde!$A$4:$A$23,0)),"")="","",ROUND(IFERROR(INDEX(Rekorde!$O$4:$O$23,MATCH(Übungen!$A$18,Rekorde!$A$4:$A$23,0)),"")*0.95*2,0)/2))</f>
        <v>209</v>
      </c>
      <c r="D167" s="112" t="n">
        <f aca="false">IF(OR(FALSE(),Übungen!$L$18="pause"),"",IF(IFERROR(INDEX(Rekorde!$P$4:$P$23,MATCH(Übungen!$A$18,Rekorde!$A$4:$A$23,0)),"")="","",MIN(Übungen!$E$18,IFERROR(INDEX(Rekorde!$P$4:$P$23,MATCH(Übungen!$A$18,Rekorde!$A$4:$A$23,0)),"")+1)))</f>
        <v>6</v>
      </c>
      <c r="E167" s="109"/>
      <c r="F167" s="109"/>
      <c r="G167" s="109"/>
      <c r="H167" s="109"/>
      <c r="I167" s="109"/>
    </row>
    <row r="168" customFormat="false" ht="18" hidden="false" customHeight="true" outlineLevel="0" collapsed="false">
      <c r="A168" s="105" t="n">
        <v>5</v>
      </c>
      <c r="B168" s="110" t="s">
        <v>483</v>
      </c>
      <c r="C168" s="107" t="n">
        <f aca="false">IF(OR(FALSE(),Übungen!$L$18="pause"),"",IF(IFERROR(INDEX(Rekorde!$O$4:$O$23,MATCH(Übungen!$A$18,Rekorde!$A$4:$A$23,0)),"")="","",ROUND(IFERROR(INDEX(Rekorde!$O$4:$O$23,MATCH(Übungen!$A$18,Rekorde!$A$4:$A$23,0)),"")*0.9*2,0)/2))</f>
        <v>198</v>
      </c>
      <c r="D168" s="112" t="n">
        <f aca="false">IF(OR(FALSE(),Übungen!$L$18="pause"),"",IF(IFERROR(INDEX(Rekorde!$P$4:$P$23,MATCH(Übungen!$A$18,Rekorde!$A$4:$A$23,0)),"")="","",MIN(Übungen!$E$18,IFERROR(INDEX(Rekorde!$P$4:$P$23,MATCH(Übungen!$A$18,Rekorde!$A$4:$A$23,0)),"")+2)))</f>
        <v>6</v>
      </c>
      <c r="E168" s="109"/>
      <c r="F168" s="109"/>
      <c r="G168" s="109"/>
      <c r="H168" s="109"/>
      <c r="I168" s="109"/>
    </row>
    <row r="170" customFormat="false" ht="18.75" hidden="false" customHeight="true" outlineLevel="0" collapsed="false">
      <c r="A170" s="101" t="str">
        <f aca="false">Übungen!$A$19</f>
        <v>Beinbeuger Bülach</v>
      </c>
      <c r="B170" s="101"/>
      <c r="C170" s="101"/>
      <c r="D170" s="101"/>
      <c r="E170" s="101"/>
      <c r="F170" s="101"/>
      <c r="G170" s="101"/>
      <c r="H170" s="101"/>
      <c r="I170" s="101"/>
    </row>
    <row r="171" customFormat="false" ht="13.5" hidden="false" customHeight="true" outlineLevel="0" collapsed="false">
      <c r="A171"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1" s="102"/>
      <c r="C171" s="102"/>
      <c r="D171" s="102"/>
      <c r="E171" s="102"/>
      <c r="F171" s="102"/>
      <c r="G171" s="102"/>
      <c r="H171" s="102"/>
      <c r="I171" s="102"/>
    </row>
    <row r="172" customFormat="false" ht="13.5" hidden="false" customHeight="true" outlineLevel="0" collapsed="false">
      <c r="A172"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172" s="103"/>
      <c r="C172" s="103"/>
      <c r="D172" s="103"/>
      <c r="E172" s="103"/>
      <c r="F172" s="103"/>
      <c r="G172" s="103"/>
      <c r="H172" s="103"/>
      <c r="I172" s="103"/>
    </row>
    <row r="173" customFormat="false" ht="18" hidden="false" customHeight="true" outlineLevel="0" collapsed="false">
      <c r="A173" s="104" t="s">
        <v>473</v>
      </c>
      <c r="B173" s="104" t="s">
        <v>474</v>
      </c>
      <c r="C173" s="104" t="s">
        <v>475</v>
      </c>
      <c r="D173" s="104" t="s">
        <v>476</v>
      </c>
      <c r="E173" s="104" t="s">
        <v>477</v>
      </c>
      <c r="F173" s="104" t="s">
        <v>374</v>
      </c>
      <c r="G173" s="104" t="s">
        <v>48</v>
      </c>
      <c r="H173" s="104" t="s">
        <v>478</v>
      </c>
      <c r="I173" s="104" t="s">
        <v>255</v>
      </c>
    </row>
    <row r="174" customFormat="false" ht="18" hidden="false" customHeight="true" outlineLevel="0" collapsed="false">
      <c r="A174" s="105" t="n">
        <v>1</v>
      </c>
      <c r="B174" s="106" t="s">
        <v>479</v>
      </c>
      <c r="C174" s="107" t="n">
        <f aca="false">IF(OR(FALSE(),Übungen!$L$19="pause"),"",IF(IFERROR(INDEX(Rekorde!$O$4:$O$23,MATCH(Übungen!$A$19,Rekorde!$A$4:$A$23,0)),"")="","",ROUND(IFERROR(INDEX(Rekorde!$O$4:$O$23,MATCH(Übungen!$A$19,Rekorde!$A$4:$A$23,0)),"")*0.4*2,0)/2))</f>
        <v>25</v>
      </c>
      <c r="D174" s="108"/>
      <c r="E174" s="109"/>
      <c r="F174" s="109"/>
      <c r="G174" s="109"/>
      <c r="H174" s="109"/>
      <c r="I174" s="109"/>
    </row>
    <row r="175" customFormat="false" ht="18" hidden="false" customHeight="true" outlineLevel="0" collapsed="false">
      <c r="A175" s="105" t="n">
        <v>2</v>
      </c>
      <c r="B175" s="106" t="s">
        <v>480</v>
      </c>
      <c r="C175" s="107" t="n">
        <f aca="false">IF(OR(FALSE(),Übungen!$L$19="pause"),"",IF(IFERROR(INDEX(Rekorde!$O$4:$O$23,MATCH(Übungen!$A$19,Rekorde!$A$4:$A$23,0)),"")="","",ROUND(IFERROR(INDEX(Rekorde!$O$4:$O$23,MATCH(Übungen!$A$19,Rekorde!$A$4:$A$23,0)),"")*0.7*2,0)/2))</f>
        <v>44</v>
      </c>
      <c r="D175" s="108"/>
      <c r="E175" s="109"/>
      <c r="F175" s="109"/>
      <c r="G175" s="109"/>
      <c r="H175" s="109"/>
      <c r="I175" s="109"/>
    </row>
    <row r="176" customFormat="false" ht="18" hidden="false" customHeight="true" outlineLevel="0" collapsed="false">
      <c r="A176" s="105" t="n">
        <v>3</v>
      </c>
      <c r="B176" s="110" t="s">
        <v>481</v>
      </c>
      <c r="C176" s="111" t="n">
        <f aca="false">IF(OR(FALSE(),Übungen!$L$19="pause"),"",IF(IFERROR(INDEX(Rekorde!$O$4:$O$23,MATCH(Übungen!$A$19,Rekorde!$A$4:$A$23,0)),"")="","",ROUND(IFERROR(INDEX(Rekorde!$O$4:$O$23,MATCH(Übungen!$A$19,Rekorde!$A$4:$A$23,0)),"")*1*2,0)/2))</f>
        <v>63</v>
      </c>
      <c r="D176" s="112" t="n">
        <f aca="false">IF(OR(FALSE(),Übungen!$L$19="pause"),"",IF(IFERROR(INDEX(Rekorde!$P$4:$P$23,MATCH(Übungen!$A$19,Rekorde!$A$4:$A$23,0)),"")="","",MIN(Übungen!$E$19,IFERROR(INDEX(Rekorde!$P$4:$P$23,MATCH(Übungen!$A$19,Rekorde!$A$4:$A$23,0)),"")+0)))</f>
        <v>5</v>
      </c>
      <c r="E176" s="109"/>
      <c r="F176" s="109"/>
      <c r="G176" s="109"/>
      <c r="H176" s="109"/>
      <c r="I176" s="109"/>
    </row>
    <row r="177" customFormat="false" ht="18" hidden="false" customHeight="true" outlineLevel="0" collapsed="false">
      <c r="A177" s="105" t="n">
        <v>4</v>
      </c>
      <c r="B177" s="110" t="s">
        <v>482</v>
      </c>
      <c r="C177" s="107" t="n">
        <f aca="false">IF(OR(FALSE(),Übungen!$L$19="pause"),"",IF(IFERROR(INDEX(Rekorde!$O$4:$O$23,MATCH(Übungen!$A$19,Rekorde!$A$4:$A$23,0)),"")="","",ROUND(IFERROR(INDEX(Rekorde!$O$4:$O$23,MATCH(Übungen!$A$19,Rekorde!$A$4:$A$23,0)),"")*0.95*2,0)/2))</f>
        <v>60</v>
      </c>
      <c r="D177" s="112" t="n">
        <f aca="false">IF(OR(FALSE(),Übungen!$L$19="pause"),"",IF(IFERROR(INDEX(Rekorde!$P$4:$P$23,MATCH(Übungen!$A$19,Rekorde!$A$4:$A$23,0)),"")="","",MIN(Übungen!$E$19,IFERROR(INDEX(Rekorde!$P$4:$P$23,MATCH(Übungen!$A$19,Rekorde!$A$4:$A$23,0)),"")+1)))</f>
        <v>6</v>
      </c>
      <c r="E177" s="109"/>
      <c r="F177" s="109"/>
      <c r="G177" s="109"/>
      <c r="H177" s="109"/>
      <c r="I177" s="109"/>
    </row>
    <row r="178" customFormat="false" ht="18" hidden="false" customHeight="true" outlineLevel="0" collapsed="false">
      <c r="A178" s="105" t="n">
        <v>5</v>
      </c>
      <c r="B178" s="110" t="s">
        <v>483</v>
      </c>
      <c r="C178" s="107" t="n">
        <f aca="false">IF(OR(FALSE(),Übungen!$L$19="pause"),"",IF(IFERROR(INDEX(Rekorde!$O$4:$O$23,MATCH(Übungen!$A$19,Rekorde!$A$4:$A$23,0)),"")="","",ROUND(IFERROR(INDEX(Rekorde!$O$4:$O$23,MATCH(Übungen!$A$19,Rekorde!$A$4:$A$23,0)),"")*0.9*2,0)/2))</f>
        <v>56.5</v>
      </c>
      <c r="D178" s="112" t="n">
        <f aca="false">IF(OR(FALSE(),Übungen!$L$19="pause"),"",IF(IFERROR(INDEX(Rekorde!$P$4:$P$23,MATCH(Übungen!$A$19,Rekorde!$A$4:$A$23,0)),"")="","",MIN(Übungen!$E$19,IFERROR(INDEX(Rekorde!$P$4:$P$23,MATCH(Übungen!$A$19,Rekorde!$A$4:$A$23,0)),"")+2)))</f>
        <v>6</v>
      </c>
      <c r="E178" s="109"/>
      <c r="F178" s="109"/>
      <c r="G178" s="109"/>
      <c r="H178" s="109"/>
      <c r="I178" s="109"/>
    </row>
    <row r="180" customFormat="false" ht="15.75" hidden="false" customHeight="true" outlineLevel="0" collapsed="false">
      <c r="A180" s="3" t="s">
        <v>484</v>
      </c>
      <c r="B180" s="3"/>
      <c r="C180" s="3"/>
      <c r="D180" s="3"/>
      <c r="E180" s="3"/>
      <c r="F180" s="3"/>
      <c r="G180" s="3"/>
      <c r="H180" s="3"/>
      <c r="I180" s="3"/>
    </row>
    <row r="181" customFormat="false" ht="18" hidden="false" customHeight="true" outlineLevel="0" collapsed="false">
      <c r="A181" s="113"/>
      <c r="B181" s="113"/>
      <c r="C181" s="113"/>
      <c r="D181" s="113"/>
      <c r="E181" s="113"/>
      <c r="F181" s="113"/>
      <c r="G181" s="113"/>
      <c r="H181" s="113"/>
      <c r="I181" s="113"/>
    </row>
    <row r="182" customFormat="false" ht="18" hidden="false" customHeight="true" outlineLevel="0" collapsed="false">
      <c r="A182" s="113"/>
      <c r="B182" s="113"/>
      <c r="C182" s="113"/>
      <c r="D182" s="113"/>
      <c r="E182" s="113"/>
      <c r="F182" s="113"/>
      <c r="G182" s="113"/>
      <c r="H182" s="113"/>
      <c r="I182" s="113"/>
    </row>
    <row r="184" customFormat="false" ht="27.75" hidden="false" customHeight="true" outlineLevel="0" collapsed="false">
      <c r="A184" s="1" t="s">
        <v>487</v>
      </c>
      <c r="B184" s="1"/>
      <c r="C184" s="1"/>
      <c r="D184" s="1"/>
      <c r="E184" s="1"/>
      <c r="F184" s="1"/>
      <c r="G184" s="1"/>
      <c r="H184" s="1"/>
      <c r="I184" s="1"/>
    </row>
    <row r="185" customFormat="false" ht="12" hidden="false" customHeight="true" outlineLevel="0" collapsed="false">
      <c r="A185" s="98" t="s">
        <v>73</v>
      </c>
      <c r="B185" s="98"/>
      <c r="C185" s="99" t="s">
        <v>469</v>
      </c>
      <c r="D185" s="99" t="s">
        <v>470</v>
      </c>
      <c r="E185" s="98" t="s">
        <v>471</v>
      </c>
      <c r="F185" s="98"/>
      <c r="G185" s="98" t="s">
        <v>472</v>
      </c>
      <c r="H185" s="98"/>
    </row>
    <row r="186" customFormat="false" ht="18" hidden="false" customHeight="true" outlineLevel="0" collapsed="false">
      <c r="A186" s="100"/>
      <c r="B186" s="100"/>
      <c r="C186" s="100"/>
      <c r="D186" s="100"/>
      <c r="E186" s="100"/>
      <c r="F186" s="100"/>
      <c r="G186" s="100"/>
      <c r="H186" s="100"/>
    </row>
    <row r="188" customFormat="false" ht="18.75" hidden="false" customHeight="true" outlineLevel="0" collapsed="false">
      <c r="A188" s="101" t="str">
        <f aca="false">Übungen!$A$4</f>
        <v>Beinpresse eng</v>
      </c>
      <c r="B188" s="101"/>
      <c r="C188" s="101"/>
      <c r="D188" s="101"/>
      <c r="E188" s="101"/>
      <c r="F188" s="101"/>
      <c r="G188" s="101"/>
      <c r="H188" s="101"/>
      <c r="I188" s="101"/>
    </row>
    <row r="189" customFormat="false" ht="13.5" hidden="false" customHeight="true" outlineLevel="0" collapsed="false">
      <c r="A189"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189" s="102"/>
      <c r="C189" s="102"/>
      <c r="D189" s="102"/>
      <c r="E189" s="102"/>
      <c r="F189" s="102"/>
      <c r="G189" s="102"/>
      <c r="H189" s="102"/>
      <c r="I189" s="102"/>
    </row>
    <row r="190" customFormat="false" ht="13.5" hidden="false" customHeight="true" outlineLevel="0" collapsed="false">
      <c r="A190"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190" s="103"/>
      <c r="C190" s="103"/>
      <c r="D190" s="103"/>
      <c r="E190" s="103"/>
      <c r="F190" s="103"/>
      <c r="G190" s="103"/>
      <c r="H190" s="103"/>
      <c r="I190" s="103"/>
    </row>
    <row r="191" customFormat="false" ht="18" hidden="false" customHeight="true" outlineLevel="0" collapsed="false">
      <c r="A191" s="104" t="s">
        <v>473</v>
      </c>
      <c r="B191" s="104" t="s">
        <v>474</v>
      </c>
      <c r="C191" s="104" t="s">
        <v>475</v>
      </c>
      <c r="D191" s="104" t="s">
        <v>476</v>
      </c>
      <c r="E191" s="104" t="s">
        <v>477</v>
      </c>
      <c r="F191" s="104" t="s">
        <v>374</v>
      </c>
      <c r="G191" s="104" t="s">
        <v>48</v>
      </c>
      <c r="H191" s="104" t="s">
        <v>478</v>
      </c>
      <c r="I191" s="104" t="s">
        <v>255</v>
      </c>
    </row>
    <row r="192" customFormat="false" ht="18" hidden="false" customHeight="true" outlineLevel="0" collapsed="false">
      <c r="A192" s="105" t="n">
        <v>1</v>
      </c>
      <c r="B192" s="106" t="s">
        <v>479</v>
      </c>
      <c r="C192" s="107" t="n">
        <f aca="false">IF(OR(FALSE(),Übungen!$L$4="pause"),"",IF(IFERROR(INDEX(Rekorde!$O$4:$O$23,MATCH(Übungen!$A$4,Rekorde!$A$4:$A$23,0)),"")="","",ROUND(IFERROR(INDEX(Rekorde!$O$4:$O$23,MATCH(Übungen!$A$4,Rekorde!$A$4:$A$23,0)),"")*0.4*2,0)/2))</f>
        <v>122</v>
      </c>
      <c r="D192" s="108"/>
      <c r="E192" s="109"/>
      <c r="F192" s="109"/>
      <c r="G192" s="109"/>
      <c r="H192" s="109"/>
      <c r="I192" s="109"/>
    </row>
    <row r="193" customFormat="false" ht="18" hidden="false" customHeight="true" outlineLevel="0" collapsed="false">
      <c r="A193" s="105" t="n">
        <v>2</v>
      </c>
      <c r="B193" s="106" t="s">
        <v>480</v>
      </c>
      <c r="C193" s="107" t="n">
        <f aca="false">IF(OR(FALSE(),Übungen!$L$4="pause"),"",IF(IFERROR(INDEX(Rekorde!$O$4:$O$23,MATCH(Übungen!$A$4,Rekorde!$A$4:$A$23,0)),"")="","",ROUND(IFERROR(INDEX(Rekorde!$O$4:$O$23,MATCH(Übungen!$A$4,Rekorde!$A$4:$A$23,0)),"")*0.7*2,0)/2))</f>
        <v>213.5</v>
      </c>
      <c r="D193" s="108"/>
      <c r="E193" s="109"/>
      <c r="F193" s="109"/>
      <c r="G193" s="109"/>
      <c r="H193" s="109"/>
      <c r="I193" s="109"/>
    </row>
    <row r="194" customFormat="false" ht="18" hidden="false" customHeight="true" outlineLevel="0" collapsed="false">
      <c r="A194" s="105" t="n">
        <v>3</v>
      </c>
      <c r="B194" s="110" t="s">
        <v>481</v>
      </c>
      <c r="C194" s="111" t="n">
        <f aca="false">IF(OR(FALSE(),Übungen!$L$4="pause"),"",IF(IFERROR(INDEX(Rekorde!$O$4:$O$23,MATCH(Übungen!$A$4,Rekorde!$A$4:$A$23,0)),"")="","",ROUND(IFERROR(INDEX(Rekorde!$O$4:$O$23,MATCH(Übungen!$A$4,Rekorde!$A$4:$A$23,0)),"")*1*2,0)/2))</f>
        <v>305</v>
      </c>
      <c r="D194" s="112" t="n">
        <f aca="false">IF(OR(FALSE(),Übungen!$L$4="pause"),"",IF(IFERROR(INDEX(Rekorde!$P$4:$P$23,MATCH(Übungen!$A$4,Rekorde!$A$4:$A$23,0)),"")="","",MIN(Übungen!$E$4,IFERROR(INDEX(Rekorde!$P$4:$P$23,MATCH(Übungen!$A$4,Rekorde!$A$4:$A$23,0)),"")+0)))</f>
        <v>5</v>
      </c>
      <c r="E194" s="109"/>
      <c r="F194" s="109"/>
      <c r="G194" s="109"/>
      <c r="H194" s="109"/>
      <c r="I194" s="109"/>
    </row>
    <row r="195" customFormat="false" ht="18" hidden="false" customHeight="true" outlineLevel="0" collapsed="false">
      <c r="A195" s="105" t="n">
        <v>4</v>
      </c>
      <c r="B195" s="110" t="s">
        <v>482</v>
      </c>
      <c r="C195" s="107" t="n">
        <f aca="false">IF(OR(FALSE(),Übungen!$L$4="pause"),"",IF(IFERROR(INDEX(Rekorde!$O$4:$O$23,MATCH(Übungen!$A$4,Rekorde!$A$4:$A$23,0)),"")="","",ROUND(IFERROR(INDEX(Rekorde!$O$4:$O$23,MATCH(Übungen!$A$4,Rekorde!$A$4:$A$23,0)),"")*0.95*2,0)/2))</f>
        <v>290</v>
      </c>
      <c r="D195" s="112" t="n">
        <f aca="false">IF(OR(FALSE(),Übungen!$L$4="pause"),"",IF(IFERROR(INDEX(Rekorde!$P$4:$P$23,MATCH(Übungen!$A$4,Rekorde!$A$4:$A$23,0)),"")="","",MIN(Übungen!$E$4,IFERROR(INDEX(Rekorde!$P$4:$P$23,MATCH(Übungen!$A$4,Rekorde!$A$4:$A$23,0)),"")+1)))</f>
        <v>6</v>
      </c>
      <c r="E195" s="109"/>
      <c r="F195" s="109"/>
      <c r="G195" s="109"/>
      <c r="H195" s="109"/>
      <c r="I195" s="109"/>
    </row>
    <row r="196" customFormat="false" ht="18" hidden="false" customHeight="true" outlineLevel="0" collapsed="false">
      <c r="A196" s="105" t="n">
        <v>5</v>
      </c>
      <c r="B196" s="110" t="s">
        <v>483</v>
      </c>
      <c r="C196" s="107" t="n">
        <f aca="false">IF(OR(FALSE(),Übungen!$L$4="pause"),"",IF(IFERROR(INDEX(Rekorde!$O$4:$O$23,MATCH(Übungen!$A$4,Rekorde!$A$4:$A$23,0)),"")="","",ROUND(IFERROR(INDEX(Rekorde!$O$4:$O$23,MATCH(Übungen!$A$4,Rekorde!$A$4:$A$23,0)),"")*0.9*2,0)/2))</f>
        <v>274.5</v>
      </c>
      <c r="D196" s="112" t="n">
        <f aca="false">IF(OR(FALSE(),Übungen!$L$4="pause"),"",IF(IFERROR(INDEX(Rekorde!$P$4:$P$23,MATCH(Übungen!$A$4,Rekorde!$A$4:$A$23,0)),"")="","",MIN(Übungen!$E$4,IFERROR(INDEX(Rekorde!$P$4:$P$23,MATCH(Übungen!$A$4,Rekorde!$A$4:$A$23,0)),"")+2)))</f>
        <v>6</v>
      </c>
      <c r="E196" s="109"/>
      <c r="F196" s="109"/>
      <c r="G196" s="109"/>
      <c r="H196" s="109"/>
      <c r="I196" s="109"/>
    </row>
    <row r="198" customFormat="false" ht="18.75" hidden="false" customHeight="true" outlineLevel="0" collapsed="false">
      <c r="A198" s="101" t="str">
        <f aca="false">Übungen!$A$5</f>
        <v>Split Squat</v>
      </c>
      <c r="B198" s="101"/>
      <c r="C198" s="101"/>
      <c r="D198" s="101"/>
      <c r="E198" s="101"/>
      <c r="F198" s="101"/>
      <c r="G198" s="101"/>
      <c r="H198" s="101"/>
      <c r="I198" s="101"/>
    </row>
    <row r="199" customFormat="false" ht="13.5" hidden="false" customHeight="true" outlineLevel="0" collapsed="false">
      <c r="A199"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199" s="102"/>
      <c r="C199" s="102"/>
      <c r="D199" s="102"/>
      <c r="E199" s="102"/>
      <c r="F199" s="102"/>
      <c r="G199" s="102"/>
      <c r="H199" s="102"/>
      <c r="I199" s="102"/>
    </row>
    <row r="200" customFormat="false" ht="13.5" hidden="false" customHeight="true" outlineLevel="0" collapsed="false">
      <c r="A200"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200" s="103"/>
      <c r="C200" s="103"/>
      <c r="D200" s="103"/>
      <c r="E200" s="103"/>
      <c r="F200" s="103"/>
      <c r="G200" s="103"/>
      <c r="H200" s="103"/>
      <c r="I200" s="103"/>
    </row>
    <row r="201" customFormat="false" ht="18" hidden="false" customHeight="true" outlineLevel="0" collapsed="false">
      <c r="A201" s="104" t="s">
        <v>473</v>
      </c>
      <c r="B201" s="104" t="s">
        <v>474</v>
      </c>
      <c r="C201" s="104" t="s">
        <v>475</v>
      </c>
      <c r="D201" s="104" t="s">
        <v>476</v>
      </c>
      <c r="E201" s="104" t="s">
        <v>477</v>
      </c>
      <c r="F201" s="104" t="s">
        <v>374</v>
      </c>
      <c r="G201" s="104" t="s">
        <v>48</v>
      </c>
      <c r="H201" s="104" t="s">
        <v>478</v>
      </c>
      <c r="I201" s="104" t="s">
        <v>255</v>
      </c>
    </row>
    <row r="202" customFormat="false" ht="18" hidden="false" customHeight="true" outlineLevel="0" collapsed="false">
      <c r="A202" s="105" t="n">
        <v>1</v>
      </c>
      <c r="B202" s="106" t="s">
        <v>479</v>
      </c>
      <c r="C202" s="107" t="n">
        <f aca="false">IF(OR(FALSE(),Übungen!$L$5="pause"),"",IF(IFERROR(INDEX(Rekorde!$O$4:$O$23,MATCH(Übungen!$A$5,Rekorde!$A$4:$A$23,0)),"")="","",ROUND(IFERROR(INDEX(Rekorde!$O$4:$O$23,MATCH(Übungen!$A$5,Rekorde!$A$4:$A$23,0)),"")*0.4*2,0)/2))</f>
        <v>49</v>
      </c>
      <c r="D202" s="108"/>
      <c r="E202" s="109"/>
      <c r="F202" s="109"/>
      <c r="G202" s="109"/>
      <c r="H202" s="109"/>
      <c r="I202" s="109"/>
    </row>
    <row r="203" customFormat="false" ht="18" hidden="false" customHeight="true" outlineLevel="0" collapsed="false">
      <c r="A203" s="105" t="n">
        <v>2</v>
      </c>
      <c r="B203" s="106" t="s">
        <v>480</v>
      </c>
      <c r="C203" s="107" t="n">
        <f aca="false">IF(OR(FALSE(),Übungen!$L$5="pause"),"",IF(IFERROR(INDEX(Rekorde!$O$4:$O$23,MATCH(Übungen!$A$5,Rekorde!$A$4:$A$23,0)),"")="","",ROUND(IFERROR(INDEX(Rekorde!$O$4:$O$23,MATCH(Übungen!$A$5,Rekorde!$A$4:$A$23,0)),"")*0.7*2,0)/2))</f>
        <v>86</v>
      </c>
      <c r="D203" s="108"/>
      <c r="E203" s="109"/>
      <c r="F203" s="109"/>
      <c r="G203" s="109"/>
      <c r="H203" s="109"/>
      <c r="I203" s="109"/>
    </row>
    <row r="204" customFormat="false" ht="18" hidden="false" customHeight="true" outlineLevel="0" collapsed="false">
      <c r="A204" s="105" t="n">
        <v>3</v>
      </c>
      <c r="B204" s="110" t="s">
        <v>481</v>
      </c>
      <c r="C204" s="111" t="n">
        <f aca="false">IF(OR(FALSE(),Übungen!$L$5="pause"),"",IF(IFERROR(INDEX(Rekorde!$O$4:$O$23,MATCH(Übungen!$A$5,Rekorde!$A$4:$A$23,0)),"")="","",ROUND(IFERROR(INDEX(Rekorde!$O$4:$O$23,MATCH(Übungen!$A$5,Rekorde!$A$4:$A$23,0)),"")*1*2,0)/2))</f>
        <v>122.5</v>
      </c>
      <c r="D204" s="112" t="n">
        <f aca="false">IF(OR(FALSE(),Übungen!$L$5="pause"),"",IF(IFERROR(INDEX(Rekorde!$P$4:$P$23,MATCH(Übungen!$A$5,Rekorde!$A$4:$A$23,0)),"")="","",MIN(Übungen!$E$5,IFERROR(INDEX(Rekorde!$P$4:$P$23,MATCH(Übungen!$A$5,Rekorde!$A$4:$A$23,0)),"")+0)))</f>
        <v>5</v>
      </c>
      <c r="E204" s="109"/>
      <c r="F204" s="109"/>
      <c r="G204" s="109"/>
      <c r="H204" s="109"/>
      <c r="I204" s="109"/>
    </row>
    <row r="205" customFormat="false" ht="18" hidden="false" customHeight="true" outlineLevel="0" collapsed="false">
      <c r="A205" s="105" t="n">
        <v>4</v>
      </c>
      <c r="B205" s="110" t="s">
        <v>482</v>
      </c>
      <c r="C205" s="107" t="n">
        <f aca="false">IF(OR(FALSE(),Übungen!$L$5="pause"),"",IF(IFERROR(INDEX(Rekorde!$O$4:$O$23,MATCH(Übungen!$A$5,Rekorde!$A$4:$A$23,0)),"")="","",ROUND(IFERROR(INDEX(Rekorde!$O$4:$O$23,MATCH(Übungen!$A$5,Rekorde!$A$4:$A$23,0)),"")*0.95*2,0)/2))</f>
        <v>116.5</v>
      </c>
      <c r="D205" s="112" t="n">
        <f aca="false">IF(OR(FALSE(),Übungen!$L$5="pause"),"",IF(IFERROR(INDEX(Rekorde!$P$4:$P$23,MATCH(Übungen!$A$5,Rekorde!$A$4:$A$23,0)),"")="","",MIN(Übungen!$E$5,IFERROR(INDEX(Rekorde!$P$4:$P$23,MATCH(Übungen!$A$5,Rekorde!$A$4:$A$23,0)),"")+1)))</f>
        <v>6</v>
      </c>
      <c r="E205" s="109"/>
      <c r="F205" s="109"/>
      <c r="G205" s="109"/>
      <c r="H205" s="109"/>
      <c r="I205" s="109"/>
    </row>
    <row r="206" customFormat="false" ht="18" hidden="false" customHeight="true" outlineLevel="0" collapsed="false">
      <c r="A206" s="105" t="n">
        <v>5</v>
      </c>
      <c r="B206" s="110" t="s">
        <v>483</v>
      </c>
      <c r="C206" s="107" t="n">
        <f aca="false">IF(OR(FALSE(),Übungen!$L$5="pause"),"",IF(IFERROR(INDEX(Rekorde!$O$4:$O$23,MATCH(Übungen!$A$5,Rekorde!$A$4:$A$23,0)),"")="","",ROUND(IFERROR(INDEX(Rekorde!$O$4:$O$23,MATCH(Übungen!$A$5,Rekorde!$A$4:$A$23,0)),"")*0.9*2,0)/2))</f>
        <v>110.5</v>
      </c>
      <c r="D206" s="112" t="n">
        <f aca="false">IF(OR(FALSE(),Übungen!$L$5="pause"),"",IF(IFERROR(INDEX(Rekorde!$P$4:$P$23,MATCH(Übungen!$A$5,Rekorde!$A$4:$A$23,0)),"")="","",MIN(Übungen!$E$5,IFERROR(INDEX(Rekorde!$P$4:$P$23,MATCH(Übungen!$A$5,Rekorde!$A$4:$A$23,0)),"")+2)))</f>
        <v>6</v>
      </c>
      <c r="E206" s="109"/>
      <c r="F206" s="109"/>
      <c r="G206" s="109"/>
      <c r="H206" s="109"/>
      <c r="I206" s="109"/>
    </row>
    <row r="208" customFormat="false" ht="18.75" hidden="false" customHeight="true" outlineLevel="0" collapsed="false">
      <c r="A208" s="101" t="str">
        <f aca="false">Übungen!$A$6</f>
        <v>Beinstrecker</v>
      </c>
      <c r="B208" s="101"/>
      <c r="C208" s="101"/>
      <c r="D208" s="101"/>
      <c r="E208" s="101"/>
      <c r="F208" s="101"/>
      <c r="G208" s="101"/>
      <c r="H208" s="101"/>
      <c r="I208" s="101"/>
    </row>
    <row r="209" customFormat="false" ht="13.5" hidden="false" customHeight="true" outlineLevel="0" collapsed="false">
      <c r="A209"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09" s="102"/>
      <c r="C209" s="102"/>
      <c r="D209" s="102"/>
      <c r="E209" s="102"/>
      <c r="F209" s="102"/>
      <c r="G209" s="102"/>
      <c r="H209" s="102"/>
      <c r="I209" s="102"/>
    </row>
    <row r="210" customFormat="false" ht="13.5" hidden="false" customHeight="true" outlineLevel="0" collapsed="false">
      <c r="A210"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10" s="103"/>
      <c r="C210" s="103"/>
      <c r="D210" s="103"/>
      <c r="E210" s="103"/>
      <c r="F210" s="103"/>
      <c r="G210" s="103"/>
      <c r="H210" s="103"/>
      <c r="I210" s="103"/>
    </row>
    <row r="211" customFormat="false" ht="18" hidden="false" customHeight="true" outlineLevel="0" collapsed="false">
      <c r="A211" s="104" t="s">
        <v>473</v>
      </c>
      <c r="B211" s="104" t="s">
        <v>474</v>
      </c>
      <c r="C211" s="104" t="s">
        <v>475</v>
      </c>
      <c r="D211" s="104" t="s">
        <v>476</v>
      </c>
      <c r="E211" s="104" t="s">
        <v>477</v>
      </c>
      <c r="F211" s="104" t="s">
        <v>374</v>
      </c>
      <c r="G211" s="104" t="s">
        <v>48</v>
      </c>
      <c r="H211" s="104" t="s">
        <v>478</v>
      </c>
      <c r="I211" s="104" t="s">
        <v>255</v>
      </c>
    </row>
    <row r="212" customFormat="false" ht="18" hidden="false" customHeight="true" outlineLevel="0" collapsed="false">
      <c r="A212" s="105" t="n">
        <v>1</v>
      </c>
      <c r="B212" s="106" t="s">
        <v>479</v>
      </c>
      <c r="C212" s="107" t="n">
        <f aca="false">IF(OR(FALSE(),Übungen!$L$6="pause"),"",IF(IFERROR(INDEX(Rekorde!$O$4:$O$23,MATCH(Übungen!$A$6,Rekorde!$A$4:$A$23,0)),"")="","",ROUND(IFERROR(INDEX(Rekorde!$O$4:$O$23,MATCH(Übungen!$A$6,Rekorde!$A$4:$A$23,0)),"")*0.4*2,0)/2))</f>
        <v>38</v>
      </c>
      <c r="D212" s="108"/>
      <c r="E212" s="109"/>
      <c r="F212" s="109"/>
      <c r="G212" s="109"/>
      <c r="H212" s="109"/>
      <c r="I212" s="109"/>
    </row>
    <row r="213" customFormat="false" ht="18" hidden="false" customHeight="true" outlineLevel="0" collapsed="false">
      <c r="A213" s="105" t="n">
        <v>2</v>
      </c>
      <c r="B213" s="106" t="s">
        <v>480</v>
      </c>
      <c r="C213" s="107" t="n">
        <f aca="false">IF(OR(FALSE(),Übungen!$L$6="pause"),"",IF(IFERROR(INDEX(Rekorde!$O$4:$O$23,MATCH(Übungen!$A$6,Rekorde!$A$4:$A$23,0)),"")="","",ROUND(IFERROR(INDEX(Rekorde!$O$4:$O$23,MATCH(Übungen!$A$6,Rekorde!$A$4:$A$23,0)),"")*0.7*2,0)/2))</f>
        <v>66.5</v>
      </c>
      <c r="D213" s="108"/>
      <c r="E213" s="109"/>
      <c r="F213" s="109"/>
      <c r="G213" s="109"/>
      <c r="H213" s="109"/>
      <c r="I213" s="109"/>
    </row>
    <row r="214" customFormat="false" ht="18" hidden="false" customHeight="true" outlineLevel="0" collapsed="false">
      <c r="A214" s="105" t="n">
        <v>3</v>
      </c>
      <c r="B214" s="110" t="s">
        <v>481</v>
      </c>
      <c r="C214" s="111" t="n">
        <f aca="false">IF(OR(FALSE(),Übungen!$L$6="pause"),"",IF(IFERROR(INDEX(Rekorde!$O$4:$O$23,MATCH(Übungen!$A$6,Rekorde!$A$4:$A$23,0)),"")="","",ROUND(IFERROR(INDEX(Rekorde!$O$4:$O$23,MATCH(Übungen!$A$6,Rekorde!$A$4:$A$23,0)),"")*1*2,0)/2))</f>
        <v>95</v>
      </c>
      <c r="D214" s="112" t="n">
        <f aca="false">IF(OR(FALSE(),Übungen!$L$6="pause"),"",IF(IFERROR(INDEX(Rekorde!$P$4:$P$23,MATCH(Übungen!$A$6,Rekorde!$A$4:$A$23,0)),"")="","",MIN(Übungen!$E$6,IFERROR(INDEX(Rekorde!$P$4:$P$23,MATCH(Übungen!$A$6,Rekorde!$A$4:$A$23,0)),"")+0)))</f>
        <v>6</v>
      </c>
      <c r="E214" s="109"/>
      <c r="F214" s="109"/>
      <c r="G214" s="109"/>
      <c r="H214" s="109"/>
      <c r="I214" s="109"/>
    </row>
    <row r="215" customFormat="false" ht="18" hidden="false" customHeight="true" outlineLevel="0" collapsed="false">
      <c r="A215" s="105" t="n">
        <v>4</v>
      </c>
      <c r="B215" s="110" t="s">
        <v>482</v>
      </c>
      <c r="C215" s="107" t="n">
        <f aca="false">IF(OR(FALSE(),Übungen!$L$6="pause"),"",IF(IFERROR(INDEX(Rekorde!$O$4:$O$23,MATCH(Übungen!$A$6,Rekorde!$A$4:$A$23,0)),"")="","",ROUND(IFERROR(INDEX(Rekorde!$O$4:$O$23,MATCH(Übungen!$A$6,Rekorde!$A$4:$A$23,0)),"")*0.95*2,0)/2))</f>
        <v>90.5</v>
      </c>
      <c r="D215" s="112" t="n">
        <f aca="false">IF(OR(FALSE(),Übungen!$L$6="pause"),"",IF(IFERROR(INDEX(Rekorde!$P$4:$P$23,MATCH(Übungen!$A$6,Rekorde!$A$4:$A$23,0)),"")="","",MIN(Übungen!$E$6,IFERROR(INDEX(Rekorde!$P$4:$P$23,MATCH(Übungen!$A$6,Rekorde!$A$4:$A$23,0)),"")+1)))</f>
        <v>6</v>
      </c>
      <c r="E215" s="109"/>
      <c r="F215" s="109"/>
      <c r="G215" s="109"/>
      <c r="H215" s="109"/>
      <c r="I215" s="109"/>
    </row>
    <row r="216" customFormat="false" ht="18" hidden="false" customHeight="true" outlineLevel="0" collapsed="false">
      <c r="A216" s="105" t="n">
        <v>5</v>
      </c>
      <c r="B216" s="110" t="s">
        <v>483</v>
      </c>
      <c r="C216" s="107" t="n">
        <f aca="false">IF(OR(FALSE(),Übungen!$L$6="pause"),"",IF(IFERROR(INDEX(Rekorde!$O$4:$O$23,MATCH(Übungen!$A$6,Rekorde!$A$4:$A$23,0)),"")="","",ROUND(IFERROR(INDEX(Rekorde!$O$4:$O$23,MATCH(Übungen!$A$6,Rekorde!$A$4:$A$23,0)),"")*0.9*2,0)/2))</f>
        <v>85.5</v>
      </c>
      <c r="D216" s="112" t="n">
        <f aca="false">IF(OR(FALSE(),Übungen!$L$6="pause"),"",IF(IFERROR(INDEX(Rekorde!$P$4:$P$23,MATCH(Übungen!$A$6,Rekorde!$A$4:$A$23,0)),"")="","",MIN(Übungen!$E$6,IFERROR(INDEX(Rekorde!$P$4:$P$23,MATCH(Übungen!$A$6,Rekorde!$A$4:$A$23,0)),"")+2)))</f>
        <v>6</v>
      </c>
      <c r="E216" s="109"/>
      <c r="F216" s="109"/>
      <c r="G216" s="109"/>
      <c r="H216" s="109"/>
      <c r="I216" s="109"/>
    </row>
    <row r="218" customFormat="false" ht="18.75" hidden="false" customHeight="true" outlineLevel="0" collapsed="false">
      <c r="A218" s="101" t="str">
        <f aca="false">Übungen!$A$7</f>
        <v>Adduktion</v>
      </c>
      <c r="B218" s="101"/>
      <c r="C218" s="101"/>
      <c r="D218" s="101"/>
      <c r="E218" s="101"/>
      <c r="F218" s="101"/>
      <c r="G218" s="101"/>
      <c r="H218" s="101"/>
      <c r="I218" s="101"/>
    </row>
    <row r="219" customFormat="false" ht="13.5" hidden="false" customHeight="true" outlineLevel="0" collapsed="false">
      <c r="A219"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219" s="102"/>
      <c r="C219" s="102"/>
      <c r="D219" s="102"/>
      <c r="E219" s="102"/>
      <c r="F219" s="102"/>
      <c r="G219" s="102"/>
      <c r="H219" s="102"/>
      <c r="I219" s="102"/>
    </row>
    <row r="220" customFormat="false" ht="13.5" hidden="false" customHeight="true" outlineLevel="0" collapsed="false">
      <c r="A220"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220" s="103"/>
      <c r="C220" s="103"/>
      <c r="D220" s="103"/>
      <c r="E220" s="103"/>
      <c r="F220" s="103"/>
      <c r="G220" s="103"/>
      <c r="H220" s="103"/>
      <c r="I220" s="103"/>
    </row>
    <row r="221" customFormat="false" ht="18" hidden="false" customHeight="true" outlineLevel="0" collapsed="false">
      <c r="A221" s="104" t="s">
        <v>473</v>
      </c>
      <c r="B221" s="104" t="s">
        <v>474</v>
      </c>
      <c r="C221" s="104" t="s">
        <v>475</v>
      </c>
      <c r="D221" s="104" t="s">
        <v>476</v>
      </c>
      <c r="E221" s="104" t="s">
        <v>477</v>
      </c>
      <c r="F221" s="104" t="s">
        <v>374</v>
      </c>
      <c r="G221" s="104" t="s">
        <v>48</v>
      </c>
      <c r="H221" s="104" t="s">
        <v>478</v>
      </c>
      <c r="I221" s="104" t="s">
        <v>255</v>
      </c>
    </row>
    <row r="222" customFormat="false" ht="18" hidden="false" customHeight="true" outlineLevel="0" collapsed="false">
      <c r="A222" s="105" t="n">
        <v>1</v>
      </c>
      <c r="B222" s="106" t="s">
        <v>479</v>
      </c>
      <c r="C222" s="107" t="n">
        <f aca="false">IF(OR(FALSE(),Übungen!$L$7="pause"),"",IF(IFERROR(INDEX(Rekorde!$O$4:$O$23,MATCH(Übungen!$A$7,Rekorde!$A$4:$A$23,0)),"")="","",ROUND(IFERROR(INDEX(Rekorde!$O$4:$O$23,MATCH(Übungen!$A$7,Rekorde!$A$4:$A$23,0)),"")*0.4*2,0)/2))</f>
        <v>66</v>
      </c>
      <c r="D222" s="108"/>
      <c r="E222" s="109"/>
      <c r="F222" s="109"/>
      <c r="G222" s="109"/>
      <c r="H222" s="109"/>
      <c r="I222" s="109"/>
    </row>
    <row r="223" customFormat="false" ht="18" hidden="false" customHeight="true" outlineLevel="0" collapsed="false">
      <c r="A223" s="105" t="n">
        <v>2</v>
      </c>
      <c r="B223" s="106" t="s">
        <v>480</v>
      </c>
      <c r="C223" s="107" t="n">
        <f aca="false">IF(OR(FALSE(),Übungen!$L$7="pause"),"",IF(IFERROR(INDEX(Rekorde!$O$4:$O$23,MATCH(Übungen!$A$7,Rekorde!$A$4:$A$23,0)),"")="","",ROUND(IFERROR(INDEX(Rekorde!$O$4:$O$23,MATCH(Übungen!$A$7,Rekorde!$A$4:$A$23,0)),"")*0.7*2,0)/2))</f>
        <v>115.5</v>
      </c>
      <c r="D223" s="108"/>
      <c r="E223" s="109"/>
      <c r="F223" s="109"/>
      <c r="G223" s="109"/>
      <c r="H223" s="109"/>
      <c r="I223" s="109"/>
    </row>
    <row r="224" customFormat="false" ht="18" hidden="false" customHeight="true" outlineLevel="0" collapsed="false">
      <c r="A224" s="105" t="n">
        <v>3</v>
      </c>
      <c r="B224" s="110" t="s">
        <v>481</v>
      </c>
      <c r="C224" s="111" t="n">
        <f aca="false">IF(OR(FALSE(),Übungen!$L$7="pause"),"",IF(IFERROR(INDEX(Rekorde!$O$4:$O$23,MATCH(Übungen!$A$7,Rekorde!$A$4:$A$23,0)),"")="","",ROUND(IFERROR(INDEX(Rekorde!$O$4:$O$23,MATCH(Übungen!$A$7,Rekorde!$A$4:$A$23,0)),"")*1*2,0)/2))</f>
        <v>165</v>
      </c>
      <c r="D224" s="112" t="n">
        <f aca="false">IF(OR(FALSE(),Übungen!$L$7="pause"),"",IF(IFERROR(INDEX(Rekorde!$P$4:$P$23,MATCH(Übungen!$A$7,Rekorde!$A$4:$A$23,0)),"")="","",MIN(Übungen!$E$7,IFERROR(INDEX(Rekorde!$P$4:$P$23,MATCH(Übungen!$A$7,Rekorde!$A$4:$A$23,0)),"")+0)))</f>
        <v>6</v>
      </c>
      <c r="E224" s="109"/>
      <c r="F224" s="109"/>
      <c r="G224" s="109"/>
      <c r="H224" s="109"/>
      <c r="I224" s="109"/>
    </row>
    <row r="225" customFormat="false" ht="18" hidden="false" customHeight="true" outlineLevel="0" collapsed="false">
      <c r="A225" s="105" t="n">
        <v>4</v>
      </c>
      <c r="B225" s="110" t="s">
        <v>482</v>
      </c>
      <c r="C225" s="107" t="n">
        <f aca="false">IF(OR(FALSE(),Übungen!$L$7="pause"),"",IF(IFERROR(INDEX(Rekorde!$O$4:$O$23,MATCH(Übungen!$A$7,Rekorde!$A$4:$A$23,0)),"")="","",ROUND(IFERROR(INDEX(Rekorde!$O$4:$O$23,MATCH(Übungen!$A$7,Rekorde!$A$4:$A$23,0)),"")*0.95*2,0)/2))</f>
        <v>157</v>
      </c>
      <c r="D225" s="112" t="n">
        <f aca="false">IF(OR(FALSE(),Übungen!$L$7="pause"),"",IF(IFERROR(INDEX(Rekorde!$P$4:$P$23,MATCH(Übungen!$A$7,Rekorde!$A$4:$A$23,0)),"")="","",MIN(Übungen!$E$7,IFERROR(INDEX(Rekorde!$P$4:$P$23,MATCH(Übungen!$A$7,Rekorde!$A$4:$A$23,0)),"")+1)))</f>
        <v>6</v>
      </c>
      <c r="E225" s="109"/>
      <c r="F225" s="109"/>
      <c r="G225" s="109"/>
      <c r="H225" s="109"/>
      <c r="I225" s="109"/>
    </row>
    <row r="227" customFormat="false" ht="15.75" hidden="false" customHeight="true" outlineLevel="0" collapsed="false">
      <c r="A227" s="3" t="s">
        <v>484</v>
      </c>
      <c r="B227" s="3"/>
      <c r="C227" s="3"/>
      <c r="D227" s="3"/>
      <c r="E227" s="3"/>
      <c r="F227" s="3"/>
      <c r="G227" s="3"/>
      <c r="H227" s="3"/>
      <c r="I227" s="3"/>
    </row>
    <row r="228" customFormat="false" ht="18" hidden="false" customHeight="true" outlineLevel="0" collapsed="false">
      <c r="A228" s="113"/>
      <c r="B228" s="113"/>
      <c r="C228" s="113"/>
      <c r="D228" s="113"/>
      <c r="E228" s="113"/>
      <c r="F228" s="113"/>
      <c r="G228" s="113"/>
      <c r="H228" s="113"/>
      <c r="I228" s="113"/>
    </row>
    <row r="229" customFormat="false" ht="18" hidden="false" customHeight="true" outlineLevel="0" collapsed="false">
      <c r="A229" s="113"/>
      <c r="B229" s="113"/>
      <c r="C229" s="113"/>
      <c r="D229" s="113"/>
      <c r="E229" s="113"/>
      <c r="F229" s="113"/>
      <c r="G229" s="113"/>
      <c r="H229" s="113"/>
      <c r="I229" s="113"/>
    </row>
    <row r="231" customFormat="false" ht="27.75" hidden="false" customHeight="true" outlineLevel="0" collapsed="false">
      <c r="A231" s="1" t="s">
        <v>488</v>
      </c>
      <c r="B231" s="1"/>
      <c r="C231" s="1"/>
      <c r="D231" s="1"/>
      <c r="E231" s="1"/>
      <c r="F231" s="1"/>
      <c r="G231" s="1"/>
      <c r="H231" s="1"/>
      <c r="I231" s="1"/>
    </row>
    <row r="232" customFormat="false" ht="12" hidden="false" customHeight="true" outlineLevel="0" collapsed="false">
      <c r="A232" s="98" t="s">
        <v>73</v>
      </c>
      <c r="B232" s="98"/>
      <c r="C232" s="99" t="s">
        <v>469</v>
      </c>
      <c r="D232" s="99" t="s">
        <v>470</v>
      </c>
      <c r="E232" s="98" t="s">
        <v>471</v>
      </c>
      <c r="F232" s="98"/>
      <c r="G232" s="98" t="s">
        <v>472</v>
      </c>
      <c r="H232" s="98"/>
    </row>
    <row r="233" customFormat="false" ht="18" hidden="false" customHeight="true" outlineLevel="0" collapsed="false">
      <c r="A233" s="100"/>
      <c r="B233" s="100"/>
      <c r="C233" s="100"/>
      <c r="D233" s="100"/>
      <c r="E233" s="100"/>
      <c r="F233" s="100"/>
      <c r="G233" s="100"/>
      <c r="H233" s="100"/>
    </row>
    <row r="235" customFormat="false" ht="18.75" hidden="false" customHeight="true" outlineLevel="0" collapsed="false">
      <c r="A235" s="101" t="str">
        <f aca="false">Übungen!$A$8</f>
        <v>Reverse V-Squat</v>
      </c>
      <c r="B235" s="101"/>
      <c r="C235" s="101"/>
      <c r="D235" s="101"/>
      <c r="E235" s="101"/>
      <c r="F235" s="101"/>
      <c r="G235" s="101"/>
      <c r="H235" s="101"/>
      <c r="I235" s="101"/>
    </row>
    <row r="236" customFormat="false" ht="13.5" hidden="false" customHeight="true" outlineLevel="0" collapsed="false">
      <c r="A236"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236" s="102"/>
      <c r="C236" s="102"/>
      <c r="D236" s="102"/>
      <c r="E236" s="102"/>
      <c r="F236" s="102"/>
      <c r="G236" s="102"/>
      <c r="H236" s="102"/>
      <c r="I236" s="102"/>
    </row>
    <row r="237" customFormat="false" ht="13.5" hidden="false" customHeight="true" outlineLevel="0" collapsed="false">
      <c r="A237"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237" s="103"/>
      <c r="C237" s="103"/>
      <c r="D237" s="103"/>
      <c r="E237" s="103"/>
      <c r="F237" s="103"/>
      <c r="G237" s="103"/>
      <c r="H237" s="103"/>
      <c r="I237" s="103"/>
    </row>
    <row r="238" customFormat="false" ht="18" hidden="false" customHeight="true" outlineLevel="0" collapsed="false">
      <c r="A238" s="104" t="s">
        <v>473</v>
      </c>
      <c r="B238" s="104" t="s">
        <v>474</v>
      </c>
      <c r="C238" s="104" t="s">
        <v>475</v>
      </c>
      <c r="D238" s="104" t="s">
        <v>476</v>
      </c>
      <c r="E238" s="104" t="s">
        <v>477</v>
      </c>
      <c r="F238" s="104" t="s">
        <v>374</v>
      </c>
      <c r="G238" s="104" t="s">
        <v>48</v>
      </c>
      <c r="H238" s="104" t="s">
        <v>478</v>
      </c>
      <c r="I238" s="104" t="s">
        <v>255</v>
      </c>
    </row>
    <row r="239" customFormat="false" ht="18" hidden="false" customHeight="true" outlineLevel="0" collapsed="false">
      <c r="A239" s="105" t="n">
        <v>1</v>
      </c>
      <c r="B239" s="106" t="s">
        <v>479</v>
      </c>
      <c r="C239" s="107" t="n">
        <f aca="false">IF(OR(FALSE(),Übungen!$L$8="pause"),"",IF(IFERROR(INDEX(Rekorde!$O$4:$O$23,MATCH(Übungen!$A$8,Rekorde!$A$4:$A$23,0)),"")="","",ROUND(IFERROR(INDEX(Rekorde!$O$4:$O$23,MATCH(Übungen!$A$8,Rekorde!$A$4:$A$23,0)),"")*0.4*2,0)/2))</f>
        <v>86</v>
      </c>
      <c r="D239" s="108"/>
      <c r="E239" s="109"/>
      <c r="F239" s="109"/>
      <c r="G239" s="109"/>
      <c r="H239" s="109"/>
      <c r="I239" s="109"/>
    </row>
    <row r="240" customFormat="false" ht="18" hidden="false" customHeight="true" outlineLevel="0" collapsed="false">
      <c r="A240" s="105" t="n">
        <v>2</v>
      </c>
      <c r="B240" s="106" t="s">
        <v>480</v>
      </c>
      <c r="C240" s="107" t="n">
        <f aca="false">IF(OR(FALSE(),Übungen!$L$8="pause"),"",IF(IFERROR(INDEX(Rekorde!$O$4:$O$23,MATCH(Übungen!$A$8,Rekorde!$A$4:$A$23,0)),"")="","",ROUND(IFERROR(INDEX(Rekorde!$O$4:$O$23,MATCH(Übungen!$A$8,Rekorde!$A$4:$A$23,0)),"")*0.7*2,0)/2))</f>
        <v>150.5</v>
      </c>
      <c r="D240" s="108"/>
      <c r="E240" s="109"/>
      <c r="F240" s="109"/>
      <c r="G240" s="109"/>
      <c r="H240" s="109"/>
      <c r="I240" s="109"/>
    </row>
    <row r="241" customFormat="false" ht="18" hidden="false" customHeight="true" outlineLevel="0" collapsed="false">
      <c r="A241" s="105" t="n">
        <v>3</v>
      </c>
      <c r="B241" s="110" t="s">
        <v>481</v>
      </c>
      <c r="C241" s="111" t="n">
        <f aca="false">IF(OR(FALSE(),Übungen!$L$8="pause"),"",IF(IFERROR(INDEX(Rekorde!$O$4:$O$23,MATCH(Übungen!$A$8,Rekorde!$A$4:$A$23,0)),"")="","",ROUND(IFERROR(INDEX(Rekorde!$O$4:$O$23,MATCH(Übungen!$A$8,Rekorde!$A$4:$A$23,0)),"")*1*2,0)/2))</f>
        <v>215</v>
      </c>
      <c r="D241" s="112" t="n">
        <f aca="false">IF(OR(FALSE(),Übungen!$L$8="pause"),"",IF(IFERROR(INDEX(Rekorde!$P$4:$P$23,MATCH(Übungen!$A$8,Rekorde!$A$4:$A$23,0)),"")="","",MIN(Übungen!$E$8,IFERROR(INDEX(Rekorde!$P$4:$P$23,MATCH(Übungen!$A$8,Rekorde!$A$4:$A$23,0)),"")+0)))</f>
        <v>6</v>
      </c>
      <c r="E241" s="109"/>
      <c r="F241" s="109"/>
      <c r="G241" s="109"/>
      <c r="H241" s="109"/>
      <c r="I241" s="109"/>
    </row>
    <row r="242" customFormat="false" ht="18" hidden="false" customHeight="true" outlineLevel="0" collapsed="false">
      <c r="A242" s="105" t="n">
        <v>4</v>
      </c>
      <c r="B242" s="110" t="s">
        <v>482</v>
      </c>
      <c r="C242" s="107" t="n">
        <f aca="false">IF(OR(FALSE(),Übungen!$L$8="pause"),"",IF(IFERROR(INDEX(Rekorde!$O$4:$O$23,MATCH(Übungen!$A$8,Rekorde!$A$4:$A$23,0)),"")="","",ROUND(IFERROR(INDEX(Rekorde!$O$4:$O$23,MATCH(Übungen!$A$8,Rekorde!$A$4:$A$23,0)),"")*0.95*2,0)/2))</f>
        <v>204.5</v>
      </c>
      <c r="D242" s="112" t="n">
        <f aca="false">IF(OR(FALSE(),Übungen!$L$8="pause"),"",IF(IFERROR(INDEX(Rekorde!$P$4:$P$23,MATCH(Übungen!$A$8,Rekorde!$A$4:$A$23,0)),"")="","",MIN(Übungen!$E$8,IFERROR(INDEX(Rekorde!$P$4:$P$23,MATCH(Übungen!$A$8,Rekorde!$A$4:$A$23,0)),"")+1)))</f>
        <v>6</v>
      </c>
      <c r="E242" s="109"/>
      <c r="F242" s="109"/>
      <c r="G242" s="109"/>
      <c r="H242" s="109"/>
      <c r="I242" s="109"/>
    </row>
    <row r="243" customFormat="false" ht="18" hidden="false" customHeight="true" outlineLevel="0" collapsed="false">
      <c r="A243" s="105" t="n">
        <v>5</v>
      </c>
      <c r="B243" s="110" t="s">
        <v>483</v>
      </c>
      <c r="C243" s="107" t="n">
        <f aca="false">IF(OR(FALSE(),Übungen!$L$8="pause"),"",IF(IFERROR(INDEX(Rekorde!$O$4:$O$23,MATCH(Übungen!$A$8,Rekorde!$A$4:$A$23,0)),"")="","",ROUND(IFERROR(INDEX(Rekorde!$O$4:$O$23,MATCH(Übungen!$A$8,Rekorde!$A$4:$A$23,0)),"")*0.9*2,0)/2))</f>
        <v>193.5</v>
      </c>
      <c r="D243" s="112" t="n">
        <f aca="false">IF(OR(FALSE(),Übungen!$L$8="pause"),"",IF(IFERROR(INDEX(Rekorde!$P$4:$P$23,MATCH(Übungen!$A$8,Rekorde!$A$4:$A$23,0)),"")="","",MIN(Übungen!$E$8,IFERROR(INDEX(Rekorde!$P$4:$P$23,MATCH(Übungen!$A$8,Rekorde!$A$4:$A$23,0)),"")+2)))</f>
        <v>6</v>
      </c>
      <c r="E243" s="109"/>
      <c r="F243" s="109"/>
      <c r="G243" s="109"/>
      <c r="H243" s="109"/>
      <c r="I243" s="109"/>
    </row>
    <row r="245" customFormat="false" ht="18.75" hidden="false" customHeight="true" outlineLevel="0" collapsed="false">
      <c r="A245" s="101" t="str">
        <f aca="false">Übungen!$A$9</f>
        <v>Rumänisches Kreuzheben</v>
      </c>
      <c r="B245" s="101"/>
      <c r="C245" s="101"/>
      <c r="D245" s="101"/>
      <c r="E245" s="101"/>
      <c r="F245" s="101"/>
      <c r="G245" s="101"/>
      <c r="H245" s="101"/>
      <c r="I245" s="101"/>
    </row>
    <row r="246" customFormat="false" ht="13.5" hidden="false" customHeight="true" outlineLevel="0" collapsed="false">
      <c r="A246"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2"/>
      <c r="C246" s="102"/>
      <c r="D246" s="102"/>
      <c r="E246" s="102"/>
      <c r="F246" s="102"/>
      <c r="G246" s="102"/>
      <c r="H246" s="102"/>
      <c r="I246" s="102"/>
    </row>
    <row r="247" customFormat="false" ht="13.5" hidden="false" customHeight="true" outlineLevel="0" collapsed="false">
      <c r="A247"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247" s="103"/>
      <c r="C247" s="103"/>
      <c r="D247" s="103"/>
      <c r="E247" s="103"/>
      <c r="F247" s="103"/>
      <c r="G247" s="103"/>
      <c r="H247" s="103"/>
      <c r="I247" s="103"/>
    </row>
    <row r="248" customFormat="false" ht="18" hidden="false" customHeight="true" outlineLevel="0" collapsed="false">
      <c r="A248" s="104" t="s">
        <v>473</v>
      </c>
      <c r="B248" s="104" t="s">
        <v>474</v>
      </c>
      <c r="C248" s="104" t="s">
        <v>475</v>
      </c>
      <c r="D248" s="104" t="s">
        <v>476</v>
      </c>
      <c r="E248" s="104" t="s">
        <v>477</v>
      </c>
      <c r="F248" s="104" t="s">
        <v>374</v>
      </c>
      <c r="G248" s="104" t="s">
        <v>48</v>
      </c>
      <c r="H248" s="104" t="s">
        <v>478</v>
      </c>
      <c r="I248" s="104" t="s">
        <v>255</v>
      </c>
    </row>
    <row r="249" customFormat="false" ht="18" hidden="false" customHeight="true" outlineLevel="0" collapsed="false">
      <c r="A249" s="105" t="n">
        <v>1</v>
      </c>
      <c r="B249" s="106" t="s">
        <v>479</v>
      </c>
      <c r="C249" s="107" t="str">
        <f aca="false">IF(OR(FALSE(),Übungen!$L$9="pause"),"",IF(IFERROR(INDEX(Rekorde!$O$4:$O$23,MATCH(Übungen!$A$9,Rekorde!$A$4:$A$23,0)),"")="","",ROUND(IFERROR(INDEX(Rekorde!$O$4:$O$23,MATCH(Übungen!$A$9,Rekorde!$A$4:$A$23,0)),"")*0.4*2,0)/2))</f>
        <v/>
      </c>
      <c r="D249" s="108"/>
      <c r="E249" s="109"/>
      <c r="F249" s="109"/>
      <c r="G249" s="109"/>
      <c r="H249" s="109"/>
      <c r="I249" s="109"/>
    </row>
    <row r="250" customFormat="false" ht="18" hidden="false" customHeight="true" outlineLevel="0" collapsed="false">
      <c r="A250" s="105" t="n">
        <v>2</v>
      </c>
      <c r="B250" s="106" t="s">
        <v>480</v>
      </c>
      <c r="C250" s="107" t="str">
        <f aca="false">IF(OR(FALSE(),Übungen!$L$9="pause"),"",IF(IFERROR(INDEX(Rekorde!$O$4:$O$23,MATCH(Übungen!$A$9,Rekorde!$A$4:$A$23,0)),"")="","",ROUND(IFERROR(INDEX(Rekorde!$O$4:$O$23,MATCH(Übungen!$A$9,Rekorde!$A$4:$A$23,0)),"")*0.7*2,0)/2))</f>
        <v/>
      </c>
      <c r="D250" s="108"/>
      <c r="E250" s="109"/>
      <c r="F250" s="109"/>
      <c r="G250" s="109"/>
      <c r="H250" s="109"/>
      <c r="I250" s="109"/>
    </row>
    <row r="251" customFormat="false" ht="18" hidden="false" customHeight="true" outlineLevel="0" collapsed="false">
      <c r="A251" s="105" t="n">
        <v>3</v>
      </c>
      <c r="B251" s="110" t="s">
        <v>481</v>
      </c>
      <c r="C251" s="111" t="str">
        <f aca="false">IF(OR(FALSE(),Übungen!$L$9="pause"),"",IF(IFERROR(INDEX(Rekorde!$O$4:$O$23,MATCH(Übungen!$A$9,Rekorde!$A$4:$A$23,0)),"")="","",ROUND(IFERROR(INDEX(Rekorde!$O$4:$O$23,MATCH(Übungen!$A$9,Rekorde!$A$4:$A$23,0)),"")*1*2,0)/2))</f>
        <v/>
      </c>
      <c r="D251" s="112" t="str">
        <f aca="false">IF(OR(FALSE(),Übungen!$L$9="pause"),"",IF(IFERROR(INDEX(Rekorde!$P$4:$P$23,MATCH(Übungen!$A$9,Rekorde!$A$4:$A$23,0)),"")="","",MIN(Übungen!$E$9,IFERROR(INDEX(Rekorde!$P$4:$P$23,MATCH(Übungen!$A$9,Rekorde!$A$4:$A$23,0)),"")+0)))</f>
        <v/>
      </c>
      <c r="E251" s="109"/>
      <c r="F251" s="109"/>
      <c r="G251" s="109"/>
      <c r="H251" s="109"/>
      <c r="I251" s="109"/>
    </row>
    <row r="252" customFormat="false" ht="18" hidden="false" customHeight="true" outlineLevel="0" collapsed="false">
      <c r="A252" s="105" t="n">
        <v>4</v>
      </c>
      <c r="B252" s="110" t="s">
        <v>482</v>
      </c>
      <c r="C252" s="107" t="str">
        <f aca="false">IF(OR(FALSE(),Übungen!$L$9="pause"),"",IF(IFERROR(INDEX(Rekorde!$O$4:$O$23,MATCH(Übungen!$A$9,Rekorde!$A$4:$A$23,0)),"")="","",ROUND(IFERROR(INDEX(Rekorde!$O$4:$O$23,MATCH(Übungen!$A$9,Rekorde!$A$4:$A$23,0)),"")*0.95*2,0)/2))</f>
        <v/>
      </c>
      <c r="D252" s="112" t="str">
        <f aca="false">IF(OR(FALSE(),Übungen!$L$9="pause"),"",IF(IFERROR(INDEX(Rekorde!$P$4:$P$23,MATCH(Übungen!$A$9,Rekorde!$A$4:$A$23,0)),"")="","",MIN(Übungen!$E$9,IFERROR(INDEX(Rekorde!$P$4:$P$23,MATCH(Übungen!$A$9,Rekorde!$A$4:$A$23,0)),"")+1)))</f>
        <v/>
      </c>
      <c r="E252" s="109"/>
      <c r="F252" s="109"/>
      <c r="G252" s="109"/>
      <c r="H252" s="109"/>
      <c r="I252" s="109"/>
    </row>
    <row r="253" customFormat="false" ht="18" hidden="false" customHeight="true" outlineLevel="0" collapsed="false">
      <c r="A253" s="105" t="n">
        <v>5</v>
      </c>
      <c r="B253" s="110" t="s">
        <v>483</v>
      </c>
      <c r="C253" s="107" t="str">
        <f aca="false">IF(OR(FALSE(),Übungen!$L$9="pause"),"",IF(IFERROR(INDEX(Rekorde!$O$4:$O$23,MATCH(Übungen!$A$9,Rekorde!$A$4:$A$23,0)),"")="","",ROUND(IFERROR(INDEX(Rekorde!$O$4:$O$23,MATCH(Übungen!$A$9,Rekorde!$A$4:$A$23,0)),"")*0.9*2,0)/2))</f>
        <v/>
      </c>
      <c r="D253" s="112" t="str">
        <f aca="false">IF(OR(FALSE(),Übungen!$L$9="pause"),"",IF(IFERROR(INDEX(Rekorde!$P$4:$P$23,MATCH(Übungen!$A$9,Rekorde!$A$4:$A$23,0)),"")="","",MIN(Übungen!$E$9,IFERROR(INDEX(Rekorde!$P$4:$P$23,MATCH(Übungen!$A$9,Rekorde!$A$4:$A$23,0)),"")+2)))</f>
        <v/>
      </c>
      <c r="E253" s="109"/>
      <c r="F253" s="109"/>
      <c r="G253" s="109"/>
      <c r="H253" s="109"/>
      <c r="I253" s="109"/>
    </row>
    <row r="255" customFormat="false" ht="18.75" hidden="false" customHeight="true" outlineLevel="0" collapsed="false">
      <c r="A255" s="101" t="str">
        <f aca="false">Übungen!$A$10</f>
        <v>Rumänisches Kreuzheben KH</v>
      </c>
      <c r="B255" s="101"/>
      <c r="C255" s="101"/>
      <c r="D255" s="101"/>
      <c r="E255" s="101"/>
      <c r="F255" s="101"/>
      <c r="G255" s="101"/>
      <c r="H255" s="101"/>
      <c r="I255" s="101"/>
    </row>
    <row r="256" customFormat="false" ht="13.5" hidden="false" customHeight="true" outlineLevel="0" collapsed="false">
      <c r="A256"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256" s="102"/>
      <c r="C256" s="102"/>
      <c r="D256" s="102"/>
      <c r="E256" s="102"/>
      <c r="F256" s="102"/>
      <c r="G256" s="102"/>
      <c r="H256" s="102"/>
      <c r="I256" s="102"/>
    </row>
    <row r="257" customFormat="false" ht="13.5" hidden="false" customHeight="true" outlineLevel="0" collapsed="false">
      <c r="A257"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257" s="103"/>
      <c r="C257" s="103"/>
      <c r="D257" s="103"/>
      <c r="E257" s="103"/>
      <c r="F257" s="103"/>
      <c r="G257" s="103"/>
      <c r="H257" s="103"/>
      <c r="I257" s="103"/>
    </row>
    <row r="258" customFormat="false" ht="18" hidden="false" customHeight="true" outlineLevel="0" collapsed="false">
      <c r="A258" s="104" t="s">
        <v>473</v>
      </c>
      <c r="B258" s="104" t="s">
        <v>474</v>
      </c>
      <c r="C258" s="104" t="s">
        <v>475</v>
      </c>
      <c r="D258" s="104" t="s">
        <v>476</v>
      </c>
      <c r="E258" s="104" t="s">
        <v>477</v>
      </c>
      <c r="F258" s="104" t="s">
        <v>374</v>
      </c>
      <c r="G258" s="104" t="s">
        <v>48</v>
      </c>
      <c r="H258" s="104" t="s">
        <v>478</v>
      </c>
      <c r="I258" s="104" t="s">
        <v>255</v>
      </c>
    </row>
    <row r="259" customFormat="false" ht="18" hidden="false" customHeight="true" outlineLevel="0" collapsed="false">
      <c r="A259" s="105" t="n">
        <v>1</v>
      </c>
      <c r="B259" s="106" t="s">
        <v>479</v>
      </c>
      <c r="C259" s="107" t="n">
        <f aca="false">IF(OR(FALSE(),Übungen!$L$10="pause"),"",IF(IFERROR(INDEX(Rekorde!$O$4:$O$23,MATCH(Übungen!$A$10,Rekorde!$A$4:$A$23,0)),"")="","",ROUND(IFERROR(INDEX(Rekorde!$O$4:$O$23,MATCH(Übungen!$A$10,Rekorde!$A$4:$A$23,0)),"")*0.4*2,0)/2))</f>
        <v>13.5</v>
      </c>
      <c r="D259" s="108"/>
      <c r="E259" s="109"/>
      <c r="F259" s="109"/>
      <c r="G259" s="109"/>
      <c r="H259" s="109"/>
      <c r="I259" s="109"/>
    </row>
    <row r="260" customFormat="false" ht="18" hidden="false" customHeight="true" outlineLevel="0" collapsed="false">
      <c r="A260" s="105" t="n">
        <v>2</v>
      </c>
      <c r="B260" s="106" t="s">
        <v>480</v>
      </c>
      <c r="C260" s="107" t="n">
        <f aca="false">IF(OR(FALSE(),Übungen!$L$10="pause"),"",IF(IFERROR(INDEX(Rekorde!$O$4:$O$23,MATCH(Übungen!$A$10,Rekorde!$A$4:$A$23,0)),"")="","",ROUND(IFERROR(INDEX(Rekorde!$O$4:$O$23,MATCH(Übungen!$A$10,Rekorde!$A$4:$A$23,0)),"")*0.7*2,0)/2))</f>
        <v>24</v>
      </c>
      <c r="D260" s="108"/>
      <c r="E260" s="109"/>
      <c r="F260" s="109"/>
      <c r="G260" s="109"/>
      <c r="H260" s="109"/>
      <c r="I260" s="109"/>
    </row>
    <row r="261" customFormat="false" ht="18" hidden="false" customHeight="true" outlineLevel="0" collapsed="false">
      <c r="A261" s="105" t="n">
        <v>3</v>
      </c>
      <c r="B261" s="110" t="s">
        <v>481</v>
      </c>
      <c r="C261" s="111" t="n">
        <f aca="false">IF(OR(FALSE(),Übungen!$L$10="pause"),"",IF(IFERROR(INDEX(Rekorde!$O$4:$O$23,MATCH(Übungen!$A$10,Rekorde!$A$4:$A$23,0)),"")="","",ROUND(IFERROR(INDEX(Rekorde!$O$4:$O$23,MATCH(Übungen!$A$10,Rekorde!$A$4:$A$23,0)),"")*1*2,0)/2))</f>
        <v>34</v>
      </c>
      <c r="D261" s="112" t="n">
        <f aca="false">IF(OR(FALSE(),Übungen!$L$10="pause"),"",IF(IFERROR(INDEX(Rekorde!$P$4:$P$23,MATCH(Übungen!$A$10,Rekorde!$A$4:$A$23,0)),"")="","",MIN(Übungen!$E$10,IFERROR(INDEX(Rekorde!$P$4:$P$23,MATCH(Übungen!$A$10,Rekorde!$A$4:$A$23,0)),"")+0)))</f>
        <v>6</v>
      </c>
      <c r="E261" s="109"/>
      <c r="F261" s="109"/>
      <c r="G261" s="109"/>
      <c r="H261" s="109"/>
      <c r="I261" s="109"/>
    </row>
    <row r="262" customFormat="false" ht="18" hidden="false" customHeight="true" outlineLevel="0" collapsed="false">
      <c r="A262" s="105" t="n">
        <v>4</v>
      </c>
      <c r="B262" s="110" t="s">
        <v>482</v>
      </c>
      <c r="C262" s="107" t="n">
        <f aca="false">IF(OR(FALSE(),Übungen!$L$10="pause"),"",IF(IFERROR(INDEX(Rekorde!$O$4:$O$23,MATCH(Übungen!$A$10,Rekorde!$A$4:$A$23,0)),"")="","",ROUND(IFERROR(INDEX(Rekorde!$O$4:$O$23,MATCH(Übungen!$A$10,Rekorde!$A$4:$A$23,0)),"")*0.95*2,0)/2))</f>
        <v>32.5</v>
      </c>
      <c r="D262" s="112" t="n">
        <f aca="false">IF(OR(FALSE(),Übungen!$L$10="pause"),"",IF(IFERROR(INDEX(Rekorde!$P$4:$P$23,MATCH(Übungen!$A$10,Rekorde!$A$4:$A$23,0)),"")="","",MIN(Übungen!$E$10,IFERROR(INDEX(Rekorde!$P$4:$P$23,MATCH(Übungen!$A$10,Rekorde!$A$4:$A$23,0)),"")+1)))</f>
        <v>6</v>
      </c>
      <c r="E262" s="109"/>
      <c r="F262" s="109"/>
      <c r="G262" s="109"/>
      <c r="H262" s="109"/>
      <c r="I262" s="109"/>
    </row>
    <row r="263" customFormat="false" ht="18" hidden="false" customHeight="true" outlineLevel="0" collapsed="false">
      <c r="A263" s="105" t="n">
        <v>5</v>
      </c>
      <c r="B263" s="110" t="s">
        <v>483</v>
      </c>
      <c r="C263" s="107" t="n">
        <f aca="false">IF(OR(FALSE(),Übungen!$L$10="pause"),"",IF(IFERROR(INDEX(Rekorde!$O$4:$O$23,MATCH(Übungen!$A$10,Rekorde!$A$4:$A$23,0)),"")="","",ROUND(IFERROR(INDEX(Rekorde!$O$4:$O$23,MATCH(Übungen!$A$10,Rekorde!$A$4:$A$23,0)),"")*0.9*2,0)/2))</f>
        <v>30.5</v>
      </c>
      <c r="D263" s="112" t="n">
        <f aca="false">IF(OR(FALSE(),Übungen!$L$10="pause"),"",IF(IFERROR(INDEX(Rekorde!$P$4:$P$23,MATCH(Übungen!$A$10,Rekorde!$A$4:$A$23,0)),"")="","",MIN(Übungen!$E$10,IFERROR(INDEX(Rekorde!$P$4:$P$23,MATCH(Übungen!$A$10,Rekorde!$A$4:$A$23,0)),"")+2)))</f>
        <v>6</v>
      </c>
      <c r="E263" s="109"/>
      <c r="F263" s="109"/>
      <c r="G263" s="109"/>
      <c r="H263" s="109"/>
      <c r="I263" s="109"/>
    </row>
    <row r="265" customFormat="false" ht="18.75" hidden="false" customHeight="true" outlineLevel="0" collapsed="false">
      <c r="A265" s="101" t="str">
        <f aca="false">Übungen!$A$11</f>
        <v>Beinpresse breit</v>
      </c>
      <c r="B265" s="101"/>
      <c r="C265" s="101"/>
      <c r="D265" s="101"/>
      <c r="E265" s="101"/>
      <c r="F265" s="101"/>
      <c r="G265" s="101"/>
      <c r="H265" s="101"/>
      <c r="I265" s="101"/>
    </row>
    <row r="266" customFormat="false" ht="13.5" hidden="false" customHeight="true" outlineLevel="0" collapsed="false">
      <c r="A266"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266" s="102"/>
      <c r="C266" s="102"/>
      <c r="D266" s="102"/>
      <c r="E266" s="102"/>
      <c r="F266" s="102"/>
      <c r="G266" s="102"/>
      <c r="H266" s="102"/>
      <c r="I266" s="102"/>
    </row>
    <row r="267" customFormat="false" ht="13.5" hidden="false" customHeight="true" outlineLevel="0" collapsed="false">
      <c r="A267"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267" s="103"/>
      <c r="C267" s="103"/>
      <c r="D267" s="103"/>
      <c r="E267" s="103"/>
      <c r="F267" s="103"/>
      <c r="G267" s="103"/>
      <c r="H267" s="103"/>
      <c r="I267" s="103"/>
    </row>
    <row r="268" customFormat="false" ht="18" hidden="false" customHeight="true" outlineLevel="0" collapsed="false">
      <c r="A268" s="104" t="s">
        <v>473</v>
      </c>
      <c r="B268" s="104" t="s">
        <v>474</v>
      </c>
      <c r="C268" s="104" t="s">
        <v>475</v>
      </c>
      <c r="D268" s="104" t="s">
        <v>476</v>
      </c>
      <c r="E268" s="104" t="s">
        <v>477</v>
      </c>
      <c r="F268" s="104" t="s">
        <v>374</v>
      </c>
      <c r="G268" s="104" t="s">
        <v>48</v>
      </c>
      <c r="H268" s="104" t="s">
        <v>478</v>
      </c>
      <c r="I268" s="104" t="s">
        <v>255</v>
      </c>
    </row>
    <row r="269" customFormat="false" ht="18" hidden="false" customHeight="true" outlineLevel="0" collapsed="false">
      <c r="A269" s="105" t="n">
        <v>1</v>
      </c>
      <c r="B269" s="106" t="s">
        <v>479</v>
      </c>
      <c r="C269" s="107" t="n">
        <f aca="false">IF(OR(FALSE(),Übungen!$L$11="pause"),"",IF(IFERROR(INDEX(Rekorde!$O$4:$O$23,MATCH(Übungen!$A$11,Rekorde!$A$4:$A$23,0)),"")="","",ROUND(IFERROR(INDEX(Rekorde!$O$4:$O$23,MATCH(Übungen!$A$11,Rekorde!$A$4:$A$23,0)),"")*0.4*2,0)/2))</f>
        <v>88</v>
      </c>
      <c r="D269" s="108"/>
      <c r="E269" s="109"/>
      <c r="F269" s="109"/>
      <c r="G269" s="109"/>
      <c r="H269" s="109"/>
      <c r="I269" s="109"/>
    </row>
    <row r="270" customFormat="false" ht="18" hidden="false" customHeight="true" outlineLevel="0" collapsed="false">
      <c r="A270" s="105" t="n">
        <v>2</v>
      </c>
      <c r="B270" s="106" t="s">
        <v>480</v>
      </c>
      <c r="C270" s="107" t="n">
        <f aca="false">IF(OR(FALSE(),Übungen!$L$11="pause"),"",IF(IFERROR(INDEX(Rekorde!$O$4:$O$23,MATCH(Übungen!$A$11,Rekorde!$A$4:$A$23,0)),"")="","",ROUND(IFERROR(INDEX(Rekorde!$O$4:$O$23,MATCH(Übungen!$A$11,Rekorde!$A$4:$A$23,0)),"")*0.7*2,0)/2))</f>
        <v>154</v>
      </c>
      <c r="D270" s="108"/>
      <c r="E270" s="109"/>
      <c r="F270" s="109"/>
      <c r="G270" s="109"/>
      <c r="H270" s="109"/>
      <c r="I270" s="109"/>
    </row>
    <row r="271" customFormat="false" ht="18" hidden="false" customHeight="true" outlineLevel="0" collapsed="false">
      <c r="A271" s="105" t="n">
        <v>3</v>
      </c>
      <c r="B271" s="110" t="s">
        <v>481</v>
      </c>
      <c r="C271" s="111" t="n">
        <f aca="false">IF(OR(FALSE(),Übungen!$L$11="pause"),"",IF(IFERROR(INDEX(Rekorde!$O$4:$O$23,MATCH(Übungen!$A$11,Rekorde!$A$4:$A$23,0)),"")="","",ROUND(IFERROR(INDEX(Rekorde!$O$4:$O$23,MATCH(Übungen!$A$11,Rekorde!$A$4:$A$23,0)),"")*1*2,0)/2))</f>
        <v>220</v>
      </c>
      <c r="D271" s="112" t="n">
        <f aca="false">IF(OR(FALSE(),Übungen!$L$11="pause"),"",IF(IFERROR(INDEX(Rekorde!$P$4:$P$23,MATCH(Übungen!$A$11,Rekorde!$A$4:$A$23,0)),"")="","",MIN(Übungen!$E$11,IFERROR(INDEX(Rekorde!$P$4:$P$23,MATCH(Übungen!$A$11,Rekorde!$A$4:$A$23,0)),"")+0)))</f>
        <v>5</v>
      </c>
      <c r="E271" s="109"/>
      <c r="F271" s="109"/>
      <c r="G271" s="109"/>
      <c r="H271" s="109"/>
      <c r="I271" s="109"/>
    </row>
    <row r="272" customFormat="false" ht="18" hidden="false" customHeight="true" outlineLevel="0" collapsed="false">
      <c r="A272" s="105" t="n">
        <v>4</v>
      </c>
      <c r="B272" s="110" t="s">
        <v>482</v>
      </c>
      <c r="C272" s="107" t="n">
        <f aca="false">IF(OR(FALSE(),Übungen!$L$11="pause"),"",IF(IFERROR(INDEX(Rekorde!$O$4:$O$23,MATCH(Übungen!$A$11,Rekorde!$A$4:$A$23,0)),"")="","",ROUND(IFERROR(INDEX(Rekorde!$O$4:$O$23,MATCH(Übungen!$A$11,Rekorde!$A$4:$A$23,0)),"")*0.95*2,0)/2))</f>
        <v>209</v>
      </c>
      <c r="D272" s="112" t="n">
        <f aca="false">IF(OR(FALSE(),Übungen!$L$11="pause"),"",IF(IFERROR(INDEX(Rekorde!$P$4:$P$23,MATCH(Übungen!$A$11,Rekorde!$A$4:$A$23,0)),"")="","",MIN(Übungen!$E$11,IFERROR(INDEX(Rekorde!$P$4:$P$23,MATCH(Übungen!$A$11,Rekorde!$A$4:$A$23,0)),"")+1)))</f>
        <v>6</v>
      </c>
      <c r="E272" s="109"/>
      <c r="F272" s="109"/>
      <c r="G272" s="109"/>
      <c r="H272" s="109"/>
      <c r="I272" s="109"/>
    </row>
    <row r="273" customFormat="false" ht="18" hidden="false" customHeight="true" outlineLevel="0" collapsed="false">
      <c r="A273" s="105" t="n">
        <v>5</v>
      </c>
      <c r="B273" s="110" t="s">
        <v>483</v>
      </c>
      <c r="C273" s="107" t="n">
        <f aca="false">IF(OR(FALSE(),Übungen!$L$11="pause"),"",IF(IFERROR(INDEX(Rekorde!$O$4:$O$23,MATCH(Übungen!$A$11,Rekorde!$A$4:$A$23,0)),"")="","",ROUND(IFERROR(INDEX(Rekorde!$O$4:$O$23,MATCH(Übungen!$A$11,Rekorde!$A$4:$A$23,0)),"")*0.9*2,0)/2))</f>
        <v>198</v>
      </c>
      <c r="D273" s="112" t="n">
        <f aca="false">IF(OR(FALSE(),Übungen!$L$11="pause"),"",IF(IFERROR(INDEX(Rekorde!$P$4:$P$23,MATCH(Übungen!$A$11,Rekorde!$A$4:$A$23,0)),"")="","",MIN(Übungen!$E$11,IFERROR(INDEX(Rekorde!$P$4:$P$23,MATCH(Übungen!$A$11,Rekorde!$A$4:$A$23,0)),"")+2)))</f>
        <v>6</v>
      </c>
      <c r="E273" s="109"/>
      <c r="F273" s="109"/>
      <c r="G273" s="109"/>
      <c r="H273" s="109"/>
      <c r="I273" s="109"/>
    </row>
    <row r="275" customFormat="false" ht="18.75" hidden="false" customHeight="true" outlineLevel="0" collapsed="false">
      <c r="A275" s="101" t="str">
        <f aca="false">Übungen!$A$12</f>
        <v>Hip Thrust</v>
      </c>
      <c r="B275" s="101"/>
      <c r="C275" s="101"/>
      <c r="D275" s="101"/>
      <c r="E275" s="101"/>
      <c r="F275" s="101"/>
      <c r="G275" s="101"/>
      <c r="H275" s="101"/>
      <c r="I275" s="101"/>
    </row>
    <row r="276" customFormat="false" ht="13.5" hidden="false" customHeight="true" outlineLevel="0" collapsed="false">
      <c r="A276"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276" s="102"/>
      <c r="C276" s="102"/>
      <c r="D276" s="102"/>
      <c r="E276" s="102"/>
      <c r="F276" s="102"/>
      <c r="G276" s="102"/>
      <c r="H276" s="102"/>
      <c r="I276" s="102"/>
    </row>
    <row r="277" customFormat="false" ht="13.5" hidden="false" customHeight="true" outlineLevel="0" collapsed="false">
      <c r="A277"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277" s="103"/>
      <c r="C277" s="103"/>
      <c r="D277" s="103"/>
      <c r="E277" s="103"/>
      <c r="F277" s="103"/>
      <c r="G277" s="103"/>
      <c r="H277" s="103"/>
      <c r="I277" s="103"/>
    </row>
    <row r="278" customFormat="false" ht="18" hidden="false" customHeight="true" outlineLevel="0" collapsed="false">
      <c r="A278" s="104" t="s">
        <v>473</v>
      </c>
      <c r="B278" s="104" t="s">
        <v>474</v>
      </c>
      <c r="C278" s="104" t="s">
        <v>475</v>
      </c>
      <c r="D278" s="104" t="s">
        <v>476</v>
      </c>
      <c r="E278" s="104" t="s">
        <v>477</v>
      </c>
      <c r="F278" s="104" t="s">
        <v>374</v>
      </c>
      <c r="G278" s="104" t="s">
        <v>48</v>
      </c>
      <c r="H278" s="104" t="s">
        <v>478</v>
      </c>
      <c r="I278" s="104" t="s">
        <v>255</v>
      </c>
    </row>
    <row r="279" customFormat="false" ht="18" hidden="false" customHeight="true" outlineLevel="0" collapsed="false">
      <c r="A279" s="105" t="n">
        <v>1</v>
      </c>
      <c r="B279" s="106" t="s">
        <v>479</v>
      </c>
      <c r="C279" s="107" t="n">
        <f aca="false">IF(OR(FALSE(),Übungen!$L$12="pause"),"",IF(IFERROR(INDEX(Rekorde!$O$4:$O$23,MATCH(Übungen!$A$12,Rekorde!$A$4:$A$23,0)),"")="","",ROUND(IFERROR(INDEX(Rekorde!$O$4:$O$23,MATCH(Übungen!$A$12,Rekorde!$A$4:$A$23,0)),"")*0.4*2,0)/2))</f>
        <v>114</v>
      </c>
      <c r="D279" s="108"/>
      <c r="E279" s="109"/>
      <c r="F279" s="109"/>
      <c r="G279" s="109"/>
      <c r="H279" s="109"/>
      <c r="I279" s="109"/>
    </row>
    <row r="280" customFormat="false" ht="18" hidden="false" customHeight="true" outlineLevel="0" collapsed="false">
      <c r="A280" s="105" t="n">
        <v>2</v>
      </c>
      <c r="B280" s="106" t="s">
        <v>480</v>
      </c>
      <c r="C280" s="107" t="n">
        <f aca="false">IF(OR(FALSE(),Übungen!$L$12="pause"),"",IF(IFERROR(INDEX(Rekorde!$O$4:$O$23,MATCH(Übungen!$A$12,Rekorde!$A$4:$A$23,0)),"")="","",ROUND(IFERROR(INDEX(Rekorde!$O$4:$O$23,MATCH(Übungen!$A$12,Rekorde!$A$4:$A$23,0)),"")*0.7*2,0)/2))</f>
        <v>199.5</v>
      </c>
      <c r="D280" s="108"/>
      <c r="E280" s="109"/>
      <c r="F280" s="109"/>
      <c r="G280" s="109"/>
      <c r="H280" s="109"/>
      <c r="I280" s="109"/>
    </row>
    <row r="281" customFormat="false" ht="18" hidden="false" customHeight="true" outlineLevel="0" collapsed="false">
      <c r="A281" s="105" t="n">
        <v>3</v>
      </c>
      <c r="B281" s="110" t="s">
        <v>481</v>
      </c>
      <c r="C281" s="111" t="n">
        <f aca="false">IF(OR(FALSE(),Übungen!$L$12="pause"),"",IF(IFERROR(INDEX(Rekorde!$O$4:$O$23,MATCH(Übungen!$A$12,Rekorde!$A$4:$A$23,0)),"")="","",ROUND(IFERROR(INDEX(Rekorde!$O$4:$O$23,MATCH(Übungen!$A$12,Rekorde!$A$4:$A$23,0)),"")*1*2,0)/2))</f>
        <v>285</v>
      </c>
      <c r="D281" s="112" t="n">
        <f aca="false">IF(OR(FALSE(),Übungen!$L$12="pause"),"",IF(IFERROR(INDEX(Rekorde!$P$4:$P$23,MATCH(Übungen!$A$12,Rekorde!$A$4:$A$23,0)),"")="","",MIN(Übungen!$E$12,IFERROR(INDEX(Rekorde!$P$4:$P$23,MATCH(Übungen!$A$12,Rekorde!$A$4:$A$23,0)),"")+0)))</f>
        <v>6</v>
      </c>
      <c r="E281" s="109"/>
      <c r="F281" s="109"/>
      <c r="G281" s="109"/>
      <c r="H281" s="109"/>
      <c r="I281" s="109"/>
    </row>
    <row r="282" customFormat="false" ht="18" hidden="false" customHeight="true" outlineLevel="0" collapsed="false">
      <c r="A282" s="105" t="n">
        <v>4</v>
      </c>
      <c r="B282" s="110" t="s">
        <v>482</v>
      </c>
      <c r="C282" s="107" t="n">
        <f aca="false">IF(OR(FALSE(),Übungen!$L$12="pause"),"",IF(IFERROR(INDEX(Rekorde!$O$4:$O$23,MATCH(Übungen!$A$12,Rekorde!$A$4:$A$23,0)),"")="","",ROUND(IFERROR(INDEX(Rekorde!$O$4:$O$23,MATCH(Übungen!$A$12,Rekorde!$A$4:$A$23,0)),"")*0.95*2,0)/2))</f>
        <v>271</v>
      </c>
      <c r="D282" s="112" t="n">
        <f aca="false">IF(OR(FALSE(),Übungen!$L$12="pause"),"",IF(IFERROR(INDEX(Rekorde!$P$4:$P$23,MATCH(Übungen!$A$12,Rekorde!$A$4:$A$23,0)),"")="","",MIN(Übungen!$E$12,IFERROR(INDEX(Rekorde!$P$4:$P$23,MATCH(Übungen!$A$12,Rekorde!$A$4:$A$23,0)),"")+1)))</f>
        <v>6</v>
      </c>
      <c r="E282" s="109"/>
      <c r="F282" s="109"/>
      <c r="G282" s="109"/>
      <c r="H282" s="109"/>
      <c r="I282" s="109"/>
    </row>
    <row r="283" customFormat="false" ht="18" hidden="false" customHeight="true" outlineLevel="0" collapsed="false">
      <c r="A283" s="105" t="n">
        <v>5</v>
      </c>
      <c r="B283" s="110" t="s">
        <v>483</v>
      </c>
      <c r="C283" s="107" t="n">
        <f aca="false">IF(OR(FALSE(),Übungen!$L$12="pause"),"",IF(IFERROR(INDEX(Rekorde!$O$4:$O$23,MATCH(Übungen!$A$12,Rekorde!$A$4:$A$23,0)),"")="","",ROUND(IFERROR(INDEX(Rekorde!$O$4:$O$23,MATCH(Übungen!$A$12,Rekorde!$A$4:$A$23,0)),"")*0.9*2,0)/2))</f>
        <v>256.5</v>
      </c>
      <c r="D283" s="112" t="n">
        <f aca="false">IF(OR(FALSE(),Übungen!$L$12="pause"),"",IF(IFERROR(INDEX(Rekorde!$P$4:$P$23,MATCH(Übungen!$A$12,Rekorde!$A$4:$A$23,0)),"")="","",MIN(Übungen!$E$12,IFERROR(INDEX(Rekorde!$P$4:$P$23,MATCH(Übungen!$A$12,Rekorde!$A$4:$A$23,0)),"")+2)))</f>
        <v>6</v>
      </c>
      <c r="E283" s="109"/>
      <c r="F283" s="109"/>
      <c r="G283" s="109"/>
      <c r="H283" s="109"/>
      <c r="I283" s="109"/>
    </row>
    <row r="285" customFormat="false" ht="18.75" hidden="false" customHeight="true" outlineLevel="0" collapsed="false">
      <c r="A285" s="101" t="str">
        <f aca="false">Übungen!$A$13</f>
        <v>Hip &amp; Glute</v>
      </c>
      <c r="B285" s="101"/>
      <c r="C285" s="101"/>
      <c r="D285" s="101"/>
      <c r="E285" s="101"/>
      <c r="F285" s="101"/>
      <c r="G285" s="101"/>
      <c r="H285" s="101"/>
      <c r="I285" s="101"/>
    </row>
    <row r="286" customFormat="false" ht="13.5" hidden="false" customHeight="true" outlineLevel="0" collapsed="false">
      <c r="A286"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286" s="102"/>
      <c r="C286" s="102"/>
      <c r="D286" s="102"/>
      <c r="E286" s="102"/>
      <c r="F286" s="102"/>
      <c r="G286" s="102"/>
      <c r="H286" s="102"/>
      <c r="I286" s="102"/>
    </row>
    <row r="287" customFormat="false" ht="13.5" hidden="false" customHeight="true" outlineLevel="0" collapsed="false">
      <c r="A287"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287" s="103"/>
      <c r="C287" s="103"/>
      <c r="D287" s="103"/>
      <c r="E287" s="103"/>
      <c r="F287" s="103"/>
      <c r="G287" s="103"/>
      <c r="H287" s="103"/>
      <c r="I287" s="103"/>
    </row>
    <row r="288" customFormat="false" ht="18" hidden="false" customHeight="true" outlineLevel="0" collapsed="false">
      <c r="A288" s="104" t="s">
        <v>473</v>
      </c>
      <c r="B288" s="104" t="s">
        <v>474</v>
      </c>
      <c r="C288" s="104" t="s">
        <v>475</v>
      </c>
      <c r="D288" s="104" t="s">
        <v>476</v>
      </c>
      <c r="E288" s="104" t="s">
        <v>477</v>
      </c>
      <c r="F288" s="104" t="s">
        <v>374</v>
      </c>
      <c r="G288" s="104" t="s">
        <v>48</v>
      </c>
      <c r="H288" s="104" t="s">
        <v>478</v>
      </c>
      <c r="I288" s="104" t="s">
        <v>255</v>
      </c>
    </row>
    <row r="289" customFormat="false" ht="18" hidden="false" customHeight="true" outlineLevel="0" collapsed="false">
      <c r="A289" s="105" t="n">
        <v>1</v>
      </c>
      <c r="B289" s="106" t="s">
        <v>479</v>
      </c>
      <c r="C289" s="107" t="n">
        <f aca="false">IF(OR(FALSE(),Übungen!$L$13="pause"),"",IF(IFERROR(INDEX(Rekorde!$O$4:$O$23,MATCH(Übungen!$A$13,Rekorde!$A$4:$A$23,0)),"")="","",ROUND(IFERROR(INDEX(Rekorde!$O$4:$O$23,MATCH(Übungen!$A$13,Rekorde!$A$4:$A$23,0)),"")*0.4*2,0)/2))</f>
        <v>68</v>
      </c>
      <c r="D289" s="108"/>
      <c r="E289" s="109"/>
      <c r="F289" s="109"/>
      <c r="G289" s="109"/>
      <c r="H289" s="109"/>
      <c r="I289" s="109"/>
    </row>
    <row r="290" customFormat="false" ht="18" hidden="false" customHeight="true" outlineLevel="0" collapsed="false">
      <c r="A290" s="105" t="n">
        <v>2</v>
      </c>
      <c r="B290" s="106" t="s">
        <v>480</v>
      </c>
      <c r="C290" s="107" t="n">
        <f aca="false">IF(OR(FALSE(),Übungen!$L$13="pause"),"",IF(IFERROR(INDEX(Rekorde!$O$4:$O$23,MATCH(Übungen!$A$13,Rekorde!$A$4:$A$23,0)),"")="","",ROUND(IFERROR(INDEX(Rekorde!$O$4:$O$23,MATCH(Übungen!$A$13,Rekorde!$A$4:$A$23,0)),"")*0.7*2,0)/2))</f>
        <v>119</v>
      </c>
      <c r="D290" s="108"/>
      <c r="E290" s="109"/>
      <c r="F290" s="109"/>
      <c r="G290" s="109"/>
      <c r="H290" s="109"/>
      <c r="I290" s="109"/>
    </row>
    <row r="291" customFormat="false" ht="18" hidden="false" customHeight="true" outlineLevel="0" collapsed="false">
      <c r="A291" s="105" t="n">
        <v>3</v>
      </c>
      <c r="B291" s="110" t="s">
        <v>481</v>
      </c>
      <c r="C291" s="111" t="n">
        <f aca="false">IF(OR(FALSE(),Übungen!$L$13="pause"),"",IF(IFERROR(INDEX(Rekorde!$O$4:$O$23,MATCH(Übungen!$A$13,Rekorde!$A$4:$A$23,0)),"")="","",ROUND(IFERROR(INDEX(Rekorde!$O$4:$O$23,MATCH(Übungen!$A$13,Rekorde!$A$4:$A$23,0)),"")*1*2,0)/2))</f>
        <v>170</v>
      </c>
      <c r="D291" s="112" t="n">
        <f aca="false">IF(OR(FALSE(),Übungen!$L$13="pause"),"",IF(IFERROR(INDEX(Rekorde!$P$4:$P$23,MATCH(Übungen!$A$13,Rekorde!$A$4:$A$23,0)),"")="","",MIN(Übungen!$E$13,IFERROR(INDEX(Rekorde!$P$4:$P$23,MATCH(Übungen!$A$13,Rekorde!$A$4:$A$23,0)),"")+0)))</f>
        <v>6</v>
      </c>
      <c r="E291" s="109"/>
      <c r="F291" s="109"/>
      <c r="G291" s="109"/>
      <c r="H291" s="109"/>
      <c r="I291" s="109"/>
    </row>
    <row r="292" customFormat="false" ht="18" hidden="false" customHeight="true" outlineLevel="0" collapsed="false">
      <c r="A292" s="105" t="n">
        <v>4</v>
      </c>
      <c r="B292" s="110" t="s">
        <v>482</v>
      </c>
      <c r="C292" s="107" t="n">
        <f aca="false">IF(OR(FALSE(),Übungen!$L$13="pause"),"",IF(IFERROR(INDEX(Rekorde!$O$4:$O$23,MATCH(Übungen!$A$13,Rekorde!$A$4:$A$23,0)),"")="","",ROUND(IFERROR(INDEX(Rekorde!$O$4:$O$23,MATCH(Übungen!$A$13,Rekorde!$A$4:$A$23,0)),"")*0.95*2,0)/2))</f>
        <v>161.5</v>
      </c>
      <c r="D292" s="112" t="n">
        <f aca="false">IF(OR(FALSE(),Übungen!$L$13="pause"),"",IF(IFERROR(INDEX(Rekorde!$P$4:$P$23,MATCH(Übungen!$A$13,Rekorde!$A$4:$A$23,0)),"")="","",MIN(Übungen!$E$13,IFERROR(INDEX(Rekorde!$P$4:$P$23,MATCH(Übungen!$A$13,Rekorde!$A$4:$A$23,0)),"")+1)))</f>
        <v>6</v>
      </c>
      <c r="E292" s="109"/>
      <c r="F292" s="109"/>
      <c r="G292" s="109"/>
      <c r="H292" s="109"/>
      <c r="I292" s="109"/>
    </row>
    <row r="293" customFormat="false" ht="18" hidden="false" customHeight="true" outlineLevel="0" collapsed="false">
      <c r="A293" s="105" t="n">
        <v>5</v>
      </c>
      <c r="B293" s="110" t="s">
        <v>483</v>
      </c>
      <c r="C293" s="107" t="n">
        <f aca="false">IF(OR(FALSE(),Übungen!$L$13="pause"),"",IF(IFERROR(INDEX(Rekorde!$O$4:$O$23,MATCH(Übungen!$A$13,Rekorde!$A$4:$A$23,0)),"")="","",ROUND(IFERROR(INDEX(Rekorde!$O$4:$O$23,MATCH(Übungen!$A$13,Rekorde!$A$4:$A$23,0)),"")*0.9*2,0)/2))</f>
        <v>153</v>
      </c>
      <c r="D293" s="112" t="n">
        <f aca="false">IF(OR(FALSE(),Übungen!$L$13="pause"),"",IF(IFERROR(INDEX(Rekorde!$P$4:$P$23,MATCH(Übungen!$A$13,Rekorde!$A$4:$A$23,0)),"")="","",MIN(Übungen!$E$13,IFERROR(INDEX(Rekorde!$P$4:$P$23,MATCH(Übungen!$A$13,Rekorde!$A$4:$A$23,0)),"")+2)))</f>
        <v>6</v>
      </c>
      <c r="E293" s="109"/>
      <c r="F293" s="109"/>
      <c r="G293" s="109"/>
      <c r="H293" s="109"/>
      <c r="I293" s="109"/>
    </row>
    <row r="295" customFormat="false" ht="18.75" hidden="false" customHeight="true" outlineLevel="0" collapsed="false">
      <c r="A295" s="101" t="str">
        <f aca="false">Übungen!$A$14</f>
        <v>Beinbeuger</v>
      </c>
      <c r="B295" s="101"/>
      <c r="C295" s="101"/>
      <c r="D295" s="101"/>
      <c r="E295" s="101"/>
      <c r="F295" s="101"/>
      <c r="G295" s="101"/>
      <c r="H295" s="101"/>
      <c r="I295" s="101"/>
    </row>
    <row r="296" customFormat="false" ht="13.5" hidden="false" customHeight="true" outlineLevel="0" collapsed="false">
      <c r="A296"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296" s="102"/>
      <c r="C296" s="102"/>
      <c r="D296" s="102"/>
      <c r="E296" s="102"/>
      <c r="F296" s="102"/>
      <c r="G296" s="102"/>
      <c r="H296" s="102"/>
      <c r="I296" s="102"/>
    </row>
    <row r="297" customFormat="false" ht="13.5" hidden="false" customHeight="true" outlineLevel="0" collapsed="false">
      <c r="A297"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297" s="103"/>
      <c r="C297" s="103"/>
      <c r="D297" s="103"/>
      <c r="E297" s="103"/>
      <c r="F297" s="103"/>
      <c r="G297" s="103"/>
      <c r="H297" s="103"/>
      <c r="I297" s="103"/>
    </row>
    <row r="298" customFormat="false" ht="18" hidden="false" customHeight="true" outlineLevel="0" collapsed="false">
      <c r="A298" s="104" t="s">
        <v>473</v>
      </c>
      <c r="B298" s="104" t="s">
        <v>474</v>
      </c>
      <c r="C298" s="104" t="s">
        <v>475</v>
      </c>
      <c r="D298" s="104" t="s">
        <v>476</v>
      </c>
      <c r="E298" s="104" t="s">
        <v>477</v>
      </c>
      <c r="F298" s="104" t="s">
        <v>374</v>
      </c>
      <c r="G298" s="104" t="s">
        <v>48</v>
      </c>
      <c r="H298" s="104" t="s">
        <v>478</v>
      </c>
      <c r="I298" s="104" t="s">
        <v>255</v>
      </c>
    </row>
    <row r="299" customFormat="false" ht="18" hidden="false" customHeight="true" outlineLevel="0" collapsed="false">
      <c r="A299" s="105" t="n">
        <v>1</v>
      </c>
      <c r="B299" s="106" t="s">
        <v>479</v>
      </c>
      <c r="C299" s="107" t="n">
        <f aca="false">IF(OR(FALSE(),Übungen!$L$14="pause"),"",IF(IFERROR(INDEX(Rekorde!$O$4:$O$23,MATCH(Übungen!$A$14,Rekorde!$A$4:$A$23,0)),"")="","",ROUND(IFERROR(INDEX(Rekorde!$O$4:$O$23,MATCH(Übungen!$A$14,Rekorde!$A$4:$A$23,0)),"")*0.4*2,0)/2))</f>
        <v>18</v>
      </c>
      <c r="D299" s="108"/>
      <c r="E299" s="109"/>
      <c r="F299" s="109"/>
      <c r="G299" s="109"/>
      <c r="H299" s="109"/>
      <c r="I299" s="109"/>
    </row>
    <row r="300" customFormat="false" ht="18" hidden="false" customHeight="true" outlineLevel="0" collapsed="false">
      <c r="A300" s="105" t="n">
        <v>2</v>
      </c>
      <c r="B300" s="106" t="s">
        <v>480</v>
      </c>
      <c r="C300" s="107" t="n">
        <f aca="false">IF(OR(FALSE(),Übungen!$L$14="pause"),"",IF(IFERROR(INDEX(Rekorde!$O$4:$O$23,MATCH(Übungen!$A$14,Rekorde!$A$4:$A$23,0)),"")="","",ROUND(IFERROR(INDEX(Rekorde!$O$4:$O$23,MATCH(Übungen!$A$14,Rekorde!$A$4:$A$23,0)),"")*0.7*2,0)/2))</f>
        <v>31.5</v>
      </c>
      <c r="D300" s="108"/>
      <c r="E300" s="109"/>
      <c r="F300" s="109"/>
      <c r="G300" s="109"/>
      <c r="H300" s="109"/>
      <c r="I300" s="109"/>
    </row>
    <row r="301" customFormat="false" ht="18" hidden="false" customHeight="true" outlineLevel="0" collapsed="false">
      <c r="A301" s="105" t="n">
        <v>3</v>
      </c>
      <c r="B301" s="110" t="s">
        <v>481</v>
      </c>
      <c r="C301" s="111" t="n">
        <f aca="false">IF(OR(FALSE(),Übungen!$L$14="pause"),"",IF(IFERROR(INDEX(Rekorde!$O$4:$O$23,MATCH(Übungen!$A$14,Rekorde!$A$4:$A$23,0)),"")="","",ROUND(IFERROR(INDEX(Rekorde!$O$4:$O$23,MATCH(Übungen!$A$14,Rekorde!$A$4:$A$23,0)),"")*1*2,0)/2))</f>
        <v>45</v>
      </c>
      <c r="D301" s="112" t="n">
        <f aca="false">IF(OR(FALSE(),Übungen!$L$14="pause"),"",IF(IFERROR(INDEX(Rekorde!$P$4:$P$23,MATCH(Übungen!$A$14,Rekorde!$A$4:$A$23,0)),"")="","",MIN(Übungen!$E$14,IFERROR(INDEX(Rekorde!$P$4:$P$23,MATCH(Übungen!$A$14,Rekorde!$A$4:$A$23,0)),"")+0)))</f>
        <v>6</v>
      </c>
      <c r="E301" s="109"/>
      <c r="F301" s="109"/>
      <c r="G301" s="109"/>
      <c r="H301" s="109"/>
      <c r="I301" s="109"/>
    </row>
    <row r="302" customFormat="false" ht="18" hidden="false" customHeight="true" outlineLevel="0" collapsed="false">
      <c r="A302" s="105" t="n">
        <v>4</v>
      </c>
      <c r="B302" s="110" t="s">
        <v>482</v>
      </c>
      <c r="C302" s="107" t="n">
        <f aca="false">IF(OR(FALSE(),Übungen!$L$14="pause"),"",IF(IFERROR(INDEX(Rekorde!$O$4:$O$23,MATCH(Übungen!$A$14,Rekorde!$A$4:$A$23,0)),"")="","",ROUND(IFERROR(INDEX(Rekorde!$O$4:$O$23,MATCH(Übungen!$A$14,Rekorde!$A$4:$A$23,0)),"")*0.95*2,0)/2))</f>
        <v>43</v>
      </c>
      <c r="D302" s="112" t="n">
        <f aca="false">IF(OR(FALSE(),Übungen!$L$14="pause"),"",IF(IFERROR(INDEX(Rekorde!$P$4:$P$23,MATCH(Übungen!$A$14,Rekorde!$A$4:$A$23,0)),"")="","",MIN(Übungen!$E$14,IFERROR(INDEX(Rekorde!$P$4:$P$23,MATCH(Übungen!$A$14,Rekorde!$A$4:$A$23,0)),"")+1)))</f>
        <v>6</v>
      </c>
      <c r="E302" s="109"/>
      <c r="F302" s="109"/>
      <c r="G302" s="109"/>
      <c r="H302" s="109"/>
      <c r="I302" s="109"/>
    </row>
    <row r="303" customFormat="false" ht="18" hidden="false" customHeight="true" outlineLevel="0" collapsed="false">
      <c r="A303" s="105" t="n">
        <v>5</v>
      </c>
      <c r="B303" s="110" t="s">
        <v>483</v>
      </c>
      <c r="C303" s="107" t="n">
        <f aca="false">IF(OR(FALSE(),Übungen!$L$14="pause"),"",IF(IFERROR(INDEX(Rekorde!$O$4:$O$23,MATCH(Übungen!$A$14,Rekorde!$A$4:$A$23,0)),"")="","",ROUND(IFERROR(INDEX(Rekorde!$O$4:$O$23,MATCH(Übungen!$A$14,Rekorde!$A$4:$A$23,0)),"")*0.9*2,0)/2))</f>
        <v>40.5</v>
      </c>
      <c r="D303" s="112" t="n">
        <f aca="false">IF(OR(FALSE(),Übungen!$L$14="pause"),"",IF(IFERROR(INDEX(Rekorde!$P$4:$P$23,MATCH(Übungen!$A$14,Rekorde!$A$4:$A$23,0)),"")="","",MIN(Übungen!$E$14,IFERROR(INDEX(Rekorde!$P$4:$P$23,MATCH(Übungen!$A$14,Rekorde!$A$4:$A$23,0)),"")+2)))</f>
        <v>6</v>
      </c>
      <c r="E303" s="109"/>
      <c r="F303" s="109"/>
      <c r="G303" s="109"/>
      <c r="H303" s="109"/>
      <c r="I303" s="109"/>
    </row>
    <row r="305" customFormat="false" ht="18.75" hidden="false" customHeight="true" outlineLevel="0" collapsed="false">
      <c r="A305" s="101" t="str">
        <f aca="false">Übungen!$A$15</f>
        <v>Seitliche Kickbacks</v>
      </c>
      <c r="B305" s="101"/>
      <c r="C305" s="101"/>
      <c r="D305" s="101"/>
      <c r="E305" s="101"/>
      <c r="F305" s="101"/>
      <c r="G305" s="101"/>
      <c r="H305" s="101"/>
      <c r="I305" s="101"/>
    </row>
    <row r="306" customFormat="false" ht="13.5" hidden="false" customHeight="true" outlineLevel="0" collapsed="false">
      <c r="A306"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306" s="102"/>
      <c r="C306" s="102"/>
      <c r="D306" s="102"/>
      <c r="E306" s="102"/>
      <c r="F306" s="102"/>
      <c r="G306" s="102"/>
      <c r="H306" s="102"/>
      <c r="I306" s="102"/>
    </row>
    <row r="307" customFormat="false" ht="13.5" hidden="false" customHeight="true" outlineLevel="0" collapsed="false">
      <c r="A307"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307" s="103"/>
      <c r="C307" s="103"/>
      <c r="D307" s="103"/>
      <c r="E307" s="103"/>
      <c r="F307" s="103"/>
      <c r="G307" s="103"/>
      <c r="H307" s="103"/>
      <c r="I307" s="103"/>
    </row>
    <row r="308" customFormat="false" ht="18" hidden="false" customHeight="true" outlineLevel="0" collapsed="false">
      <c r="A308" s="104" t="s">
        <v>473</v>
      </c>
      <c r="B308" s="104" t="s">
        <v>474</v>
      </c>
      <c r="C308" s="104" t="s">
        <v>475</v>
      </c>
      <c r="D308" s="104" t="s">
        <v>476</v>
      </c>
      <c r="E308" s="104" t="s">
        <v>477</v>
      </c>
      <c r="F308" s="104" t="s">
        <v>374</v>
      </c>
      <c r="G308" s="104" t="s">
        <v>48</v>
      </c>
      <c r="H308" s="104" t="s">
        <v>478</v>
      </c>
      <c r="I308" s="104" t="s">
        <v>255</v>
      </c>
    </row>
    <row r="309" customFormat="false" ht="18" hidden="false" customHeight="true" outlineLevel="0" collapsed="false">
      <c r="A309" s="105" t="n">
        <v>1</v>
      </c>
      <c r="B309" s="106" t="s">
        <v>479</v>
      </c>
      <c r="C309" s="107" t="n">
        <f aca="false">IF(OR(FALSE(),Übungen!$L$15="pause"),"",IF(IFERROR(INDEX(Rekorde!$O$4:$O$23,MATCH(Übungen!$A$15,Rekorde!$A$4:$A$23,0)),"")="","",ROUND(IFERROR(INDEX(Rekorde!$O$4:$O$23,MATCH(Übungen!$A$15,Rekorde!$A$4:$A$23,0)),"")*0.4*2,0)/2))</f>
        <v>16</v>
      </c>
      <c r="D309" s="108"/>
      <c r="E309" s="109"/>
      <c r="F309" s="109"/>
      <c r="G309" s="109"/>
      <c r="H309" s="109"/>
      <c r="I309" s="109"/>
    </row>
    <row r="310" customFormat="false" ht="18" hidden="false" customHeight="true" outlineLevel="0" collapsed="false">
      <c r="A310" s="105" t="n">
        <v>2</v>
      </c>
      <c r="B310" s="106" t="s">
        <v>480</v>
      </c>
      <c r="C310" s="107" t="n">
        <f aca="false">IF(OR(FALSE(),Übungen!$L$15="pause"),"",IF(IFERROR(INDEX(Rekorde!$O$4:$O$23,MATCH(Übungen!$A$15,Rekorde!$A$4:$A$23,0)),"")="","",ROUND(IFERROR(INDEX(Rekorde!$O$4:$O$23,MATCH(Übungen!$A$15,Rekorde!$A$4:$A$23,0)),"")*0.7*2,0)/2))</f>
        <v>28</v>
      </c>
      <c r="D310" s="108"/>
      <c r="E310" s="109"/>
      <c r="F310" s="109"/>
      <c r="G310" s="109"/>
      <c r="H310" s="109"/>
      <c r="I310" s="109"/>
    </row>
    <row r="311" customFormat="false" ht="18" hidden="false" customHeight="true" outlineLevel="0" collapsed="false">
      <c r="A311" s="105" t="n">
        <v>3</v>
      </c>
      <c r="B311" s="110" t="s">
        <v>481</v>
      </c>
      <c r="C311" s="111" t="n">
        <f aca="false">IF(OR(FALSE(),Übungen!$L$15="pause"),"",IF(IFERROR(INDEX(Rekorde!$O$4:$O$23,MATCH(Übungen!$A$15,Rekorde!$A$4:$A$23,0)),"")="","",ROUND(IFERROR(INDEX(Rekorde!$O$4:$O$23,MATCH(Übungen!$A$15,Rekorde!$A$4:$A$23,0)),"")*1*2,0)/2))</f>
        <v>40</v>
      </c>
      <c r="D311" s="112" t="n">
        <f aca="false">IF(OR(FALSE(),Übungen!$L$15="pause"),"",IF(IFERROR(INDEX(Rekorde!$P$4:$P$23,MATCH(Übungen!$A$15,Rekorde!$A$4:$A$23,0)),"")="","",MIN(Übungen!$E$15,IFERROR(INDEX(Rekorde!$P$4:$P$23,MATCH(Übungen!$A$15,Rekorde!$A$4:$A$23,0)),"")+0)))</f>
        <v>5</v>
      </c>
      <c r="E311" s="109"/>
      <c r="F311" s="109"/>
      <c r="G311" s="109"/>
      <c r="H311" s="109"/>
      <c r="I311" s="109"/>
    </row>
    <row r="312" customFormat="false" ht="18" hidden="false" customHeight="true" outlineLevel="0" collapsed="false">
      <c r="A312" s="105" t="n">
        <v>4</v>
      </c>
      <c r="B312" s="110" t="s">
        <v>482</v>
      </c>
      <c r="C312" s="107" t="n">
        <f aca="false">IF(OR(FALSE(),Übungen!$L$15="pause"),"",IF(IFERROR(INDEX(Rekorde!$O$4:$O$23,MATCH(Übungen!$A$15,Rekorde!$A$4:$A$23,0)),"")="","",ROUND(IFERROR(INDEX(Rekorde!$O$4:$O$23,MATCH(Übungen!$A$15,Rekorde!$A$4:$A$23,0)),"")*0.95*2,0)/2))</f>
        <v>38</v>
      </c>
      <c r="D312" s="112" t="n">
        <f aca="false">IF(OR(FALSE(),Übungen!$L$15="pause"),"",IF(IFERROR(INDEX(Rekorde!$P$4:$P$23,MATCH(Übungen!$A$15,Rekorde!$A$4:$A$23,0)),"")="","",MIN(Übungen!$E$15,IFERROR(INDEX(Rekorde!$P$4:$P$23,MATCH(Übungen!$A$15,Rekorde!$A$4:$A$23,0)),"")+1)))</f>
        <v>6</v>
      </c>
      <c r="E312" s="109"/>
      <c r="F312" s="109"/>
      <c r="G312" s="109"/>
      <c r="H312" s="109"/>
      <c r="I312" s="109"/>
    </row>
    <row r="313" customFormat="false" ht="18" hidden="false" customHeight="true" outlineLevel="0" collapsed="false">
      <c r="A313" s="105" t="n">
        <v>5</v>
      </c>
      <c r="B313" s="110" t="s">
        <v>483</v>
      </c>
      <c r="C313" s="107" t="n">
        <f aca="false">IF(OR(FALSE(),Übungen!$L$15="pause"),"",IF(IFERROR(INDEX(Rekorde!$O$4:$O$23,MATCH(Übungen!$A$15,Rekorde!$A$4:$A$23,0)),"")="","",ROUND(IFERROR(INDEX(Rekorde!$O$4:$O$23,MATCH(Übungen!$A$15,Rekorde!$A$4:$A$23,0)),"")*0.9*2,0)/2))</f>
        <v>36</v>
      </c>
      <c r="D313" s="112" t="n">
        <f aca="false">IF(OR(FALSE(),Übungen!$L$15="pause"),"",IF(IFERROR(INDEX(Rekorde!$P$4:$P$23,MATCH(Übungen!$A$15,Rekorde!$A$4:$A$23,0)),"")="","",MIN(Übungen!$E$15,IFERROR(INDEX(Rekorde!$P$4:$P$23,MATCH(Übungen!$A$15,Rekorde!$A$4:$A$23,0)),"")+2)))</f>
        <v>6</v>
      </c>
      <c r="E313" s="109"/>
      <c r="F313" s="109"/>
      <c r="G313" s="109"/>
      <c r="H313" s="109"/>
      <c r="I313" s="109"/>
    </row>
    <row r="315" customFormat="false" ht="18.75" hidden="false" customHeight="true" outlineLevel="0" collapsed="false">
      <c r="A315" s="101" t="str">
        <f aca="false">Übungen!$A$16</f>
        <v>Waden</v>
      </c>
      <c r="B315" s="101"/>
      <c r="C315" s="101"/>
      <c r="D315" s="101"/>
      <c r="E315" s="101"/>
      <c r="F315" s="101"/>
      <c r="G315" s="101"/>
      <c r="H315" s="101"/>
      <c r="I315" s="101"/>
    </row>
    <row r="316" customFormat="false" ht="13.5" hidden="false" customHeight="true" outlineLevel="0" collapsed="false">
      <c r="A316"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16" s="102"/>
      <c r="C316" s="102"/>
      <c r="D316" s="102"/>
      <c r="E316" s="102"/>
      <c r="F316" s="102"/>
      <c r="G316" s="102"/>
      <c r="H316" s="102"/>
      <c r="I316" s="102"/>
    </row>
    <row r="317" customFormat="false" ht="13.5" hidden="false" customHeight="true" outlineLevel="0" collapsed="false">
      <c r="A317"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317" s="103"/>
      <c r="C317" s="103"/>
      <c r="D317" s="103"/>
      <c r="E317" s="103"/>
      <c r="F317" s="103"/>
      <c r="G317" s="103"/>
      <c r="H317" s="103"/>
      <c r="I317" s="103"/>
    </row>
    <row r="318" customFormat="false" ht="18" hidden="false" customHeight="true" outlineLevel="0" collapsed="false">
      <c r="A318" s="104" t="s">
        <v>473</v>
      </c>
      <c r="B318" s="104" t="s">
        <v>474</v>
      </c>
      <c r="C318" s="104" t="s">
        <v>475</v>
      </c>
      <c r="D318" s="104" t="s">
        <v>476</v>
      </c>
      <c r="E318" s="104" t="s">
        <v>477</v>
      </c>
      <c r="F318" s="104" t="s">
        <v>374</v>
      </c>
      <c r="G318" s="104" t="s">
        <v>48</v>
      </c>
      <c r="H318" s="104" t="s">
        <v>478</v>
      </c>
      <c r="I318" s="104" t="s">
        <v>255</v>
      </c>
    </row>
    <row r="319" customFormat="false" ht="18" hidden="false" customHeight="true" outlineLevel="0" collapsed="false">
      <c r="A319" s="105" t="n">
        <v>1</v>
      </c>
      <c r="B319" s="106" t="s">
        <v>479</v>
      </c>
      <c r="C319" s="107" t="n">
        <f aca="false">IF(OR(FALSE(),Übungen!$L$16="pause"),"",IF(IFERROR(INDEX(Rekorde!$O$4:$O$23,MATCH(Übungen!$A$16,Rekorde!$A$4:$A$23,0)),"")="","",ROUND(IFERROR(INDEX(Rekorde!$O$4:$O$23,MATCH(Übungen!$A$16,Rekorde!$A$4:$A$23,0)),"")*0.4*2,0)/2))</f>
        <v>76</v>
      </c>
      <c r="D319" s="108"/>
      <c r="E319" s="109"/>
      <c r="F319" s="109"/>
      <c r="G319" s="109"/>
      <c r="H319" s="109"/>
      <c r="I319" s="109"/>
    </row>
    <row r="320" customFormat="false" ht="18" hidden="false" customHeight="true" outlineLevel="0" collapsed="false">
      <c r="A320" s="105" t="n">
        <v>2</v>
      </c>
      <c r="B320" s="106" t="s">
        <v>480</v>
      </c>
      <c r="C320" s="107" t="n">
        <f aca="false">IF(OR(FALSE(),Übungen!$L$16="pause"),"",IF(IFERROR(INDEX(Rekorde!$O$4:$O$23,MATCH(Übungen!$A$16,Rekorde!$A$4:$A$23,0)),"")="","",ROUND(IFERROR(INDEX(Rekorde!$O$4:$O$23,MATCH(Übungen!$A$16,Rekorde!$A$4:$A$23,0)),"")*0.7*2,0)/2))</f>
        <v>133</v>
      </c>
      <c r="D320" s="108"/>
      <c r="E320" s="109"/>
      <c r="F320" s="109"/>
      <c r="G320" s="109"/>
      <c r="H320" s="109"/>
      <c r="I320" s="109"/>
    </row>
    <row r="321" customFormat="false" ht="18" hidden="false" customHeight="true" outlineLevel="0" collapsed="false">
      <c r="A321" s="105" t="n">
        <v>3</v>
      </c>
      <c r="B321" s="110" t="s">
        <v>481</v>
      </c>
      <c r="C321" s="111" t="n">
        <f aca="false">IF(OR(FALSE(),Übungen!$L$16="pause"),"",IF(IFERROR(INDEX(Rekorde!$O$4:$O$23,MATCH(Übungen!$A$16,Rekorde!$A$4:$A$23,0)),"")="","",ROUND(IFERROR(INDEX(Rekorde!$O$4:$O$23,MATCH(Übungen!$A$16,Rekorde!$A$4:$A$23,0)),"")*1*2,0)/2))</f>
        <v>190</v>
      </c>
      <c r="D321" s="112" t="n">
        <f aca="false">IF(OR(FALSE(),Übungen!$L$16="pause"),"",IF(IFERROR(INDEX(Rekorde!$P$4:$P$23,MATCH(Übungen!$A$16,Rekorde!$A$4:$A$23,0)),"")="","",MIN(Übungen!$E$16,IFERROR(INDEX(Rekorde!$P$4:$P$23,MATCH(Übungen!$A$16,Rekorde!$A$4:$A$23,0)),"")+0)))</f>
        <v>6</v>
      </c>
      <c r="E321" s="109"/>
      <c r="F321" s="109"/>
      <c r="G321" s="109"/>
      <c r="H321" s="109"/>
      <c r="I321" s="109"/>
    </row>
    <row r="322" customFormat="false" ht="18" hidden="false" customHeight="true" outlineLevel="0" collapsed="false">
      <c r="A322" s="105" t="n">
        <v>4</v>
      </c>
      <c r="B322" s="110" t="s">
        <v>482</v>
      </c>
      <c r="C322" s="107" t="n">
        <f aca="false">IF(OR(FALSE(),Übungen!$L$16="pause"),"",IF(IFERROR(INDEX(Rekorde!$O$4:$O$23,MATCH(Übungen!$A$16,Rekorde!$A$4:$A$23,0)),"")="","",ROUND(IFERROR(INDEX(Rekorde!$O$4:$O$23,MATCH(Übungen!$A$16,Rekorde!$A$4:$A$23,0)),"")*0.95*2,0)/2))</f>
        <v>180.5</v>
      </c>
      <c r="D322" s="112" t="n">
        <f aca="false">IF(OR(FALSE(),Übungen!$L$16="pause"),"",IF(IFERROR(INDEX(Rekorde!$P$4:$P$23,MATCH(Übungen!$A$16,Rekorde!$A$4:$A$23,0)),"")="","",MIN(Übungen!$E$16,IFERROR(INDEX(Rekorde!$P$4:$P$23,MATCH(Übungen!$A$16,Rekorde!$A$4:$A$23,0)),"")+1)))</f>
        <v>6</v>
      </c>
      <c r="E322" s="109"/>
      <c r="F322" s="109"/>
      <c r="G322" s="109"/>
      <c r="H322" s="109"/>
      <c r="I322" s="109"/>
    </row>
    <row r="323" customFormat="false" ht="18" hidden="false" customHeight="true" outlineLevel="0" collapsed="false">
      <c r="A323" s="105" t="n">
        <v>5</v>
      </c>
      <c r="B323" s="110" t="s">
        <v>483</v>
      </c>
      <c r="C323" s="107" t="n">
        <f aca="false">IF(OR(FALSE(),Übungen!$L$16="pause"),"",IF(IFERROR(INDEX(Rekorde!$O$4:$O$23,MATCH(Übungen!$A$16,Rekorde!$A$4:$A$23,0)),"")="","",ROUND(IFERROR(INDEX(Rekorde!$O$4:$O$23,MATCH(Übungen!$A$16,Rekorde!$A$4:$A$23,0)),"")*0.9*2,0)/2))</f>
        <v>171</v>
      </c>
      <c r="D323" s="112" t="n">
        <f aca="false">IF(OR(FALSE(),Übungen!$L$16="pause"),"",IF(IFERROR(INDEX(Rekorde!$P$4:$P$23,MATCH(Übungen!$A$16,Rekorde!$A$4:$A$23,0)),"")="","",MIN(Übungen!$E$16,IFERROR(INDEX(Rekorde!$P$4:$P$23,MATCH(Übungen!$A$16,Rekorde!$A$4:$A$23,0)),"")+2)))</f>
        <v>6</v>
      </c>
      <c r="E323" s="109"/>
      <c r="F323" s="109"/>
      <c r="G323" s="109"/>
      <c r="H323" s="109"/>
      <c r="I323" s="109"/>
    </row>
    <row r="325" customFormat="false" ht="15.75" hidden="false" customHeight="true" outlineLevel="0" collapsed="false">
      <c r="A325" s="3" t="s">
        <v>484</v>
      </c>
      <c r="B325" s="3"/>
      <c r="C325" s="3"/>
      <c r="D325" s="3"/>
      <c r="E325" s="3"/>
      <c r="F325" s="3"/>
      <c r="G325" s="3"/>
      <c r="H325" s="3"/>
      <c r="I325" s="3"/>
    </row>
    <row r="326" customFormat="false" ht="18" hidden="false" customHeight="true" outlineLevel="0" collapsed="false">
      <c r="A326" s="113"/>
      <c r="B326" s="113"/>
      <c r="C326" s="113"/>
      <c r="D326" s="113"/>
      <c r="E326" s="113"/>
      <c r="F326" s="113"/>
      <c r="G326" s="113"/>
      <c r="H326" s="113"/>
      <c r="I326" s="113"/>
    </row>
    <row r="327" customFormat="false" ht="18" hidden="false" customHeight="true" outlineLevel="0" collapsed="false">
      <c r="A327" s="113"/>
      <c r="B327" s="113"/>
      <c r="C327" s="113"/>
      <c r="D327" s="113"/>
      <c r="E327" s="113"/>
      <c r="F327" s="113"/>
      <c r="G327" s="113"/>
      <c r="H327" s="113"/>
      <c r="I327" s="113"/>
    </row>
    <row r="329" customFormat="false" ht="27.75" hidden="false" customHeight="true" outlineLevel="0" collapsed="false">
      <c r="A329" s="1" t="s">
        <v>489</v>
      </c>
      <c r="B329" s="1"/>
      <c r="C329" s="1"/>
      <c r="D329" s="1"/>
      <c r="E329" s="1"/>
      <c r="F329" s="1"/>
      <c r="G329" s="1"/>
      <c r="H329" s="1"/>
      <c r="I329" s="1"/>
    </row>
    <row r="330" customFormat="false" ht="12" hidden="false" customHeight="true" outlineLevel="0" collapsed="false">
      <c r="A330" s="98" t="s">
        <v>73</v>
      </c>
      <c r="B330" s="98"/>
      <c r="C330" s="99" t="s">
        <v>469</v>
      </c>
      <c r="D330" s="99" t="s">
        <v>470</v>
      </c>
      <c r="E330" s="98" t="s">
        <v>471</v>
      </c>
      <c r="F330" s="98"/>
      <c r="G330" s="98" t="s">
        <v>472</v>
      </c>
      <c r="H330" s="98"/>
    </row>
    <row r="331" customFormat="false" ht="18" hidden="false" customHeight="true" outlineLevel="0" collapsed="false">
      <c r="A331" s="100"/>
      <c r="B331" s="100"/>
      <c r="C331" s="100"/>
      <c r="D331" s="100"/>
      <c r="E331" s="100"/>
      <c r="F331" s="100"/>
      <c r="G331" s="100"/>
      <c r="H331" s="100"/>
    </row>
    <row r="333" customFormat="false" ht="18.75" hidden="false" customHeight="true" outlineLevel="0" collapsed="false">
      <c r="A333" s="101" t="str">
        <f aca="false">Übungen!$A$17</f>
        <v>Squat Maschine Bülach</v>
      </c>
      <c r="B333" s="101"/>
      <c r="C333" s="101"/>
      <c r="D333" s="101"/>
      <c r="E333" s="101"/>
      <c r="F333" s="101"/>
      <c r="G333" s="101"/>
      <c r="H333" s="101"/>
      <c r="I333" s="101"/>
    </row>
    <row r="334" customFormat="false" ht="13.5" hidden="false" customHeight="true" outlineLevel="0" collapsed="false">
      <c r="A334"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334" s="102"/>
      <c r="C334" s="102"/>
      <c r="D334" s="102"/>
      <c r="E334" s="102"/>
      <c r="F334" s="102"/>
      <c r="G334" s="102"/>
      <c r="H334" s="102"/>
      <c r="I334" s="102"/>
    </row>
    <row r="335" customFormat="false" ht="13.5" hidden="false" customHeight="true" outlineLevel="0" collapsed="false">
      <c r="A335"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335" s="103"/>
      <c r="C335" s="103"/>
      <c r="D335" s="103"/>
      <c r="E335" s="103"/>
      <c r="F335" s="103"/>
      <c r="G335" s="103"/>
      <c r="H335" s="103"/>
      <c r="I335" s="103"/>
    </row>
    <row r="336" customFormat="false" ht="18" hidden="false" customHeight="true" outlineLevel="0" collapsed="false">
      <c r="A336" s="104" t="s">
        <v>473</v>
      </c>
      <c r="B336" s="104" t="s">
        <v>474</v>
      </c>
      <c r="C336" s="104" t="s">
        <v>475</v>
      </c>
      <c r="D336" s="104" t="s">
        <v>476</v>
      </c>
      <c r="E336" s="104" t="s">
        <v>477</v>
      </c>
      <c r="F336" s="104" t="s">
        <v>374</v>
      </c>
      <c r="G336" s="104" t="s">
        <v>48</v>
      </c>
      <c r="H336" s="104" t="s">
        <v>478</v>
      </c>
      <c r="I336" s="104" t="s">
        <v>255</v>
      </c>
    </row>
    <row r="337" customFormat="false" ht="18" hidden="false" customHeight="true" outlineLevel="0" collapsed="false">
      <c r="A337" s="105" t="n">
        <v>1</v>
      </c>
      <c r="B337" s="106" t="s">
        <v>479</v>
      </c>
      <c r="C337" s="107" t="n">
        <f aca="false">IF(OR(FALSE(),Übungen!$L$17="pause"),"",IF(IFERROR(INDEX(Rekorde!$O$4:$O$23,MATCH(Übungen!$A$17,Rekorde!$A$4:$A$23,0)),"")="","",ROUND(IFERROR(INDEX(Rekorde!$O$4:$O$23,MATCH(Übungen!$A$17,Rekorde!$A$4:$A$23,0)),"")*0.4*2,0)/2))</f>
        <v>52</v>
      </c>
      <c r="D337" s="108"/>
      <c r="E337" s="109"/>
      <c r="F337" s="109"/>
      <c r="G337" s="109"/>
      <c r="H337" s="109"/>
      <c r="I337" s="109"/>
    </row>
    <row r="338" customFormat="false" ht="18" hidden="false" customHeight="true" outlineLevel="0" collapsed="false">
      <c r="A338" s="105" t="n">
        <v>2</v>
      </c>
      <c r="B338" s="106" t="s">
        <v>480</v>
      </c>
      <c r="C338" s="107" t="n">
        <f aca="false">IF(OR(FALSE(),Übungen!$L$17="pause"),"",IF(IFERROR(INDEX(Rekorde!$O$4:$O$23,MATCH(Übungen!$A$17,Rekorde!$A$4:$A$23,0)),"")="","",ROUND(IFERROR(INDEX(Rekorde!$O$4:$O$23,MATCH(Übungen!$A$17,Rekorde!$A$4:$A$23,0)),"")*0.7*2,0)/2))</f>
        <v>91</v>
      </c>
      <c r="D338" s="108"/>
      <c r="E338" s="109"/>
      <c r="F338" s="109"/>
      <c r="G338" s="109"/>
      <c r="H338" s="109"/>
      <c r="I338" s="109"/>
    </row>
    <row r="339" customFormat="false" ht="18" hidden="false" customHeight="true" outlineLevel="0" collapsed="false">
      <c r="A339" s="105" t="n">
        <v>3</v>
      </c>
      <c r="B339" s="110" t="s">
        <v>481</v>
      </c>
      <c r="C339" s="111" t="n">
        <f aca="false">IF(OR(FALSE(),Übungen!$L$17="pause"),"",IF(IFERROR(INDEX(Rekorde!$O$4:$O$23,MATCH(Übungen!$A$17,Rekorde!$A$4:$A$23,0)),"")="","",ROUND(IFERROR(INDEX(Rekorde!$O$4:$O$23,MATCH(Übungen!$A$17,Rekorde!$A$4:$A$23,0)),"")*1*2,0)/2))</f>
        <v>130</v>
      </c>
      <c r="D339" s="112" t="n">
        <f aca="false">IF(OR(FALSE(),Übungen!$L$17="pause"),"",IF(IFERROR(INDEX(Rekorde!$P$4:$P$23,MATCH(Übungen!$A$17,Rekorde!$A$4:$A$23,0)),"")="","",MIN(Übungen!$E$17,IFERROR(INDEX(Rekorde!$P$4:$P$23,MATCH(Übungen!$A$17,Rekorde!$A$4:$A$23,0)),"")+0)))</f>
        <v>5</v>
      </c>
      <c r="E339" s="109"/>
      <c r="F339" s="109"/>
      <c r="G339" s="109"/>
      <c r="H339" s="109"/>
      <c r="I339" s="109"/>
    </row>
    <row r="340" customFormat="false" ht="18" hidden="false" customHeight="true" outlineLevel="0" collapsed="false">
      <c r="A340" s="105" t="n">
        <v>4</v>
      </c>
      <c r="B340" s="110" t="s">
        <v>482</v>
      </c>
      <c r="C340" s="107" t="n">
        <f aca="false">IF(OR(FALSE(),Übungen!$L$17="pause"),"",IF(IFERROR(INDEX(Rekorde!$O$4:$O$23,MATCH(Übungen!$A$17,Rekorde!$A$4:$A$23,0)),"")="","",ROUND(IFERROR(INDEX(Rekorde!$O$4:$O$23,MATCH(Übungen!$A$17,Rekorde!$A$4:$A$23,0)),"")*0.95*2,0)/2))</f>
        <v>123.5</v>
      </c>
      <c r="D340" s="112" t="n">
        <f aca="false">IF(OR(FALSE(),Übungen!$L$17="pause"),"",IF(IFERROR(INDEX(Rekorde!$P$4:$P$23,MATCH(Übungen!$A$17,Rekorde!$A$4:$A$23,0)),"")="","",MIN(Übungen!$E$17,IFERROR(INDEX(Rekorde!$P$4:$P$23,MATCH(Übungen!$A$17,Rekorde!$A$4:$A$23,0)),"")+1)))</f>
        <v>6</v>
      </c>
      <c r="E340" s="109"/>
      <c r="F340" s="109"/>
      <c r="G340" s="109"/>
      <c r="H340" s="109"/>
      <c r="I340" s="109"/>
    </row>
    <row r="341" customFormat="false" ht="18" hidden="false" customHeight="true" outlineLevel="0" collapsed="false">
      <c r="A341" s="105" t="n">
        <v>5</v>
      </c>
      <c r="B341" s="110" t="s">
        <v>483</v>
      </c>
      <c r="C341" s="107" t="n">
        <f aca="false">IF(OR(FALSE(),Übungen!$L$17="pause"),"",IF(IFERROR(INDEX(Rekorde!$O$4:$O$23,MATCH(Übungen!$A$17,Rekorde!$A$4:$A$23,0)),"")="","",ROUND(IFERROR(INDEX(Rekorde!$O$4:$O$23,MATCH(Übungen!$A$17,Rekorde!$A$4:$A$23,0)),"")*0.9*2,0)/2))</f>
        <v>117</v>
      </c>
      <c r="D341" s="112" t="n">
        <f aca="false">IF(OR(FALSE(),Übungen!$L$17="pause"),"",IF(IFERROR(INDEX(Rekorde!$P$4:$P$23,MATCH(Übungen!$A$17,Rekorde!$A$4:$A$23,0)),"")="","",MIN(Übungen!$E$17,IFERROR(INDEX(Rekorde!$P$4:$P$23,MATCH(Übungen!$A$17,Rekorde!$A$4:$A$23,0)),"")+2)))</f>
        <v>6</v>
      </c>
      <c r="E341" s="109"/>
      <c r="F341" s="109"/>
      <c r="G341" s="109"/>
      <c r="H341" s="109"/>
      <c r="I341" s="109"/>
    </row>
    <row r="343" customFormat="false" ht="18.75" hidden="false" customHeight="true" outlineLevel="0" collapsed="false">
      <c r="A343" s="101" t="str">
        <f aca="false">Übungen!$A$18</f>
        <v>Hip Thrust Bülach</v>
      </c>
      <c r="B343" s="101"/>
      <c r="C343" s="101"/>
      <c r="D343" s="101"/>
      <c r="E343" s="101"/>
      <c r="F343" s="101"/>
      <c r="G343" s="101"/>
      <c r="H343" s="101"/>
      <c r="I343" s="101"/>
    </row>
    <row r="344" customFormat="false" ht="13.5" hidden="false" customHeight="true" outlineLevel="0" collapsed="false">
      <c r="A344"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344" s="102"/>
      <c r="C344" s="102"/>
      <c r="D344" s="102"/>
      <c r="E344" s="102"/>
      <c r="F344" s="102"/>
      <c r="G344" s="102"/>
      <c r="H344" s="102"/>
      <c r="I344" s="102"/>
    </row>
    <row r="345" customFormat="false" ht="13.5" hidden="false" customHeight="true" outlineLevel="0" collapsed="false">
      <c r="A345"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345" s="103"/>
      <c r="C345" s="103"/>
      <c r="D345" s="103"/>
      <c r="E345" s="103"/>
      <c r="F345" s="103"/>
      <c r="G345" s="103"/>
      <c r="H345" s="103"/>
      <c r="I345" s="103"/>
    </row>
    <row r="346" customFormat="false" ht="18" hidden="false" customHeight="true" outlineLevel="0" collapsed="false">
      <c r="A346" s="104" t="s">
        <v>473</v>
      </c>
      <c r="B346" s="104" t="s">
        <v>474</v>
      </c>
      <c r="C346" s="104" t="s">
        <v>475</v>
      </c>
      <c r="D346" s="104" t="s">
        <v>476</v>
      </c>
      <c r="E346" s="104" t="s">
        <v>477</v>
      </c>
      <c r="F346" s="104" t="s">
        <v>374</v>
      </c>
      <c r="G346" s="104" t="s">
        <v>48</v>
      </c>
      <c r="H346" s="104" t="s">
        <v>478</v>
      </c>
      <c r="I346" s="104" t="s">
        <v>255</v>
      </c>
    </row>
    <row r="347" customFormat="false" ht="18" hidden="false" customHeight="true" outlineLevel="0" collapsed="false">
      <c r="A347" s="105" t="n">
        <v>1</v>
      </c>
      <c r="B347" s="106" t="s">
        <v>479</v>
      </c>
      <c r="C347" s="107" t="n">
        <f aca="false">IF(OR(FALSE(),Übungen!$L$18="pause"),"",IF(IFERROR(INDEX(Rekorde!$O$4:$O$23,MATCH(Übungen!$A$18,Rekorde!$A$4:$A$23,0)),"")="","",ROUND(IFERROR(INDEX(Rekorde!$O$4:$O$23,MATCH(Übungen!$A$18,Rekorde!$A$4:$A$23,0)),"")*0.4*2,0)/2))</f>
        <v>88</v>
      </c>
      <c r="D347" s="108"/>
      <c r="E347" s="109"/>
      <c r="F347" s="109"/>
      <c r="G347" s="109"/>
      <c r="H347" s="109"/>
      <c r="I347" s="109"/>
    </row>
    <row r="348" customFormat="false" ht="18" hidden="false" customHeight="true" outlineLevel="0" collapsed="false">
      <c r="A348" s="105" t="n">
        <v>2</v>
      </c>
      <c r="B348" s="106" t="s">
        <v>480</v>
      </c>
      <c r="C348" s="107" t="n">
        <f aca="false">IF(OR(FALSE(),Übungen!$L$18="pause"),"",IF(IFERROR(INDEX(Rekorde!$O$4:$O$23,MATCH(Übungen!$A$18,Rekorde!$A$4:$A$23,0)),"")="","",ROUND(IFERROR(INDEX(Rekorde!$O$4:$O$23,MATCH(Übungen!$A$18,Rekorde!$A$4:$A$23,0)),"")*0.7*2,0)/2))</f>
        <v>154</v>
      </c>
      <c r="D348" s="108"/>
      <c r="E348" s="109"/>
      <c r="F348" s="109"/>
      <c r="G348" s="109"/>
      <c r="H348" s="109"/>
      <c r="I348" s="109"/>
    </row>
    <row r="349" customFormat="false" ht="18" hidden="false" customHeight="true" outlineLevel="0" collapsed="false">
      <c r="A349" s="105" t="n">
        <v>3</v>
      </c>
      <c r="B349" s="110" t="s">
        <v>481</v>
      </c>
      <c r="C349" s="111" t="n">
        <f aca="false">IF(OR(FALSE(),Übungen!$L$18="pause"),"",IF(IFERROR(INDEX(Rekorde!$O$4:$O$23,MATCH(Übungen!$A$18,Rekorde!$A$4:$A$23,0)),"")="","",ROUND(IFERROR(INDEX(Rekorde!$O$4:$O$23,MATCH(Übungen!$A$18,Rekorde!$A$4:$A$23,0)),"")*1*2,0)/2))</f>
        <v>220</v>
      </c>
      <c r="D349" s="112" t="n">
        <f aca="false">IF(OR(FALSE(),Übungen!$L$18="pause"),"",IF(IFERROR(INDEX(Rekorde!$P$4:$P$23,MATCH(Übungen!$A$18,Rekorde!$A$4:$A$23,0)),"")="","",MIN(Übungen!$E$18,IFERROR(INDEX(Rekorde!$P$4:$P$23,MATCH(Übungen!$A$18,Rekorde!$A$4:$A$23,0)),"")+0)))</f>
        <v>5</v>
      </c>
      <c r="E349" s="109"/>
      <c r="F349" s="109"/>
      <c r="G349" s="109"/>
      <c r="H349" s="109"/>
      <c r="I349" s="109"/>
    </row>
    <row r="350" customFormat="false" ht="18" hidden="false" customHeight="true" outlineLevel="0" collapsed="false">
      <c r="A350" s="105" t="n">
        <v>4</v>
      </c>
      <c r="B350" s="110" t="s">
        <v>482</v>
      </c>
      <c r="C350" s="107" t="n">
        <f aca="false">IF(OR(FALSE(),Übungen!$L$18="pause"),"",IF(IFERROR(INDEX(Rekorde!$O$4:$O$23,MATCH(Übungen!$A$18,Rekorde!$A$4:$A$23,0)),"")="","",ROUND(IFERROR(INDEX(Rekorde!$O$4:$O$23,MATCH(Übungen!$A$18,Rekorde!$A$4:$A$23,0)),"")*0.95*2,0)/2))</f>
        <v>209</v>
      </c>
      <c r="D350" s="112" t="n">
        <f aca="false">IF(OR(FALSE(),Übungen!$L$18="pause"),"",IF(IFERROR(INDEX(Rekorde!$P$4:$P$23,MATCH(Übungen!$A$18,Rekorde!$A$4:$A$23,0)),"")="","",MIN(Übungen!$E$18,IFERROR(INDEX(Rekorde!$P$4:$P$23,MATCH(Übungen!$A$18,Rekorde!$A$4:$A$23,0)),"")+1)))</f>
        <v>6</v>
      </c>
      <c r="E350" s="109"/>
      <c r="F350" s="109"/>
      <c r="G350" s="109"/>
      <c r="H350" s="109"/>
      <c r="I350" s="109"/>
    </row>
    <row r="351" customFormat="false" ht="18" hidden="false" customHeight="true" outlineLevel="0" collapsed="false">
      <c r="A351" s="105" t="n">
        <v>5</v>
      </c>
      <c r="B351" s="110" t="s">
        <v>483</v>
      </c>
      <c r="C351" s="107" t="n">
        <f aca="false">IF(OR(FALSE(),Übungen!$L$18="pause"),"",IF(IFERROR(INDEX(Rekorde!$O$4:$O$23,MATCH(Übungen!$A$18,Rekorde!$A$4:$A$23,0)),"")="","",ROUND(IFERROR(INDEX(Rekorde!$O$4:$O$23,MATCH(Übungen!$A$18,Rekorde!$A$4:$A$23,0)),"")*0.9*2,0)/2))</f>
        <v>198</v>
      </c>
      <c r="D351" s="112" t="n">
        <f aca="false">IF(OR(FALSE(),Übungen!$L$18="pause"),"",IF(IFERROR(INDEX(Rekorde!$P$4:$P$23,MATCH(Übungen!$A$18,Rekorde!$A$4:$A$23,0)),"")="","",MIN(Übungen!$E$18,IFERROR(INDEX(Rekorde!$P$4:$P$23,MATCH(Übungen!$A$18,Rekorde!$A$4:$A$23,0)),"")+2)))</f>
        <v>6</v>
      </c>
      <c r="E351" s="109"/>
      <c r="F351" s="109"/>
      <c r="G351" s="109"/>
      <c r="H351" s="109"/>
      <c r="I351" s="109"/>
    </row>
    <row r="353" customFormat="false" ht="18.75" hidden="false" customHeight="true" outlineLevel="0" collapsed="false">
      <c r="A353" s="101" t="str">
        <f aca="false">Übungen!$A$19</f>
        <v>Beinbeuger Bülach</v>
      </c>
      <c r="B353" s="101"/>
      <c r="C353" s="101"/>
      <c r="D353" s="101"/>
      <c r="E353" s="101"/>
      <c r="F353" s="101"/>
      <c r="G353" s="101"/>
      <c r="H353" s="101"/>
      <c r="I353" s="101"/>
    </row>
    <row r="354" customFormat="false" ht="13.5" hidden="false" customHeight="true" outlineLevel="0" collapsed="false">
      <c r="A354"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54" s="102"/>
      <c r="C354" s="102"/>
      <c r="D354" s="102"/>
      <c r="E354" s="102"/>
      <c r="F354" s="102"/>
      <c r="G354" s="102"/>
      <c r="H354" s="102"/>
      <c r="I354" s="102"/>
    </row>
    <row r="355" customFormat="false" ht="13.5" hidden="false" customHeight="true" outlineLevel="0" collapsed="false">
      <c r="A355"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355" s="103"/>
      <c r="C355" s="103"/>
      <c r="D355" s="103"/>
      <c r="E355" s="103"/>
      <c r="F355" s="103"/>
      <c r="G355" s="103"/>
      <c r="H355" s="103"/>
      <c r="I355" s="103"/>
    </row>
    <row r="356" customFormat="false" ht="18" hidden="false" customHeight="true" outlineLevel="0" collapsed="false">
      <c r="A356" s="104" t="s">
        <v>473</v>
      </c>
      <c r="B356" s="104" t="s">
        <v>474</v>
      </c>
      <c r="C356" s="104" t="s">
        <v>475</v>
      </c>
      <c r="D356" s="104" t="s">
        <v>476</v>
      </c>
      <c r="E356" s="104" t="s">
        <v>477</v>
      </c>
      <c r="F356" s="104" t="s">
        <v>374</v>
      </c>
      <c r="G356" s="104" t="s">
        <v>48</v>
      </c>
      <c r="H356" s="104" t="s">
        <v>478</v>
      </c>
      <c r="I356" s="104" t="s">
        <v>255</v>
      </c>
    </row>
    <row r="357" customFormat="false" ht="18" hidden="false" customHeight="true" outlineLevel="0" collapsed="false">
      <c r="A357" s="105" t="n">
        <v>1</v>
      </c>
      <c r="B357" s="106" t="s">
        <v>479</v>
      </c>
      <c r="C357" s="107" t="n">
        <f aca="false">IF(OR(FALSE(),Übungen!$L$19="pause"),"",IF(IFERROR(INDEX(Rekorde!$O$4:$O$23,MATCH(Übungen!$A$19,Rekorde!$A$4:$A$23,0)),"")="","",ROUND(IFERROR(INDEX(Rekorde!$O$4:$O$23,MATCH(Übungen!$A$19,Rekorde!$A$4:$A$23,0)),"")*0.4*2,0)/2))</f>
        <v>25</v>
      </c>
      <c r="D357" s="108"/>
      <c r="E357" s="109"/>
      <c r="F357" s="109"/>
      <c r="G357" s="109"/>
      <c r="H357" s="109"/>
      <c r="I357" s="109"/>
    </row>
    <row r="358" customFormat="false" ht="18" hidden="false" customHeight="true" outlineLevel="0" collapsed="false">
      <c r="A358" s="105" t="n">
        <v>2</v>
      </c>
      <c r="B358" s="106" t="s">
        <v>480</v>
      </c>
      <c r="C358" s="107" t="n">
        <f aca="false">IF(OR(FALSE(),Übungen!$L$19="pause"),"",IF(IFERROR(INDEX(Rekorde!$O$4:$O$23,MATCH(Übungen!$A$19,Rekorde!$A$4:$A$23,0)),"")="","",ROUND(IFERROR(INDEX(Rekorde!$O$4:$O$23,MATCH(Übungen!$A$19,Rekorde!$A$4:$A$23,0)),"")*0.7*2,0)/2))</f>
        <v>44</v>
      </c>
      <c r="D358" s="108"/>
      <c r="E358" s="109"/>
      <c r="F358" s="109"/>
      <c r="G358" s="109"/>
      <c r="H358" s="109"/>
      <c r="I358" s="109"/>
    </row>
    <row r="359" customFormat="false" ht="18" hidden="false" customHeight="true" outlineLevel="0" collapsed="false">
      <c r="A359" s="105" t="n">
        <v>3</v>
      </c>
      <c r="B359" s="110" t="s">
        <v>481</v>
      </c>
      <c r="C359" s="111" t="n">
        <f aca="false">IF(OR(FALSE(),Übungen!$L$19="pause"),"",IF(IFERROR(INDEX(Rekorde!$O$4:$O$23,MATCH(Übungen!$A$19,Rekorde!$A$4:$A$23,0)),"")="","",ROUND(IFERROR(INDEX(Rekorde!$O$4:$O$23,MATCH(Übungen!$A$19,Rekorde!$A$4:$A$23,0)),"")*1*2,0)/2))</f>
        <v>63</v>
      </c>
      <c r="D359" s="112" t="n">
        <f aca="false">IF(OR(FALSE(),Übungen!$L$19="pause"),"",IF(IFERROR(INDEX(Rekorde!$P$4:$P$23,MATCH(Übungen!$A$19,Rekorde!$A$4:$A$23,0)),"")="","",MIN(Übungen!$E$19,IFERROR(INDEX(Rekorde!$P$4:$P$23,MATCH(Übungen!$A$19,Rekorde!$A$4:$A$23,0)),"")+0)))</f>
        <v>5</v>
      </c>
      <c r="E359" s="109"/>
      <c r="F359" s="109"/>
      <c r="G359" s="109"/>
      <c r="H359" s="109"/>
      <c r="I359" s="109"/>
    </row>
    <row r="360" customFormat="false" ht="18" hidden="false" customHeight="true" outlineLevel="0" collapsed="false">
      <c r="A360" s="105" t="n">
        <v>4</v>
      </c>
      <c r="B360" s="110" t="s">
        <v>482</v>
      </c>
      <c r="C360" s="107" t="n">
        <f aca="false">IF(OR(FALSE(),Übungen!$L$19="pause"),"",IF(IFERROR(INDEX(Rekorde!$O$4:$O$23,MATCH(Übungen!$A$19,Rekorde!$A$4:$A$23,0)),"")="","",ROUND(IFERROR(INDEX(Rekorde!$O$4:$O$23,MATCH(Übungen!$A$19,Rekorde!$A$4:$A$23,0)),"")*0.95*2,0)/2))</f>
        <v>60</v>
      </c>
      <c r="D360" s="112" t="n">
        <f aca="false">IF(OR(FALSE(),Übungen!$L$19="pause"),"",IF(IFERROR(INDEX(Rekorde!$P$4:$P$23,MATCH(Übungen!$A$19,Rekorde!$A$4:$A$23,0)),"")="","",MIN(Übungen!$E$19,IFERROR(INDEX(Rekorde!$P$4:$P$23,MATCH(Übungen!$A$19,Rekorde!$A$4:$A$23,0)),"")+1)))</f>
        <v>6</v>
      </c>
      <c r="E360" s="109"/>
      <c r="F360" s="109"/>
      <c r="G360" s="109"/>
      <c r="H360" s="109"/>
      <c r="I360" s="109"/>
    </row>
    <row r="361" customFormat="false" ht="18" hidden="false" customHeight="true" outlineLevel="0" collapsed="false">
      <c r="A361" s="105" t="n">
        <v>5</v>
      </c>
      <c r="B361" s="110" t="s">
        <v>483</v>
      </c>
      <c r="C361" s="107" t="n">
        <f aca="false">IF(OR(FALSE(),Übungen!$L$19="pause"),"",IF(IFERROR(INDEX(Rekorde!$O$4:$O$23,MATCH(Übungen!$A$19,Rekorde!$A$4:$A$23,0)),"")="","",ROUND(IFERROR(INDEX(Rekorde!$O$4:$O$23,MATCH(Übungen!$A$19,Rekorde!$A$4:$A$23,0)),"")*0.9*2,0)/2))</f>
        <v>56.5</v>
      </c>
      <c r="D361" s="112" t="n">
        <f aca="false">IF(OR(FALSE(),Übungen!$L$19="pause"),"",IF(IFERROR(INDEX(Rekorde!$P$4:$P$23,MATCH(Übungen!$A$19,Rekorde!$A$4:$A$23,0)),"")="","",MIN(Übungen!$E$19,IFERROR(INDEX(Rekorde!$P$4:$P$23,MATCH(Übungen!$A$19,Rekorde!$A$4:$A$23,0)),"")+2)))</f>
        <v>6</v>
      </c>
      <c r="E361" s="109"/>
      <c r="F361" s="109"/>
      <c r="G361" s="109"/>
      <c r="H361" s="109"/>
      <c r="I361" s="109"/>
    </row>
    <row r="363" customFormat="false" ht="15.75" hidden="false" customHeight="true" outlineLevel="0" collapsed="false">
      <c r="A363" s="3" t="s">
        <v>484</v>
      </c>
      <c r="B363" s="3"/>
      <c r="C363" s="3"/>
      <c r="D363" s="3"/>
      <c r="E363" s="3"/>
      <c r="F363" s="3"/>
      <c r="G363" s="3"/>
      <c r="H363" s="3"/>
      <c r="I363" s="3"/>
    </row>
    <row r="364" customFormat="false" ht="18" hidden="false" customHeight="true" outlineLevel="0" collapsed="false">
      <c r="A364" s="113"/>
      <c r="B364" s="113"/>
      <c r="C364" s="113"/>
      <c r="D364" s="113"/>
      <c r="E364" s="113"/>
      <c r="F364" s="113"/>
      <c r="G364" s="113"/>
      <c r="H364" s="113"/>
      <c r="I364" s="113"/>
    </row>
    <row r="365" customFormat="false" ht="18" hidden="false" customHeight="true" outlineLevel="0" collapsed="false">
      <c r="A365" s="113"/>
      <c r="B365" s="113"/>
      <c r="C365" s="113"/>
      <c r="D365" s="113"/>
      <c r="E365" s="113"/>
      <c r="F365" s="113"/>
      <c r="G365" s="113"/>
      <c r="H365" s="113"/>
      <c r="I365" s="113"/>
    </row>
    <row r="367" customFormat="false" ht="27.75" hidden="false" customHeight="true" outlineLevel="0" collapsed="false">
      <c r="A367" s="1" t="s">
        <v>490</v>
      </c>
      <c r="B367" s="1"/>
      <c r="C367" s="1"/>
      <c r="D367" s="1"/>
      <c r="E367" s="1"/>
      <c r="F367" s="1"/>
      <c r="G367" s="1"/>
      <c r="H367" s="1"/>
      <c r="I367" s="1"/>
    </row>
    <row r="368" customFormat="false" ht="12" hidden="false" customHeight="true" outlineLevel="0" collapsed="false">
      <c r="A368" s="98" t="s">
        <v>73</v>
      </c>
      <c r="B368" s="98"/>
      <c r="C368" s="99" t="s">
        <v>469</v>
      </c>
      <c r="D368" s="99" t="s">
        <v>470</v>
      </c>
      <c r="E368" s="98" t="s">
        <v>471</v>
      </c>
      <c r="F368" s="98"/>
      <c r="G368" s="98" t="s">
        <v>472</v>
      </c>
      <c r="H368" s="98"/>
    </row>
    <row r="369" customFormat="false" ht="18" hidden="false" customHeight="true" outlineLevel="0" collapsed="false">
      <c r="A369" s="100"/>
      <c r="B369" s="100"/>
      <c r="C369" s="100"/>
      <c r="D369" s="100"/>
      <c r="E369" s="100"/>
      <c r="F369" s="100"/>
      <c r="G369" s="100"/>
      <c r="H369" s="100"/>
    </row>
    <row r="371" customFormat="false" ht="18.75" hidden="false" customHeight="true" outlineLevel="0" collapsed="false">
      <c r="A371" s="101" t="str">
        <f aca="false">Übungen!$A$4</f>
        <v>Beinpresse eng</v>
      </c>
      <c r="B371" s="101"/>
      <c r="C371" s="101"/>
      <c r="D371" s="101"/>
      <c r="E371" s="101"/>
      <c r="F371" s="101"/>
      <c r="G371" s="101"/>
      <c r="H371" s="101"/>
      <c r="I371" s="101"/>
    </row>
    <row r="372" customFormat="false" ht="13.5" hidden="false" customHeight="true" outlineLevel="0" collapsed="false">
      <c r="A372"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372" s="102"/>
      <c r="C372" s="102"/>
      <c r="D372" s="102"/>
      <c r="E372" s="102"/>
      <c r="F372" s="102"/>
      <c r="G372" s="102"/>
      <c r="H372" s="102"/>
      <c r="I372" s="102"/>
    </row>
    <row r="373" customFormat="false" ht="13.5" hidden="false" customHeight="true" outlineLevel="0" collapsed="false">
      <c r="A373"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373" s="103"/>
      <c r="C373" s="103"/>
      <c r="D373" s="103"/>
      <c r="E373" s="103"/>
      <c r="F373" s="103"/>
      <c r="G373" s="103"/>
      <c r="H373" s="103"/>
      <c r="I373" s="103"/>
    </row>
    <row r="374" customFormat="false" ht="18" hidden="false" customHeight="true" outlineLevel="0" collapsed="false">
      <c r="A374" s="104" t="s">
        <v>473</v>
      </c>
      <c r="B374" s="104" t="s">
        <v>474</v>
      </c>
      <c r="C374" s="104" t="s">
        <v>475</v>
      </c>
      <c r="D374" s="104" t="s">
        <v>476</v>
      </c>
      <c r="E374" s="104" t="s">
        <v>477</v>
      </c>
      <c r="F374" s="104" t="s">
        <v>374</v>
      </c>
      <c r="G374" s="104" t="s">
        <v>48</v>
      </c>
      <c r="H374" s="104" t="s">
        <v>478</v>
      </c>
      <c r="I374" s="104" t="s">
        <v>255</v>
      </c>
    </row>
    <row r="375" customFormat="false" ht="18" hidden="false" customHeight="true" outlineLevel="0" collapsed="false">
      <c r="A375" s="105" t="n">
        <v>1</v>
      </c>
      <c r="B375" s="106" t="s">
        <v>479</v>
      </c>
      <c r="C375" s="107" t="n">
        <f aca="false">IF(OR(FALSE(),Übungen!$L$4="pause"),"",IF(IFERROR(INDEX(Rekorde!$O$4:$O$23,MATCH(Übungen!$A$4,Rekorde!$A$4:$A$23,0)),"")="","",ROUND(IFERROR(INDEX(Rekorde!$O$4:$O$23,MATCH(Übungen!$A$4,Rekorde!$A$4:$A$23,0)),"")*0.4*2,0)/2))</f>
        <v>122</v>
      </c>
      <c r="D375" s="108"/>
      <c r="E375" s="109"/>
      <c r="F375" s="109"/>
      <c r="G375" s="109"/>
      <c r="H375" s="109"/>
      <c r="I375" s="109"/>
    </row>
    <row r="376" customFormat="false" ht="18" hidden="false" customHeight="true" outlineLevel="0" collapsed="false">
      <c r="A376" s="105" t="n">
        <v>2</v>
      </c>
      <c r="B376" s="106" t="s">
        <v>480</v>
      </c>
      <c r="C376" s="107" t="n">
        <f aca="false">IF(OR(FALSE(),Übungen!$L$4="pause"),"",IF(IFERROR(INDEX(Rekorde!$O$4:$O$23,MATCH(Übungen!$A$4,Rekorde!$A$4:$A$23,0)),"")="","",ROUND(IFERROR(INDEX(Rekorde!$O$4:$O$23,MATCH(Übungen!$A$4,Rekorde!$A$4:$A$23,0)),"")*0.7*2,0)/2))</f>
        <v>213.5</v>
      </c>
      <c r="D376" s="108"/>
      <c r="E376" s="109"/>
      <c r="F376" s="109"/>
      <c r="G376" s="109"/>
      <c r="H376" s="109"/>
      <c r="I376" s="109"/>
    </row>
    <row r="377" customFormat="false" ht="18" hidden="false" customHeight="true" outlineLevel="0" collapsed="false">
      <c r="A377" s="105" t="n">
        <v>3</v>
      </c>
      <c r="B377" s="110" t="s">
        <v>481</v>
      </c>
      <c r="C377" s="111" t="n">
        <f aca="false">IF(OR(FALSE(),Übungen!$L$4="pause"),"",IF(IFERROR(INDEX(Rekorde!$O$4:$O$23,MATCH(Übungen!$A$4,Rekorde!$A$4:$A$23,0)),"")="","",ROUND(IFERROR(INDEX(Rekorde!$O$4:$O$23,MATCH(Übungen!$A$4,Rekorde!$A$4:$A$23,0)),"")*1*2,0)/2))</f>
        <v>305</v>
      </c>
      <c r="D377" s="112" t="n">
        <f aca="false">IF(OR(FALSE(),Übungen!$L$4="pause"),"",IF(IFERROR(INDEX(Rekorde!$P$4:$P$23,MATCH(Übungen!$A$4,Rekorde!$A$4:$A$23,0)),"")="","",MIN(Übungen!$E$4,IFERROR(INDEX(Rekorde!$P$4:$P$23,MATCH(Übungen!$A$4,Rekorde!$A$4:$A$23,0)),"")+0)))</f>
        <v>5</v>
      </c>
      <c r="E377" s="109"/>
      <c r="F377" s="109"/>
      <c r="G377" s="109"/>
      <c r="H377" s="109"/>
      <c r="I377" s="109"/>
    </row>
    <row r="378" customFormat="false" ht="18" hidden="false" customHeight="true" outlineLevel="0" collapsed="false">
      <c r="A378" s="105" t="n">
        <v>4</v>
      </c>
      <c r="B378" s="110" t="s">
        <v>482</v>
      </c>
      <c r="C378" s="107" t="n">
        <f aca="false">IF(OR(FALSE(),Übungen!$L$4="pause"),"",IF(IFERROR(INDEX(Rekorde!$O$4:$O$23,MATCH(Übungen!$A$4,Rekorde!$A$4:$A$23,0)),"")="","",ROUND(IFERROR(INDEX(Rekorde!$O$4:$O$23,MATCH(Übungen!$A$4,Rekorde!$A$4:$A$23,0)),"")*0.95*2,0)/2))</f>
        <v>290</v>
      </c>
      <c r="D378" s="112" t="n">
        <f aca="false">IF(OR(FALSE(),Übungen!$L$4="pause"),"",IF(IFERROR(INDEX(Rekorde!$P$4:$P$23,MATCH(Übungen!$A$4,Rekorde!$A$4:$A$23,0)),"")="","",MIN(Übungen!$E$4,IFERROR(INDEX(Rekorde!$P$4:$P$23,MATCH(Übungen!$A$4,Rekorde!$A$4:$A$23,0)),"")+1)))</f>
        <v>6</v>
      </c>
      <c r="E378" s="109"/>
      <c r="F378" s="109"/>
      <c r="G378" s="109"/>
      <c r="H378" s="109"/>
      <c r="I378" s="109"/>
    </row>
    <row r="379" customFormat="false" ht="18" hidden="false" customHeight="true" outlineLevel="0" collapsed="false">
      <c r="A379" s="105" t="n">
        <v>5</v>
      </c>
      <c r="B379" s="110" t="s">
        <v>483</v>
      </c>
      <c r="C379" s="107" t="n">
        <f aca="false">IF(OR(FALSE(),Übungen!$L$4="pause"),"",IF(IFERROR(INDEX(Rekorde!$O$4:$O$23,MATCH(Übungen!$A$4,Rekorde!$A$4:$A$23,0)),"")="","",ROUND(IFERROR(INDEX(Rekorde!$O$4:$O$23,MATCH(Übungen!$A$4,Rekorde!$A$4:$A$23,0)),"")*0.9*2,0)/2))</f>
        <v>274.5</v>
      </c>
      <c r="D379" s="112" t="n">
        <f aca="false">IF(OR(FALSE(),Übungen!$L$4="pause"),"",IF(IFERROR(INDEX(Rekorde!$P$4:$P$23,MATCH(Übungen!$A$4,Rekorde!$A$4:$A$23,0)),"")="","",MIN(Übungen!$E$4,IFERROR(INDEX(Rekorde!$P$4:$P$23,MATCH(Übungen!$A$4,Rekorde!$A$4:$A$23,0)),"")+2)))</f>
        <v>6</v>
      </c>
      <c r="E379" s="109"/>
      <c r="F379" s="109"/>
      <c r="G379" s="109"/>
      <c r="H379" s="109"/>
      <c r="I379" s="109"/>
    </row>
    <row r="381" customFormat="false" ht="18.75" hidden="false" customHeight="true" outlineLevel="0" collapsed="false">
      <c r="A381" s="101" t="str">
        <f aca="false">Übungen!$A$5</f>
        <v>Split Squat</v>
      </c>
      <c r="B381" s="101"/>
      <c r="C381" s="101"/>
      <c r="D381" s="101"/>
      <c r="E381" s="101"/>
      <c r="F381" s="101"/>
      <c r="G381" s="101"/>
      <c r="H381" s="101"/>
      <c r="I381" s="101"/>
    </row>
    <row r="382" customFormat="false" ht="13.5" hidden="false" customHeight="true" outlineLevel="0" collapsed="false">
      <c r="A382"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382" s="102"/>
      <c r="C382" s="102"/>
      <c r="D382" s="102"/>
      <c r="E382" s="102"/>
      <c r="F382" s="102"/>
      <c r="G382" s="102"/>
      <c r="H382" s="102"/>
      <c r="I382" s="102"/>
    </row>
    <row r="383" customFormat="false" ht="13.5" hidden="false" customHeight="true" outlineLevel="0" collapsed="false">
      <c r="A383"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383" s="103"/>
      <c r="C383" s="103"/>
      <c r="D383" s="103"/>
      <c r="E383" s="103"/>
      <c r="F383" s="103"/>
      <c r="G383" s="103"/>
      <c r="H383" s="103"/>
      <c r="I383" s="103"/>
    </row>
    <row r="384" customFormat="false" ht="18" hidden="false" customHeight="true" outlineLevel="0" collapsed="false">
      <c r="A384" s="104" t="s">
        <v>473</v>
      </c>
      <c r="B384" s="104" t="s">
        <v>474</v>
      </c>
      <c r="C384" s="104" t="s">
        <v>475</v>
      </c>
      <c r="D384" s="104" t="s">
        <v>476</v>
      </c>
      <c r="E384" s="104" t="s">
        <v>477</v>
      </c>
      <c r="F384" s="104" t="s">
        <v>374</v>
      </c>
      <c r="G384" s="104" t="s">
        <v>48</v>
      </c>
      <c r="H384" s="104" t="s">
        <v>478</v>
      </c>
      <c r="I384" s="104" t="s">
        <v>255</v>
      </c>
    </row>
    <row r="385" customFormat="false" ht="18" hidden="false" customHeight="true" outlineLevel="0" collapsed="false">
      <c r="A385" s="105" t="n">
        <v>1</v>
      </c>
      <c r="B385" s="106" t="s">
        <v>479</v>
      </c>
      <c r="C385" s="107" t="n">
        <f aca="false">IF(OR(FALSE(),Übungen!$L$5="pause"),"",IF(IFERROR(INDEX(Rekorde!$O$4:$O$23,MATCH(Übungen!$A$5,Rekorde!$A$4:$A$23,0)),"")="","",ROUND(IFERROR(INDEX(Rekorde!$O$4:$O$23,MATCH(Übungen!$A$5,Rekorde!$A$4:$A$23,0)),"")*0.4*2,0)/2))</f>
        <v>49</v>
      </c>
      <c r="D385" s="108"/>
      <c r="E385" s="109"/>
      <c r="F385" s="109"/>
      <c r="G385" s="109"/>
      <c r="H385" s="109"/>
      <c r="I385" s="109"/>
    </row>
    <row r="386" customFormat="false" ht="18" hidden="false" customHeight="true" outlineLevel="0" collapsed="false">
      <c r="A386" s="105" t="n">
        <v>2</v>
      </c>
      <c r="B386" s="106" t="s">
        <v>480</v>
      </c>
      <c r="C386" s="107" t="n">
        <f aca="false">IF(OR(FALSE(),Übungen!$L$5="pause"),"",IF(IFERROR(INDEX(Rekorde!$O$4:$O$23,MATCH(Übungen!$A$5,Rekorde!$A$4:$A$23,0)),"")="","",ROUND(IFERROR(INDEX(Rekorde!$O$4:$O$23,MATCH(Übungen!$A$5,Rekorde!$A$4:$A$23,0)),"")*0.7*2,0)/2))</f>
        <v>86</v>
      </c>
      <c r="D386" s="108"/>
      <c r="E386" s="109"/>
      <c r="F386" s="109"/>
      <c r="G386" s="109"/>
      <c r="H386" s="109"/>
      <c r="I386" s="109"/>
    </row>
    <row r="387" customFormat="false" ht="18" hidden="false" customHeight="true" outlineLevel="0" collapsed="false">
      <c r="A387" s="105" t="n">
        <v>3</v>
      </c>
      <c r="B387" s="110" t="s">
        <v>481</v>
      </c>
      <c r="C387" s="111" t="n">
        <f aca="false">IF(OR(FALSE(),Übungen!$L$5="pause"),"",IF(IFERROR(INDEX(Rekorde!$O$4:$O$23,MATCH(Übungen!$A$5,Rekorde!$A$4:$A$23,0)),"")="","",ROUND(IFERROR(INDEX(Rekorde!$O$4:$O$23,MATCH(Übungen!$A$5,Rekorde!$A$4:$A$23,0)),"")*1*2,0)/2))</f>
        <v>122.5</v>
      </c>
      <c r="D387" s="112" t="n">
        <f aca="false">IF(OR(FALSE(),Übungen!$L$5="pause"),"",IF(IFERROR(INDEX(Rekorde!$P$4:$P$23,MATCH(Übungen!$A$5,Rekorde!$A$4:$A$23,0)),"")="","",MIN(Übungen!$E$5,IFERROR(INDEX(Rekorde!$P$4:$P$23,MATCH(Übungen!$A$5,Rekorde!$A$4:$A$23,0)),"")+0)))</f>
        <v>5</v>
      </c>
      <c r="E387" s="109"/>
      <c r="F387" s="109"/>
      <c r="G387" s="109"/>
      <c r="H387" s="109"/>
      <c r="I387" s="109"/>
    </row>
    <row r="388" customFormat="false" ht="18" hidden="false" customHeight="true" outlineLevel="0" collapsed="false">
      <c r="A388" s="105" t="n">
        <v>4</v>
      </c>
      <c r="B388" s="110" t="s">
        <v>482</v>
      </c>
      <c r="C388" s="107" t="n">
        <f aca="false">IF(OR(FALSE(),Übungen!$L$5="pause"),"",IF(IFERROR(INDEX(Rekorde!$O$4:$O$23,MATCH(Übungen!$A$5,Rekorde!$A$4:$A$23,0)),"")="","",ROUND(IFERROR(INDEX(Rekorde!$O$4:$O$23,MATCH(Übungen!$A$5,Rekorde!$A$4:$A$23,0)),"")*0.95*2,0)/2))</f>
        <v>116.5</v>
      </c>
      <c r="D388" s="112" t="n">
        <f aca="false">IF(OR(FALSE(),Übungen!$L$5="pause"),"",IF(IFERROR(INDEX(Rekorde!$P$4:$P$23,MATCH(Übungen!$A$5,Rekorde!$A$4:$A$23,0)),"")="","",MIN(Übungen!$E$5,IFERROR(INDEX(Rekorde!$P$4:$P$23,MATCH(Übungen!$A$5,Rekorde!$A$4:$A$23,0)),"")+1)))</f>
        <v>6</v>
      </c>
      <c r="E388" s="109"/>
      <c r="F388" s="109"/>
      <c r="G388" s="109"/>
      <c r="H388" s="109"/>
      <c r="I388" s="109"/>
    </row>
    <row r="389" customFormat="false" ht="18" hidden="false" customHeight="true" outlineLevel="0" collapsed="false">
      <c r="A389" s="105" t="n">
        <v>5</v>
      </c>
      <c r="B389" s="110" t="s">
        <v>483</v>
      </c>
      <c r="C389" s="107" t="n">
        <f aca="false">IF(OR(FALSE(),Übungen!$L$5="pause"),"",IF(IFERROR(INDEX(Rekorde!$O$4:$O$23,MATCH(Übungen!$A$5,Rekorde!$A$4:$A$23,0)),"")="","",ROUND(IFERROR(INDEX(Rekorde!$O$4:$O$23,MATCH(Übungen!$A$5,Rekorde!$A$4:$A$23,0)),"")*0.9*2,0)/2))</f>
        <v>110.5</v>
      </c>
      <c r="D389" s="112" t="n">
        <f aca="false">IF(OR(FALSE(),Übungen!$L$5="pause"),"",IF(IFERROR(INDEX(Rekorde!$P$4:$P$23,MATCH(Übungen!$A$5,Rekorde!$A$4:$A$23,0)),"")="","",MIN(Übungen!$E$5,IFERROR(INDEX(Rekorde!$P$4:$P$23,MATCH(Übungen!$A$5,Rekorde!$A$4:$A$23,0)),"")+2)))</f>
        <v>6</v>
      </c>
      <c r="E389" s="109"/>
      <c r="F389" s="109"/>
      <c r="G389" s="109"/>
      <c r="H389" s="109"/>
      <c r="I389" s="109"/>
    </row>
    <row r="391" customFormat="false" ht="18.75" hidden="false" customHeight="true" outlineLevel="0" collapsed="false">
      <c r="A391" s="101" t="str">
        <f aca="false">Übungen!$A$6</f>
        <v>Beinstrecker</v>
      </c>
      <c r="B391" s="101"/>
      <c r="C391" s="101"/>
      <c r="D391" s="101"/>
      <c r="E391" s="101"/>
      <c r="F391" s="101"/>
      <c r="G391" s="101"/>
      <c r="H391" s="101"/>
      <c r="I391" s="101"/>
    </row>
    <row r="392" customFormat="false" ht="13.5" hidden="false" customHeight="true" outlineLevel="0" collapsed="false">
      <c r="A392"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392" s="102"/>
      <c r="C392" s="102"/>
      <c r="D392" s="102"/>
      <c r="E392" s="102"/>
      <c r="F392" s="102"/>
      <c r="G392" s="102"/>
      <c r="H392" s="102"/>
      <c r="I392" s="102"/>
    </row>
    <row r="393" customFormat="false" ht="13.5" hidden="false" customHeight="true" outlineLevel="0" collapsed="false">
      <c r="A393"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393" s="103"/>
      <c r="C393" s="103"/>
      <c r="D393" s="103"/>
      <c r="E393" s="103"/>
      <c r="F393" s="103"/>
      <c r="G393" s="103"/>
      <c r="H393" s="103"/>
      <c r="I393" s="103"/>
    </row>
    <row r="394" customFormat="false" ht="18" hidden="false" customHeight="true" outlineLevel="0" collapsed="false">
      <c r="A394" s="104" t="s">
        <v>473</v>
      </c>
      <c r="B394" s="104" t="s">
        <v>474</v>
      </c>
      <c r="C394" s="104" t="s">
        <v>475</v>
      </c>
      <c r="D394" s="104" t="s">
        <v>476</v>
      </c>
      <c r="E394" s="104" t="s">
        <v>477</v>
      </c>
      <c r="F394" s="104" t="s">
        <v>374</v>
      </c>
      <c r="G394" s="104" t="s">
        <v>48</v>
      </c>
      <c r="H394" s="104" t="s">
        <v>478</v>
      </c>
      <c r="I394" s="104" t="s">
        <v>255</v>
      </c>
    </row>
    <row r="395" customFormat="false" ht="18" hidden="false" customHeight="true" outlineLevel="0" collapsed="false">
      <c r="A395" s="105" t="n">
        <v>1</v>
      </c>
      <c r="B395" s="106" t="s">
        <v>479</v>
      </c>
      <c r="C395" s="107" t="n">
        <f aca="false">IF(OR(FALSE(),Übungen!$L$6="pause"),"",IF(IFERROR(INDEX(Rekorde!$O$4:$O$23,MATCH(Übungen!$A$6,Rekorde!$A$4:$A$23,0)),"")="","",ROUND(IFERROR(INDEX(Rekorde!$O$4:$O$23,MATCH(Übungen!$A$6,Rekorde!$A$4:$A$23,0)),"")*0.4*2,0)/2))</f>
        <v>38</v>
      </c>
      <c r="D395" s="108"/>
      <c r="E395" s="109"/>
      <c r="F395" s="109"/>
      <c r="G395" s="109"/>
      <c r="H395" s="109"/>
      <c r="I395" s="109"/>
    </row>
    <row r="396" customFormat="false" ht="18" hidden="false" customHeight="true" outlineLevel="0" collapsed="false">
      <c r="A396" s="105" t="n">
        <v>2</v>
      </c>
      <c r="B396" s="106" t="s">
        <v>480</v>
      </c>
      <c r="C396" s="107" t="n">
        <f aca="false">IF(OR(FALSE(),Übungen!$L$6="pause"),"",IF(IFERROR(INDEX(Rekorde!$O$4:$O$23,MATCH(Übungen!$A$6,Rekorde!$A$4:$A$23,0)),"")="","",ROUND(IFERROR(INDEX(Rekorde!$O$4:$O$23,MATCH(Übungen!$A$6,Rekorde!$A$4:$A$23,0)),"")*0.7*2,0)/2))</f>
        <v>66.5</v>
      </c>
      <c r="D396" s="108"/>
      <c r="E396" s="109"/>
      <c r="F396" s="109"/>
      <c r="G396" s="109"/>
      <c r="H396" s="109"/>
      <c r="I396" s="109"/>
    </row>
    <row r="397" customFormat="false" ht="18" hidden="false" customHeight="true" outlineLevel="0" collapsed="false">
      <c r="A397" s="105" t="n">
        <v>3</v>
      </c>
      <c r="B397" s="110" t="s">
        <v>481</v>
      </c>
      <c r="C397" s="111" t="n">
        <f aca="false">IF(OR(FALSE(),Übungen!$L$6="pause"),"",IF(IFERROR(INDEX(Rekorde!$O$4:$O$23,MATCH(Übungen!$A$6,Rekorde!$A$4:$A$23,0)),"")="","",ROUND(IFERROR(INDEX(Rekorde!$O$4:$O$23,MATCH(Übungen!$A$6,Rekorde!$A$4:$A$23,0)),"")*1*2,0)/2))</f>
        <v>95</v>
      </c>
      <c r="D397" s="112" t="n">
        <f aca="false">IF(OR(FALSE(),Übungen!$L$6="pause"),"",IF(IFERROR(INDEX(Rekorde!$P$4:$P$23,MATCH(Übungen!$A$6,Rekorde!$A$4:$A$23,0)),"")="","",MIN(Übungen!$E$6,IFERROR(INDEX(Rekorde!$P$4:$P$23,MATCH(Übungen!$A$6,Rekorde!$A$4:$A$23,0)),"")+0)))</f>
        <v>6</v>
      </c>
      <c r="E397" s="109"/>
      <c r="F397" s="109"/>
      <c r="G397" s="109"/>
      <c r="H397" s="109"/>
      <c r="I397" s="109"/>
    </row>
    <row r="398" customFormat="false" ht="18" hidden="false" customHeight="true" outlineLevel="0" collapsed="false">
      <c r="A398" s="105" t="n">
        <v>4</v>
      </c>
      <c r="B398" s="110" t="s">
        <v>482</v>
      </c>
      <c r="C398" s="107" t="n">
        <f aca="false">IF(OR(FALSE(),Übungen!$L$6="pause"),"",IF(IFERROR(INDEX(Rekorde!$O$4:$O$23,MATCH(Übungen!$A$6,Rekorde!$A$4:$A$23,0)),"")="","",ROUND(IFERROR(INDEX(Rekorde!$O$4:$O$23,MATCH(Übungen!$A$6,Rekorde!$A$4:$A$23,0)),"")*0.95*2,0)/2))</f>
        <v>90.5</v>
      </c>
      <c r="D398" s="112" t="n">
        <f aca="false">IF(OR(FALSE(),Übungen!$L$6="pause"),"",IF(IFERROR(INDEX(Rekorde!$P$4:$P$23,MATCH(Übungen!$A$6,Rekorde!$A$4:$A$23,0)),"")="","",MIN(Übungen!$E$6,IFERROR(INDEX(Rekorde!$P$4:$P$23,MATCH(Übungen!$A$6,Rekorde!$A$4:$A$23,0)),"")+1)))</f>
        <v>6</v>
      </c>
      <c r="E398" s="109"/>
      <c r="F398" s="109"/>
      <c r="G398" s="109"/>
      <c r="H398" s="109"/>
      <c r="I398" s="109"/>
    </row>
    <row r="399" customFormat="false" ht="18" hidden="false" customHeight="true" outlineLevel="0" collapsed="false">
      <c r="A399" s="105" t="n">
        <v>5</v>
      </c>
      <c r="B399" s="110" t="s">
        <v>483</v>
      </c>
      <c r="C399" s="107" t="n">
        <f aca="false">IF(OR(FALSE(),Übungen!$L$6="pause"),"",IF(IFERROR(INDEX(Rekorde!$O$4:$O$23,MATCH(Übungen!$A$6,Rekorde!$A$4:$A$23,0)),"")="","",ROUND(IFERROR(INDEX(Rekorde!$O$4:$O$23,MATCH(Übungen!$A$6,Rekorde!$A$4:$A$23,0)),"")*0.9*2,0)/2))</f>
        <v>85.5</v>
      </c>
      <c r="D399" s="112" t="n">
        <f aca="false">IF(OR(FALSE(),Übungen!$L$6="pause"),"",IF(IFERROR(INDEX(Rekorde!$P$4:$P$23,MATCH(Übungen!$A$6,Rekorde!$A$4:$A$23,0)),"")="","",MIN(Übungen!$E$6,IFERROR(INDEX(Rekorde!$P$4:$P$23,MATCH(Übungen!$A$6,Rekorde!$A$4:$A$23,0)),"")+2)))</f>
        <v>6</v>
      </c>
      <c r="E399" s="109"/>
      <c r="F399" s="109"/>
      <c r="G399" s="109"/>
      <c r="H399" s="109"/>
      <c r="I399" s="109"/>
    </row>
    <row r="401" customFormat="false" ht="18.75" hidden="false" customHeight="true" outlineLevel="0" collapsed="false">
      <c r="A401" s="101" t="str">
        <f aca="false">Übungen!$A$7</f>
        <v>Adduktion</v>
      </c>
      <c r="B401" s="101"/>
      <c r="C401" s="101"/>
      <c r="D401" s="101"/>
      <c r="E401" s="101"/>
      <c r="F401" s="101"/>
      <c r="G401" s="101"/>
      <c r="H401" s="101"/>
      <c r="I401" s="101"/>
    </row>
    <row r="402" customFormat="false" ht="13.5" hidden="false" customHeight="true" outlineLevel="0" collapsed="false">
      <c r="A402"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402" s="102"/>
      <c r="C402" s="102"/>
      <c r="D402" s="102"/>
      <c r="E402" s="102"/>
      <c r="F402" s="102"/>
      <c r="G402" s="102"/>
      <c r="H402" s="102"/>
      <c r="I402" s="102"/>
    </row>
    <row r="403" customFormat="false" ht="13.5" hidden="false" customHeight="true" outlineLevel="0" collapsed="false">
      <c r="A403"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403" s="103"/>
      <c r="C403" s="103"/>
      <c r="D403" s="103"/>
      <c r="E403" s="103"/>
      <c r="F403" s="103"/>
      <c r="G403" s="103"/>
      <c r="H403" s="103"/>
      <c r="I403" s="103"/>
    </row>
    <row r="404" customFormat="false" ht="18" hidden="false" customHeight="true" outlineLevel="0" collapsed="false">
      <c r="A404" s="104" t="s">
        <v>473</v>
      </c>
      <c r="B404" s="104" t="s">
        <v>474</v>
      </c>
      <c r="C404" s="104" t="s">
        <v>475</v>
      </c>
      <c r="D404" s="104" t="s">
        <v>476</v>
      </c>
      <c r="E404" s="104" t="s">
        <v>477</v>
      </c>
      <c r="F404" s="104" t="s">
        <v>374</v>
      </c>
      <c r="G404" s="104" t="s">
        <v>48</v>
      </c>
      <c r="H404" s="104" t="s">
        <v>478</v>
      </c>
      <c r="I404" s="104" t="s">
        <v>255</v>
      </c>
    </row>
    <row r="405" customFormat="false" ht="18" hidden="false" customHeight="true" outlineLevel="0" collapsed="false">
      <c r="A405" s="105" t="n">
        <v>1</v>
      </c>
      <c r="B405" s="106" t="s">
        <v>479</v>
      </c>
      <c r="C405" s="107" t="n">
        <f aca="false">IF(OR(FALSE(),Übungen!$L$7="pause"),"",IF(IFERROR(INDEX(Rekorde!$O$4:$O$23,MATCH(Übungen!$A$7,Rekorde!$A$4:$A$23,0)),"")="","",ROUND(IFERROR(INDEX(Rekorde!$O$4:$O$23,MATCH(Übungen!$A$7,Rekorde!$A$4:$A$23,0)),"")*0.4*2,0)/2))</f>
        <v>66</v>
      </c>
      <c r="D405" s="108"/>
      <c r="E405" s="109"/>
      <c r="F405" s="109"/>
      <c r="G405" s="109"/>
      <c r="H405" s="109"/>
      <c r="I405" s="109"/>
    </row>
    <row r="406" customFormat="false" ht="18" hidden="false" customHeight="true" outlineLevel="0" collapsed="false">
      <c r="A406" s="105" t="n">
        <v>2</v>
      </c>
      <c r="B406" s="106" t="s">
        <v>480</v>
      </c>
      <c r="C406" s="107" t="n">
        <f aca="false">IF(OR(FALSE(),Übungen!$L$7="pause"),"",IF(IFERROR(INDEX(Rekorde!$O$4:$O$23,MATCH(Übungen!$A$7,Rekorde!$A$4:$A$23,0)),"")="","",ROUND(IFERROR(INDEX(Rekorde!$O$4:$O$23,MATCH(Übungen!$A$7,Rekorde!$A$4:$A$23,0)),"")*0.7*2,0)/2))</f>
        <v>115.5</v>
      </c>
      <c r="D406" s="108"/>
      <c r="E406" s="109"/>
      <c r="F406" s="109"/>
      <c r="G406" s="109"/>
      <c r="H406" s="109"/>
      <c r="I406" s="109"/>
    </row>
    <row r="407" customFormat="false" ht="18" hidden="false" customHeight="true" outlineLevel="0" collapsed="false">
      <c r="A407" s="105" t="n">
        <v>3</v>
      </c>
      <c r="B407" s="110" t="s">
        <v>481</v>
      </c>
      <c r="C407" s="111" t="n">
        <f aca="false">IF(OR(FALSE(),Übungen!$L$7="pause"),"",IF(IFERROR(INDEX(Rekorde!$O$4:$O$23,MATCH(Übungen!$A$7,Rekorde!$A$4:$A$23,0)),"")="","",ROUND(IFERROR(INDEX(Rekorde!$O$4:$O$23,MATCH(Übungen!$A$7,Rekorde!$A$4:$A$23,0)),"")*1*2,0)/2))</f>
        <v>165</v>
      </c>
      <c r="D407" s="112" t="n">
        <f aca="false">IF(OR(FALSE(),Übungen!$L$7="pause"),"",IF(IFERROR(INDEX(Rekorde!$P$4:$P$23,MATCH(Übungen!$A$7,Rekorde!$A$4:$A$23,0)),"")="","",MIN(Übungen!$E$7,IFERROR(INDEX(Rekorde!$P$4:$P$23,MATCH(Übungen!$A$7,Rekorde!$A$4:$A$23,0)),"")+0)))</f>
        <v>6</v>
      </c>
      <c r="E407" s="109"/>
      <c r="F407" s="109"/>
      <c r="G407" s="109"/>
      <c r="H407" s="109"/>
      <c r="I407" s="109"/>
    </row>
    <row r="408" customFormat="false" ht="18" hidden="false" customHeight="true" outlineLevel="0" collapsed="false">
      <c r="A408" s="105" t="n">
        <v>4</v>
      </c>
      <c r="B408" s="110" t="s">
        <v>482</v>
      </c>
      <c r="C408" s="107" t="n">
        <f aca="false">IF(OR(FALSE(),Übungen!$L$7="pause"),"",IF(IFERROR(INDEX(Rekorde!$O$4:$O$23,MATCH(Übungen!$A$7,Rekorde!$A$4:$A$23,0)),"")="","",ROUND(IFERROR(INDEX(Rekorde!$O$4:$O$23,MATCH(Übungen!$A$7,Rekorde!$A$4:$A$23,0)),"")*0.95*2,0)/2))</f>
        <v>157</v>
      </c>
      <c r="D408" s="112" t="n">
        <f aca="false">IF(OR(FALSE(),Übungen!$L$7="pause"),"",IF(IFERROR(INDEX(Rekorde!$P$4:$P$23,MATCH(Übungen!$A$7,Rekorde!$A$4:$A$23,0)),"")="","",MIN(Übungen!$E$7,IFERROR(INDEX(Rekorde!$P$4:$P$23,MATCH(Übungen!$A$7,Rekorde!$A$4:$A$23,0)),"")+1)))</f>
        <v>6</v>
      </c>
      <c r="E408" s="109"/>
      <c r="F408" s="109"/>
      <c r="G408" s="109"/>
      <c r="H408" s="109"/>
      <c r="I408" s="109"/>
    </row>
    <row r="410" customFormat="false" ht="15.75" hidden="false" customHeight="true" outlineLevel="0" collapsed="false">
      <c r="A410" s="3" t="s">
        <v>484</v>
      </c>
      <c r="B410" s="3"/>
      <c r="C410" s="3"/>
      <c r="D410" s="3"/>
      <c r="E410" s="3"/>
      <c r="F410" s="3"/>
      <c r="G410" s="3"/>
      <c r="H410" s="3"/>
      <c r="I410" s="3"/>
    </row>
    <row r="411" customFormat="false" ht="18" hidden="false" customHeight="true" outlineLevel="0" collapsed="false">
      <c r="A411" s="113"/>
      <c r="B411" s="113"/>
      <c r="C411" s="113"/>
      <c r="D411" s="113"/>
      <c r="E411" s="113"/>
      <c r="F411" s="113"/>
      <c r="G411" s="113"/>
      <c r="H411" s="113"/>
      <c r="I411" s="113"/>
    </row>
    <row r="412" customFormat="false" ht="18" hidden="false" customHeight="true" outlineLevel="0" collapsed="false">
      <c r="A412" s="113"/>
      <c r="B412" s="113"/>
      <c r="C412" s="113"/>
      <c r="D412" s="113"/>
      <c r="E412" s="113"/>
      <c r="F412" s="113"/>
      <c r="G412" s="113"/>
      <c r="H412" s="113"/>
      <c r="I412" s="113"/>
    </row>
    <row r="414" customFormat="false" ht="27.75" hidden="false" customHeight="true" outlineLevel="0" collapsed="false">
      <c r="A414" s="1" t="s">
        <v>491</v>
      </c>
      <c r="B414" s="1"/>
      <c r="C414" s="1"/>
      <c r="D414" s="1"/>
      <c r="E414" s="1"/>
      <c r="F414" s="1"/>
      <c r="G414" s="1"/>
      <c r="H414" s="1"/>
      <c r="I414" s="1"/>
    </row>
    <row r="415" customFormat="false" ht="12" hidden="false" customHeight="true" outlineLevel="0" collapsed="false">
      <c r="A415" s="98" t="s">
        <v>73</v>
      </c>
      <c r="B415" s="98"/>
      <c r="C415" s="99" t="s">
        <v>469</v>
      </c>
      <c r="D415" s="99" t="s">
        <v>470</v>
      </c>
      <c r="E415" s="98" t="s">
        <v>471</v>
      </c>
      <c r="F415" s="98"/>
      <c r="G415" s="98" t="s">
        <v>472</v>
      </c>
      <c r="H415" s="98"/>
    </row>
    <row r="416" customFormat="false" ht="18" hidden="false" customHeight="true" outlineLevel="0" collapsed="false">
      <c r="A416" s="100"/>
      <c r="B416" s="100"/>
      <c r="C416" s="100"/>
      <c r="D416" s="100"/>
      <c r="E416" s="100"/>
      <c r="F416" s="100"/>
      <c r="G416" s="100"/>
      <c r="H416" s="100"/>
    </row>
    <row r="418" customFormat="false" ht="18.75" hidden="false" customHeight="true" outlineLevel="0" collapsed="false">
      <c r="A418" s="101" t="str">
        <f aca="false">Übungen!$A$8</f>
        <v>Reverse V-Squat</v>
      </c>
      <c r="B418" s="101"/>
      <c r="C418" s="101"/>
      <c r="D418" s="101"/>
      <c r="E418" s="101"/>
      <c r="F418" s="101"/>
      <c r="G418" s="101"/>
      <c r="H418" s="101"/>
      <c r="I418" s="101"/>
    </row>
    <row r="419" customFormat="false" ht="13.5" hidden="false" customHeight="true" outlineLevel="0" collapsed="false">
      <c r="A419"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419" s="102"/>
      <c r="C419" s="102"/>
      <c r="D419" s="102"/>
      <c r="E419" s="102"/>
      <c r="F419" s="102"/>
      <c r="G419" s="102"/>
      <c r="H419" s="102"/>
      <c r="I419" s="102"/>
    </row>
    <row r="420" customFormat="false" ht="13.5" hidden="false" customHeight="true" outlineLevel="0" collapsed="false">
      <c r="A420"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420" s="103"/>
      <c r="C420" s="103"/>
      <c r="D420" s="103"/>
      <c r="E420" s="103"/>
      <c r="F420" s="103"/>
      <c r="G420" s="103"/>
      <c r="H420" s="103"/>
      <c r="I420" s="103"/>
    </row>
    <row r="421" customFormat="false" ht="18" hidden="false" customHeight="true" outlineLevel="0" collapsed="false">
      <c r="A421" s="104" t="s">
        <v>473</v>
      </c>
      <c r="B421" s="104" t="s">
        <v>474</v>
      </c>
      <c r="C421" s="104" t="s">
        <v>475</v>
      </c>
      <c r="D421" s="104" t="s">
        <v>476</v>
      </c>
      <c r="E421" s="104" t="s">
        <v>477</v>
      </c>
      <c r="F421" s="104" t="s">
        <v>374</v>
      </c>
      <c r="G421" s="104" t="s">
        <v>48</v>
      </c>
      <c r="H421" s="104" t="s">
        <v>478</v>
      </c>
      <c r="I421" s="104" t="s">
        <v>255</v>
      </c>
    </row>
    <row r="422" customFormat="false" ht="18" hidden="false" customHeight="true" outlineLevel="0" collapsed="false">
      <c r="A422" s="105" t="n">
        <v>1</v>
      </c>
      <c r="B422" s="106" t="s">
        <v>479</v>
      </c>
      <c r="C422" s="107" t="n">
        <f aca="false">IF(OR(FALSE(),Übungen!$L$8="pause"),"",IF(IFERROR(INDEX(Rekorde!$O$4:$O$23,MATCH(Übungen!$A$8,Rekorde!$A$4:$A$23,0)),"")="","",ROUND(IFERROR(INDEX(Rekorde!$O$4:$O$23,MATCH(Übungen!$A$8,Rekorde!$A$4:$A$23,0)),"")*0.4*2,0)/2))</f>
        <v>86</v>
      </c>
      <c r="D422" s="108"/>
      <c r="E422" s="109"/>
      <c r="F422" s="109"/>
      <c r="G422" s="109"/>
      <c r="H422" s="109"/>
      <c r="I422" s="109"/>
    </row>
    <row r="423" customFormat="false" ht="18" hidden="false" customHeight="true" outlineLevel="0" collapsed="false">
      <c r="A423" s="105" t="n">
        <v>2</v>
      </c>
      <c r="B423" s="106" t="s">
        <v>480</v>
      </c>
      <c r="C423" s="107" t="n">
        <f aca="false">IF(OR(FALSE(),Übungen!$L$8="pause"),"",IF(IFERROR(INDEX(Rekorde!$O$4:$O$23,MATCH(Übungen!$A$8,Rekorde!$A$4:$A$23,0)),"")="","",ROUND(IFERROR(INDEX(Rekorde!$O$4:$O$23,MATCH(Übungen!$A$8,Rekorde!$A$4:$A$23,0)),"")*0.7*2,0)/2))</f>
        <v>150.5</v>
      </c>
      <c r="D423" s="108"/>
      <c r="E423" s="109"/>
      <c r="F423" s="109"/>
      <c r="G423" s="109"/>
      <c r="H423" s="109"/>
      <c r="I423" s="109"/>
    </row>
    <row r="424" customFormat="false" ht="18" hidden="false" customHeight="true" outlineLevel="0" collapsed="false">
      <c r="A424" s="105" t="n">
        <v>3</v>
      </c>
      <c r="B424" s="110" t="s">
        <v>481</v>
      </c>
      <c r="C424" s="111" t="n">
        <f aca="false">IF(OR(FALSE(),Übungen!$L$8="pause"),"",IF(IFERROR(INDEX(Rekorde!$O$4:$O$23,MATCH(Übungen!$A$8,Rekorde!$A$4:$A$23,0)),"")="","",ROUND(IFERROR(INDEX(Rekorde!$O$4:$O$23,MATCH(Übungen!$A$8,Rekorde!$A$4:$A$23,0)),"")*1*2,0)/2))</f>
        <v>215</v>
      </c>
      <c r="D424" s="112" t="n">
        <f aca="false">IF(OR(FALSE(),Übungen!$L$8="pause"),"",IF(IFERROR(INDEX(Rekorde!$P$4:$P$23,MATCH(Übungen!$A$8,Rekorde!$A$4:$A$23,0)),"")="","",MIN(Übungen!$E$8,IFERROR(INDEX(Rekorde!$P$4:$P$23,MATCH(Übungen!$A$8,Rekorde!$A$4:$A$23,0)),"")+0)))</f>
        <v>6</v>
      </c>
      <c r="E424" s="109"/>
      <c r="F424" s="109"/>
      <c r="G424" s="109"/>
      <c r="H424" s="109"/>
      <c r="I424" s="109"/>
    </row>
    <row r="425" customFormat="false" ht="18" hidden="false" customHeight="true" outlineLevel="0" collapsed="false">
      <c r="A425" s="105" t="n">
        <v>4</v>
      </c>
      <c r="B425" s="110" t="s">
        <v>482</v>
      </c>
      <c r="C425" s="107" t="n">
        <f aca="false">IF(OR(FALSE(),Übungen!$L$8="pause"),"",IF(IFERROR(INDEX(Rekorde!$O$4:$O$23,MATCH(Übungen!$A$8,Rekorde!$A$4:$A$23,0)),"")="","",ROUND(IFERROR(INDEX(Rekorde!$O$4:$O$23,MATCH(Übungen!$A$8,Rekorde!$A$4:$A$23,0)),"")*0.95*2,0)/2))</f>
        <v>204.5</v>
      </c>
      <c r="D425" s="112" t="n">
        <f aca="false">IF(OR(FALSE(),Übungen!$L$8="pause"),"",IF(IFERROR(INDEX(Rekorde!$P$4:$P$23,MATCH(Übungen!$A$8,Rekorde!$A$4:$A$23,0)),"")="","",MIN(Übungen!$E$8,IFERROR(INDEX(Rekorde!$P$4:$P$23,MATCH(Übungen!$A$8,Rekorde!$A$4:$A$23,0)),"")+1)))</f>
        <v>6</v>
      </c>
      <c r="E425" s="109"/>
      <c r="F425" s="109"/>
      <c r="G425" s="109"/>
      <c r="H425" s="109"/>
      <c r="I425" s="109"/>
    </row>
    <row r="426" customFormat="false" ht="18" hidden="false" customHeight="true" outlineLevel="0" collapsed="false">
      <c r="A426" s="105" t="n">
        <v>5</v>
      </c>
      <c r="B426" s="110" t="s">
        <v>483</v>
      </c>
      <c r="C426" s="107" t="n">
        <f aca="false">IF(OR(FALSE(),Übungen!$L$8="pause"),"",IF(IFERROR(INDEX(Rekorde!$O$4:$O$23,MATCH(Übungen!$A$8,Rekorde!$A$4:$A$23,0)),"")="","",ROUND(IFERROR(INDEX(Rekorde!$O$4:$O$23,MATCH(Übungen!$A$8,Rekorde!$A$4:$A$23,0)),"")*0.9*2,0)/2))</f>
        <v>193.5</v>
      </c>
      <c r="D426" s="112" t="n">
        <f aca="false">IF(OR(FALSE(),Übungen!$L$8="pause"),"",IF(IFERROR(INDEX(Rekorde!$P$4:$P$23,MATCH(Übungen!$A$8,Rekorde!$A$4:$A$23,0)),"")="","",MIN(Übungen!$E$8,IFERROR(INDEX(Rekorde!$P$4:$P$23,MATCH(Übungen!$A$8,Rekorde!$A$4:$A$23,0)),"")+2)))</f>
        <v>6</v>
      </c>
      <c r="E426" s="109"/>
      <c r="F426" s="109"/>
      <c r="G426" s="109"/>
      <c r="H426" s="109"/>
      <c r="I426" s="109"/>
    </row>
    <row r="428" customFormat="false" ht="18.75" hidden="false" customHeight="true" outlineLevel="0" collapsed="false">
      <c r="A428" s="101" t="str">
        <f aca="false">Übungen!$A$9</f>
        <v>Rumänisches Kreuzheben</v>
      </c>
      <c r="B428" s="101"/>
      <c r="C428" s="101"/>
      <c r="D428" s="101"/>
      <c r="E428" s="101"/>
      <c r="F428" s="101"/>
      <c r="G428" s="101"/>
      <c r="H428" s="101"/>
      <c r="I428" s="101"/>
    </row>
    <row r="429" customFormat="false" ht="13.5" hidden="false" customHeight="true" outlineLevel="0" collapsed="false">
      <c r="A429"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2"/>
      <c r="C429" s="102"/>
      <c r="D429" s="102"/>
      <c r="E429" s="102"/>
      <c r="F429" s="102"/>
      <c r="G429" s="102"/>
      <c r="H429" s="102"/>
      <c r="I429" s="102"/>
    </row>
    <row r="430" customFormat="false" ht="13.5" hidden="false" customHeight="true" outlineLevel="0" collapsed="false">
      <c r="A430"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430" s="103"/>
      <c r="C430" s="103"/>
      <c r="D430" s="103"/>
      <c r="E430" s="103"/>
      <c r="F430" s="103"/>
      <c r="G430" s="103"/>
      <c r="H430" s="103"/>
      <c r="I430" s="103"/>
    </row>
    <row r="431" customFormat="false" ht="18" hidden="false" customHeight="true" outlineLevel="0" collapsed="false">
      <c r="A431" s="104" t="s">
        <v>473</v>
      </c>
      <c r="B431" s="104" t="s">
        <v>474</v>
      </c>
      <c r="C431" s="104" t="s">
        <v>475</v>
      </c>
      <c r="D431" s="104" t="s">
        <v>476</v>
      </c>
      <c r="E431" s="104" t="s">
        <v>477</v>
      </c>
      <c r="F431" s="104" t="s">
        <v>374</v>
      </c>
      <c r="G431" s="104" t="s">
        <v>48</v>
      </c>
      <c r="H431" s="104" t="s">
        <v>478</v>
      </c>
      <c r="I431" s="104" t="s">
        <v>255</v>
      </c>
    </row>
    <row r="432" customFormat="false" ht="18" hidden="false" customHeight="true" outlineLevel="0" collapsed="false">
      <c r="A432" s="105" t="n">
        <v>1</v>
      </c>
      <c r="B432" s="106" t="s">
        <v>479</v>
      </c>
      <c r="C432" s="107" t="str">
        <f aca="false">IF(OR(FALSE(),Übungen!$L$9="pause"),"",IF(IFERROR(INDEX(Rekorde!$O$4:$O$23,MATCH(Übungen!$A$9,Rekorde!$A$4:$A$23,0)),"")="","",ROUND(IFERROR(INDEX(Rekorde!$O$4:$O$23,MATCH(Übungen!$A$9,Rekorde!$A$4:$A$23,0)),"")*0.4*2,0)/2))</f>
        <v/>
      </c>
      <c r="D432" s="108"/>
      <c r="E432" s="109"/>
      <c r="F432" s="109"/>
      <c r="G432" s="109"/>
      <c r="H432" s="109"/>
      <c r="I432" s="109"/>
    </row>
    <row r="433" customFormat="false" ht="18" hidden="false" customHeight="true" outlineLevel="0" collapsed="false">
      <c r="A433" s="105" t="n">
        <v>2</v>
      </c>
      <c r="B433" s="106" t="s">
        <v>480</v>
      </c>
      <c r="C433" s="107" t="str">
        <f aca="false">IF(OR(FALSE(),Übungen!$L$9="pause"),"",IF(IFERROR(INDEX(Rekorde!$O$4:$O$23,MATCH(Übungen!$A$9,Rekorde!$A$4:$A$23,0)),"")="","",ROUND(IFERROR(INDEX(Rekorde!$O$4:$O$23,MATCH(Übungen!$A$9,Rekorde!$A$4:$A$23,0)),"")*0.7*2,0)/2))</f>
        <v/>
      </c>
      <c r="D433" s="108"/>
      <c r="E433" s="109"/>
      <c r="F433" s="109"/>
      <c r="G433" s="109"/>
      <c r="H433" s="109"/>
      <c r="I433" s="109"/>
    </row>
    <row r="434" customFormat="false" ht="18" hidden="false" customHeight="true" outlineLevel="0" collapsed="false">
      <c r="A434" s="105" t="n">
        <v>3</v>
      </c>
      <c r="B434" s="110" t="s">
        <v>481</v>
      </c>
      <c r="C434" s="111" t="str">
        <f aca="false">IF(OR(FALSE(),Übungen!$L$9="pause"),"",IF(IFERROR(INDEX(Rekorde!$O$4:$O$23,MATCH(Übungen!$A$9,Rekorde!$A$4:$A$23,0)),"")="","",ROUND(IFERROR(INDEX(Rekorde!$O$4:$O$23,MATCH(Übungen!$A$9,Rekorde!$A$4:$A$23,0)),"")*1*2,0)/2))</f>
        <v/>
      </c>
      <c r="D434" s="112" t="str">
        <f aca="false">IF(OR(FALSE(),Übungen!$L$9="pause"),"",IF(IFERROR(INDEX(Rekorde!$P$4:$P$23,MATCH(Übungen!$A$9,Rekorde!$A$4:$A$23,0)),"")="","",MIN(Übungen!$E$9,IFERROR(INDEX(Rekorde!$P$4:$P$23,MATCH(Übungen!$A$9,Rekorde!$A$4:$A$23,0)),"")+0)))</f>
        <v/>
      </c>
      <c r="E434" s="109"/>
      <c r="F434" s="109"/>
      <c r="G434" s="109"/>
      <c r="H434" s="109"/>
      <c r="I434" s="109"/>
    </row>
    <row r="435" customFormat="false" ht="18" hidden="false" customHeight="true" outlineLevel="0" collapsed="false">
      <c r="A435" s="105" t="n">
        <v>4</v>
      </c>
      <c r="B435" s="110" t="s">
        <v>482</v>
      </c>
      <c r="C435" s="107" t="str">
        <f aca="false">IF(OR(FALSE(),Übungen!$L$9="pause"),"",IF(IFERROR(INDEX(Rekorde!$O$4:$O$23,MATCH(Übungen!$A$9,Rekorde!$A$4:$A$23,0)),"")="","",ROUND(IFERROR(INDEX(Rekorde!$O$4:$O$23,MATCH(Übungen!$A$9,Rekorde!$A$4:$A$23,0)),"")*0.95*2,0)/2))</f>
        <v/>
      </c>
      <c r="D435" s="112" t="str">
        <f aca="false">IF(OR(FALSE(),Übungen!$L$9="pause"),"",IF(IFERROR(INDEX(Rekorde!$P$4:$P$23,MATCH(Übungen!$A$9,Rekorde!$A$4:$A$23,0)),"")="","",MIN(Übungen!$E$9,IFERROR(INDEX(Rekorde!$P$4:$P$23,MATCH(Übungen!$A$9,Rekorde!$A$4:$A$23,0)),"")+1)))</f>
        <v/>
      </c>
      <c r="E435" s="109"/>
      <c r="F435" s="109"/>
      <c r="G435" s="109"/>
      <c r="H435" s="109"/>
      <c r="I435" s="109"/>
    </row>
    <row r="436" customFormat="false" ht="18" hidden="false" customHeight="true" outlineLevel="0" collapsed="false">
      <c r="A436" s="105" t="n">
        <v>5</v>
      </c>
      <c r="B436" s="110" t="s">
        <v>483</v>
      </c>
      <c r="C436" s="107" t="str">
        <f aca="false">IF(OR(FALSE(),Übungen!$L$9="pause"),"",IF(IFERROR(INDEX(Rekorde!$O$4:$O$23,MATCH(Übungen!$A$9,Rekorde!$A$4:$A$23,0)),"")="","",ROUND(IFERROR(INDEX(Rekorde!$O$4:$O$23,MATCH(Übungen!$A$9,Rekorde!$A$4:$A$23,0)),"")*0.9*2,0)/2))</f>
        <v/>
      </c>
      <c r="D436" s="112" t="str">
        <f aca="false">IF(OR(FALSE(),Übungen!$L$9="pause"),"",IF(IFERROR(INDEX(Rekorde!$P$4:$P$23,MATCH(Übungen!$A$9,Rekorde!$A$4:$A$23,0)),"")="","",MIN(Übungen!$E$9,IFERROR(INDEX(Rekorde!$P$4:$P$23,MATCH(Übungen!$A$9,Rekorde!$A$4:$A$23,0)),"")+2)))</f>
        <v/>
      </c>
      <c r="E436" s="109"/>
      <c r="F436" s="109"/>
      <c r="G436" s="109"/>
      <c r="H436" s="109"/>
      <c r="I436" s="109"/>
    </row>
    <row r="438" customFormat="false" ht="18.75" hidden="false" customHeight="true" outlineLevel="0" collapsed="false">
      <c r="A438" s="101" t="str">
        <f aca="false">Übungen!$A$10</f>
        <v>Rumänisches Kreuzheben KH</v>
      </c>
      <c r="B438" s="101"/>
      <c r="C438" s="101"/>
      <c r="D438" s="101"/>
      <c r="E438" s="101"/>
      <c r="F438" s="101"/>
      <c r="G438" s="101"/>
      <c r="H438" s="101"/>
      <c r="I438" s="101"/>
    </row>
    <row r="439" customFormat="false" ht="13.5" hidden="false" customHeight="true" outlineLevel="0" collapsed="false">
      <c r="A439"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439" s="102"/>
      <c r="C439" s="102"/>
      <c r="D439" s="102"/>
      <c r="E439" s="102"/>
      <c r="F439" s="102"/>
      <c r="G439" s="102"/>
      <c r="H439" s="102"/>
      <c r="I439" s="102"/>
    </row>
    <row r="440" customFormat="false" ht="13.5" hidden="false" customHeight="true" outlineLevel="0" collapsed="false">
      <c r="A440"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440" s="103"/>
      <c r="C440" s="103"/>
      <c r="D440" s="103"/>
      <c r="E440" s="103"/>
      <c r="F440" s="103"/>
      <c r="G440" s="103"/>
      <c r="H440" s="103"/>
      <c r="I440" s="103"/>
    </row>
    <row r="441" customFormat="false" ht="18" hidden="false" customHeight="true" outlineLevel="0" collapsed="false">
      <c r="A441" s="104" t="s">
        <v>473</v>
      </c>
      <c r="B441" s="104" t="s">
        <v>474</v>
      </c>
      <c r="C441" s="104" t="s">
        <v>475</v>
      </c>
      <c r="D441" s="104" t="s">
        <v>476</v>
      </c>
      <c r="E441" s="104" t="s">
        <v>477</v>
      </c>
      <c r="F441" s="104" t="s">
        <v>374</v>
      </c>
      <c r="G441" s="104" t="s">
        <v>48</v>
      </c>
      <c r="H441" s="104" t="s">
        <v>478</v>
      </c>
      <c r="I441" s="104" t="s">
        <v>255</v>
      </c>
    </row>
    <row r="442" customFormat="false" ht="18" hidden="false" customHeight="true" outlineLevel="0" collapsed="false">
      <c r="A442" s="105" t="n">
        <v>1</v>
      </c>
      <c r="B442" s="106" t="s">
        <v>479</v>
      </c>
      <c r="C442" s="107" t="n">
        <f aca="false">IF(OR(FALSE(),Übungen!$L$10="pause"),"",IF(IFERROR(INDEX(Rekorde!$O$4:$O$23,MATCH(Übungen!$A$10,Rekorde!$A$4:$A$23,0)),"")="","",ROUND(IFERROR(INDEX(Rekorde!$O$4:$O$23,MATCH(Übungen!$A$10,Rekorde!$A$4:$A$23,0)),"")*0.4*2,0)/2))</f>
        <v>13.5</v>
      </c>
      <c r="D442" s="108"/>
      <c r="E442" s="109"/>
      <c r="F442" s="109"/>
      <c r="G442" s="109"/>
      <c r="H442" s="109"/>
      <c r="I442" s="109"/>
    </row>
    <row r="443" customFormat="false" ht="18" hidden="false" customHeight="true" outlineLevel="0" collapsed="false">
      <c r="A443" s="105" t="n">
        <v>2</v>
      </c>
      <c r="B443" s="106" t="s">
        <v>480</v>
      </c>
      <c r="C443" s="107" t="n">
        <f aca="false">IF(OR(FALSE(),Übungen!$L$10="pause"),"",IF(IFERROR(INDEX(Rekorde!$O$4:$O$23,MATCH(Übungen!$A$10,Rekorde!$A$4:$A$23,0)),"")="","",ROUND(IFERROR(INDEX(Rekorde!$O$4:$O$23,MATCH(Übungen!$A$10,Rekorde!$A$4:$A$23,0)),"")*0.7*2,0)/2))</f>
        <v>24</v>
      </c>
      <c r="D443" s="108"/>
      <c r="E443" s="109"/>
      <c r="F443" s="109"/>
      <c r="G443" s="109"/>
      <c r="H443" s="109"/>
      <c r="I443" s="109"/>
    </row>
    <row r="444" customFormat="false" ht="18" hidden="false" customHeight="true" outlineLevel="0" collapsed="false">
      <c r="A444" s="105" t="n">
        <v>3</v>
      </c>
      <c r="B444" s="110" t="s">
        <v>481</v>
      </c>
      <c r="C444" s="111" t="n">
        <f aca="false">IF(OR(FALSE(),Übungen!$L$10="pause"),"",IF(IFERROR(INDEX(Rekorde!$O$4:$O$23,MATCH(Übungen!$A$10,Rekorde!$A$4:$A$23,0)),"")="","",ROUND(IFERROR(INDEX(Rekorde!$O$4:$O$23,MATCH(Übungen!$A$10,Rekorde!$A$4:$A$23,0)),"")*1*2,0)/2))</f>
        <v>34</v>
      </c>
      <c r="D444" s="112" t="n">
        <f aca="false">IF(OR(FALSE(),Übungen!$L$10="pause"),"",IF(IFERROR(INDEX(Rekorde!$P$4:$P$23,MATCH(Übungen!$A$10,Rekorde!$A$4:$A$23,0)),"")="","",MIN(Übungen!$E$10,IFERROR(INDEX(Rekorde!$P$4:$P$23,MATCH(Übungen!$A$10,Rekorde!$A$4:$A$23,0)),"")+0)))</f>
        <v>6</v>
      </c>
      <c r="E444" s="109"/>
      <c r="F444" s="109"/>
      <c r="G444" s="109"/>
      <c r="H444" s="109"/>
      <c r="I444" s="109"/>
    </row>
    <row r="445" customFormat="false" ht="18" hidden="false" customHeight="true" outlineLevel="0" collapsed="false">
      <c r="A445" s="105" t="n">
        <v>4</v>
      </c>
      <c r="B445" s="110" t="s">
        <v>482</v>
      </c>
      <c r="C445" s="107" t="n">
        <f aca="false">IF(OR(FALSE(),Übungen!$L$10="pause"),"",IF(IFERROR(INDEX(Rekorde!$O$4:$O$23,MATCH(Übungen!$A$10,Rekorde!$A$4:$A$23,0)),"")="","",ROUND(IFERROR(INDEX(Rekorde!$O$4:$O$23,MATCH(Übungen!$A$10,Rekorde!$A$4:$A$23,0)),"")*0.95*2,0)/2))</f>
        <v>32.5</v>
      </c>
      <c r="D445" s="112" t="n">
        <f aca="false">IF(OR(FALSE(),Übungen!$L$10="pause"),"",IF(IFERROR(INDEX(Rekorde!$P$4:$P$23,MATCH(Übungen!$A$10,Rekorde!$A$4:$A$23,0)),"")="","",MIN(Übungen!$E$10,IFERROR(INDEX(Rekorde!$P$4:$P$23,MATCH(Übungen!$A$10,Rekorde!$A$4:$A$23,0)),"")+1)))</f>
        <v>6</v>
      </c>
      <c r="E445" s="109"/>
      <c r="F445" s="109"/>
      <c r="G445" s="109"/>
      <c r="H445" s="109"/>
      <c r="I445" s="109"/>
    </row>
    <row r="446" customFormat="false" ht="18" hidden="false" customHeight="true" outlineLevel="0" collapsed="false">
      <c r="A446" s="105" t="n">
        <v>5</v>
      </c>
      <c r="B446" s="110" t="s">
        <v>483</v>
      </c>
      <c r="C446" s="107" t="n">
        <f aca="false">IF(OR(FALSE(),Übungen!$L$10="pause"),"",IF(IFERROR(INDEX(Rekorde!$O$4:$O$23,MATCH(Übungen!$A$10,Rekorde!$A$4:$A$23,0)),"")="","",ROUND(IFERROR(INDEX(Rekorde!$O$4:$O$23,MATCH(Übungen!$A$10,Rekorde!$A$4:$A$23,0)),"")*0.9*2,0)/2))</f>
        <v>30.5</v>
      </c>
      <c r="D446" s="112" t="n">
        <f aca="false">IF(OR(FALSE(),Übungen!$L$10="pause"),"",IF(IFERROR(INDEX(Rekorde!$P$4:$P$23,MATCH(Übungen!$A$10,Rekorde!$A$4:$A$23,0)),"")="","",MIN(Übungen!$E$10,IFERROR(INDEX(Rekorde!$P$4:$P$23,MATCH(Übungen!$A$10,Rekorde!$A$4:$A$23,0)),"")+2)))</f>
        <v>6</v>
      </c>
      <c r="E446" s="109"/>
      <c r="F446" s="109"/>
      <c r="G446" s="109"/>
      <c r="H446" s="109"/>
      <c r="I446" s="109"/>
    </row>
    <row r="448" customFormat="false" ht="18.75" hidden="false" customHeight="true" outlineLevel="0" collapsed="false">
      <c r="A448" s="101" t="str">
        <f aca="false">Übungen!$A$11</f>
        <v>Beinpresse breit</v>
      </c>
      <c r="B448" s="101"/>
      <c r="C448" s="101"/>
      <c r="D448" s="101"/>
      <c r="E448" s="101"/>
      <c r="F448" s="101"/>
      <c r="G448" s="101"/>
      <c r="H448" s="101"/>
      <c r="I448" s="101"/>
    </row>
    <row r="449" customFormat="false" ht="13.5" hidden="false" customHeight="true" outlineLevel="0" collapsed="false">
      <c r="A449"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449" s="102"/>
      <c r="C449" s="102"/>
      <c r="D449" s="102"/>
      <c r="E449" s="102"/>
      <c r="F449" s="102"/>
      <c r="G449" s="102"/>
      <c r="H449" s="102"/>
      <c r="I449" s="102"/>
    </row>
    <row r="450" customFormat="false" ht="13.5" hidden="false" customHeight="true" outlineLevel="0" collapsed="false">
      <c r="A450"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450" s="103"/>
      <c r="C450" s="103"/>
      <c r="D450" s="103"/>
      <c r="E450" s="103"/>
      <c r="F450" s="103"/>
      <c r="G450" s="103"/>
      <c r="H450" s="103"/>
      <c r="I450" s="103"/>
    </row>
    <row r="451" customFormat="false" ht="18" hidden="false" customHeight="true" outlineLevel="0" collapsed="false">
      <c r="A451" s="104" t="s">
        <v>473</v>
      </c>
      <c r="B451" s="104" t="s">
        <v>474</v>
      </c>
      <c r="C451" s="104" t="s">
        <v>475</v>
      </c>
      <c r="D451" s="104" t="s">
        <v>476</v>
      </c>
      <c r="E451" s="104" t="s">
        <v>477</v>
      </c>
      <c r="F451" s="104" t="s">
        <v>374</v>
      </c>
      <c r="G451" s="104" t="s">
        <v>48</v>
      </c>
      <c r="H451" s="104" t="s">
        <v>478</v>
      </c>
      <c r="I451" s="104" t="s">
        <v>255</v>
      </c>
    </row>
    <row r="452" customFormat="false" ht="18" hidden="false" customHeight="true" outlineLevel="0" collapsed="false">
      <c r="A452" s="105" t="n">
        <v>1</v>
      </c>
      <c r="B452" s="106" t="s">
        <v>479</v>
      </c>
      <c r="C452" s="107" t="n">
        <f aca="false">IF(OR(FALSE(),Übungen!$L$11="pause"),"",IF(IFERROR(INDEX(Rekorde!$O$4:$O$23,MATCH(Übungen!$A$11,Rekorde!$A$4:$A$23,0)),"")="","",ROUND(IFERROR(INDEX(Rekorde!$O$4:$O$23,MATCH(Übungen!$A$11,Rekorde!$A$4:$A$23,0)),"")*0.4*2,0)/2))</f>
        <v>88</v>
      </c>
      <c r="D452" s="108"/>
      <c r="E452" s="109"/>
      <c r="F452" s="109"/>
      <c r="G452" s="109"/>
      <c r="H452" s="109"/>
      <c r="I452" s="109"/>
    </row>
    <row r="453" customFormat="false" ht="18" hidden="false" customHeight="true" outlineLevel="0" collapsed="false">
      <c r="A453" s="105" t="n">
        <v>2</v>
      </c>
      <c r="B453" s="106" t="s">
        <v>480</v>
      </c>
      <c r="C453" s="107" t="n">
        <f aca="false">IF(OR(FALSE(),Übungen!$L$11="pause"),"",IF(IFERROR(INDEX(Rekorde!$O$4:$O$23,MATCH(Übungen!$A$11,Rekorde!$A$4:$A$23,0)),"")="","",ROUND(IFERROR(INDEX(Rekorde!$O$4:$O$23,MATCH(Übungen!$A$11,Rekorde!$A$4:$A$23,0)),"")*0.7*2,0)/2))</f>
        <v>154</v>
      </c>
      <c r="D453" s="108"/>
      <c r="E453" s="109"/>
      <c r="F453" s="109"/>
      <c r="G453" s="109"/>
      <c r="H453" s="109"/>
      <c r="I453" s="109"/>
    </row>
    <row r="454" customFormat="false" ht="18" hidden="false" customHeight="true" outlineLevel="0" collapsed="false">
      <c r="A454" s="105" t="n">
        <v>3</v>
      </c>
      <c r="B454" s="110" t="s">
        <v>481</v>
      </c>
      <c r="C454" s="111" t="n">
        <f aca="false">IF(OR(FALSE(),Übungen!$L$11="pause"),"",IF(IFERROR(INDEX(Rekorde!$O$4:$O$23,MATCH(Übungen!$A$11,Rekorde!$A$4:$A$23,0)),"")="","",ROUND(IFERROR(INDEX(Rekorde!$O$4:$O$23,MATCH(Übungen!$A$11,Rekorde!$A$4:$A$23,0)),"")*1*2,0)/2))</f>
        <v>220</v>
      </c>
      <c r="D454" s="112" t="n">
        <f aca="false">IF(OR(FALSE(),Übungen!$L$11="pause"),"",IF(IFERROR(INDEX(Rekorde!$P$4:$P$23,MATCH(Übungen!$A$11,Rekorde!$A$4:$A$23,0)),"")="","",MIN(Übungen!$E$11,IFERROR(INDEX(Rekorde!$P$4:$P$23,MATCH(Übungen!$A$11,Rekorde!$A$4:$A$23,0)),"")+0)))</f>
        <v>5</v>
      </c>
      <c r="E454" s="109"/>
      <c r="F454" s="109"/>
      <c r="G454" s="109"/>
      <c r="H454" s="109"/>
      <c r="I454" s="109"/>
    </row>
    <row r="455" customFormat="false" ht="18" hidden="false" customHeight="true" outlineLevel="0" collapsed="false">
      <c r="A455" s="105" t="n">
        <v>4</v>
      </c>
      <c r="B455" s="110" t="s">
        <v>482</v>
      </c>
      <c r="C455" s="107" t="n">
        <f aca="false">IF(OR(FALSE(),Übungen!$L$11="pause"),"",IF(IFERROR(INDEX(Rekorde!$O$4:$O$23,MATCH(Übungen!$A$11,Rekorde!$A$4:$A$23,0)),"")="","",ROUND(IFERROR(INDEX(Rekorde!$O$4:$O$23,MATCH(Übungen!$A$11,Rekorde!$A$4:$A$23,0)),"")*0.95*2,0)/2))</f>
        <v>209</v>
      </c>
      <c r="D455" s="112" t="n">
        <f aca="false">IF(OR(FALSE(),Übungen!$L$11="pause"),"",IF(IFERROR(INDEX(Rekorde!$P$4:$P$23,MATCH(Übungen!$A$11,Rekorde!$A$4:$A$23,0)),"")="","",MIN(Übungen!$E$11,IFERROR(INDEX(Rekorde!$P$4:$P$23,MATCH(Übungen!$A$11,Rekorde!$A$4:$A$23,0)),"")+1)))</f>
        <v>6</v>
      </c>
      <c r="E455" s="109"/>
      <c r="F455" s="109"/>
      <c r="G455" s="109"/>
      <c r="H455" s="109"/>
      <c r="I455" s="109"/>
    </row>
    <row r="456" customFormat="false" ht="18" hidden="false" customHeight="true" outlineLevel="0" collapsed="false">
      <c r="A456" s="105" t="n">
        <v>5</v>
      </c>
      <c r="B456" s="110" t="s">
        <v>483</v>
      </c>
      <c r="C456" s="107" t="n">
        <f aca="false">IF(OR(FALSE(),Übungen!$L$11="pause"),"",IF(IFERROR(INDEX(Rekorde!$O$4:$O$23,MATCH(Übungen!$A$11,Rekorde!$A$4:$A$23,0)),"")="","",ROUND(IFERROR(INDEX(Rekorde!$O$4:$O$23,MATCH(Übungen!$A$11,Rekorde!$A$4:$A$23,0)),"")*0.9*2,0)/2))</f>
        <v>198</v>
      </c>
      <c r="D456" s="112" t="n">
        <f aca="false">IF(OR(FALSE(),Übungen!$L$11="pause"),"",IF(IFERROR(INDEX(Rekorde!$P$4:$P$23,MATCH(Übungen!$A$11,Rekorde!$A$4:$A$23,0)),"")="","",MIN(Übungen!$E$11,IFERROR(INDEX(Rekorde!$P$4:$P$23,MATCH(Übungen!$A$11,Rekorde!$A$4:$A$23,0)),"")+2)))</f>
        <v>6</v>
      </c>
      <c r="E456" s="109"/>
      <c r="F456" s="109"/>
      <c r="G456" s="109"/>
      <c r="H456" s="109"/>
      <c r="I456" s="109"/>
    </row>
    <row r="458" customFormat="false" ht="18.75" hidden="false" customHeight="true" outlineLevel="0" collapsed="false">
      <c r="A458" s="101" t="str">
        <f aca="false">Übungen!$A$12</f>
        <v>Hip Thrust</v>
      </c>
      <c r="B458" s="101"/>
      <c r="C458" s="101"/>
      <c r="D458" s="101"/>
      <c r="E458" s="101"/>
      <c r="F458" s="101"/>
      <c r="G458" s="101"/>
      <c r="H458" s="101"/>
      <c r="I458" s="101"/>
    </row>
    <row r="459" customFormat="false" ht="13.5" hidden="false" customHeight="true" outlineLevel="0" collapsed="false">
      <c r="A459"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459" s="102"/>
      <c r="C459" s="102"/>
      <c r="D459" s="102"/>
      <c r="E459" s="102"/>
      <c r="F459" s="102"/>
      <c r="G459" s="102"/>
      <c r="H459" s="102"/>
      <c r="I459" s="102"/>
    </row>
    <row r="460" customFormat="false" ht="13.5" hidden="false" customHeight="true" outlineLevel="0" collapsed="false">
      <c r="A460"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460" s="103"/>
      <c r="C460" s="103"/>
      <c r="D460" s="103"/>
      <c r="E460" s="103"/>
      <c r="F460" s="103"/>
      <c r="G460" s="103"/>
      <c r="H460" s="103"/>
      <c r="I460" s="103"/>
    </row>
    <row r="461" customFormat="false" ht="18" hidden="false" customHeight="true" outlineLevel="0" collapsed="false">
      <c r="A461" s="104" t="s">
        <v>473</v>
      </c>
      <c r="B461" s="104" t="s">
        <v>474</v>
      </c>
      <c r="C461" s="104" t="s">
        <v>475</v>
      </c>
      <c r="D461" s="104" t="s">
        <v>476</v>
      </c>
      <c r="E461" s="104" t="s">
        <v>477</v>
      </c>
      <c r="F461" s="104" t="s">
        <v>374</v>
      </c>
      <c r="G461" s="104" t="s">
        <v>48</v>
      </c>
      <c r="H461" s="104" t="s">
        <v>478</v>
      </c>
      <c r="I461" s="104" t="s">
        <v>255</v>
      </c>
    </row>
    <row r="462" customFormat="false" ht="18" hidden="false" customHeight="true" outlineLevel="0" collapsed="false">
      <c r="A462" s="105" t="n">
        <v>1</v>
      </c>
      <c r="B462" s="106" t="s">
        <v>479</v>
      </c>
      <c r="C462" s="107" t="n">
        <f aca="false">IF(OR(FALSE(),Übungen!$L$12="pause"),"",IF(IFERROR(INDEX(Rekorde!$O$4:$O$23,MATCH(Übungen!$A$12,Rekorde!$A$4:$A$23,0)),"")="","",ROUND(IFERROR(INDEX(Rekorde!$O$4:$O$23,MATCH(Übungen!$A$12,Rekorde!$A$4:$A$23,0)),"")*0.4*2,0)/2))</f>
        <v>114</v>
      </c>
      <c r="D462" s="108"/>
      <c r="E462" s="109"/>
      <c r="F462" s="109"/>
      <c r="G462" s="109"/>
      <c r="H462" s="109"/>
      <c r="I462" s="109"/>
    </row>
    <row r="463" customFormat="false" ht="18" hidden="false" customHeight="true" outlineLevel="0" collapsed="false">
      <c r="A463" s="105" t="n">
        <v>2</v>
      </c>
      <c r="B463" s="106" t="s">
        <v>480</v>
      </c>
      <c r="C463" s="107" t="n">
        <f aca="false">IF(OR(FALSE(),Übungen!$L$12="pause"),"",IF(IFERROR(INDEX(Rekorde!$O$4:$O$23,MATCH(Übungen!$A$12,Rekorde!$A$4:$A$23,0)),"")="","",ROUND(IFERROR(INDEX(Rekorde!$O$4:$O$23,MATCH(Übungen!$A$12,Rekorde!$A$4:$A$23,0)),"")*0.7*2,0)/2))</f>
        <v>199.5</v>
      </c>
      <c r="D463" s="108"/>
      <c r="E463" s="109"/>
      <c r="F463" s="109"/>
      <c r="G463" s="109"/>
      <c r="H463" s="109"/>
      <c r="I463" s="109"/>
    </row>
    <row r="464" customFormat="false" ht="18" hidden="false" customHeight="true" outlineLevel="0" collapsed="false">
      <c r="A464" s="105" t="n">
        <v>3</v>
      </c>
      <c r="B464" s="110" t="s">
        <v>481</v>
      </c>
      <c r="C464" s="111" t="n">
        <f aca="false">IF(OR(FALSE(),Übungen!$L$12="pause"),"",IF(IFERROR(INDEX(Rekorde!$O$4:$O$23,MATCH(Übungen!$A$12,Rekorde!$A$4:$A$23,0)),"")="","",ROUND(IFERROR(INDEX(Rekorde!$O$4:$O$23,MATCH(Übungen!$A$12,Rekorde!$A$4:$A$23,0)),"")*1*2,0)/2))</f>
        <v>285</v>
      </c>
      <c r="D464" s="112" t="n">
        <f aca="false">IF(OR(FALSE(),Übungen!$L$12="pause"),"",IF(IFERROR(INDEX(Rekorde!$P$4:$P$23,MATCH(Übungen!$A$12,Rekorde!$A$4:$A$23,0)),"")="","",MIN(Übungen!$E$12,IFERROR(INDEX(Rekorde!$P$4:$P$23,MATCH(Übungen!$A$12,Rekorde!$A$4:$A$23,0)),"")+0)))</f>
        <v>6</v>
      </c>
      <c r="E464" s="109"/>
      <c r="F464" s="109"/>
      <c r="G464" s="109"/>
      <c r="H464" s="109"/>
      <c r="I464" s="109"/>
    </row>
    <row r="465" customFormat="false" ht="18" hidden="false" customHeight="true" outlineLevel="0" collapsed="false">
      <c r="A465" s="105" t="n">
        <v>4</v>
      </c>
      <c r="B465" s="110" t="s">
        <v>482</v>
      </c>
      <c r="C465" s="107" t="n">
        <f aca="false">IF(OR(FALSE(),Übungen!$L$12="pause"),"",IF(IFERROR(INDEX(Rekorde!$O$4:$O$23,MATCH(Übungen!$A$12,Rekorde!$A$4:$A$23,0)),"")="","",ROUND(IFERROR(INDEX(Rekorde!$O$4:$O$23,MATCH(Übungen!$A$12,Rekorde!$A$4:$A$23,0)),"")*0.95*2,0)/2))</f>
        <v>271</v>
      </c>
      <c r="D465" s="112" t="n">
        <f aca="false">IF(OR(FALSE(),Übungen!$L$12="pause"),"",IF(IFERROR(INDEX(Rekorde!$P$4:$P$23,MATCH(Übungen!$A$12,Rekorde!$A$4:$A$23,0)),"")="","",MIN(Übungen!$E$12,IFERROR(INDEX(Rekorde!$P$4:$P$23,MATCH(Übungen!$A$12,Rekorde!$A$4:$A$23,0)),"")+1)))</f>
        <v>6</v>
      </c>
      <c r="E465" s="109"/>
      <c r="F465" s="109"/>
      <c r="G465" s="109"/>
      <c r="H465" s="109"/>
      <c r="I465" s="109"/>
    </row>
    <row r="466" customFormat="false" ht="18" hidden="false" customHeight="true" outlineLevel="0" collapsed="false">
      <c r="A466" s="105" t="n">
        <v>5</v>
      </c>
      <c r="B466" s="110" t="s">
        <v>483</v>
      </c>
      <c r="C466" s="107" t="n">
        <f aca="false">IF(OR(FALSE(),Übungen!$L$12="pause"),"",IF(IFERROR(INDEX(Rekorde!$O$4:$O$23,MATCH(Übungen!$A$12,Rekorde!$A$4:$A$23,0)),"")="","",ROUND(IFERROR(INDEX(Rekorde!$O$4:$O$23,MATCH(Übungen!$A$12,Rekorde!$A$4:$A$23,0)),"")*0.9*2,0)/2))</f>
        <v>256.5</v>
      </c>
      <c r="D466" s="112" t="n">
        <f aca="false">IF(OR(FALSE(),Übungen!$L$12="pause"),"",IF(IFERROR(INDEX(Rekorde!$P$4:$P$23,MATCH(Übungen!$A$12,Rekorde!$A$4:$A$23,0)),"")="","",MIN(Übungen!$E$12,IFERROR(INDEX(Rekorde!$P$4:$P$23,MATCH(Übungen!$A$12,Rekorde!$A$4:$A$23,0)),"")+2)))</f>
        <v>6</v>
      </c>
      <c r="E466" s="109"/>
      <c r="F466" s="109"/>
      <c r="G466" s="109"/>
      <c r="H466" s="109"/>
      <c r="I466" s="109"/>
    </row>
    <row r="468" customFormat="false" ht="18.75" hidden="false" customHeight="true" outlineLevel="0" collapsed="false">
      <c r="A468" s="101" t="str">
        <f aca="false">Übungen!$A$13</f>
        <v>Hip &amp; Glute</v>
      </c>
      <c r="B468" s="101"/>
      <c r="C468" s="101"/>
      <c r="D468" s="101"/>
      <c r="E468" s="101"/>
      <c r="F468" s="101"/>
      <c r="G468" s="101"/>
      <c r="H468" s="101"/>
      <c r="I468" s="101"/>
    </row>
    <row r="469" customFormat="false" ht="13.5" hidden="false" customHeight="true" outlineLevel="0" collapsed="false">
      <c r="A469"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469" s="102"/>
      <c r="C469" s="102"/>
      <c r="D469" s="102"/>
      <c r="E469" s="102"/>
      <c r="F469" s="102"/>
      <c r="G469" s="102"/>
      <c r="H469" s="102"/>
      <c r="I469" s="102"/>
    </row>
    <row r="470" customFormat="false" ht="13.5" hidden="false" customHeight="true" outlineLevel="0" collapsed="false">
      <c r="A470"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470" s="103"/>
      <c r="C470" s="103"/>
      <c r="D470" s="103"/>
      <c r="E470" s="103"/>
      <c r="F470" s="103"/>
      <c r="G470" s="103"/>
      <c r="H470" s="103"/>
      <c r="I470" s="103"/>
    </row>
    <row r="471" customFormat="false" ht="18" hidden="false" customHeight="true" outlineLevel="0" collapsed="false">
      <c r="A471" s="104" t="s">
        <v>473</v>
      </c>
      <c r="B471" s="104" t="s">
        <v>474</v>
      </c>
      <c r="C471" s="104" t="s">
        <v>475</v>
      </c>
      <c r="D471" s="104" t="s">
        <v>476</v>
      </c>
      <c r="E471" s="104" t="s">
        <v>477</v>
      </c>
      <c r="F471" s="104" t="s">
        <v>374</v>
      </c>
      <c r="G471" s="104" t="s">
        <v>48</v>
      </c>
      <c r="H471" s="104" t="s">
        <v>478</v>
      </c>
      <c r="I471" s="104" t="s">
        <v>255</v>
      </c>
    </row>
    <row r="472" customFormat="false" ht="18" hidden="false" customHeight="true" outlineLevel="0" collapsed="false">
      <c r="A472" s="105" t="n">
        <v>1</v>
      </c>
      <c r="B472" s="106" t="s">
        <v>479</v>
      </c>
      <c r="C472" s="107" t="n">
        <f aca="false">IF(OR(FALSE(),Übungen!$L$13="pause"),"",IF(IFERROR(INDEX(Rekorde!$O$4:$O$23,MATCH(Übungen!$A$13,Rekorde!$A$4:$A$23,0)),"")="","",ROUND(IFERROR(INDEX(Rekorde!$O$4:$O$23,MATCH(Übungen!$A$13,Rekorde!$A$4:$A$23,0)),"")*0.4*2,0)/2))</f>
        <v>68</v>
      </c>
      <c r="D472" s="108"/>
      <c r="E472" s="109"/>
      <c r="F472" s="109"/>
      <c r="G472" s="109"/>
      <c r="H472" s="109"/>
      <c r="I472" s="109"/>
    </row>
    <row r="473" customFormat="false" ht="18" hidden="false" customHeight="true" outlineLevel="0" collapsed="false">
      <c r="A473" s="105" t="n">
        <v>2</v>
      </c>
      <c r="B473" s="106" t="s">
        <v>480</v>
      </c>
      <c r="C473" s="107" t="n">
        <f aca="false">IF(OR(FALSE(),Übungen!$L$13="pause"),"",IF(IFERROR(INDEX(Rekorde!$O$4:$O$23,MATCH(Übungen!$A$13,Rekorde!$A$4:$A$23,0)),"")="","",ROUND(IFERROR(INDEX(Rekorde!$O$4:$O$23,MATCH(Übungen!$A$13,Rekorde!$A$4:$A$23,0)),"")*0.7*2,0)/2))</f>
        <v>119</v>
      </c>
      <c r="D473" s="108"/>
      <c r="E473" s="109"/>
      <c r="F473" s="109"/>
      <c r="G473" s="109"/>
      <c r="H473" s="109"/>
      <c r="I473" s="109"/>
    </row>
    <row r="474" customFormat="false" ht="18" hidden="false" customHeight="true" outlineLevel="0" collapsed="false">
      <c r="A474" s="105" t="n">
        <v>3</v>
      </c>
      <c r="B474" s="110" t="s">
        <v>481</v>
      </c>
      <c r="C474" s="111" t="n">
        <f aca="false">IF(OR(FALSE(),Übungen!$L$13="pause"),"",IF(IFERROR(INDEX(Rekorde!$O$4:$O$23,MATCH(Übungen!$A$13,Rekorde!$A$4:$A$23,0)),"")="","",ROUND(IFERROR(INDEX(Rekorde!$O$4:$O$23,MATCH(Übungen!$A$13,Rekorde!$A$4:$A$23,0)),"")*1*2,0)/2))</f>
        <v>170</v>
      </c>
      <c r="D474" s="112" t="n">
        <f aca="false">IF(OR(FALSE(),Übungen!$L$13="pause"),"",IF(IFERROR(INDEX(Rekorde!$P$4:$P$23,MATCH(Übungen!$A$13,Rekorde!$A$4:$A$23,0)),"")="","",MIN(Übungen!$E$13,IFERROR(INDEX(Rekorde!$P$4:$P$23,MATCH(Übungen!$A$13,Rekorde!$A$4:$A$23,0)),"")+0)))</f>
        <v>6</v>
      </c>
      <c r="E474" s="109"/>
      <c r="F474" s="109"/>
      <c r="G474" s="109"/>
      <c r="H474" s="109"/>
      <c r="I474" s="109"/>
    </row>
    <row r="475" customFormat="false" ht="18" hidden="false" customHeight="true" outlineLevel="0" collapsed="false">
      <c r="A475" s="105" t="n">
        <v>4</v>
      </c>
      <c r="B475" s="110" t="s">
        <v>482</v>
      </c>
      <c r="C475" s="107" t="n">
        <f aca="false">IF(OR(FALSE(),Übungen!$L$13="pause"),"",IF(IFERROR(INDEX(Rekorde!$O$4:$O$23,MATCH(Übungen!$A$13,Rekorde!$A$4:$A$23,0)),"")="","",ROUND(IFERROR(INDEX(Rekorde!$O$4:$O$23,MATCH(Übungen!$A$13,Rekorde!$A$4:$A$23,0)),"")*0.95*2,0)/2))</f>
        <v>161.5</v>
      </c>
      <c r="D475" s="112" t="n">
        <f aca="false">IF(OR(FALSE(),Übungen!$L$13="pause"),"",IF(IFERROR(INDEX(Rekorde!$P$4:$P$23,MATCH(Übungen!$A$13,Rekorde!$A$4:$A$23,0)),"")="","",MIN(Übungen!$E$13,IFERROR(INDEX(Rekorde!$P$4:$P$23,MATCH(Übungen!$A$13,Rekorde!$A$4:$A$23,0)),"")+1)))</f>
        <v>6</v>
      </c>
      <c r="E475" s="109"/>
      <c r="F475" s="109"/>
      <c r="G475" s="109"/>
      <c r="H475" s="109"/>
      <c r="I475" s="109"/>
    </row>
    <row r="476" customFormat="false" ht="18" hidden="false" customHeight="true" outlineLevel="0" collapsed="false">
      <c r="A476" s="105" t="n">
        <v>5</v>
      </c>
      <c r="B476" s="110" t="s">
        <v>483</v>
      </c>
      <c r="C476" s="107" t="n">
        <f aca="false">IF(OR(FALSE(),Übungen!$L$13="pause"),"",IF(IFERROR(INDEX(Rekorde!$O$4:$O$23,MATCH(Übungen!$A$13,Rekorde!$A$4:$A$23,0)),"")="","",ROUND(IFERROR(INDEX(Rekorde!$O$4:$O$23,MATCH(Übungen!$A$13,Rekorde!$A$4:$A$23,0)),"")*0.9*2,0)/2))</f>
        <v>153</v>
      </c>
      <c r="D476" s="112" t="n">
        <f aca="false">IF(OR(FALSE(),Übungen!$L$13="pause"),"",IF(IFERROR(INDEX(Rekorde!$P$4:$P$23,MATCH(Übungen!$A$13,Rekorde!$A$4:$A$23,0)),"")="","",MIN(Übungen!$E$13,IFERROR(INDEX(Rekorde!$P$4:$P$23,MATCH(Übungen!$A$13,Rekorde!$A$4:$A$23,0)),"")+2)))</f>
        <v>6</v>
      </c>
      <c r="E476" s="109"/>
      <c r="F476" s="109"/>
      <c r="G476" s="109"/>
      <c r="H476" s="109"/>
      <c r="I476" s="109"/>
    </row>
    <row r="478" customFormat="false" ht="18.75" hidden="false" customHeight="true" outlineLevel="0" collapsed="false">
      <c r="A478" s="101" t="str">
        <f aca="false">Übungen!$A$14</f>
        <v>Beinbeuger</v>
      </c>
      <c r="B478" s="101"/>
      <c r="C478" s="101"/>
      <c r="D478" s="101"/>
      <c r="E478" s="101"/>
      <c r="F478" s="101"/>
      <c r="G478" s="101"/>
      <c r="H478" s="101"/>
      <c r="I478" s="101"/>
    </row>
    <row r="479" customFormat="false" ht="13.5" hidden="false" customHeight="true" outlineLevel="0" collapsed="false">
      <c r="A479"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79" s="102"/>
      <c r="C479" s="102"/>
      <c r="D479" s="102"/>
      <c r="E479" s="102"/>
      <c r="F479" s="102"/>
      <c r="G479" s="102"/>
      <c r="H479" s="102"/>
      <c r="I479" s="102"/>
    </row>
    <row r="480" customFormat="false" ht="13.5" hidden="false" customHeight="true" outlineLevel="0" collapsed="false">
      <c r="A480"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480" s="103"/>
      <c r="C480" s="103"/>
      <c r="D480" s="103"/>
      <c r="E480" s="103"/>
      <c r="F480" s="103"/>
      <c r="G480" s="103"/>
      <c r="H480" s="103"/>
      <c r="I480" s="103"/>
    </row>
    <row r="481" customFormat="false" ht="18" hidden="false" customHeight="true" outlineLevel="0" collapsed="false">
      <c r="A481" s="104" t="s">
        <v>473</v>
      </c>
      <c r="B481" s="104" t="s">
        <v>474</v>
      </c>
      <c r="C481" s="104" t="s">
        <v>475</v>
      </c>
      <c r="D481" s="104" t="s">
        <v>476</v>
      </c>
      <c r="E481" s="104" t="s">
        <v>477</v>
      </c>
      <c r="F481" s="104" t="s">
        <v>374</v>
      </c>
      <c r="G481" s="104" t="s">
        <v>48</v>
      </c>
      <c r="H481" s="104" t="s">
        <v>478</v>
      </c>
      <c r="I481" s="104" t="s">
        <v>255</v>
      </c>
    </row>
    <row r="482" customFormat="false" ht="18" hidden="false" customHeight="true" outlineLevel="0" collapsed="false">
      <c r="A482" s="105" t="n">
        <v>1</v>
      </c>
      <c r="B482" s="106" t="s">
        <v>479</v>
      </c>
      <c r="C482" s="107" t="n">
        <f aca="false">IF(OR(FALSE(),Übungen!$L$14="pause"),"",IF(IFERROR(INDEX(Rekorde!$O$4:$O$23,MATCH(Übungen!$A$14,Rekorde!$A$4:$A$23,0)),"")="","",ROUND(IFERROR(INDEX(Rekorde!$O$4:$O$23,MATCH(Übungen!$A$14,Rekorde!$A$4:$A$23,0)),"")*0.4*2,0)/2))</f>
        <v>18</v>
      </c>
      <c r="D482" s="108"/>
      <c r="E482" s="109"/>
      <c r="F482" s="109"/>
      <c r="G482" s="109"/>
      <c r="H482" s="109"/>
      <c r="I482" s="109"/>
    </row>
    <row r="483" customFormat="false" ht="18" hidden="false" customHeight="true" outlineLevel="0" collapsed="false">
      <c r="A483" s="105" t="n">
        <v>2</v>
      </c>
      <c r="B483" s="106" t="s">
        <v>480</v>
      </c>
      <c r="C483" s="107" t="n">
        <f aca="false">IF(OR(FALSE(),Übungen!$L$14="pause"),"",IF(IFERROR(INDEX(Rekorde!$O$4:$O$23,MATCH(Übungen!$A$14,Rekorde!$A$4:$A$23,0)),"")="","",ROUND(IFERROR(INDEX(Rekorde!$O$4:$O$23,MATCH(Übungen!$A$14,Rekorde!$A$4:$A$23,0)),"")*0.7*2,0)/2))</f>
        <v>31.5</v>
      </c>
      <c r="D483" s="108"/>
      <c r="E483" s="109"/>
      <c r="F483" s="109"/>
      <c r="G483" s="109"/>
      <c r="H483" s="109"/>
      <c r="I483" s="109"/>
    </row>
    <row r="484" customFormat="false" ht="18" hidden="false" customHeight="true" outlineLevel="0" collapsed="false">
      <c r="A484" s="105" t="n">
        <v>3</v>
      </c>
      <c r="B484" s="110" t="s">
        <v>481</v>
      </c>
      <c r="C484" s="111" t="n">
        <f aca="false">IF(OR(FALSE(),Übungen!$L$14="pause"),"",IF(IFERROR(INDEX(Rekorde!$O$4:$O$23,MATCH(Übungen!$A$14,Rekorde!$A$4:$A$23,0)),"")="","",ROUND(IFERROR(INDEX(Rekorde!$O$4:$O$23,MATCH(Übungen!$A$14,Rekorde!$A$4:$A$23,0)),"")*1*2,0)/2))</f>
        <v>45</v>
      </c>
      <c r="D484" s="112" t="n">
        <f aca="false">IF(OR(FALSE(),Übungen!$L$14="pause"),"",IF(IFERROR(INDEX(Rekorde!$P$4:$P$23,MATCH(Übungen!$A$14,Rekorde!$A$4:$A$23,0)),"")="","",MIN(Übungen!$E$14,IFERROR(INDEX(Rekorde!$P$4:$P$23,MATCH(Übungen!$A$14,Rekorde!$A$4:$A$23,0)),"")+0)))</f>
        <v>6</v>
      </c>
      <c r="E484" s="109"/>
      <c r="F484" s="109"/>
      <c r="G484" s="109"/>
      <c r="H484" s="109"/>
      <c r="I484" s="109"/>
    </row>
    <row r="485" customFormat="false" ht="18" hidden="false" customHeight="true" outlineLevel="0" collapsed="false">
      <c r="A485" s="105" t="n">
        <v>4</v>
      </c>
      <c r="B485" s="110" t="s">
        <v>482</v>
      </c>
      <c r="C485" s="107" t="n">
        <f aca="false">IF(OR(FALSE(),Übungen!$L$14="pause"),"",IF(IFERROR(INDEX(Rekorde!$O$4:$O$23,MATCH(Übungen!$A$14,Rekorde!$A$4:$A$23,0)),"")="","",ROUND(IFERROR(INDEX(Rekorde!$O$4:$O$23,MATCH(Übungen!$A$14,Rekorde!$A$4:$A$23,0)),"")*0.95*2,0)/2))</f>
        <v>43</v>
      </c>
      <c r="D485" s="112" t="n">
        <f aca="false">IF(OR(FALSE(),Übungen!$L$14="pause"),"",IF(IFERROR(INDEX(Rekorde!$P$4:$P$23,MATCH(Übungen!$A$14,Rekorde!$A$4:$A$23,0)),"")="","",MIN(Übungen!$E$14,IFERROR(INDEX(Rekorde!$P$4:$P$23,MATCH(Übungen!$A$14,Rekorde!$A$4:$A$23,0)),"")+1)))</f>
        <v>6</v>
      </c>
      <c r="E485" s="109"/>
      <c r="F485" s="109"/>
      <c r="G485" s="109"/>
      <c r="H485" s="109"/>
      <c r="I485" s="109"/>
    </row>
    <row r="486" customFormat="false" ht="18" hidden="false" customHeight="true" outlineLevel="0" collapsed="false">
      <c r="A486" s="105" t="n">
        <v>5</v>
      </c>
      <c r="B486" s="110" t="s">
        <v>483</v>
      </c>
      <c r="C486" s="107" t="n">
        <f aca="false">IF(OR(FALSE(),Übungen!$L$14="pause"),"",IF(IFERROR(INDEX(Rekorde!$O$4:$O$23,MATCH(Übungen!$A$14,Rekorde!$A$4:$A$23,0)),"")="","",ROUND(IFERROR(INDEX(Rekorde!$O$4:$O$23,MATCH(Übungen!$A$14,Rekorde!$A$4:$A$23,0)),"")*0.9*2,0)/2))</f>
        <v>40.5</v>
      </c>
      <c r="D486" s="112" t="n">
        <f aca="false">IF(OR(FALSE(),Übungen!$L$14="pause"),"",IF(IFERROR(INDEX(Rekorde!$P$4:$P$23,MATCH(Übungen!$A$14,Rekorde!$A$4:$A$23,0)),"")="","",MIN(Übungen!$E$14,IFERROR(INDEX(Rekorde!$P$4:$P$23,MATCH(Übungen!$A$14,Rekorde!$A$4:$A$23,0)),"")+2)))</f>
        <v>6</v>
      </c>
      <c r="E486" s="109"/>
      <c r="F486" s="109"/>
      <c r="G486" s="109"/>
      <c r="H486" s="109"/>
      <c r="I486" s="109"/>
    </row>
    <row r="488" customFormat="false" ht="18.75" hidden="false" customHeight="true" outlineLevel="0" collapsed="false">
      <c r="A488" s="101" t="str">
        <f aca="false">Übungen!$A$15</f>
        <v>Seitliche Kickbacks</v>
      </c>
      <c r="B488" s="101"/>
      <c r="C488" s="101"/>
      <c r="D488" s="101"/>
      <c r="E488" s="101"/>
      <c r="F488" s="101"/>
      <c r="G488" s="101"/>
      <c r="H488" s="101"/>
      <c r="I488" s="101"/>
    </row>
    <row r="489" customFormat="false" ht="13.5" hidden="false" customHeight="true" outlineLevel="0" collapsed="false">
      <c r="A489"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489" s="102"/>
      <c r="C489" s="102"/>
      <c r="D489" s="102"/>
      <c r="E489" s="102"/>
      <c r="F489" s="102"/>
      <c r="G489" s="102"/>
      <c r="H489" s="102"/>
      <c r="I489" s="102"/>
    </row>
    <row r="490" customFormat="false" ht="13.5" hidden="false" customHeight="true" outlineLevel="0" collapsed="false">
      <c r="A490"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490" s="103"/>
      <c r="C490" s="103"/>
      <c r="D490" s="103"/>
      <c r="E490" s="103"/>
      <c r="F490" s="103"/>
      <c r="G490" s="103"/>
      <c r="H490" s="103"/>
      <c r="I490" s="103"/>
    </row>
    <row r="491" customFormat="false" ht="18" hidden="false" customHeight="true" outlineLevel="0" collapsed="false">
      <c r="A491" s="104" t="s">
        <v>473</v>
      </c>
      <c r="B491" s="104" t="s">
        <v>474</v>
      </c>
      <c r="C491" s="104" t="s">
        <v>475</v>
      </c>
      <c r="D491" s="104" t="s">
        <v>476</v>
      </c>
      <c r="E491" s="104" t="s">
        <v>477</v>
      </c>
      <c r="F491" s="104" t="s">
        <v>374</v>
      </c>
      <c r="G491" s="104" t="s">
        <v>48</v>
      </c>
      <c r="H491" s="104" t="s">
        <v>478</v>
      </c>
      <c r="I491" s="104" t="s">
        <v>255</v>
      </c>
    </row>
    <row r="492" customFormat="false" ht="18" hidden="false" customHeight="true" outlineLevel="0" collapsed="false">
      <c r="A492" s="105" t="n">
        <v>1</v>
      </c>
      <c r="B492" s="106" t="s">
        <v>479</v>
      </c>
      <c r="C492" s="107" t="n">
        <f aca="false">IF(OR(FALSE(),Übungen!$L$15="pause"),"",IF(IFERROR(INDEX(Rekorde!$O$4:$O$23,MATCH(Übungen!$A$15,Rekorde!$A$4:$A$23,0)),"")="","",ROUND(IFERROR(INDEX(Rekorde!$O$4:$O$23,MATCH(Übungen!$A$15,Rekorde!$A$4:$A$23,0)),"")*0.4*2,0)/2))</f>
        <v>16</v>
      </c>
      <c r="D492" s="108"/>
      <c r="E492" s="109"/>
      <c r="F492" s="109"/>
      <c r="G492" s="109"/>
      <c r="H492" s="109"/>
      <c r="I492" s="109"/>
    </row>
    <row r="493" customFormat="false" ht="18" hidden="false" customHeight="true" outlineLevel="0" collapsed="false">
      <c r="A493" s="105" t="n">
        <v>2</v>
      </c>
      <c r="B493" s="106" t="s">
        <v>480</v>
      </c>
      <c r="C493" s="107" t="n">
        <f aca="false">IF(OR(FALSE(),Übungen!$L$15="pause"),"",IF(IFERROR(INDEX(Rekorde!$O$4:$O$23,MATCH(Übungen!$A$15,Rekorde!$A$4:$A$23,0)),"")="","",ROUND(IFERROR(INDEX(Rekorde!$O$4:$O$23,MATCH(Übungen!$A$15,Rekorde!$A$4:$A$23,0)),"")*0.7*2,0)/2))</f>
        <v>28</v>
      </c>
      <c r="D493" s="108"/>
      <c r="E493" s="109"/>
      <c r="F493" s="109"/>
      <c r="G493" s="109"/>
      <c r="H493" s="109"/>
      <c r="I493" s="109"/>
    </row>
    <row r="494" customFormat="false" ht="18" hidden="false" customHeight="true" outlineLevel="0" collapsed="false">
      <c r="A494" s="105" t="n">
        <v>3</v>
      </c>
      <c r="B494" s="110" t="s">
        <v>481</v>
      </c>
      <c r="C494" s="111" t="n">
        <f aca="false">IF(OR(FALSE(),Übungen!$L$15="pause"),"",IF(IFERROR(INDEX(Rekorde!$O$4:$O$23,MATCH(Übungen!$A$15,Rekorde!$A$4:$A$23,0)),"")="","",ROUND(IFERROR(INDEX(Rekorde!$O$4:$O$23,MATCH(Übungen!$A$15,Rekorde!$A$4:$A$23,0)),"")*1*2,0)/2))</f>
        <v>40</v>
      </c>
      <c r="D494" s="112" t="n">
        <f aca="false">IF(OR(FALSE(),Übungen!$L$15="pause"),"",IF(IFERROR(INDEX(Rekorde!$P$4:$P$23,MATCH(Übungen!$A$15,Rekorde!$A$4:$A$23,0)),"")="","",MIN(Übungen!$E$15,IFERROR(INDEX(Rekorde!$P$4:$P$23,MATCH(Übungen!$A$15,Rekorde!$A$4:$A$23,0)),"")+0)))</f>
        <v>5</v>
      </c>
      <c r="E494" s="109"/>
      <c r="F494" s="109"/>
      <c r="G494" s="109"/>
      <c r="H494" s="109"/>
      <c r="I494" s="109"/>
    </row>
    <row r="495" customFormat="false" ht="18" hidden="false" customHeight="true" outlineLevel="0" collapsed="false">
      <c r="A495" s="105" t="n">
        <v>4</v>
      </c>
      <c r="B495" s="110" t="s">
        <v>482</v>
      </c>
      <c r="C495" s="107" t="n">
        <f aca="false">IF(OR(FALSE(),Übungen!$L$15="pause"),"",IF(IFERROR(INDEX(Rekorde!$O$4:$O$23,MATCH(Übungen!$A$15,Rekorde!$A$4:$A$23,0)),"")="","",ROUND(IFERROR(INDEX(Rekorde!$O$4:$O$23,MATCH(Übungen!$A$15,Rekorde!$A$4:$A$23,0)),"")*0.95*2,0)/2))</f>
        <v>38</v>
      </c>
      <c r="D495" s="112" t="n">
        <f aca="false">IF(OR(FALSE(),Übungen!$L$15="pause"),"",IF(IFERROR(INDEX(Rekorde!$P$4:$P$23,MATCH(Übungen!$A$15,Rekorde!$A$4:$A$23,0)),"")="","",MIN(Übungen!$E$15,IFERROR(INDEX(Rekorde!$P$4:$P$23,MATCH(Übungen!$A$15,Rekorde!$A$4:$A$23,0)),"")+1)))</f>
        <v>6</v>
      </c>
      <c r="E495" s="109"/>
      <c r="F495" s="109"/>
      <c r="G495" s="109"/>
      <c r="H495" s="109"/>
      <c r="I495" s="109"/>
    </row>
    <row r="496" customFormat="false" ht="18" hidden="false" customHeight="true" outlineLevel="0" collapsed="false">
      <c r="A496" s="105" t="n">
        <v>5</v>
      </c>
      <c r="B496" s="110" t="s">
        <v>483</v>
      </c>
      <c r="C496" s="107" t="n">
        <f aca="false">IF(OR(FALSE(),Übungen!$L$15="pause"),"",IF(IFERROR(INDEX(Rekorde!$O$4:$O$23,MATCH(Übungen!$A$15,Rekorde!$A$4:$A$23,0)),"")="","",ROUND(IFERROR(INDEX(Rekorde!$O$4:$O$23,MATCH(Übungen!$A$15,Rekorde!$A$4:$A$23,0)),"")*0.9*2,0)/2))</f>
        <v>36</v>
      </c>
      <c r="D496" s="112" t="n">
        <f aca="false">IF(OR(FALSE(),Übungen!$L$15="pause"),"",IF(IFERROR(INDEX(Rekorde!$P$4:$P$23,MATCH(Übungen!$A$15,Rekorde!$A$4:$A$23,0)),"")="","",MIN(Übungen!$E$15,IFERROR(INDEX(Rekorde!$P$4:$P$23,MATCH(Übungen!$A$15,Rekorde!$A$4:$A$23,0)),"")+2)))</f>
        <v>6</v>
      </c>
      <c r="E496" s="109"/>
      <c r="F496" s="109"/>
      <c r="G496" s="109"/>
      <c r="H496" s="109"/>
      <c r="I496" s="109"/>
    </row>
    <row r="498" customFormat="false" ht="18.75" hidden="false" customHeight="true" outlineLevel="0" collapsed="false">
      <c r="A498" s="101" t="str">
        <f aca="false">Übungen!$A$16</f>
        <v>Waden</v>
      </c>
      <c r="B498" s="101"/>
      <c r="C498" s="101"/>
      <c r="D498" s="101"/>
      <c r="E498" s="101"/>
      <c r="F498" s="101"/>
      <c r="G498" s="101"/>
      <c r="H498" s="101"/>
      <c r="I498" s="101"/>
    </row>
    <row r="499" customFormat="false" ht="13.5" hidden="false" customHeight="true" outlineLevel="0" collapsed="false">
      <c r="A499"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499" s="102"/>
      <c r="C499" s="102"/>
      <c r="D499" s="102"/>
      <c r="E499" s="102"/>
      <c r="F499" s="102"/>
      <c r="G499" s="102"/>
      <c r="H499" s="102"/>
      <c r="I499" s="102"/>
    </row>
    <row r="500" customFormat="false" ht="13.5" hidden="false" customHeight="true" outlineLevel="0" collapsed="false">
      <c r="A500"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500" s="103"/>
      <c r="C500" s="103"/>
      <c r="D500" s="103"/>
      <c r="E500" s="103"/>
      <c r="F500" s="103"/>
      <c r="G500" s="103"/>
      <c r="H500" s="103"/>
      <c r="I500" s="103"/>
    </row>
    <row r="501" customFormat="false" ht="18" hidden="false" customHeight="true" outlineLevel="0" collapsed="false">
      <c r="A501" s="104" t="s">
        <v>473</v>
      </c>
      <c r="B501" s="104" t="s">
        <v>474</v>
      </c>
      <c r="C501" s="104" t="s">
        <v>475</v>
      </c>
      <c r="D501" s="104" t="s">
        <v>476</v>
      </c>
      <c r="E501" s="104" t="s">
        <v>477</v>
      </c>
      <c r="F501" s="104" t="s">
        <v>374</v>
      </c>
      <c r="G501" s="104" t="s">
        <v>48</v>
      </c>
      <c r="H501" s="104" t="s">
        <v>478</v>
      </c>
      <c r="I501" s="104" t="s">
        <v>255</v>
      </c>
    </row>
    <row r="502" customFormat="false" ht="18" hidden="false" customHeight="true" outlineLevel="0" collapsed="false">
      <c r="A502" s="105" t="n">
        <v>1</v>
      </c>
      <c r="B502" s="106" t="s">
        <v>479</v>
      </c>
      <c r="C502" s="107" t="n">
        <f aca="false">IF(OR(FALSE(),Übungen!$L$16="pause"),"",IF(IFERROR(INDEX(Rekorde!$O$4:$O$23,MATCH(Übungen!$A$16,Rekorde!$A$4:$A$23,0)),"")="","",ROUND(IFERROR(INDEX(Rekorde!$O$4:$O$23,MATCH(Übungen!$A$16,Rekorde!$A$4:$A$23,0)),"")*0.4*2,0)/2))</f>
        <v>76</v>
      </c>
      <c r="D502" s="108"/>
      <c r="E502" s="109"/>
      <c r="F502" s="109"/>
      <c r="G502" s="109"/>
      <c r="H502" s="109"/>
      <c r="I502" s="109"/>
    </row>
    <row r="503" customFormat="false" ht="18" hidden="false" customHeight="true" outlineLevel="0" collapsed="false">
      <c r="A503" s="105" t="n">
        <v>2</v>
      </c>
      <c r="B503" s="106" t="s">
        <v>480</v>
      </c>
      <c r="C503" s="107" t="n">
        <f aca="false">IF(OR(FALSE(),Übungen!$L$16="pause"),"",IF(IFERROR(INDEX(Rekorde!$O$4:$O$23,MATCH(Übungen!$A$16,Rekorde!$A$4:$A$23,0)),"")="","",ROUND(IFERROR(INDEX(Rekorde!$O$4:$O$23,MATCH(Übungen!$A$16,Rekorde!$A$4:$A$23,0)),"")*0.7*2,0)/2))</f>
        <v>133</v>
      </c>
      <c r="D503" s="108"/>
      <c r="E503" s="109"/>
      <c r="F503" s="109"/>
      <c r="G503" s="109"/>
      <c r="H503" s="109"/>
      <c r="I503" s="109"/>
    </row>
    <row r="504" customFormat="false" ht="18" hidden="false" customHeight="true" outlineLevel="0" collapsed="false">
      <c r="A504" s="105" t="n">
        <v>3</v>
      </c>
      <c r="B504" s="110" t="s">
        <v>481</v>
      </c>
      <c r="C504" s="111" t="n">
        <f aca="false">IF(OR(FALSE(),Übungen!$L$16="pause"),"",IF(IFERROR(INDEX(Rekorde!$O$4:$O$23,MATCH(Übungen!$A$16,Rekorde!$A$4:$A$23,0)),"")="","",ROUND(IFERROR(INDEX(Rekorde!$O$4:$O$23,MATCH(Übungen!$A$16,Rekorde!$A$4:$A$23,0)),"")*1*2,0)/2))</f>
        <v>190</v>
      </c>
      <c r="D504" s="112" t="n">
        <f aca="false">IF(OR(FALSE(),Übungen!$L$16="pause"),"",IF(IFERROR(INDEX(Rekorde!$P$4:$P$23,MATCH(Übungen!$A$16,Rekorde!$A$4:$A$23,0)),"")="","",MIN(Übungen!$E$16,IFERROR(INDEX(Rekorde!$P$4:$P$23,MATCH(Übungen!$A$16,Rekorde!$A$4:$A$23,0)),"")+0)))</f>
        <v>6</v>
      </c>
      <c r="E504" s="109"/>
      <c r="F504" s="109"/>
      <c r="G504" s="109"/>
      <c r="H504" s="109"/>
      <c r="I504" s="109"/>
    </row>
    <row r="505" customFormat="false" ht="18" hidden="false" customHeight="true" outlineLevel="0" collapsed="false">
      <c r="A505" s="105" t="n">
        <v>4</v>
      </c>
      <c r="B505" s="110" t="s">
        <v>482</v>
      </c>
      <c r="C505" s="107" t="n">
        <f aca="false">IF(OR(FALSE(),Übungen!$L$16="pause"),"",IF(IFERROR(INDEX(Rekorde!$O$4:$O$23,MATCH(Übungen!$A$16,Rekorde!$A$4:$A$23,0)),"")="","",ROUND(IFERROR(INDEX(Rekorde!$O$4:$O$23,MATCH(Übungen!$A$16,Rekorde!$A$4:$A$23,0)),"")*0.95*2,0)/2))</f>
        <v>180.5</v>
      </c>
      <c r="D505" s="112" t="n">
        <f aca="false">IF(OR(FALSE(),Übungen!$L$16="pause"),"",IF(IFERROR(INDEX(Rekorde!$P$4:$P$23,MATCH(Übungen!$A$16,Rekorde!$A$4:$A$23,0)),"")="","",MIN(Übungen!$E$16,IFERROR(INDEX(Rekorde!$P$4:$P$23,MATCH(Übungen!$A$16,Rekorde!$A$4:$A$23,0)),"")+1)))</f>
        <v>6</v>
      </c>
      <c r="E505" s="109"/>
      <c r="F505" s="109"/>
      <c r="G505" s="109"/>
      <c r="H505" s="109"/>
      <c r="I505" s="109"/>
    </row>
    <row r="506" customFormat="false" ht="18" hidden="false" customHeight="true" outlineLevel="0" collapsed="false">
      <c r="A506" s="105" t="n">
        <v>5</v>
      </c>
      <c r="B506" s="110" t="s">
        <v>483</v>
      </c>
      <c r="C506" s="107" t="n">
        <f aca="false">IF(OR(FALSE(),Übungen!$L$16="pause"),"",IF(IFERROR(INDEX(Rekorde!$O$4:$O$23,MATCH(Übungen!$A$16,Rekorde!$A$4:$A$23,0)),"")="","",ROUND(IFERROR(INDEX(Rekorde!$O$4:$O$23,MATCH(Übungen!$A$16,Rekorde!$A$4:$A$23,0)),"")*0.9*2,0)/2))</f>
        <v>171</v>
      </c>
      <c r="D506" s="112" t="n">
        <f aca="false">IF(OR(FALSE(),Übungen!$L$16="pause"),"",IF(IFERROR(INDEX(Rekorde!$P$4:$P$23,MATCH(Übungen!$A$16,Rekorde!$A$4:$A$23,0)),"")="","",MIN(Übungen!$E$16,IFERROR(INDEX(Rekorde!$P$4:$P$23,MATCH(Übungen!$A$16,Rekorde!$A$4:$A$23,0)),"")+2)))</f>
        <v>6</v>
      </c>
      <c r="E506" s="109"/>
      <c r="F506" s="109"/>
      <c r="G506" s="109"/>
      <c r="H506" s="109"/>
      <c r="I506" s="109"/>
    </row>
    <row r="508" customFormat="false" ht="15.75" hidden="false" customHeight="true" outlineLevel="0" collapsed="false">
      <c r="A508" s="3" t="s">
        <v>484</v>
      </c>
      <c r="B508" s="3"/>
      <c r="C508" s="3"/>
      <c r="D508" s="3"/>
      <c r="E508" s="3"/>
      <c r="F508" s="3"/>
      <c r="G508" s="3"/>
      <c r="H508" s="3"/>
      <c r="I508" s="3"/>
    </row>
    <row r="509" customFormat="false" ht="18" hidden="false" customHeight="true" outlineLevel="0" collapsed="false">
      <c r="A509" s="113"/>
      <c r="B509" s="113"/>
      <c r="C509" s="113"/>
      <c r="D509" s="113"/>
      <c r="E509" s="113"/>
      <c r="F509" s="113"/>
      <c r="G509" s="113"/>
      <c r="H509" s="113"/>
      <c r="I509" s="113"/>
    </row>
    <row r="510" customFormat="false" ht="18" hidden="false" customHeight="true" outlineLevel="0" collapsed="false">
      <c r="A510" s="113"/>
      <c r="B510" s="113"/>
      <c r="C510" s="113"/>
      <c r="D510" s="113"/>
      <c r="E510" s="113"/>
      <c r="F510" s="113"/>
      <c r="G510" s="113"/>
      <c r="H510" s="113"/>
      <c r="I510" s="113"/>
    </row>
    <row r="512" customFormat="false" ht="27.75" hidden="false" customHeight="true" outlineLevel="0" collapsed="false">
      <c r="A512" s="1" t="s">
        <v>492</v>
      </c>
      <c r="B512" s="1"/>
      <c r="C512" s="1"/>
      <c r="D512" s="1"/>
      <c r="E512" s="1"/>
      <c r="F512" s="1"/>
      <c r="G512" s="1"/>
      <c r="H512" s="1"/>
      <c r="I512" s="1"/>
    </row>
    <row r="513" customFormat="false" ht="12" hidden="false" customHeight="true" outlineLevel="0" collapsed="false">
      <c r="A513" s="98" t="s">
        <v>73</v>
      </c>
      <c r="B513" s="98"/>
      <c r="C513" s="99" t="s">
        <v>469</v>
      </c>
      <c r="D513" s="99" t="s">
        <v>470</v>
      </c>
      <c r="E513" s="98" t="s">
        <v>471</v>
      </c>
      <c r="F513" s="98"/>
      <c r="G513" s="98" t="s">
        <v>472</v>
      </c>
      <c r="H513" s="98"/>
    </row>
    <row r="514" customFormat="false" ht="18" hidden="false" customHeight="true" outlineLevel="0" collapsed="false">
      <c r="A514" s="100"/>
      <c r="B514" s="100"/>
      <c r="C514" s="100"/>
      <c r="D514" s="100"/>
      <c r="E514" s="100"/>
      <c r="F514" s="100"/>
      <c r="G514" s="100"/>
      <c r="H514" s="100"/>
    </row>
    <row r="516" customFormat="false" ht="18.75" hidden="false" customHeight="true" outlineLevel="0" collapsed="false">
      <c r="A516" s="101" t="str">
        <f aca="false">Übungen!$A$17</f>
        <v>Squat Maschine Bülach</v>
      </c>
      <c r="B516" s="101"/>
      <c r="C516" s="101"/>
      <c r="D516" s="101"/>
      <c r="E516" s="101"/>
      <c r="F516" s="101"/>
      <c r="G516" s="101"/>
      <c r="H516" s="101"/>
      <c r="I516" s="101"/>
    </row>
    <row r="517" customFormat="false" ht="13.5" hidden="false" customHeight="true" outlineLevel="0" collapsed="false">
      <c r="A517"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517" s="102"/>
      <c r="C517" s="102"/>
      <c r="D517" s="102"/>
      <c r="E517" s="102"/>
      <c r="F517" s="102"/>
      <c r="G517" s="102"/>
      <c r="H517" s="102"/>
      <c r="I517" s="102"/>
    </row>
    <row r="518" customFormat="false" ht="13.5" hidden="false" customHeight="true" outlineLevel="0" collapsed="false">
      <c r="A518"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518" s="103"/>
      <c r="C518" s="103"/>
      <c r="D518" s="103"/>
      <c r="E518" s="103"/>
      <c r="F518" s="103"/>
      <c r="G518" s="103"/>
      <c r="H518" s="103"/>
      <c r="I518" s="103"/>
    </row>
    <row r="519" customFormat="false" ht="18" hidden="false" customHeight="true" outlineLevel="0" collapsed="false">
      <c r="A519" s="104" t="s">
        <v>473</v>
      </c>
      <c r="B519" s="104" t="s">
        <v>474</v>
      </c>
      <c r="C519" s="104" t="s">
        <v>475</v>
      </c>
      <c r="D519" s="104" t="s">
        <v>476</v>
      </c>
      <c r="E519" s="104" t="s">
        <v>477</v>
      </c>
      <c r="F519" s="104" t="s">
        <v>374</v>
      </c>
      <c r="G519" s="104" t="s">
        <v>48</v>
      </c>
      <c r="H519" s="104" t="s">
        <v>478</v>
      </c>
      <c r="I519" s="104" t="s">
        <v>255</v>
      </c>
    </row>
    <row r="520" customFormat="false" ht="18" hidden="false" customHeight="true" outlineLevel="0" collapsed="false">
      <c r="A520" s="105" t="n">
        <v>1</v>
      </c>
      <c r="B520" s="106" t="s">
        <v>479</v>
      </c>
      <c r="C520" s="107" t="n">
        <f aca="false">IF(OR(FALSE(),Übungen!$L$17="pause"),"",IF(IFERROR(INDEX(Rekorde!$O$4:$O$23,MATCH(Übungen!$A$17,Rekorde!$A$4:$A$23,0)),"")="","",ROUND(IFERROR(INDEX(Rekorde!$O$4:$O$23,MATCH(Übungen!$A$17,Rekorde!$A$4:$A$23,0)),"")*0.4*2,0)/2))</f>
        <v>52</v>
      </c>
      <c r="D520" s="108"/>
      <c r="E520" s="109"/>
      <c r="F520" s="109"/>
      <c r="G520" s="109"/>
      <c r="H520" s="109"/>
      <c r="I520" s="109"/>
    </row>
    <row r="521" customFormat="false" ht="18" hidden="false" customHeight="true" outlineLevel="0" collapsed="false">
      <c r="A521" s="105" t="n">
        <v>2</v>
      </c>
      <c r="B521" s="106" t="s">
        <v>480</v>
      </c>
      <c r="C521" s="107" t="n">
        <f aca="false">IF(OR(FALSE(),Übungen!$L$17="pause"),"",IF(IFERROR(INDEX(Rekorde!$O$4:$O$23,MATCH(Übungen!$A$17,Rekorde!$A$4:$A$23,0)),"")="","",ROUND(IFERROR(INDEX(Rekorde!$O$4:$O$23,MATCH(Übungen!$A$17,Rekorde!$A$4:$A$23,0)),"")*0.7*2,0)/2))</f>
        <v>91</v>
      </c>
      <c r="D521" s="108"/>
      <c r="E521" s="109"/>
      <c r="F521" s="109"/>
      <c r="G521" s="109"/>
      <c r="H521" s="109"/>
      <c r="I521" s="109"/>
    </row>
    <row r="522" customFormat="false" ht="18" hidden="false" customHeight="true" outlineLevel="0" collapsed="false">
      <c r="A522" s="105" t="n">
        <v>3</v>
      </c>
      <c r="B522" s="110" t="s">
        <v>481</v>
      </c>
      <c r="C522" s="111" t="n">
        <f aca="false">IF(OR(FALSE(),Übungen!$L$17="pause"),"",IF(IFERROR(INDEX(Rekorde!$O$4:$O$23,MATCH(Übungen!$A$17,Rekorde!$A$4:$A$23,0)),"")="","",ROUND(IFERROR(INDEX(Rekorde!$O$4:$O$23,MATCH(Übungen!$A$17,Rekorde!$A$4:$A$23,0)),"")*1*2,0)/2))</f>
        <v>130</v>
      </c>
      <c r="D522" s="112" t="n">
        <f aca="false">IF(OR(FALSE(),Übungen!$L$17="pause"),"",IF(IFERROR(INDEX(Rekorde!$P$4:$P$23,MATCH(Übungen!$A$17,Rekorde!$A$4:$A$23,0)),"")="","",MIN(Übungen!$E$17,IFERROR(INDEX(Rekorde!$P$4:$P$23,MATCH(Übungen!$A$17,Rekorde!$A$4:$A$23,0)),"")+0)))</f>
        <v>5</v>
      </c>
      <c r="E522" s="109"/>
      <c r="F522" s="109"/>
      <c r="G522" s="109"/>
      <c r="H522" s="109"/>
      <c r="I522" s="109"/>
    </row>
    <row r="523" customFormat="false" ht="18" hidden="false" customHeight="true" outlineLevel="0" collapsed="false">
      <c r="A523" s="105" t="n">
        <v>4</v>
      </c>
      <c r="B523" s="110" t="s">
        <v>482</v>
      </c>
      <c r="C523" s="107" t="n">
        <f aca="false">IF(OR(FALSE(),Übungen!$L$17="pause"),"",IF(IFERROR(INDEX(Rekorde!$O$4:$O$23,MATCH(Übungen!$A$17,Rekorde!$A$4:$A$23,0)),"")="","",ROUND(IFERROR(INDEX(Rekorde!$O$4:$O$23,MATCH(Übungen!$A$17,Rekorde!$A$4:$A$23,0)),"")*0.95*2,0)/2))</f>
        <v>123.5</v>
      </c>
      <c r="D523" s="112" t="n">
        <f aca="false">IF(OR(FALSE(),Übungen!$L$17="pause"),"",IF(IFERROR(INDEX(Rekorde!$P$4:$P$23,MATCH(Übungen!$A$17,Rekorde!$A$4:$A$23,0)),"")="","",MIN(Übungen!$E$17,IFERROR(INDEX(Rekorde!$P$4:$P$23,MATCH(Übungen!$A$17,Rekorde!$A$4:$A$23,0)),"")+1)))</f>
        <v>6</v>
      </c>
      <c r="E523" s="109"/>
      <c r="F523" s="109"/>
      <c r="G523" s="109"/>
      <c r="H523" s="109"/>
      <c r="I523" s="109"/>
    </row>
    <row r="524" customFormat="false" ht="18" hidden="false" customHeight="true" outlineLevel="0" collapsed="false">
      <c r="A524" s="105" t="n">
        <v>5</v>
      </c>
      <c r="B524" s="110" t="s">
        <v>483</v>
      </c>
      <c r="C524" s="107" t="n">
        <f aca="false">IF(OR(FALSE(),Übungen!$L$17="pause"),"",IF(IFERROR(INDEX(Rekorde!$O$4:$O$23,MATCH(Übungen!$A$17,Rekorde!$A$4:$A$23,0)),"")="","",ROUND(IFERROR(INDEX(Rekorde!$O$4:$O$23,MATCH(Übungen!$A$17,Rekorde!$A$4:$A$23,0)),"")*0.9*2,0)/2))</f>
        <v>117</v>
      </c>
      <c r="D524" s="112" t="n">
        <f aca="false">IF(OR(FALSE(),Übungen!$L$17="pause"),"",IF(IFERROR(INDEX(Rekorde!$P$4:$P$23,MATCH(Übungen!$A$17,Rekorde!$A$4:$A$23,0)),"")="","",MIN(Übungen!$E$17,IFERROR(INDEX(Rekorde!$P$4:$P$23,MATCH(Übungen!$A$17,Rekorde!$A$4:$A$23,0)),"")+2)))</f>
        <v>6</v>
      </c>
      <c r="E524" s="109"/>
      <c r="F524" s="109"/>
      <c r="G524" s="109"/>
      <c r="H524" s="109"/>
      <c r="I524" s="109"/>
    </row>
    <row r="526" customFormat="false" ht="18.75" hidden="false" customHeight="true" outlineLevel="0" collapsed="false">
      <c r="A526" s="101" t="str">
        <f aca="false">Übungen!$A$18</f>
        <v>Hip Thrust Bülach</v>
      </c>
      <c r="B526" s="101"/>
      <c r="C526" s="101"/>
      <c r="D526" s="101"/>
      <c r="E526" s="101"/>
      <c r="F526" s="101"/>
      <c r="G526" s="101"/>
      <c r="H526" s="101"/>
      <c r="I526" s="101"/>
    </row>
    <row r="527" customFormat="false" ht="13.5" hidden="false" customHeight="true" outlineLevel="0" collapsed="false">
      <c r="A527"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527" s="102"/>
      <c r="C527" s="102"/>
      <c r="D527" s="102"/>
      <c r="E527" s="102"/>
      <c r="F527" s="102"/>
      <c r="G527" s="102"/>
      <c r="H527" s="102"/>
      <c r="I527" s="102"/>
    </row>
    <row r="528" customFormat="false" ht="13.5" hidden="false" customHeight="true" outlineLevel="0" collapsed="false">
      <c r="A528"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528" s="103"/>
      <c r="C528" s="103"/>
      <c r="D528" s="103"/>
      <c r="E528" s="103"/>
      <c r="F528" s="103"/>
      <c r="G528" s="103"/>
      <c r="H528" s="103"/>
      <c r="I528" s="103"/>
    </row>
    <row r="529" customFormat="false" ht="18" hidden="false" customHeight="true" outlineLevel="0" collapsed="false">
      <c r="A529" s="104" t="s">
        <v>473</v>
      </c>
      <c r="B529" s="104" t="s">
        <v>474</v>
      </c>
      <c r="C529" s="104" t="s">
        <v>475</v>
      </c>
      <c r="D529" s="104" t="s">
        <v>476</v>
      </c>
      <c r="E529" s="104" t="s">
        <v>477</v>
      </c>
      <c r="F529" s="104" t="s">
        <v>374</v>
      </c>
      <c r="G529" s="104" t="s">
        <v>48</v>
      </c>
      <c r="H529" s="104" t="s">
        <v>478</v>
      </c>
      <c r="I529" s="104" t="s">
        <v>255</v>
      </c>
    </row>
    <row r="530" customFormat="false" ht="18" hidden="false" customHeight="true" outlineLevel="0" collapsed="false">
      <c r="A530" s="105" t="n">
        <v>1</v>
      </c>
      <c r="B530" s="106" t="s">
        <v>479</v>
      </c>
      <c r="C530" s="107" t="n">
        <f aca="false">IF(OR(FALSE(),Übungen!$L$18="pause"),"",IF(IFERROR(INDEX(Rekorde!$O$4:$O$23,MATCH(Übungen!$A$18,Rekorde!$A$4:$A$23,0)),"")="","",ROUND(IFERROR(INDEX(Rekorde!$O$4:$O$23,MATCH(Übungen!$A$18,Rekorde!$A$4:$A$23,0)),"")*0.4*2,0)/2))</f>
        <v>88</v>
      </c>
      <c r="D530" s="108"/>
      <c r="E530" s="109"/>
      <c r="F530" s="109"/>
      <c r="G530" s="109"/>
      <c r="H530" s="109"/>
      <c r="I530" s="109"/>
    </row>
    <row r="531" customFormat="false" ht="18" hidden="false" customHeight="true" outlineLevel="0" collapsed="false">
      <c r="A531" s="105" t="n">
        <v>2</v>
      </c>
      <c r="B531" s="106" t="s">
        <v>480</v>
      </c>
      <c r="C531" s="107" t="n">
        <f aca="false">IF(OR(FALSE(),Übungen!$L$18="pause"),"",IF(IFERROR(INDEX(Rekorde!$O$4:$O$23,MATCH(Übungen!$A$18,Rekorde!$A$4:$A$23,0)),"")="","",ROUND(IFERROR(INDEX(Rekorde!$O$4:$O$23,MATCH(Übungen!$A$18,Rekorde!$A$4:$A$23,0)),"")*0.7*2,0)/2))</f>
        <v>154</v>
      </c>
      <c r="D531" s="108"/>
      <c r="E531" s="109"/>
      <c r="F531" s="109"/>
      <c r="G531" s="109"/>
      <c r="H531" s="109"/>
      <c r="I531" s="109"/>
    </row>
    <row r="532" customFormat="false" ht="18" hidden="false" customHeight="true" outlineLevel="0" collapsed="false">
      <c r="A532" s="105" t="n">
        <v>3</v>
      </c>
      <c r="B532" s="110" t="s">
        <v>481</v>
      </c>
      <c r="C532" s="111" t="n">
        <f aca="false">IF(OR(FALSE(),Übungen!$L$18="pause"),"",IF(IFERROR(INDEX(Rekorde!$O$4:$O$23,MATCH(Übungen!$A$18,Rekorde!$A$4:$A$23,0)),"")="","",ROUND(IFERROR(INDEX(Rekorde!$O$4:$O$23,MATCH(Übungen!$A$18,Rekorde!$A$4:$A$23,0)),"")*1*2,0)/2))</f>
        <v>220</v>
      </c>
      <c r="D532" s="112" t="n">
        <f aca="false">IF(OR(FALSE(),Übungen!$L$18="pause"),"",IF(IFERROR(INDEX(Rekorde!$P$4:$P$23,MATCH(Übungen!$A$18,Rekorde!$A$4:$A$23,0)),"")="","",MIN(Übungen!$E$18,IFERROR(INDEX(Rekorde!$P$4:$P$23,MATCH(Übungen!$A$18,Rekorde!$A$4:$A$23,0)),"")+0)))</f>
        <v>5</v>
      </c>
      <c r="E532" s="109"/>
      <c r="F532" s="109"/>
      <c r="G532" s="109"/>
      <c r="H532" s="109"/>
      <c r="I532" s="109"/>
    </row>
    <row r="533" customFormat="false" ht="18" hidden="false" customHeight="true" outlineLevel="0" collapsed="false">
      <c r="A533" s="105" t="n">
        <v>4</v>
      </c>
      <c r="B533" s="110" t="s">
        <v>482</v>
      </c>
      <c r="C533" s="107" t="n">
        <f aca="false">IF(OR(FALSE(),Übungen!$L$18="pause"),"",IF(IFERROR(INDEX(Rekorde!$O$4:$O$23,MATCH(Übungen!$A$18,Rekorde!$A$4:$A$23,0)),"")="","",ROUND(IFERROR(INDEX(Rekorde!$O$4:$O$23,MATCH(Übungen!$A$18,Rekorde!$A$4:$A$23,0)),"")*0.95*2,0)/2))</f>
        <v>209</v>
      </c>
      <c r="D533" s="112" t="n">
        <f aca="false">IF(OR(FALSE(),Übungen!$L$18="pause"),"",IF(IFERROR(INDEX(Rekorde!$P$4:$P$23,MATCH(Übungen!$A$18,Rekorde!$A$4:$A$23,0)),"")="","",MIN(Übungen!$E$18,IFERROR(INDEX(Rekorde!$P$4:$P$23,MATCH(Übungen!$A$18,Rekorde!$A$4:$A$23,0)),"")+1)))</f>
        <v>6</v>
      </c>
      <c r="E533" s="109"/>
      <c r="F533" s="109"/>
      <c r="G533" s="109"/>
      <c r="H533" s="109"/>
      <c r="I533" s="109"/>
    </row>
    <row r="534" customFormat="false" ht="18" hidden="false" customHeight="true" outlineLevel="0" collapsed="false">
      <c r="A534" s="105" t="n">
        <v>5</v>
      </c>
      <c r="B534" s="110" t="s">
        <v>483</v>
      </c>
      <c r="C534" s="107" t="n">
        <f aca="false">IF(OR(FALSE(),Übungen!$L$18="pause"),"",IF(IFERROR(INDEX(Rekorde!$O$4:$O$23,MATCH(Übungen!$A$18,Rekorde!$A$4:$A$23,0)),"")="","",ROUND(IFERROR(INDEX(Rekorde!$O$4:$O$23,MATCH(Übungen!$A$18,Rekorde!$A$4:$A$23,0)),"")*0.9*2,0)/2))</f>
        <v>198</v>
      </c>
      <c r="D534" s="112" t="n">
        <f aca="false">IF(OR(FALSE(),Übungen!$L$18="pause"),"",IF(IFERROR(INDEX(Rekorde!$P$4:$P$23,MATCH(Übungen!$A$18,Rekorde!$A$4:$A$23,0)),"")="","",MIN(Übungen!$E$18,IFERROR(INDEX(Rekorde!$P$4:$P$23,MATCH(Übungen!$A$18,Rekorde!$A$4:$A$23,0)),"")+2)))</f>
        <v>6</v>
      </c>
      <c r="E534" s="109"/>
      <c r="F534" s="109"/>
      <c r="G534" s="109"/>
      <c r="H534" s="109"/>
      <c r="I534" s="109"/>
    </row>
    <row r="536" customFormat="false" ht="18.75" hidden="false" customHeight="true" outlineLevel="0" collapsed="false">
      <c r="A536" s="101" t="str">
        <f aca="false">Übungen!$A$19</f>
        <v>Beinbeuger Bülach</v>
      </c>
      <c r="B536" s="101"/>
      <c r="C536" s="101"/>
      <c r="D536" s="101"/>
      <c r="E536" s="101"/>
      <c r="F536" s="101"/>
      <c r="G536" s="101"/>
      <c r="H536" s="101"/>
      <c r="I536" s="101"/>
    </row>
    <row r="537" customFormat="false" ht="13.5" hidden="false" customHeight="true" outlineLevel="0" collapsed="false">
      <c r="A537"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37" s="102"/>
      <c r="C537" s="102"/>
      <c r="D537" s="102"/>
      <c r="E537" s="102"/>
      <c r="F537" s="102"/>
      <c r="G537" s="102"/>
      <c r="H537" s="102"/>
      <c r="I537" s="102"/>
    </row>
    <row r="538" customFormat="false" ht="13.5" hidden="false" customHeight="true" outlineLevel="0" collapsed="false">
      <c r="A538"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538" s="103"/>
      <c r="C538" s="103"/>
      <c r="D538" s="103"/>
      <c r="E538" s="103"/>
      <c r="F538" s="103"/>
      <c r="G538" s="103"/>
      <c r="H538" s="103"/>
      <c r="I538" s="103"/>
    </row>
    <row r="539" customFormat="false" ht="18" hidden="false" customHeight="true" outlineLevel="0" collapsed="false">
      <c r="A539" s="104" t="s">
        <v>473</v>
      </c>
      <c r="B539" s="104" t="s">
        <v>474</v>
      </c>
      <c r="C539" s="104" t="s">
        <v>475</v>
      </c>
      <c r="D539" s="104" t="s">
        <v>476</v>
      </c>
      <c r="E539" s="104" t="s">
        <v>477</v>
      </c>
      <c r="F539" s="104" t="s">
        <v>374</v>
      </c>
      <c r="G539" s="104" t="s">
        <v>48</v>
      </c>
      <c r="H539" s="104" t="s">
        <v>478</v>
      </c>
      <c r="I539" s="104" t="s">
        <v>255</v>
      </c>
    </row>
    <row r="540" customFormat="false" ht="18" hidden="false" customHeight="true" outlineLevel="0" collapsed="false">
      <c r="A540" s="105" t="n">
        <v>1</v>
      </c>
      <c r="B540" s="106" t="s">
        <v>479</v>
      </c>
      <c r="C540" s="107" t="n">
        <f aca="false">IF(OR(FALSE(),Übungen!$L$19="pause"),"",IF(IFERROR(INDEX(Rekorde!$O$4:$O$23,MATCH(Übungen!$A$19,Rekorde!$A$4:$A$23,0)),"")="","",ROUND(IFERROR(INDEX(Rekorde!$O$4:$O$23,MATCH(Übungen!$A$19,Rekorde!$A$4:$A$23,0)),"")*0.4*2,0)/2))</f>
        <v>25</v>
      </c>
      <c r="D540" s="108"/>
      <c r="E540" s="109"/>
      <c r="F540" s="109"/>
      <c r="G540" s="109"/>
      <c r="H540" s="109"/>
      <c r="I540" s="109"/>
    </row>
    <row r="541" customFormat="false" ht="18" hidden="false" customHeight="true" outlineLevel="0" collapsed="false">
      <c r="A541" s="105" t="n">
        <v>2</v>
      </c>
      <c r="B541" s="106" t="s">
        <v>480</v>
      </c>
      <c r="C541" s="107" t="n">
        <f aca="false">IF(OR(FALSE(),Übungen!$L$19="pause"),"",IF(IFERROR(INDEX(Rekorde!$O$4:$O$23,MATCH(Übungen!$A$19,Rekorde!$A$4:$A$23,0)),"")="","",ROUND(IFERROR(INDEX(Rekorde!$O$4:$O$23,MATCH(Übungen!$A$19,Rekorde!$A$4:$A$23,0)),"")*0.7*2,0)/2))</f>
        <v>44</v>
      </c>
      <c r="D541" s="108"/>
      <c r="E541" s="109"/>
      <c r="F541" s="109"/>
      <c r="G541" s="109"/>
      <c r="H541" s="109"/>
      <c r="I541" s="109"/>
    </row>
    <row r="542" customFormat="false" ht="18" hidden="false" customHeight="true" outlineLevel="0" collapsed="false">
      <c r="A542" s="105" t="n">
        <v>3</v>
      </c>
      <c r="B542" s="110" t="s">
        <v>481</v>
      </c>
      <c r="C542" s="111" t="n">
        <f aca="false">IF(OR(FALSE(),Übungen!$L$19="pause"),"",IF(IFERROR(INDEX(Rekorde!$O$4:$O$23,MATCH(Übungen!$A$19,Rekorde!$A$4:$A$23,0)),"")="","",ROUND(IFERROR(INDEX(Rekorde!$O$4:$O$23,MATCH(Übungen!$A$19,Rekorde!$A$4:$A$23,0)),"")*1*2,0)/2))</f>
        <v>63</v>
      </c>
      <c r="D542" s="112" t="n">
        <f aca="false">IF(OR(FALSE(),Übungen!$L$19="pause"),"",IF(IFERROR(INDEX(Rekorde!$P$4:$P$23,MATCH(Übungen!$A$19,Rekorde!$A$4:$A$23,0)),"")="","",MIN(Übungen!$E$19,IFERROR(INDEX(Rekorde!$P$4:$P$23,MATCH(Übungen!$A$19,Rekorde!$A$4:$A$23,0)),"")+0)))</f>
        <v>5</v>
      </c>
      <c r="E542" s="109"/>
      <c r="F542" s="109"/>
      <c r="G542" s="109"/>
      <c r="H542" s="109"/>
      <c r="I542" s="109"/>
    </row>
    <row r="543" customFormat="false" ht="18" hidden="false" customHeight="true" outlineLevel="0" collapsed="false">
      <c r="A543" s="105" t="n">
        <v>4</v>
      </c>
      <c r="B543" s="110" t="s">
        <v>482</v>
      </c>
      <c r="C543" s="107" t="n">
        <f aca="false">IF(OR(FALSE(),Übungen!$L$19="pause"),"",IF(IFERROR(INDEX(Rekorde!$O$4:$O$23,MATCH(Übungen!$A$19,Rekorde!$A$4:$A$23,0)),"")="","",ROUND(IFERROR(INDEX(Rekorde!$O$4:$O$23,MATCH(Übungen!$A$19,Rekorde!$A$4:$A$23,0)),"")*0.95*2,0)/2))</f>
        <v>60</v>
      </c>
      <c r="D543" s="112" t="n">
        <f aca="false">IF(OR(FALSE(),Übungen!$L$19="pause"),"",IF(IFERROR(INDEX(Rekorde!$P$4:$P$23,MATCH(Übungen!$A$19,Rekorde!$A$4:$A$23,0)),"")="","",MIN(Übungen!$E$19,IFERROR(INDEX(Rekorde!$P$4:$P$23,MATCH(Übungen!$A$19,Rekorde!$A$4:$A$23,0)),"")+1)))</f>
        <v>6</v>
      </c>
      <c r="E543" s="109"/>
      <c r="F543" s="109"/>
      <c r="G543" s="109"/>
      <c r="H543" s="109"/>
      <c r="I543" s="109"/>
    </row>
    <row r="544" customFormat="false" ht="18" hidden="false" customHeight="true" outlineLevel="0" collapsed="false">
      <c r="A544" s="105" t="n">
        <v>5</v>
      </c>
      <c r="B544" s="110" t="s">
        <v>483</v>
      </c>
      <c r="C544" s="107" t="n">
        <f aca="false">IF(OR(FALSE(),Übungen!$L$19="pause"),"",IF(IFERROR(INDEX(Rekorde!$O$4:$O$23,MATCH(Übungen!$A$19,Rekorde!$A$4:$A$23,0)),"")="","",ROUND(IFERROR(INDEX(Rekorde!$O$4:$O$23,MATCH(Übungen!$A$19,Rekorde!$A$4:$A$23,0)),"")*0.9*2,0)/2))</f>
        <v>56.5</v>
      </c>
      <c r="D544" s="112" t="n">
        <f aca="false">IF(OR(FALSE(),Übungen!$L$19="pause"),"",IF(IFERROR(INDEX(Rekorde!$P$4:$P$23,MATCH(Übungen!$A$19,Rekorde!$A$4:$A$23,0)),"")="","",MIN(Übungen!$E$19,IFERROR(INDEX(Rekorde!$P$4:$P$23,MATCH(Übungen!$A$19,Rekorde!$A$4:$A$23,0)),"")+2)))</f>
        <v>6</v>
      </c>
      <c r="E544" s="109"/>
      <c r="F544" s="109"/>
      <c r="G544" s="109"/>
      <c r="H544" s="109"/>
      <c r="I544" s="109"/>
    </row>
    <row r="546" customFormat="false" ht="15.75" hidden="false" customHeight="true" outlineLevel="0" collapsed="false">
      <c r="A546" s="3" t="s">
        <v>484</v>
      </c>
      <c r="B546" s="3"/>
      <c r="C546" s="3"/>
      <c r="D546" s="3"/>
      <c r="E546" s="3"/>
      <c r="F546" s="3"/>
      <c r="G546" s="3"/>
      <c r="H546" s="3"/>
      <c r="I546" s="3"/>
    </row>
    <row r="547" customFormat="false" ht="18" hidden="false" customHeight="true" outlineLevel="0" collapsed="false">
      <c r="A547" s="113"/>
      <c r="B547" s="113"/>
      <c r="C547" s="113"/>
      <c r="D547" s="113"/>
      <c r="E547" s="113"/>
      <c r="F547" s="113"/>
      <c r="G547" s="113"/>
      <c r="H547" s="113"/>
      <c r="I547" s="113"/>
    </row>
    <row r="548" customFormat="false" ht="18" hidden="false" customHeight="true" outlineLevel="0" collapsed="false">
      <c r="A548" s="113"/>
      <c r="B548" s="113"/>
      <c r="C548" s="113"/>
      <c r="D548" s="113"/>
      <c r="E548" s="113"/>
      <c r="F548" s="113"/>
      <c r="G548" s="113"/>
      <c r="H548" s="113"/>
      <c r="I548" s="113"/>
    </row>
    <row r="550" customFormat="false" ht="27.75" hidden="false" customHeight="true" outlineLevel="0" collapsed="false">
      <c r="A550" s="1" t="s">
        <v>493</v>
      </c>
      <c r="B550" s="1"/>
      <c r="C550" s="1"/>
      <c r="D550" s="1"/>
      <c r="E550" s="1"/>
      <c r="F550" s="1"/>
      <c r="G550" s="1"/>
      <c r="H550" s="1"/>
      <c r="I550" s="1"/>
    </row>
    <row r="551" customFormat="false" ht="12" hidden="false" customHeight="true" outlineLevel="0" collapsed="false">
      <c r="A551" s="98" t="s">
        <v>73</v>
      </c>
      <c r="B551" s="98"/>
      <c r="C551" s="99" t="s">
        <v>469</v>
      </c>
      <c r="D551" s="99" t="s">
        <v>470</v>
      </c>
      <c r="E551" s="98" t="s">
        <v>471</v>
      </c>
      <c r="F551" s="98"/>
      <c r="G551" s="98" t="s">
        <v>472</v>
      </c>
      <c r="H551" s="98"/>
    </row>
    <row r="552" customFormat="false" ht="18" hidden="false" customHeight="true" outlineLevel="0" collapsed="false">
      <c r="A552" s="100"/>
      <c r="B552" s="100"/>
      <c r="C552" s="100"/>
      <c r="D552" s="100"/>
      <c r="E552" s="100"/>
      <c r="F552" s="100"/>
      <c r="G552" s="100"/>
      <c r="H552" s="100"/>
    </row>
    <row r="554" customFormat="false" ht="18.75" hidden="false" customHeight="true" outlineLevel="0" collapsed="false">
      <c r="A554" s="101" t="str">
        <f aca="false">Übungen!$A$4</f>
        <v>Beinpresse eng</v>
      </c>
      <c r="B554" s="101"/>
      <c r="C554" s="101"/>
      <c r="D554" s="101"/>
      <c r="E554" s="101"/>
      <c r="F554" s="101"/>
      <c r="G554" s="101"/>
      <c r="H554" s="101"/>
      <c r="I554" s="101"/>
    </row>
    <row r="555" customFormat="false" ht="13.5" hidden="false" customHeight="true" outlineLevel="0" collapsed="false">
      <c r="A555"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555" s="102"/>
      <c r="C555" s="102"/>
      <c r="D555" s="102"/>
      <c r="E555" s="102"/>
      <c r="F555" s="102"/>
      <c r="G555" s="102"/>
      <c r="H555" s="102"/>
      <c r="I555" s="102"/>
    </row>
    <row r="556" customFormat="false" ht="13.5" hidden="false" customHeight="true" outlineLevel="0" collapsed="false">
      <c r="A556"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556" s="103"/>
      <c r="C556" s="103"/>
      <c r="D556" s="103"/>
      <c r="E556" s="103"/>
      <c r="F556" s="103"/>
      <c r="G556" s="103"/>
      <c r="H556" s="103"/>
      <c r="I556" s="103"/>
    </row>
    <row r="557" customFormat="false" ht="18" hidden="false" customHeight="true" outlineLevel="0" collapsed="false">
      <c r="A557" s="104" t="s">
        <v>473</v>
      </c>
      <c r="B557" s="104" t="s">
        <v>474</v>
      </c>
      <c r="C557" s="104" t="s">
        <v>475</v>
      </c>
      <c r="D557" s="104" t="s">
        <v>476</v>
      </c>
      <c r="E557" s="104" t="s">
        <v>477</v>
      </c>
      <c r="F557" s="104" t="s">
        <v>374</v>
      </c>
      <c r="G557" s="104" t="s">
        <v>48</v>
      </c>
      <c r="H557" s="104" t="s">
        <v>478</v>
      </c>
      <c r="I557" s="104" t="s">
        <v>255</v>
      </c>
    </row>
    <row r="558" customFormat="false" ht="18" hidden="false" customHeight="true" outlineLevel="0" collapsed="false">
      <c r="A558" s="105" t="n">
        <v>1</v>
      </c>
      <c r="B558" s="106" t="s">
        <v>479</v>
      </c>
      <c r="C558" s="107" t="n">
        <f aca="false">IF(OR(FALSE(),Übungen!$L$4="pause"),"",IF(IFERROR(INDEX(Rekorde!$O$4:$O$23,MATCH(Übungen!$A$4,Rekorde!$A$4:$A$23,0)),"")="","",ROUND(IFERROR(INDEX(Rekorde!$O$4:$O$23,MATCH(Übungen!$A$4,Rekorde!$A$4:$A$23,0)),"")*0.4*2,0)/2))</f>
        <v>122</v>
      </c>
      <c r="D558" s="108"/>
      <c r="E558" s="109"/>
      <c r="F558" s="109"/>
      <c r="G558" s="109"/>
      <c r="H558" s="109"/>
      <c r="I558" s="109"/>
    </row>
    <row r="559" customFormat="false" ht="18" hidden="false" customHeight="true" outlineLevel="0" collapsed="false">
      <c r="A559" s="105" t="n">
        <v>2</v>
      </c>
      <c r="B559" s="106" t="s">
        <v>480</v>
      </c>
      <c r="C559" s="107" t="n">
        <f aca="false">IF(OR(FALSE(),Übungen!$L$4="pause"),"",IF(IFERROR(INDEX(Rekorde!$O$4:$O$23,MATCH(Übungen!$A$4,Rekorde!$A$4:$A$23,0)),"")="","",ROUND(IFERROR(INDEX(Rekorde!$O$4:$O$23,MATCH(Übungen!$A$4,Rekorde!$A$4:$A$23,0)),"")*0.7*2,0)/2))</f>
        <v>213.5</v>
      </c>
      <c r="D559" s="108"/>
      <c r="E559" s="109"/>
      <c r="F559" s="109"/>
      <c r="G559" s="109"/>
      <c r="H559" s="109"/>
      <c r="I559" s="109"/>
    </row>
    <row r="560" customFormat="false" ht="18" hidden="false" customHeight="true" outlineLevel="0" collapsed="false">
      <c r="A560" s="105" t="n">
        <v>3</v>
      </c>
      <c r="B560" s="110" t="s">
        <v>481</v>
      </c>
      <c r="C560" s="111" t="n">
        <f aca="false">IF(OR(FALSE(),Übungen!$L$4="pause"),"",IF(IFERROR(INDEX(Rekorde!$O$4:$O$23,MATCH(Übungen!$A$4,Rekorde!$A$4:$A$23,0)),"")="","",ROUND(IFERROR(INDEX(Rekorde!$O$4:$O$23,MATCH(Übungen!$A$4,Rekorde!$A$4:$A$23,0)),"")*1*2,0)/2))</f>
        <v>305</v>
      </c>
      <c r="D560" s="112" t="n">
        <f aca="false">IF(OR(FALSE(),Übungen!$L$4="pause"),"",IF(IFERROR(INDEX(Rekorde!$P$4:$P$23,MATCH(Übungen!$A$4,Rekorde!$A$4:$A$23,0)),"")="","",MIN(Übungen!$E$4,IFERROR(INDEX(Rekorde!$P$4:$P$23,MATCH(Übungen!$A$4,Rekorde!$A$4:$A$23,0)),"")+0)))</f>
        <v>5</v>
      </c>
      <c r="E560" s="109"/>
      <c r="F560" s="109"/>
      <c r="G560" s="109"/>
      <c r="H560" s="109"/>
      <c r="I560" s="109"/>
    </row>
    <row r="561" customFormat="false" ht="18" hidden="false" customHeight="true" outlineLevel="0" collapsed="false">
      <c r="A561" s="105" t="n">
        <v>4</v>
      </c>
      <c r="B561" s="110" t="s">
        <v>482</v>
      </c>
      <c r="C561" s="107" t="n">
        <f aca="false">IF(OR(FALSE(),Übungen!$L$4="pause"),"",IF(IFERROR(INDEX(Rekorde!$O$4:$O$23,MATCH(Übungen!$A$4,Rekorde!$A$4:$A$23,0)),"")="","",ROUND(IFERROR(INDEX(Rekorde!$O$4:$O$23,MATCH(Übungen!$A$4,Rekorde!$A$4:$A$23,0)),"")*0.95*2,0)/2))</f>
        <v>290</v>
      </c>
      <c r="D561" s="112" t="n">
        <f aca="false">IF(OR(FALSE(),Übungen!$L$4="pause"),"",IF(IFERROR(INDEX(Rekorde!$P$4:$P$23,MATCH(Übungen!$A$4,Rekorde!$A$4:$A$23,0)),"")="","",MIN(Übungen!$E$4,IFERROR(INDEX(Rekorde!$P$4:$P$23,MATCH(Übungen!$A$4,Rekorde!$A$4:$A$23,0)),"")+1)))</f>
        <v>6</v>
      </c>
      <c r="E561" s="109"/>
      <c r="F561" s="109"/>
      <c r="G561" s="109"/>
      <c r="H561" s="109"/>
      <c r="I561" s="109"/>
    </row>
    <row r="562" customFormat="false" ht="18" hidden="false" customHeight="true" outlineLevel="0" collapsed="false">
      <c r="A562" s="105" t="n">
        <v>5</v>
      </c>
      <c r="B562" s="110" t="s">
        <v>483</v>
      </c>
      <c r="C562" s="107" t="n">
        <f aca="false">IF(OR(FALSE(),Übungen!$L$4="pause"),"",IF(IFERROR(INDEX(Rekorde!$O$4:$O$23,MATCH(Übungen!$A$4,Rekorde!$A$4:$A$23,0)),"")="","",ROUND(IFERROR(INDEX(Rekorde!$O$4:$O$23,MATCH(Übungen!$A$4,Rekorde!$A$4:$A$23,0)),"")*0.9*2,0)/2))</f>
        <v>274.5</v>
      </c>
      <c r="D562" s="112" t="n">
        <f aca="false">IF(OR(FALSE(),Übungen!$L$4="pause"),"",IF(IFERROR(INDEX(Rekorde!$P$4:$P$23,MATCH(Übungen!$A$4,Rekorde!$A$4:$A$23,0)),"")="","",MIN(Übungen!$E$4,IFERROR(INDEX(Rekorde!$P$4:$P$23,MATCH(Übungen!$A$4,Rekorde!$A$4:$A$23,0)),"")+2)))</f>
        <v>6</v>
      </c>
      <c r="E562" s="109"/>
      <c r="F562" s="109"/>
      <c r="G562" s="109"/>
      <c r="H562" s="109"/>
      <c r="I562" s="109"/>
    </row>
    <row r="564" customFormat="false" ht="18.75" hidden="false" customHeight="true" outlineLevel="0" collapsed="false">
      <c r="A564" s="101" t="str">
        <f aca="false">Übungen!$A$5</f>
        <v>Split Squat</v>
      </c>
      <c r="B564" s="101"/>
      <c r="C564" s="101"/>
      <c r="D564" s="101"/>
      <c r="E564" s="101"/>
      <c r="F564" s="101"/>
      <c r="G564" s="101"/>
      <c r="H564" s="101"/>
      <c r="I564" s="101"/>
    </row>
    <row r="565" customFormat="false" ht="13.5" hidden="false" customHeight="true" outlineLevel="0" collapsed="false">
      <c r="A565"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565" s="102"/>
      <c r="C565" s="102"/>
      <c r="D565" s="102"/>
      <c r="E565" s="102"/>
      <c r="F565" s="102"/>
      <c r="G565" s="102"/>
      <c r="H565" s="102"/>
      <c r="I565" s="102"/>
    </row>
    <row r="566" customFormat="false" ht="13.5" hidden="false" customHeight="true" outlineLevel="0" collapsed="false">
      <c r="A566"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566" s="103"/>
      <c r="C566" s="103"/>
      <c r="D566" s="103"/>
      <c r="E566" s="103"/>
      <c r="F566" s="103"/>
      <c r="G566" s="103"/>
      <c r="H566" s="103"/>
      <c r="I566" s="103"/>
    </row>
    <row r="567" customFormat="false" ht="18" hidden="false" customHeight="true" outlineLevel="0" collapsed="false">
      <c r="A567" s="104" t="s">
        <v>473</v>
      </c>
      <c r="B567" s="104" t="s">
        <v>474</v>
      </c>
      <c r="C567" s="104" t="s">
        <v>475</v>
      </c>
      <c r="D567" s="104" t="s">
        <v>476</v>
      </c>
      <c r="E567" s="104" t="s">
        <v>477</v>
      </c>
      <c r="F567" s="104" t="s">
        <v>374</v>
      </c>
      <c r="G567" s="104" t="s">
        <v>48</v>
      </c>
      <c r="H567" s="104" t="s">
        <v>478</v>
      </c>
      <c r="I567" s="104" t="s">
        <v>255</v>
      </c>
    </row>
    <row r="568" customFormat="false" ht="18" hidden="false" customHeight="true" outlineLevel="0" collapsed="false">
      <c r="A568" s="105" t="n">
        <v>1</v>
      </c>
      <c r="B568" s="106" t="s">
        <v>479</v>
      </c>
      <c r="C568" s="107" t="n">
        <f aca="false">IF(OR(FALSE(),Übungen!$L$5="pause"),"",IF(IFERROR(INDEX(Rekorde!$O$4:$O$23,MATCH(Übungen!$A$5,Rekorde!$A$4:$A$23,0)),"")="","",ROUND(IFERROR(INDEX(Rekorde!$O$4:$O$23,MATCH(Übungen!$A$5,Rekorde!$A$4:$A$23,0)),"")*0.4*2,0)/2))</f>
        <v>49</v>
      </c>
      <c r="D568" s="108"/>
      <c r="E568" s="109"/>
      <c r="F568" s="109"/>
      <c r="G568" s="109"/>
      <c r="H568" s="109"/>
      <c r="I568" s="109"/>
    </row>
    <row r="569" customFormat="false" ht="18" hidden="false" customHeight="true" outlineLevel="0" collapsed="false">
      <c r="A569" s="105" t="n">
        <v>2</v>
      </c>
      <c r="B569" s="106" t="s">
        <v>480</v>
      </c>
      <c r="C569" s="107" t="n">
        <f aca="false">IF(OR(FALSE(),Übungen!$L$5="pause"),"",IF(IFERROR(INDEX(Rekorde!$O$4:$O$23,MATCH(Übungen!$A$5,Rekorde!$A$4:$A$23,0)),"")="","",ROUND(IFERROR(INDEX(Rekorde!$O$4:$O$23,MATCH(Übungen!$A$5,Rekorde!$A$4:$A$23,0)),"")*0.7*2,0)/2))</f>
        <v>86</v>
      </c>
      <c r="D569" s="108"/>
      <c r="E569" s="109"/>
      <c r="F569" s="109"/>
      <c r="G569" s="109"/>
      <c r="H569" s="109"/>
      <c r="I569" s="109"/>
    </row>
    <row r="570" customFormat="false" ht="18" hidden="false" customHeight="true" outlineLevel="0" collapsed="false">
      <c r="A570" s="105" t="n">
        <v>3</v>
      </c>
      <c r="B570" s="110" t="s">
        <v>481</v>
      </c>
      <c r="C570" s="111" t="n">
        <f aca="false">IF(OR(FALSE(),Übungen!$L$5="pause"),"",IF(IFERROR(INDEX(Rekorde!$O$4:$O$23,MATCH(Übungen!$A$5,Rekorde!$A$4:$A$23,0)),"")="","",ROUND(IFERROR(INDEX(Rekorde!$O$4:$O$23,MATCH(Übungen!$A$5,Rekorde!$A$4:$A$23,0)),"")*1*2,0)/2))</f>
        <v>122.5</v>
      </c>
      <c r="D570" s="112" t="n">
        <f aca="false">IF(OR(FALSE(),Übungen!$L$5="pause"),"",IF(IFERROR(INDEX(Rekorde!$P$4:$P$23,MATCH(Übungen!$A$5,Rekorde!$A$4:$A$23,0)),"")="","",MIN(Übungen!$E$5,IFERROR(INDEX(Rekorde!$P$4:$P$23,MATCH(Übungen!$A$5,Rekorde!$A$4:$A$23,0)),"")+0)))</f>
        <v>5</v>
      </c>
      <c r="E570" s="109"/>
      <c r="F570" s="109"/>
      <c r="G570" s="109"/>
      <c r="H570" s="109"/>
      <c r="I570" s="109"/>
    </row>
    <row r="571" customFormat="false" ht="18" hidden="false" customHeight="true" outlineLevel="0" collapsed="false">
      <c r="A571" s="105" t="n">
        <v>4</v>
      </c>
      <c r="B571" s="110" t="s">
        <v>482</v>
      </c>
      <c r="C571" s="107" t="n">
        <f aca="false">IF(OR(FALSE(),Übungen!$L$5="pause"),"",IF(IFERROR(INDEX(Rekorde!$O$4:$O$23,MATCH(Übungen!$A$5,Rekorde!$A$4:$A$23,0)),"")="","",ROUND(IFERROR(INDEX(Rekorde!$O$4:$O$23,MATCH(Übungen!$A$5,Rekorde!$A$4:$A$23,0)),"")*0.95*2,0)/2))</f>
        <v>116.5</v>
      </c>
      <c r="D571" s="112" t="n">
        <f aca="false">IF(OR(FALSE(),Übungen!$L$5="pause"),"",IF(IFERROR(INDEX(Rekorde!$P$4:$P$23,MATCH(Übungen!$A$5,Rekorde!$A$4:$A$23,0)),"")="","",MIN(Übungen!$E$5,IFERROR(INDEX(Rekorde!$P$4:$P$23,MATCH(Übungen!$A$5,Rekorde!$A$4:$A$23,0)),"")+1)))</f>
        <v>6</v>
      </c>
      <c r="E571" s="109"/>
      <c r="F571" s="109"/>
      <c r="G571" s="109"/>
      <c r="H571" s="109"/>
      <c r="I571" s="109"/>
    </row>
    <row r="572" customFormat="false" ht="18" hidden="false" customHeight="true" outlineLevel="0" collapsed="false">
      <c r="A572" s="105" t="n">
        <v>5</v>
      </c>
      <c r="B572" s="110" t="s">
        <v>483</v>
      </c>
      <c r="C572" s="107" t="n">
        <f aca="false">IF(OR(FALSE(),Übungen!$L$5="pause"),"",IF(IFERROR(INDEX(Rekorde!$O$4:$O$23,MATCH(Übungen!$A$5,Rekorde!$A$4:$A$23,0)),"")="","",ROUND(IFERROR(INDEX(Rekorde!$O$4:$O$23,MATCH(Übungen!$A$5,Rekorde!$A$4:$A$23,0)),"")*0.9*2,0)/2))</f>
        <v>110.5</v>
      </c>
      <c r="D572" s="112" t="n">
        <f aca="false">IF(OR(FALSE(),Übungen!$L$5="pause"),"",IF(IFERROR(INDEX(Rekorde!$P$4:$P$23,MATCH(Übungen!$A$5,Rekorde!$A$4:$A$23,0)),"")="","",MIN(Übungen!$E$5,IFERROR(INDEX(Rekorde!$P$4:$P$23,MATCH(Übungen!$A$5,Rekorde!$A$4:$A$23,0)),"")+2)))</f>
        <v>6</v>
      </c>
      <c r="E572" s="109"/>
      <c r="F572" s="109"/>
      <c r="G572" s="109"/>
      <c r="H572" s="109"/>
      <c r="I572" s="109"/>
    </row>
    <row r="574" customFormat="false" ht="18.75" hidden="false" customHeight="true" outlineLevel="0" collapsed="false">
      <c r="A574" s="101" t="str">
        <f aca="false">Übungen!$A$6</f>
        <v>Beinstrecker</v>
      </c>
      <c r="B574" s="101"/>
      <c r="C574" s="101"/>
      <c r="D574" s="101"/>
      <c r="E574" s="101"/>
      <c r="F574" s="101"/>
      <c r="G574" s="101"/>
      <c r="H574" s="101"/>
      <c r="I574" s="101"/>
    </row>
    <row r="575" customFormat="false" ht="13.5" hidden="false" customHeight="true" outlineLevel="0" collapsed="false">
      <c r="A575"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575" s="102"/>
      <c r="C575" s="102"/>
      <c r="D575" s="102"/>
      <c r="E575" s="102"/>
      <c r="F575" s="102"/>
      <c r="G575" s="102"/>
      <c r="H575" s="102"/>
      <c r="I575" s="102"/>
    </row>
    <row r="576" customFormat="false" ht="13.5" hidden="false" customHeight="true" outlineLevel="0" collapsed="false">
      <c r="A576"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576" s="103"/>
      <c r="C576" s="103"/>
      <c r="D576" s="103"/>
      <c r="E576" s="103"/>
      <c r="F576" s="103"/>
      <c r="G576" s="103"/>
      <c r="H576" s="103"/>
      <c r="I576" s="103"/>
    </row>
    <row r="577" customFormat="false" ht="18" hidden="false" customHeight="true" outlineLevel="0" collapsed="false">
      <c r="A577" s="104" t="s">
        <v>473</v>
      </c>
      <c r="B577" s="104" t="s">
        <v>474</v>
      </c>
      <c r="C577" s="104" t="s">
        <v>475</v>
      </c>
      <c r="D577" s="104" t="s">
        <v>476</v>
      </c>
      <c r="E577" s="104" t="s">
        <v>477</v>
      </c>
      <c r="F577" s="104" t="s">
        <v>374</v>
      </c>
      <c r="G577" s="104" t="s">
        <v>48</v>
      </c>
      <c r="H577" s="104" t="s">
        <v>478</v>
      </c>
      <c r="I577" s="104" t="s">
        <v>255</v>
      </c>
    </row>
    <row r="578" customFormat="false" ht="18" hidden="false" customHeight="true" outlineLevel="0" collapsed="false">
      <c r="A578" s="105" t="n">
        <v>1</v>
      </c>
      <c r="B578" s="106" t="s">
        <v>479</v>
      </c>
      <c r="C578" s="107" t="n">
        <f aca="false">IF(OR(FALSE(),Übungen!$L$6="pause"),"",IF(IFERROR(INDEX(Rekorde!$O$4:$O$23,MATCH(Übungen!$A$6,Rekorde!$A$4:$A$23,0)),"")="","",ROUND(IFERROR(INDEX(Rekorde!$O$4:$O$23,MATCH(Übungen!$A$6,Rekorde!$A$4:$A$23,0)),"")*0.4*2,0)/2))</f>
        <v>38</v>
      </c>
      <c r="D578" s="108"/>
      <c r="E578" s="109"/>
      <c r="F578" s="109"/>
      <c r="G578" s="109"/>
      <c r="H578" s="109"/>
      <c r="I578" s="109"/>
    </row>
    <row r="579" customFormat="false" ht="18" hidden="false" customHeight="true" outlineLevel="0" collapsed="false">
      <c r="A579" s="105" t="n">
        <v>2</v>
      </c>
      <c r="B579" s="106" t="s">
        <v>480</v>
      </c>
      <c r="C579" s="107" t="n">
        <f aca="false">IF(OR(FALSE(),Übungen!$L$6="pause"),"",IF(IFERROR(INDEX(Rekorde!$O$4:$O$23,MATCH(Übungen!$A$6,Rekorde!$A$4:$A$23,0)),"")="","",ROUND(IFERROR(INDEX(Rekorde!$O$4:$O$23,MATCH(Übungen!$A$6,Rekorde!$A$4:$A$23,0)),"")*0.7*2,0)/2))</f>
        <v>66.5</v>
      </c>
      <c r="D579" s="108"/>
      <c r="E579" s="109"/>
      <c r="F579" s="109"/>
      <c r="G579" s="109"/>
      <c r="H579" s="109"/>
      <c r="I579" s="109"/>
    </row>
    <row r="580" customFormat="false" ht="18" hidden="false" customHeight="true" outlineLevel="0" collapsed="false">
      <c r="A580" s="105" t="n">
        <v>3</v>
      </c>
      <c r="B580" s="110" t="s">
        <v>481</v>
      </c>
      <c r="C580" s="111" t="n">
        <f aca="false">IF(OR(FALSE(),Übungen!$L$6="pause"),"",IF(IFERROR(INDEX(Rekorde!$O$4:$O$23,MATCH(Übungen!$A$6,Rekorde!$A$4:$A$23,0)),"")="","",ROUND(IFERROR(INDEX(Rekorde!$O$4:$O$23,MATCH(Übungen!$A$6,Rekorde!$A$4:$A$23,0)),"")*1*2,0)/2))</f>
        <v>95</v>
      </c>
      <c r="D580" s="112" t="n">
        <f aca="false">IF(OR(FALSE(),Übungen!$L$6="pause"),"",IF(IFERROR(INDEX(Rekorde!$P$4:$P$23,MATCH(Übungen!$A$6,Rekorde!$A$4:$A$23,0)),"")="","",MIN(Übungen!$E$6,IFERROR(INDEX(Rekorde!$P$4:$P$23,MATCH(Übungen!$A$6,Rekorde!$A$4:$A$23,0)),"")+0)))</f>
        <v>6</v>
      </c>
      <c r="E580" s="109"/>
      <c r="F580" s="109"/>
      <c r="G580" s="109"/>
      <c r="H580" s="109"/>
      <c r="I580" s="109"/>
    </row>
    <row r="581" customFormat="false" ht="18" hidden="false" customHeight="true" outlineLevel="0" collapsed="false">
      <c r="A581" s="105" t="n">
        <v>4</v>
      </c>
      <c r="B581" s="110" t="s">
        <v>482</v>
      </c>
      <c r="C581" s="107" t="n">
        <f aca="false">IF(OR(FALSE(),Übungen!$L$6="pause"),"",IF(IFERROR(INDEX(Rekorde!$O$4:$O$23,MATCH(Übungen!$A$6,Rekorde!$A$4:$A$23,0)),"")="","",ROUND(IFERROR(INDEX(Rekorde!$O$4:$O$23,MATCH(Übungen!$A$6,Rekorde!$A$4:$A$23,0)),"")*0.95*2,0)/2))</f>
        <v>90.5</v>
      </c>
      <c r="D581" s="112" t="n">
        <f aca="false">IF(OR(FALSE(),Übungen!$L$6="pause"),"",IF(IFERROR(INDEX(Rekorde!$P$4:$P$23,MATCH(Übungen!$A$6,Rekorde!$A$4:$A$23,0)),"")="","",MIN(Übungen!$E$6,IFERROR(INDEX(Rekorde!$P$4:$P$23,MATCH(Übungen!$A$6,Rekorde!$A$4:$A$23,0)),"")+1)))</f>
        <v>6</v>
      </c>
      <c r="E581" s="109"/>
      <c r="F581" s="109"/>
      <c r="G581" s="109"/>
      <c r="H581" s="109"/>
      <c r="I581" s="109"/>
    </row>
    <row r="582" customFormat="false" ht="18" hidden="false" customHeight="true" outlineLevel="0" collapsed="false">
      <c r="A582" s="105" t="n">
        <v>5</v>
      </c>
      <c r="B582" s="110" t="s">
        <v>483</v>
      </c>
      <c r="C582" s="107" t="n">
        <f aca="false">IF(OR(FALSE(),Übungen!$L$6="pause"),"",IF(IFERROR(INDEX(Rekorde!$O$4:$O$23,MATCH(Übungen!$A$6,Rekorde!$A$4:$A$23,0)),"")="","",ROUND(IFERROR(INDEX(Rekorde!$O$4:$O$23,MATCH(Übungen!$A$6,Rekorde!$A$4:$A$23,0)),"")*0.9*2,0)/2))</f>
        <v>85.5</v>
      </c>
      <c r="D582" s="112" t="n">
        <f aca="false">IF(OR(FALSE(),Übungen!$L$6="pause"),"",IF(IFERROR(INDEX(Rekorde!$P$4:$P$23,MATCH(Übungen!$A$6,Rekorde!$A$4:$A$23,0)),"")="","",MIN(Übungen!$E$6,IFERROR(INDEX(Rekorde!$P$4:$P$23,MATCH(Übungen!$A$6,Rekorde!$A$4:$A$23,0)),"")+2)))</f>
        <v>6</v>
      </c>
      <c r="E582" s="109"/>
      <c r="F582" s="109"/>
      <c r="G582" s="109"/>
      <c r="H582" s="109"/>
      <c r="I582" s="109"/>
    </row>
    <row r="584" customFormat="false" ht="18.75" hidden="false" customHeight="true" outlineLevel="0" collapsed="false">
      <c r="A584" s="101" t="str">
        <f aca="false">Übungen!$A$7</f>
        <v>Adduktion</v>
      </c>
      <c r="B584" s="101"/>
      <c r="C584" s="101"/>
      <c r="D584" s="101"/>
      <c r="E584" s="101"/>
      <c r="F584" s="101"/>
      <c r="G584" s="101"/>
      <c r="H584" s="101"/>
      <c r="I584" s="101"/>
    </row>
    <row r="585" customFormat="false" ht="13.5" hidden="false" customHeight="true" outlineLevel="0" collapsed="false">
      <c r="A585"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585" s="102"/>
      <c r="C585" s="102"/>
      <c r="D585" s="102"/>
      <c r="E585" s="102"/>
      <c r="F585" s="102"/>
      <c r="G585" s="102"/>
      <c r="H585" s="102"/>
      <c r="I585" s="102"/>
    </row>
    <row r="586" customFormat="false" ht="13.5" hidden="false" customHeight="true" outlineLevel="0" collapsed="false">
      <c r="A586"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586" s="103"/>
      <c r="C586" s="103"/>
      <c r="D586" s="103"/>
      <c r="E586" s="103"/>
      <c r="F586" s="103"/>
      <c r="G586" s="103"/>
      <c r="H586" s="103"/>
      <c r="I586" s="103"/>
    </row>
    <row r="587" customFormat="false" ht="18" hidden="false" customHeight="true" outlineLevel="0" collapsed="false">
      <c r="A587" s="104" t="s">
        <v>473</v>
      </c>
      <c r="B587" s="104" t="s">
        <v>474</v>
      </c>
      <c r="C587" s="104" t="s">
        <v>475</v>
      </c>
      <c r="D587" s="104" t="s">
        <v>476</v>
      </c>
      <c r="E587" s="104" t="s">
        <v>477</v>
      </c>
      <c r="F587" s="104" t="s">
        <v>374</v>
      </c>
      <c r="G587" s="104" t="s">
        <v>48</v>
      </c>
      <c r="H587" s="104" t="s">
        <v>478</v>
      </c>
      <c r="I587" s="104" t="s">
        <v>255</v>
      </c>
    </row>
    <row r="588" customFormat="false" ht="18" hidden="false" customHeight="true" outlineLevel="0" collapsed="false">
      <c r="A588" s="105" t="n">
        <v>1</v>
      </c>
      <c r="B588" s="106" t="s">
        <v>479</v>
      </c>
      <c r="C588" s="107" t="n">
        <f aca="false">IF(OR(FALSE(),Übungen!$L$7="pause"),"",IF(IFERROR(INDEX(Rekorde!$O$4:$O$23,MATCH(Übungen!$A$7,Rekorde!$A$4:$A$23,0)),"")="","",ROUND(IFERROR(INDEX(Rekorde!$O$4:$O$23,MATCH(Übungen!$A$7,Rekorde!$A$4:$A$23,0)),"")*0.4*2,0)/2))</f>
        <v>66</v>
      </c>
      <c r="D588" s="108"/>
      <c r="E588" s="109"/>
      <c r="F588" s="109"/>
      <c r="G588" s="109"/>
      <c r="H588" s="109"/>
      <c r="I588" s="109"/>
    </row>
    <row r="589" customFormat="false" ht="18" hidden="false" customHeight="true" outlineLevel="0" collapsed="false">
      <c r="A589" s="105" t="n">
        <v>2</v>
      </c>
      <c r="B589" s="106" t="s">
        <v>480</v>
      </c>
      <c r="C589" s="107" t="n">
        <f aca="false">IF(OR(FALSE(),Übungen!$L$7="pause"),"",IF(IFERROR(INDEX(Rekorde!$O$4:$O$23,MATCH(Übungen!$A$7,Rekorde!$A$4:$A$23,0)),"")="","",ROUND(IFERROR(INDEX(Rekorde!$O$4:$O$23,MATCH(Übungen!$A$7,Rekorde!$A$4:$A$23,0)),"")*0.7*2,0)/2))</f>
        <v>115.5</v>
      </c>
      <c r="D589" s="108"/>
      <c r="E589" s="109"/>
      <c r="F589" s="109"/>
      <c r="G589" s="109"/>
      <c r="H589" s="109"/>
      <c r="I589" s="109"/>
    </row>
    <row r="590" customFormat="false" ht="18" hidden="false" customHeight="true" outlineLevel="0" collapsed="false">
      <c r="A590" s="105" t="n">
        <v>3</v>
      </c>
      <c r="B590" s="110" t="s">
        <v>481</v>
      </c>
      <c r="C590" s="111" t="n">
        <f aca="false">IF(OR(FALSE(),Übungen!$L$7="pause"),"",IF(IFERROR(INDEX(Rekorde!$O$4:$O$23,MATCH(Übungen!$A$7,Rekorde!$A$4:$A$23,0)),"")="","",ROUND(IFERROR(INDEX(Rekorde!$O$4:$O$23,MATCH(Übungen!$A$7,Rekorde!$A$4:$A$23,0)),"")*1*2,0)/2))</f>
        <v>165</v>
      </c>
      <c r="D590" s="112" t="n">
        <f aca="false">IF(OR(FALSE(),Übungen!$L$7="pause"),"",IF(IFERROR(INDEX(Rekorde!$P$4:$P$23,MATCH(Übungen!$A$7,Rekorde!$A$4:$A$23,0)),"")="","",MIN(Übungen!$E$7,IFERROR(INDEX(Rekorde!$P$4:$P$23,MATCH(Übungen!$A$7,Rekorde!$A$4:$A$23,0)),"")+0)))</f>
        <v>6</v>
      </c>
      <c r="E590" s="109"/>
      <c r="F590" s="109"/>
      <c r="G590" s="109"/>
      <c r="H590" s="109"/>
      <c r="I590" s="109"/>
    </row>
    <row r="591" customFormat="false" ht="18" hidden="false" customHeight="true" outlineLevel="0" collapsed="false">
      <c r="A591" s="105" t="n">
        <v>4</v>
      </c>
      <c r="B591" s="110" t="s">
        <v>482</v>
      </c>
      <c r="C591" s="107" t="n">
        <f aca="false">IF(OR(FALSE(),Übungen!$L$7="pause"),"",IF(IFERROR(INDEX(Rekorde!$O$4:$O$23,MATCH(Übungen!$A$7,Rekorde!$A$4:$A$23,0)),"")="","",ROUND(IFERROR(INDEX(Rekorde!$O$4:$O$23,MATCH(Übungen!$A$7,Rekorde!$A$4:$A$23,0)),"")*0.95*2,0)/2))</f>
        <v>157</v>
      </c>
      <c r="D591" s="112" t="n">
        <f aca="false">IF(OR(FALSE(),Übungen!$L$7="pause"),"",IF(IFERROR(INDEX(Rekorde!$P$4:$P$23,MATCH(Übungen!$A$7,Rekorde!$A$4:$A$23,0)),"")="","",MIN(Übungen!$E$7,IFERROR(INDEX(Rekorde!$P$4:$P$23,MATCH(Übungen!$A$7,Rekorde!$A$4:$A$23,0)),"")+1)))</f>
        <v>6</v>
      </c>
      <c r="E591" s="109"/>
      <c r="F591" s="109"/>
      <c r="G591" s="109"/>
      <c r="H591" s="109"/>
      <c r="I591" s="109"/>
    </row>
    <row r="593" customFormat="false" ht="15.75" hidden="false" customHeight="true" outlineLevel="0" collapsed="false">
      <c r="A593" s="3" t="s">
        <v>484</v>
      </c>
      <c r="B593" s="3"/>
      <c r="C593" s="3"/>
      <c r="D593" s="3"/>
      <c r="E593" s="3"/>
      <c r="F593" s="3"/>
      <c r="G593" s="3"/>
      <c r="H593" s="3"/>
      <c r="I593" s="3"/>
    </row>
    <row r="594" customFormat="false" ht="18" hidden="false" customHeight="true" outlineLevel="0" collapsed="false">
      <c r="A594" s="113"/>
      <c r="B594" s="113"/>
      <c r="C594" s="113"/>
      <c r="D594" s="113"/>
      <c r="E594" s="113"/>
      <c r="F594" s="113"/>
      <c r="G594" s="113"/>
      <c r="H594" s="113"/>
      <c r="I594" s="113"/>
    </row>
    <row r="595" customFormat="false" ht="18" hidden="false" customHeight="true" outlineLevel="0" collapsed="false">
      <c r="A595" s="113"/>
      <c r="B595" s="113"/>
      <c r="C595" s="113"/>
      <c r="D595" s="113"/>
      <c r="E595" s="113"/>
      <c r="F595" s="113"/>
      <c r="G595" s="113"/>
      <c r="H595" s="113"/>
      <c r="I595" s="113"/>
    </row>
    <row r="597" customFormat="false" ht="27.75" hidden="false" customHeight="true" outlineLevel="0" collapsed="false">
      <c r="A597" s="1" t="s">
        <v>494</v>
      </c>
      <c r="B597" s="1"/>
      <c r="C597" s="1"/>
      <c r="D597" s="1"/>
      <c r="E597" s="1"/>
      <c r="F597" s="1"/>
      <c r="G597" s="1"/>
      <c r="H597" s="1"/>
      <c r="I597" s="1"/>
    </row>
    <row r="598" customFormat="false" ht="12" hidden="false" customHeight="true" outlineLevel="0" collapsed="false">
      <c r="A598" s="98" t="s">
        <v>73</v>
      </c>
      <c r="B598" s="98"/>
      <c r="C598" s="99" t="s">
        <v>469</v>
      </c>
      <c r="D598" s="99" t="s">
        <v>470</v>
      </c>
      <c r="E598" s="98" t="s">
        <v>471</v>
      </c>
      <c r="F598" s="98"/>
      <c r="G598" s="98" t="s">
        <v>472</v>
      </c>
      <c r="H598" s="98"/>
    </row>
    <row r="599" customFormat="false" ht="18" hidden="false" customHeight="true" outlineLevel="0" collapsed="false">
      <c r="A599" s="100"/>
      <c r="B599" s="100"/>
      <c r="C599" s="100"/>
      <c r="D599" s="100"/>
      <c r="E599" s="100"/>
      <c r="F599" s="100"/>
      <c r="G599" s="100"/>
      <c r="H599" s="100"/>
    </row>
    <row r="601" customFormat="false" ht="18.75" hidden="false" customHeight="true" outlineLevel="0" collapsed="false">
      <c r="A601" s="101" t="str">
        <f aca="false">Übungen!$A$8</f>
        <v>Reverse V-Squat</v>
      </c>
      <c r="B601" s="101"/>
      <c r="C601" s="101"/>
      <c r="D601" s="101"/>
      <c r="E601" s="101"/>
      <c r="F601" s="101"/>
      <c r="G601" s="101"/>
      <c r="H601" s="101"/>
      <c r="I601" s="101"/>
    </row>
    <row r="602" customFormat="false" ht="13.5" hidden="false" customHeight="true" outlineLevel="0" collapsed="false">
      <c r="A602"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602" s="102"/>
      <c r="C602" s="102"/>
      <c r="D602" s="102"/>
      <c r="E602" s="102"/>
      <c r="F602" s="102"/>
      <c r="G602" s="102"/>
      <c r="H602" s="102"/>
      <c r="I602" s="102"/>
    </row>
    <row r="603" customFormat="false" ht="13.5" hidden="false" customHeight="true" outlineLevel="0" collapsed="false">
      <c r="A603"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603" s="103"/>
      <c r="C603" s="103"/>
      <c r="D603" s="103"/>
      <c r="E603" s="103"/>
      <c r="F603" s="103"/>
      <c r="G603" s="103"/>
      <c r="H603" s="103"/>
      <c r="I603" s="103"/>
    </row>
    <row r="604" customFormat="false" ht="18" hidden="false" customHeight="true" outlineLevel="0" collapsed="false">
      <c r="A604" s="104" t="s">
        <v>473</v>
      </c>
      <c r="B604" s="104" t="s">
        <v>474</v>
      </c>
      <c r="C604" s="104" t="s">
        <v>475</v>
      </c>
      <c r="D604" s="104" t="s">
        <v>476</v>
      </c>
      <c r="E604" s="104" t="s">
        <v>477</v>
      </c>
      <c r="F604" s="104" t="s">
        <v>374</v>
      </c>
      <c r="G604" s="104" t="s">
        <v>48</v>
      </c>
      <c r="H604" s="104" t="s">
        <v>478</v>
      </c>
      <c r="I604" s="104" t="s">
        <v>255</v>
      </c>
    </row>
    <row r="605" customFormat="false" ht="18" hidden="false" customHeight="true" outlineLevel="0" collapsed="false">
      <c r="A605" s="105" t="n">
        <v>1</v>
      </c>
      <c r="B605" s="106" t="s">
        <v>479</v>
      </c>
      <c r="C605" s="107" t="n">
        <f aca="false">IF(OR(FALSE(),Übungen!$L$8="pause"),"",IF(IFERROR(INDEX(Rekorde!$O$4:$O$23,MATCH(Übungen!$A$8,Rekorde!$A$4:$A$23,0)),"")="","",ROUND(IFERROR(INDEX(Rekorde!$O$4:$O$23,MATCH(Übungen!$A$8,Rekorde!$A$4:$A$23,0)),"")*0.4*2,0)/2))</f>
        <v>86</v>
      </c>
      <c r="D605" s="108"/>
      <c r="E605" s="109"/>
      <c r="F605" s="109"/>
      <c r="G605" s="109"/>
      <c r="H605" s="109"/>
      <c r="I605" s="109"/>
    </row>
    <row r="606" customFormat="false" ht="18" hidden="false" customHeight="true" outlineLevel="0" collapsed="false">
      <c r="A606" s="105" t="n">
        <v>2</v>
      </c>
      <c r="B606" s="106" t="s">
        <v>480</v>
      </c>
      <c r="C606" s="107" t="n">
        <f aca="false">IF(OR(FALSE(),Übungen!$L$8="pause"),"",IF(IFERROR(INDEX(Rekorde!$O$4:$O$23,MATCH(Übungen!$A$8,Rekorde!$A$4:$A$23,0)),"")="","",ROUND(IFERROR(INDEX(Rekorde!$O$4:$O$23,MATCH(Übungen!$A$8,Rekorde!$A$4:$A$23,0)),"")*0.7*2,0)/2))</f>
        <v>150.5</v>
      </c>
      <c r="D606" s="108"/>
      <c r="E606" s="109"/>
      <c r="F606" s="109"/>
      <c r="G606" s="109"/>
      <c r="H606" s="109"/>
      <c r="I606" s="109"/>
    </row>
    <row r="607" customFormat="false" ht="18" hidden="false" customHeight="true" outlineLevel="0" collapsed="false">
      <c r="A607" s="105" t="n">
        <v>3</v>
      </c>
      <c r="B607" s="110" t="s">
        <v>481</v>
      </c>
      <c r="C607" s="111" t="n">
        <f aca="false">IF(OR(FALSE(),Übungen!$L$8="pause"),"",IF(IFERROR(INDEX(Rekorde!$O$4:$O$23,MATCH(Übungen!$A$8,Rekorde!$A$4:$A$23,0)),"")="","",ROUND(IFERROR(INDEX(Rekorde!$O$4:$O$23,MATCH(Übungen!$A$8,Rekorde!$A$4:$A$23,0)),"")*1*2,0)/2))</f>
        <v>215</v>
      </c>
      <c r="D607" s="112" t="n">
        <f aca="false">IF(OR(FALSE(),Übungen!$L$8="pause"),"",IF(IFERROR(INDEX(Rekorde!$P$4:$P$23,MATCH(Übungen!$A$8,Rekorde!$A$4:$A$23,0)),"")="","",MIN(Übungen!$E$8,IFERROR(INDEX(Rekorde!$P$4:$P$23,MATCH(Übungen!$A$8,Rekorde!$A$4:$A$23,0)),"")+0)))</f>
        <v>6</v>
      </c>
      <c r="E607" s="109"/>
      <c r="F607" s="109"/>
      <c r="G607" s="109"/>
      <c r="H607" s="109"/>
      <c r="I607" s="109"/>
    </row>
    <row r="608" customFormat="false" ht="18" hidden="false" customHeight="true" outlineLevel="0" collapsed="false">
      <c r="A608" s="105" t="n">
        <v>4</v>
      </c>
      <c r="B608" s="110" t="s">
        <v>482</v>
      </c>
      <c r="C608" s="107" t="n">
        <f aca="false">IF(OR(FALSE(),Übungen!$L$8="pause"),"",IF(IFERROR(INDEX(Rekorde!$O$4:$O$23,MATCH(Übungen!$A$8,Rekorde!$A$4:$A$23,0)),"")="","",ROUND(IFERROR(INDEX(Rekorde!$O$4:$O$23,MATCH(Übungen!$A$8,Rekorde!$A$4:$A$23,0)),"")*0.95*2,0)/2))</f>
        <v>204.5</v>
      </c>
      <c r="D608" s="112" t="n">
        <f aca="false">IF(OR(FALSE(),Übungen!$L$8="pause"),"",IF(IFERROR(INDEX(Rekorde!$P$4:$P$23,MATCH(Übungen!$A$8,Rekorde!$A$4:$A$23,0)),"")="","",MIN(Übungen!$E$8,IFERROR(INDEX(Rekorde!$P$4:$P$23,MATCH(Übungen!$A$8,Rekorde!$A$4:$A$23,0)),"")+1)))</f>
        <v>6</v>
      </c>
      <c r="E608" s="109"/>
      <c r="F608" s="109"/>
      <c r="G608" s="109"/>
      <c r="H608" s="109"/>
      <c r="I608" s="109"/>
    </row>
    <row r="609" customFormat="false" ht="18" hidden="false" customHeight="true" outlineLevel="0" collapsed="false">
      <c r="A609" s="105" t="n">
        <v>5</v>
      </c>
      <c r="B609" s="110" t="s">
        <v>483</v>
      </c>
      <c r="C609" s="107" t="n">
        <f aca="false">IF(OR(FALSE(),Übungen!$L$8="pause"),"",IF(IFERROR(INDEX(Rekorde!$O$4:$O$23,MATCH(Übungen!$A$8,Rekorde!$A$4:$A$23,0)),"")="","",ROUND(IFERROR(INDEX(Rekorde!$O$4:$O$23,MATCH(Übungen!$A$8,Rekorde!$A$4:$A$23,0)),"")*0.9*2,0)/2))</f>
        <v>193.5</v>
      </c>
      <c r="D609" s="112" t="n">
        <f aca="false">IF(OR(FALSE(),Übungen!$L$8="pause"),"",IF(IFERROR(INDEX(Rekorde!$P$4:$P$23,MATCH(Übungen!$A$8,Rekorde!$A$4:$A$23,0)),"")="","",MIN(Übungen!$E$8,IFERROR(INDEX(Rekorde!$P$4:$P$23,MATCH(Übungen!$A$8,Rekorde!$A$4:$A$23,0)),"")+2)))</f>
        <v>6</v>
      </c>
      <c r="E609" s="109"/>
      <c r="F609" s="109"/>
      <c r="G609" s="109"/>
      <c r="H609" s="109"/>
      <c r="I609" s="109"/>
    </row>
    <row r="611" customFormat="false" ht="18.75" hidden="false" customHeight="true" outlineLevel="0" collapsed="false">
      <c r="A611" s="101" t="str">
        <f aca="false">Übungen!$A$9</f>
        <v>Rumänisches Kreuzheben</v>
      </c>
      <c r="B611" s="101"/>
      <c r="C611" s="101"/>
      <c r="D611" s="101"/>
      <c r="E611" s="101"/>
      <c r="F611" s="101"/>
      <c r="G611" s="101"/>
      <c r="H611" s="101"/>
      <c r="I611" s="101"/>
    </row>
    <row r="612" customFormat="false" ht="13.5" hidden="false" customHeight="true" outlineLevel="0" collapsed="false">
      <c r="A612"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2"/>
      <c r="C612" s="102"/>
      <c r="D612" s="102"/>
      <c r="E612" s="102"/>
      <c r="F612" s="102"/>
      <c r="G612" s="102"/>
      <c r="H612" s="102"/>
      <c r="I612" s="102"/>
    </row>
    <row r="613" customFormat="false" ht="13.5" hidden="false" customHeight="true" outlineLevel="0" collapsed="false">
      <c r="A613"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13" s="103"/>
      <c r="C613" s="103"/>
      <c r="D613" s="103"/>
      <c r="E613" s="103"/>
      <c r="F613" s="103"/>
      <c r="G613" s="103"/>
      <c r="H613" s="103"/>
      <c r="I613" s="103"/>
    </row>
    <row r="614" customFormat="false" ht="18" hidden="false" customHeight="true" outlineLevel="0" collapsed="false">
      <c r="A614" s="104" t="s">
        <v>473</v>
      </c>
      <c r="B614" s="104" t="s">
        <v>474</v>
      </c>
      <c r="C614" s="104" t="s">
        <v>475</v>
      </c>
      <c r="D614" s="104" t="s">
        <v>476</v>
      </c>
      <c r="E614" s="104" t="s">
        <v>477</v>
      </c>
      <c r="F614" s="104" t="s">
        <v>374</v>
      </c>
      <c r="G614" s="104" t="s">
        <v>48</v>
      </c>
      <c r="H614" s="104" t="s">
        <v>478</v>
      </c>
      <c r="I614" s="104" t="s">
        <v>255</v>
      </c>
    </row>
    <row r="615" customFormat="false" ht="18" hidden="false" customHeight="true" outlineLevel="0" collapsed="false">
      <c r="A615" s="105" t="n">
        <v>1</v>
      </c>
      <c r="B615" s="106" t="s">
        <v>479</v>
      </c>
      <c r="C615" s="107" t="str">
        <f aca="false">IF(OR(FALSE(),Übungen!$L$9="pause"),"",IF(IFERROR(INDEX(Rekorde!$O$4:$O$23,MATCH(Übungen!$A$9,Rekorde!$A$4:$A$23,0)),"")="","",ROUND(IFERROR(INDEX(Rekorde!$O$4:$O$23,MATCH(Übungen!$A$9,Rekorde!$A$4:$A$23,0)),"")*0.4*2,0)/2))</f>
        <v/>
      </c>
      <c r="D615" s="108"/>
      <c r="E615" s="109"/>
      <c r="F615" s="109"/>
      <c r="G615" s="109"/>
      <c r="H615" s="109"/>
      <c r="I615" s="109"/>
    </row>
    <row r="616" customFormat="false" ht="18" hidden="false" customHeight="true" outlineLevel="0" collapsed="false">
      <c r="A616" s="105" t="n">
        <v>2</v>
      </c>
      <c r="B616" s="106" t="s">
        <v>480</v>
      </c>
      <c r="C616" s="107" t="str">
        <f aca="false">IF(OR(FALSE(),Übungen!$L$9="pause"),"",IF(IFERROR(INDEX(Rekorde!$O$4:$O$23,MATCH(Übungen!$A$9,Rekorde!$A$4:$A$23,0)),"")="","",ROUND(IFERROR(INDEX(Rekorde!$O$4:$O$23,MATCH(Übungen!$A$9,Rekorde!$A$4:$A$23,0)),"")*0.7*2,0)/2))</f>
        <v/>
      </c>
      <c r="D616" s="108"/>
      <c r="E616" s="109"/>
      <c r="F616" s="109"/>
      <c r="G616" s="109"/>
      <c r="H616" s="109"/>
      <c r="I616" s="109"/>
    </row>
    <row r="617" customFormat="false" ht="18" hidden="false" customHeight="true" outlineLevel="0" collapsed="false">
      <c r="A617" s="105" t="n">
        <v>3</v>
      </c>
      <c r="B617" s="110" t="s">
        <v>481</v>
      </c>
      <c r="C617" s="111" t="str">
        <f aca="false">IF(OR(FALSE(),Übungen!$L$9="pause"),"",IF(IFERROR(INDEX(Rekorde!$O$4:$O$23,MATCH(Übungen!$A$9,Rekorde!$A$4:$A$23,0)),"")="","",ROUND(IFERROR(INDEX(Rekorde!$O$4:$O$23,MATCH(Übungen!$A$9,Rekorde!$A$4:$A$23,0)),"")*1*2,0)/2))</f>
        <v/>
      </c>
      <c r="D617" s="112" t="str">
        <f aca="false">IF(OR(FALSE(),Übungen!$L$9="pause"),"",IF(IFERROR(INDEX(Rekorde!$P$4:$P$23,MATCH(Übungen!$A$9,Rekorde!$A$4:$A$23,0)),"")="","",MIN(Übungen!$E$9,IFERROR(INDEX(Rekorde!$P$4:$P$23,MATCH(Übungen!$A$9,Rekorde!$A$4:$A$23,0)),"")+0)))</f>
        <v/>
      </c>
      <c r="E617" s="109"/>
      <c r="F617" s="109"/>
      <c r="G617" s="109"/>
      <c r="H617" s="109"/>
      <c r="I617" s="109"/>
    </row>
    <row r="618" customFormat="false" ht="18" hidden="false" customHeight="true" outlineLevel="0" collapsed="false">
      <c r="A618" s="105" t="n">
        <v>4</v>
      </c>
      <c r="B618" s="110" t="s">
        <v>482</v>
      </c>
      <c r="C618" s="107" t="str">
        <f aca="false">IF(OR(FALSE(),Übungen!$L$9="pause"),"",IF(IFERROR(INDEX(Rekorde!$O$4:$O$23,MATCH(Übungen!$A$9,Rekorde!$A$4:$A$23,0)),"")="","",ROUND(IFERROR(INDEX(Rekorde!$O$4:$O$23,MATCH(Übungen!$A$9,Rekorde!$A$4:$A$23,0)),"")*0.95*2,0)/2))</f>
        <v/>
      </c>
      <c r="D618" s="112" t="str">
        <f aca="false">IF(OR(FALSE(),Übungen!$L$9="pause"),"",IF(IFERROR(INDEX(Rekorde!$P$4:$P$23,MATCH(Übungen!$A$9,Rekorde!$A$4:$A$23,0)),"")="","",MIN(Übungen!$E$9,IFERROR(INDEX(Rekorde!$P$4:$P$23,MATCH(Übungen!$A$9,Rekorde!$A$4:$A$23,0)),"")+1)))</f>
        <v/>
      </c>
      <c r="E618" s="109"/>
      <c r="F618" s="109"/>
      <c r="G618" s="109"/>
      <c r="H618" s="109"/>
      <c r="I618" s="109"/>
    </row>
    <row r="619" customFormat="false" ht="18" hidden="false" customHeight="true" outlineLevel="0" collapsed="false">
      <c r="A619" s="105" t="n">
        <v>5</v>
      </c>
      <c r="B619" s="110" t="s">
        <v>483</v>
      </c>
      <c r="C619" s="107" t="str">
        <f aca="false">IF(OR(FALSE(),Übungen!$L$9="pause"),"",IF(IFERROR(INDEX(Rekorde!$O$4:$O$23,MATCH(Übungen!$A$9,Rekorde!$A$4:$A$23,0)),"")="","",ROUND(IFERROR(INDEX(Rekorde!$O$4:$O$23,MATCH(Übungen!$A$9,Rekorde!$A$4:$A$23,0)),"")*0.9*2,0)/2))</f>
        <v/>
      </c>
      <c r="D619" s="112" t="str">
        <f aca="false">IF(OR(FALSE(),Übungen!$L$9="pause"),"",IF(IFERROR(INDEX(Rekorde!$P$4:$P$23,MATCH(Übungen!$A$9,Rekorde!$A$4:$A$23,0)),"")="","",MIN(Übungen!$E$9,IFERROR(INDEX(Rekorde!$P$4:$P$23,MATCH(Übungen!$A$9,Rekorde!$A$4:$A$23,0)),"")+2)))</f>
        <v/>
      </c>
      <c r="E619" s="109"/>
      <c r="F619" s="109"/>
      <c r="G619" s="109"/>
      <c r="H619" s="109"/>
      <c r="I619" s="109"/>
    </row>
    <row r="621" customFormat="false" ht="18.75" hidden="false" customHeight="true" outlineLevel="0" collapsed="false">
      <c r="A621" s="101" t="str">
        <f aca="false">Übungen!$A$10</f>
        <v>Rumänisches Kreuzheben KH</v>
      </c>
      <c r="B621" s="101"/>
      <c r="C621" s="101"/>
      <c r="D621" s="101"/>
      <c r="E621" s="101"/>
      <c r="F621" s="101"/>
      <c r="G621" s="101"/>
      <c r="H621" s="101"/>
      <c r="I621" s="101"/>
    </row>
    <row r="622" customFormat="false" ht="13.5" hidden="false" customHeight="true" outlineLevel="0" collapsed="false">
      <c r="A622"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622" s="102"/>
      <c r="C622" s="102"/>
      <c r="D622" s="102"/>
      <c r="E622" s="102"/>
      <c r="F622" s="102"/>
      <c r="G622" s="102"/>
      <c r="H622" s="102"/>
      <c r="I622" s="102"/>
    </row>
    <row r="623" customFormat="false" ht="13.5" hidden="false" customHeight="true" outlineLevel="0" collapsed="false">
      <c r="A623"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623" s="103"/>
      <c r="C623" s="103"/>
      <c r="D623" s="103"/>
      <c r="E623" s="103"/>
      <c r="F623" s="103"/>
      <c r="G623" s="103"/>
      <c r="H623" s="103"/>
      <c r="I623" s="103"/>
    </row>
    <row r="624" customFormat="false" ht="18" hidden="false" customHeight="true" outlineLevel="0" collapsed="false">
      <c r="A624" s="104" t="s">
        <v>473</v>
      </c>
      <c r="B624" s="104" t="s">
        <v>474</v>
      </c>
      <c r="C624" s="104" t="s">
        <v>475</v>
      </c>
      <c r="D624" s="104" t="s">
        <v>476</v>
      </c>
      <c r="E624" s="104" t="s">
        <v>477</v>
      </c>
      <c r="F624" s="104" t="s">
        <v>374</v>
      </c>
      <c r="G624" s="104" t="s">
        <v>48</v>
      </c>
      <c r="H624" s="104" t="s">
        <v>478</v>
      </c>
      <c r="I624" s="104" t="s">
        <v>255</v>
      </c>
    </row>
    <row r="625" customFormat="false" ht="18" hidden="false" customHeight="true" outlineLevel="0" collapsed="false">
      <c r="A625" s="105" t="n">
        <v>1</v>
      </c>
      <c r="B625" s="106" t="s">
        <v>479</v>
      </c>
      <c r="C625" s="107" t="n">
        <f aca="false">IF(OR(FALSE(),Übungen!$L$10="pause"),"",IF(IFERROR(INDEX(Rekorde!$O$4:$O$23,MATCH(Übungen!$A$10,Rekorde!$A$4:$A$23,0)),"")="","",ROUND(IFERROR(INDEX(Rekorde!$O$4:$O$23,MATCH(Übungen!$A$10,Rekorde!$A$4:$A$23,0)),"")*0.4*2,0)/2))</f>
        <v>13.5</v>
      </c>
      <c r="D625" s="108"/>
      <c r="E625" s="109"/>
      <c r="F625" s="109"/>
      <c r="G625" s="109"/>
      <c r="H625" s="109"/>
      <c r="I625" s="109"/>
    </row>
    <row r="626" customFormat="false" ht="18" hidden="false" customHeight="true" outlineLevel="0" collapsed="false">
      <c r="A626" s="105" t="n">
        <v>2</v>
      </c>
      <c r="B626" s="106" t="s">
        <v>480</v>
      </c>
      <c r="C626" s="107" t="n">
        <f aca="false">IF(OR(FALSE(),Übungen!$L$10="pause"),"",IF(IFERROR(INDEX(Rekorde!$O$4:$O$23,MATCH(Übungen!$A$10,Rekorde!$A$4:$A$23,0)),"")="","",ROUND(IFERROR(INDEX(Rekorde!$O$4:$O$23,MATCH(Übungen!$A$10,Rekorde!$A$4:$A$23,0)),"")*0.7*2,0)/2))</f>
        <v>24</v>
      </c>
      <c r="D626" s="108"/>
      <c r="E626" s="109"/>
      <c r="F626" s="109"/>
      <c r="G626" s="109"/>
      <c r="H626" s="109"/>
      <c r="I626" s="109"/>
    </row>
    <row r="627" customFormat="false" ht="18" hidden="false" customHeight="true" outlineLevel="0" collapsed="false">
      <c r="A627" s="105" t="n">
        <v>3</v>
      </c>
      <c r="B627" s="110" t="s">
        <v>481</v>
      </c>
      <c r="C627" s="111" t="n">
        <f aca="false">IF(OR(FALSE(),Übungen!$L$10="pause"),"",IF(IFERROR(INDEX(Rekorde!$O$4:$O$23,MATCH(Übungen!$A$10,Rekorde!$A$4:$A$23,0)),"")="","",ROUND(IFERROR(INDEX(Rekorde!$O$4:$O$23,MATCH(Übungen!$A$10,Rekorde!$A$4:$A$23,0)),"")*1*2,0)/2))</f>
        <v>34</v>
      </c>
      <c r="D627" s="112" t="n">
        <f aca="false">IF(OR(FALSE(),Übungen!$L$10="pause"),"",IF(IFERROR(INDEX(Rekorde!$P$4:$P$23,MATCH(Übungen!$A$10,Rekorde!$A$4:$A$23,0)),"")="","",MIN(Übungen!$E$10,IFERROR(INDEX(Rekorde!$P$4:$P$23,MATCH(Übungen!$A$10,Rekorde!$A$4:$A$23,0)),"")+0)))</f>
        <v>6</v>
      </c>
      <c r="E627" s="109"/>
      <c r="F627" s="109"/>
      <c r="G627" s="109"/>
      <c r="H627" s="109"/>
      <c r="I627" s="109"/>
    </row>
    <row r="628" customFormat="false" ht="18" hidden="false" customHeight="true" outlineLevel="0" collapsed="false">
      <c r="A628" s="105" t="n">
        <v>4</v>
      </c>
      <c r="B628" s="110" t="s">
        <v>482</v>
      </c>
      <c r="C628" s="107" t="n">
        <f aca="false">IF(OR(FALSE(),Übungen!$L$10="pause"),"",IF(IFERROR(INDEX(Rekorde!$O$4:$O$23,MATCH(Übungen!$A$10,Rekorde!$A$4:$A$23,0)),"")="","",ROUND(IFERROR(INDEX(Rekorde!$O$4:$O$23,MATCH(Übungen!$A$10,Rekorde!$A$4:$A$23,0)),"")*0.95*2,0)/2))</f>
        <v>32.5</v>
      </c>
      <c r="D628" s="112" t="n">
        <f aca="false">IF(OR(FALSE(),Übungen!$L$10="pause"),"",IF(IFERROR(INDEX(Rekorde!$P$4:$P$23,MATCH(Übungen!$A$10,Rekorde!$A$4:$A$23,0)),"")="","",MIN(Übungen!$E$10,IFERROR(INDEX(Rekorde!$P$4:$P$23,MATCH(Übungen!$A$10,Rekorde!$A$4:$A$23,0)),"")+1)))</f>
        <v>6</v>
      </c>
      <c r="E628" s="109"/>
      <c r="F628" s="109"/>
      <c r="G628" s="109"/>
      <c r="H628" s="109"/>
      <c r="I628" s="109"/>
    </row>
    <row r="629" customFormat="false" ht="18" hidden="false" customHeight="true" outlineLevel="0" collapsed="false">
      <c r="A629" s="105" t="n">
        <v>5</v>
      </c>
      <c r="B629" s="110" t="s">
        <v>483</v>
      </c>
      <c r="C629" s="107" t="n">
        <f aca="false">IF(OR(FALSE(),Übungen!$L$10="pause"),"",IF(IFERROR(INDEX(Rekorde!$O$4:$O$23,MATCH(Übungen!$A$10,Rekorde!$A$4:$A$23,0)),"")="","",ROUND(IFERROR(INDEX(Rekorde!$O$4:$O$23,MATCH(Übungen!$A$10,Rekorde!$A$4:$A$23,0)),"")*0.9*2,0)/2))</f>
        <v>30.5</v>
      </c>
      <c r="D629" s="112" t="n">
        <f aca="false">IF(OR(FALSE(),Übungen!$L$10="pause"),"",IF(IFERROR(INDEX(Rekorde!$P$4:$P$23,MATCH(Übungen!$A$10,Rekorde!$A$4:$A$23,0)),"")="","",MIN(Übungen!$E$10,IFERROR(INDEX(Rekorde!$P$4:$P$23,MATCH(Übungen!$A$10,Rekorde!$A$4:$A$23,0)),"")+2)))</f>
        <v>6</v>
      </c>
      <c r="E629" s="109"/>
      <c r="F629" s="109"/>
      <c r="G629" s="109"/>
      <c r="H629" s="109"/>
      <c r="I629" s="109"/>
    </row>
    <row r="631" customFormat="false" ht="18.75" hidden="false" customHeight="true" outlineLevel="0" collapsed="false">
      <c r="A631" s="101" t="str">
        <f aca="false">Übungen!$A$11</f>
        <v>Beinpresse breit</v>
      </c>
      <c r="B631" s="101"/>
      <c r="C631" s="101"/>
      <c r="D631" s="101"/>
      <c r="E631" s="101"/>
      <c r="F631" s="101"/>
      <c r="G631" s="101"/>
      <c r="H631" s="101"/>
      <c r="I631" s="101"/>
    </row>
    <row r="632" customFormat="false" ht="13.5" hidden="false" customHeight="true" outlineLevel="0" collapsed="false">
      <c r="A632"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632" s="102"/>
      <c r="C632" s="102"/>
      <c r="D632" s="102"/>
      <c r="E632" s="102"/>
      <c r="F632" s="102"/>
      <c r="G632" s="102"/>
      <c r="H632" s="102"/>
      <c r="I632" s="102"/>
    </row>
    <row r="633" customFormat="false" ht="13.5" hidden="false" customHeight="true" outlineLevel="0" collapsed="false">
      <c r="A633"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633" s="103"/>
      <c r="C633" s="103"/>
      <c r="D633" s="103"/>
      <c r="E633" s="103"/>
      <c r="F633" s="103"/>
      <c r="G633" s="103"/>
      <c r="H633" s="103"/>
      <c r="I633" s="103"/>
    </row>
    <row r="634" customFormat="false" ht="18" hidden="false" customHeight="true" outlineLevel="0" collapsed="false">
      <c r="A634" s="104" t="s">
        <v>473</v>
      </c>
      <c r="B634" s="104" t="s">
        <v>474</v>
      </c>
      <c r="C634" s="104" t="s">
        <v>475</v>
      </c>
      <c r="D634" s="104" t="s">
        <v>476</v>
      </c>
      <c r="E634" s="104" t="s">
        <v>477</v>
      </c>
      <c r="F634" s="104" t="s">
        <v>374</v>
      </c>
      <c r="G634" s="104" t="s">
        <v>48</v>
      </c>
      <c r="H634" s="104" t="s">
        <v>478</v>
      </c>
      <c r="I634" s="104" t="s">
        <v>255</v>
      </c>
    </row>
    <row r="635" customFormat="false" ht="18" hidden="false" customHeight="true" outlineLevel="0" collapsed="false">
      <c r="A635" s="105" t="n">
        <v>1</v>
      </c>
      <c r="B635" s="106" t="s">
        <v>479</v>
      </c>
      <c r="C635" s="107" t="n">
        <f aca="false">IF(OR(FALSE(),Übungen!$L$11="pause"),"",IF(IFERROR(INDEX(Rekorde!$O$4:$O$23,MATCH(Übungen!$A$11,Rekorde!$A$4:$A$23,0)),"")="","",ROUND(IFERROR(INDEX(Rekorde!$O$4:$O$23,MATCH(Übungen!$A$11,Rekorde!$A$4:$A$23,0)),"")*0.4*2,0)/2))</f>
        <v>88</v>
      </c>
      <c r="D635" s="108"/>
      <c r="E635" s="109"/>
      <c r="F635" s="109"/>
      <c r="G635" s="109"/>
      <c r="H635" s="109"/>
      <c r="I635" s="109"/>
    </row>
    <row r="636" customFormat="false" ht="18" hidden="false" customHeight="true" outlineLevel="0" collapsed="false">
      <c r="A636" s="105" t="n">
        <v>2</v>
      </c>
      <c r="B636" s="106" t="s">
        <v>480</v>
      </c>
      <c r="C636" s="107" t="n">
        <f aca="false">IF(OR(FALSE(),Übungen!$L$11="pause"),"",IF(IFERROR(INDEX(Rekorde!$O$4:$O$23,MATCH(Übungen!$A$11,Rekorde!$A$4:$A$23,0)),"")="","",ROUND(IFERROR(INDEX(Rekorde!$O$4:$O$23,MATCH(Übungen!$A$11,Rekorde!$A$4:$A$23,0)),"")*0.7*2,0)/2))</f>
        <v>154</v>
      </c>
      <c r="D636" s="108"/>
      <c r="E636" s="109"/>
      <c r="F636" s="109"/>
      <c r="G636" s="109"/>
      <c r="H636" s="109"/>
      <c r="I636" s="109"/>
    </row>
    <row r="637" customFormat="false" ht="18" hidden="false" customHeight="true" outlineLevel="0" collapsed="false">
      <c r="A637" s="105" t="n">
        <v>3</v>
      </c>
      <c r="B637" s="110" t="s">
        <v>481</v>
      </c>
      <c r="C637" s="111" t="n">
        <f aca="false">IF(OR(FALSE(),Übungen!$L$11="pause"),"",IF(IFERROR(INDEX(Rekorde!$O$4:$O$23,MATCH(Übungen!$A$11,Rekorde!$A$4:$A$23,0)),"")="","",ROUND(IFERROR(INDEX(Rekorde!$O$4:$O$23,MATCH(Übungen!$A$11,Rekorde!$A$4:$A$23,0)),"")*1*2,0)/2))</f>
        <v>220</v>
      </c>
      <c r="D637" s="112" t="n">
        <f aca="false">IF(OR(FALSE(),Übungen!$L$11="pause"),"",IF(IFERROR(INDEX(Rekorde!$P$4:$P$23,MATCH(Übungen!$A$11,Rekorde!$A$4:$A$23,0)),"")="","",MIN(Übungen!$E$11,IFERROR(INDEX(Rekorde!$P$4:$P$23,MATCH(Übungen!$A$11,Rekorde!$A$4:$A$23,0)),"")+0)))</f>
        <v>5</v>
      </c>
      <c r="E637" s="109"/>
      <c r="F637" s="109"/>
      <c r="G637" s="109"/>
      <c r="H637" s="109"/>
      <c r="I637" s="109"/>
    </row>
    <row r="638" customFormat="false" ht="18" hidden="false" customHeight="true" outlineLevel="0" collapsed="false">
      <c r="A638" s="105" t="n">
        <v>4</v>
      </c>
      <c r="B638" s="110" t="s">
        <v>482</v>
      </c>
      <c r="C638" s="107" t="n">
        <f aca="false">IF(OR(FALSE(),Übungen!$L$11="pause"),"",IF(IFERROR(INDEX(Rekorde!$O$4:$O$23,MATCH(Übungen!$A$11,Rekorde!$A$4:$A$23,0)),"")="","",ROUND(IFERROR(INDEX(Rekorde!$O$4:$O$23,MATCH(Übungen!$A$11,Rekorde!$A$4:$A$23,0)),"")*0.95*2,0)/2))</f>
        <v>209</v>
      </c>
      <c r="D638" s="112" t="n">
        <f aca="false">IF(OR(FALSE(),Übungen!$L$11="pause"),"",IF(IFERROR(INDEX(Rekorde!$P$4:$P$23,MATCH(Übungen!$A$11,Rekorde!$A$4:$A$23,0)),"")="","",MIN(Übungen!$E$11,IFERROR(INDEX(Rekorde!$P$4:$P$23,MATCH(Übungen!$A$11,Rekorde!$A$4:$A$23,0)),"")+1)))</f>
        <v>6</v>
      </c>
      <c r="E638" s="109"/>
      <c r="F638" s="109"/>
      <c r="G638" s="109"/>
      <c r="H638" s="109"/>
      <c r="I638" s="109"/>
    </row>
    <row r="639" customFormat="false" ht="18" hidden="false" customHeight="true" outlineLevel="0" collapsed="false">
      <c r="A639" s="105" t="n">
        <v>5</v>
      </c>
      <c r="B639" s="110" t="s">
        <v>483</v>
      </c>
      <c r="C639" s="107" t="n">
        <f aca="false">IF(OR(FALSE(),Übungen!$L$11="pause"),"",IF(IFERROR(INDEX(Rekorde!$O$4:$O$23,MATCH(Übungen!$A$11,Rekorde!$A$4:$A$23,0)),"")="","",ROUND(IFERROR(INDEX(Rekorde!$O$4:$O$23,MATCH(Übungen!$A$11,Rekorde!$A$4:$A$23,0)),"")*0.9*2,0)/2))</f>
        <v>198</v>
      </c>
      <c r="D639" s="112" t="n">
        <f aca="false">IF(OR(FALSE(),Übungen!$L$11="pause"),"",IF(IFERROR(INDEX(Rekorde!$P$4:$P$23,MATCH(Übungen!$A$11,Rekorde!$A$4:$A$23,0)),"")="","",MIN(Übungen!$E$11,IFERROR(INDEX(Rekorde!$P$4:$P$23,MATCH(Übungen!$A$11,Rekorde!$A$4:$A$23,0)),"")+2)))</f>
        <v>6</v>
      </c>
      <c r="E639" s="109"/>
      <c r="F639" s="109"/>
      <c r="G639" s="109"/>
      <c r="H639" s="109"/>
      <c r="I639" s="109"/>
    </row>
    <row r="641" customFormat="false" ht="18.75" hidden="false" customHeight="true" outlineLevel="0" collapsed="false">
      <c r="A641" s="101" t="str">
        <f aca="false">Übungen!$A$12</f>
        <v>Hip Thrust</v>
      </c>
      <c r="B641" s="101"/>
      <c r="C641" s="101"/>
      <c r="D641" s="101"/>
      <c r="E641" s="101"/>
      <c r="F641" s="101"/>
      <c r="G641" s="101"/>
      <c r="H641" s="101"/>
      <c r="I641" s="101"/>
    </row>
    <row r="642" customFormat="false" ht="13.5" hidden="false" customHeight="true" outlineLevel="0" collapsed="false">
      <c r="A642"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642" s="102"/>
      <c r="C642" s="102"/>
      <c r="D642" s="102"/>
      <c r="E642" s="102"/>
      <c r="F642" s="102"/>
      <c r="G642" s="102"/>
      <c r="H642" s="102"/>
      <c r="I642" s="102"/>
    </row>
    <row r="643" customFormat="false" ht="13.5" hidden="false" customHeight="true" outlineLevel="0" collapsed="false">
      <c r="A643"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643" s="103"/>
      <c r="C643" s="103"/>
      <c r="D643" s="103"/>
      <c r="E643" s="103"/>
      <c r="F643" s="103"/>
      <c r="G643" s="103"/>
      <c r="H643" s="103"/>
      <c r="I643" s="103"/>
    </row>
    <row r="644" customFormat="false" ht="18" hidden="false" customHeight="true" outlineLevel="0" collapsed="false">
      <c r="A644" s="104" t="s">
        <v>473</v>
      </c>
      <c r="B644" s="104" t="s">
        <v>474</v>
      </c>
      <c r="C644" s="104" t="s">
        <v>475</v>
      </c>
      <c r="D644" s="104" t="s">
        <v>476</v>
      </c>
      <c r="E644" s="104" t="s">
        <v>477</v>
      </c>
      <c r="F644" s="104" t="s">
        <v>374</v>
      </c>
      <c r="G644" s="104" t="s">
        <v>48</v>
      </c>
      <c r="H644" s="104" t="s">
        <v>478</v>
      </c>
      <c r="I644" s="104" t="s">
        <v>255</v>
      </c>
    </row>
    <row r="645" customFormat="false" ht="18" hidden="false" customHeight="true" outlineLevel="0" collapsed="false">
      <c r="A645" s="105" t="n">
        <v>1</v>
      </c>
      <c r="B645" s="106" t="s">
        <v>479</v>
      </c>
      <c r="C645" s="107" t="n">
        <f aca="false">IF(OR(FALSE(),Übungen!$L$12="pause"),"",IF(IFERROR(INDEX(Rekorde!$O$4:$O$23,MATCH(Übungen!$A$12,Rekorde!$A$4:$A$23,0)),"")="","",ROUND(IFERROR(INDEX(Rekorde!$O$4:$O$23,MATCH(Übungen!$A$12,Rekorde!$A$4:$A$23,0)),"")*0.4*2,0)/2))</f>
        <v>114</v>
      </c>
      <c r="D645" s="108"/>
      <c r="E645" s="109"/>
      <c r="F645" s="109"/>
      <c r="G645" s="109"/>
      <c r="H645" s="109"/>
      <c r="I645" s="109"/>
    </row>
    <row r="646" customFormat="false" ht="18" hidden="false" customHeight="true" outlineLevel="0" collapsed="false">
      <c r="A646" s="105" t="n">
        <v>2</v>
      </c>
      <c r="B646" s="106" t="s">
        <v>480</v>
      </c>
      <c r="C646" s="107" t="n">
        <f aca="false">IF(OR(FALSE(),Übungen!$L$12="pause"),"",IF(IFERROR(INDEX(Rekorde!$O$4:$O$23,MATCH(Übungen!$A$12,Rekorde!$A$4:$A$23,0)),"")="","",ROUND(IFERROR(INDEX(Rekorde!$O$4:$O$23,MATCH(Übungen!$A$12,Rekorde!$A$4:$A$23,0)),"")*0.7*2,0)/2))</f>
        <v>199.5</v>
      </c>
      <c r="D646" s="108"/>
      <c r="E646" s="109"/>
      <c r="F646" s="109"/>
      <c r="G646" s="109"/>
      <c r="H646" s="109"/>
      <c r="I646" s="109"/>
    </row>
    <row r="647" customFormat="false" ht="18" hidden="false" customHeight="true" outlineLevel="0" collapsed="false">
      <c r="A647" s="105" t="n">
        <v>3</v>
      </c>
      <c r="B647" s="110" t="s">
        <v>481</v>
      </c>
      <c r="C647" s="111" t="n">
        <f aca="false">IF(OR(FALSE(),Übungen!$L$12="pause"),"",IF(IFERROR(INDEX(Rekorde!$O$4:$O$23,MATCH(Übungen!$A$12,Rekorde!$A$4:$A$23,0)),"")="","",ROUND(IFERROR(INDEX(Rekorde!$O$4:$O$23,MATCH(Übungen!$A$12,Rekorde!$A$4:$A$23,0)),"")*1*2,0)/2))</f>
        <v>285</v>
      </c>
      <c r="D647" s="112" t="n">
        <f aca="false">IF(OR(FALSE(),Übungen!$L$12="pause"),"",IF(IFERROR(INDEX(Rekorde!$P$4:$P$23,MATCH(Übungen!$A$12,Rekorde!$A$4:$A$23,0)),"")="","",MIN(Übungen!$E$12,IFERROR(INDEX(Rekorde!$P$4:$P$23,MATCH(Übungen!$A$12,Rekorde!$A$4:$A$23,0)),"")+0)))</f>
        <v>6</v>
      </c>
      <c r="E647" s="109"/>
      <c r="F647" s="109"/>
      <c r="G647" s="109"/>
      <c r="H647" s="109"/>
      <c r="I647" s="109"/>
    </row>
    <row r="648" customFormat="false" ht="18" hidden="false" customHeight="true" outlineLevel="0" collapsed="false">
      <c r="A648" s="105" t="n">
        <v>4</v>
      </c>
      <c r="B648" s="110" t="s">
        <v>482</v>
      </c>
      <c r="C648" s="107" t="n">
        <f aca="false">IF(OR(FALSE(),Übungen!$L$12="pause"),"",IF(IFERROR(INDEX(Rekorde!$O$4:$O$23,MATCH(Übungen!$A$12,Rekorde!$A$4:$A$23,0)),"")="","",ROUND(IFERROR(INDEX(Rekorde!$O$4:$O$23,MATCH(Übungen!$A$12,Rekorde!$A$4:$A$23,0)),"")*0.95*2,0)/2))</f>
        <v>271</v>
      </c>
      <c r="D648" s="112" t="n">
        <f aca="false">IF(OR(FALSE(),Übungen!$L$12="pause"),"",IF(IFERROR(INDEX(Rekorde!$P$4:$P$23,MATCH(Übungen!$A$12,Rekorde!$A$4:$A$23,0)),"")="","",MIN(Übungen!$E$12,IFERROR(INDEX(Rekorde!$P$4:$P$23,MATCH(Übungen!$A$12,Rekorde!$A$4:$A$23,0)),"")+1)))</f>
        <v>6</v>
      </c>
      <c r="E648" s="109"/>
      <c r="F648" s="109"/>
      <c r="G648" s="109"/>
      <c r="H648" s="109"/>
      <c r="I648" s="109"/>
    </row>
    <row r="649" customFormat="false" ht="18" hidden="false" customHeight="true" outlineLevel="0" collapsed="false">
      <c r="A649" s="105" t="n">
        <v>5</v>
      </c>
      <c r="B649" s="110" t="s">
        <v>483</v>
      </c>
      <c r="C649" s="107" t="n">
        <f aca="false">IF(OR(FALSE(),Übungen!$L$12="pause"),"",IF(IFERROR(INDEX(Rekorde!$O$4:$O$23,MATCH(Übungen!$A$12,Rekorde!$A$4:$A$23,0)),"")="","",ROUND(IFERROR(INDEX(Rekorde!$O$4:$O$23,MATCH(Übungen!$A$12,Rekorde!$A$4:$A$23,0)),"")*0.9*2,0)/2))</f>
        <v>256.5</v>
      </c>
      <c r="D649" s="112" t="n">
        <f aca="false">IF(OR(FALSE(),Übungen!$L$12="pause"),"",IF(IFERROR(INDEX(Rekorde!$P$4:$P$23,MATCH(Übungen!$A$12,Rekorde!$A$4:$A$23,0)),"")="","",MIN(Übungen!$E$12,IFERROR(INDEX(Rekorde!$P$4:$P$23,MATCH(Übungen!$A$12,Rekorde!$A$4:$A$23,0)),"")+2)))</f>
        <v>6</v>
      </c>
      <c r="E649" s="109"/>
      <c r="F649" s="109"/>
      <c r="G649" s="109"/>
      <c r="H649" s="109"/>
      <c r="I649" s="109"/>
    </row>
    <row r="651" customFormat="false" ht="18.75" hidden="false" customHeight="true" outlineLevel="0" collapsed="false">
      <c r="A651" s="101" t="str">
        <f aca="false">Übungen!$A$13</f>
        <v>Hip &amp; Glute</v>
      </c>
      <c r="B651" s="101"/>
      <c r="C651" s="101"/>
      <c r="D651" s="101"/>
      <c r="E651" s="101"/>
      <c r="F651" s="101"/>
      <c r="G651" s="101"/>
      <c r="H651" s="101"/>
      <c r="I651" s="101"/>
    </row>
    <row r="652" customFormat="false" ht="13.5" hidden="false" customHeight="true" outlineLevel="0" collapsed="false">
      <c r="A652"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652" s="102"/>
      <c r="C652" s="102"/>
      <c r="D652" s="102"/>
      <c r="E652" s="102"/>
      <c r="F652" s="102"/>
      <c r="G652" s="102"/>
      <c r="H652" s="102"/>
      <c r="I652" s="102"/>
    </row>
    <row r="653" customFormat="false" ht="13.5" hidden="false" customHeight="true" outlineLevel="0" collapsed="false">
      <c r="A653"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653" s="103"/>
      <c r="C653" s="103"/>
      <c r="D653" s="103"/>
      <c r="E653" s="103"/>
      <c r="F653" s="103"/>
      <c r="G653" s="103"/>
      <c r="H653" s="103"/>
      <c r="I653" s="103"/>
    </row>
    <row r="654" customFormat="false" ht="18" hidden="false" customHeight="true" outlineLevel="0" collapsed="false">
      <c r="A654" s="104" t="s">
        <v>473</v>
      </c>
      <c r="B654" s="104" t="s">
        <v>474</v>
      </c>
      <c r="C654" s="104" t="s">
        <v>475</v>
      </c>
      <c r="D654" s="104" t="s">
        <v>476</v>
      </c>
      <c r="E654" s="104" t="s">
        <v>477</v>
      </c>
      <c r="F654" s="104" t="s">
        <v>374</v>
      </c>
      <c r="G654" s="104" t="s">
        <v>48</v>
      </c>
      <c r="H654" s="104" t="s">
        <v>478</v>
      </c>
      <c r="I654" s="104" t="s">
        <v>255</v>
      </c>
    </row>
    <row r="655" customFormat="false" ht="18" hidden="false" customHeight="true" outlineLevel="0" collapsed="false">
      <c r="A655" s="105" t="n">
        <v>1</v>
      </c>
      <c r="B655" s="106" t="s">
        <v>479</v>
      </c>
      <c r="C655" s="107" t="n">
        <f aca="false">IF(OR(FALSE(),Übungen!$L$13="pause"),"",IF(IFERROR(INDEX(Rekorde!$O$4:$O$23,MATCH(Übungen!$A$13,Rekorde!$A$4:$A$23,0)),"")="","",ROUND(IFERROR(INDEX(Rekorde!$O$4:$O$23,MATCH(Übungen!$A$13,Rekorde!$A$4:$A$23,0)),"")*0.4*2,0)/2))</f>
        <v>68</v>
      </c>
      <c r="D655" s="108"/>
      <c r="E655" s="109"/>
      <c r="F655" s="109"/>
      <c r="G655" s="109"/>
      <c r="H655" s="109"/>
      <c r="I655" s="109"/>
    </row>
    <row r="656" customFormat="false" ht="18" hidden="false" customHeight="true" outlineLevel="0" collapsed="false">
      <c r="A656" s="105" t="n">
        <v>2</v>
      </c>
      <c r="B656" s="106" t="s">
        <v>480</v>
      </c>
      <c r="C656" s="107" t="n">
        <f aca="false">IF(OR(FALSE(),Übungen!$L$13="pause"),"",IF(IFERROR(INDEX(Rekorde!$O$4:$O$23,MATCH(Übungen!$A$13,Rekorde!$A$4:$A$23,0)),"")="","",ROUND(IFERROR(INDEX(Rekorde!$O$4:$O$23,MATCH(Übungen!$A$13,Rekorde!$A$4:$A$23,0)),"")*0.7*2,0)/2))</f>
        <v>119</v>
      </c>
      <c r="D656" s="108"/>
      <c r="E656" s="109"/>
      <c r="F656" s="109"/>
      <c r="G656" s="109"/>
      <c r="H656" s="109"/>
      <c r="I656" s="109"/>
    </row>
    <row r="657" customFormat="false" ht="18" hidden="false" customHeight="true" outlineLevel="0" collapsed="false">
      <c r="A657" s="105" t="n">
        <v>3</v>
      </c>
      <c r="B657" s="110" t="s">
        <v>481</v>
      </c>
      <c r="C657" s="111" t="n">
        <f aca="false">IF(OR(FALSE(),Übungen!$L$13="pause"),"",IF(IFERROR(INDEX(Rekorde!$O$4:$O$23,MATCH(Übungen!$A$13,Rekorde!$A$4:$A$23,0)),"")="","",ROUND(IFERROR(INDEX(Rekorde!$O$4:$O$23,MATCH(Übungen!$A$13,Rekorde!$A$4:$A$23,0)),"")*1*2,0)/2))</f>
        <v>170</v>
      </c>
      <c r="D657" s="112" t="n">
        <f aca="false">IF(OR(FALSE(),Übungen!$L$13="pause"),"",IF(IFERROR(INDEX(Rekorde!$P$4:$P$23,MATCH(Übungen!$A$13,Rekorde!$A$4:$A$23,0)),"")="","",MIN(Übungen!$E$13,IFERROR(INDEX(Rekorde!$P$4:$P$23,MATCH(Übungen!$A$13,Rekorde!$A$4:$A$23,0)),"")+0)))</f>
        <v>6</v>
      </c>
      <c r="E657" s="109"/>
      <c r="F657" s="109"/>
      <c r="G657" s="109"/>
      <c r="H657" s="109"/>
      <c r="I657" s="109"/>
    </row>
    <row r="658" customFormat="false" ht="18" hidden="false" customHeight="true" outlineLevel="0" collapsed="false">
      <c r="A658" s="105" t="n">
        <v>4</v>
      </c>
      <c r="B658" s="110" t="s">
        <v>482</v>
      </c>
      <c r="C658" s="107" t="n">
        <f aca="false">IF(OR(FALSE(),Übungen!$L$13="pause"),"",IF(IFERROR(INDEX(Rekorde!$O$4:$O$23,MATCH(Übungen!$A$13,Rekorde!$A$4:$A$23,0)),"")="","",ROUND(IFERROR(INDEX(Rekorde!$O$4:$O$23,MATCH(Übungen!$A$13,Rekorde!$A$4:$A$23,0)),"")*0.95*2,0)/2))</f>
        <v>161.5</v>
      </c>
      <c r="D658" s="112" t="n">
        <f aca="false">IF(OR(FALSE(),Übungen!$L$13="pause"),"",IF(IFERROR(INDEX(Rekorde!$P$4:$P$23,MATCH(Übungen!$A$13,Rekorde!$A$4:$A$23,0)),"")="","",MIN(Übungen!$E$13,IFERROR(INDEX(Rekorde!$P$4:$P$23,MATCH(Übungen!$A$13,Rekorde!$A$4:$A$23,0)),"")+1)))</f>
        <v>6</v>
      </c>
      <c r="E658" s="109"/>
      <c r="F658" s="109"/>
      <c r="G658" s="109"/>
      <c r="H658" s="109"/>
      <c r="I658" s="109"/>
    </row>
    <row r="659" customFormat="false" ht="18" hidden="false" customHeight="true" outlineLevel="0" collapsed="false">
      <c r="A659" s="105" t="n">
        <v>5</v>
      </c>
      <c r="B659" s="110" t="s">
        <v>483</v>
      </c>
      <c r="C659" s="107" t="n">
        <f aca="false">IF(OR(FALSE(),Übungen!$L$13="pause"),"",IF(IFERROR(INDEX(Rekorde!$O$4:$O$23,MATCH(Übungen!$A$13,Rekorde!$A$4:$A$23,0)),"")="","",ROUND(IFERROR(INDEX(Rekorde!$O$4:$O$23,MATCH(Übungen!$A$13,Rekorde!$A$4:$A$23,0)),"")*0.9*2,0)/2))</f>
        <v>153</v>
      </c>
      <c r="D659" s="112" t="n">
        <f aca="false">IF(OR(FALSE(),Übungen!$L$13="pause"),"",IF(IFERROR(INDEX(Rekorde!$P$4:$P$23,MATCH(Übungen!$A$13,Rekorde!$A$4:$A$23,0)),"")="","",MIN(Übungen!$E$13,IFERROR(INDEX(Rekorde!$P$4:$P$23,MATCH(Übungen!$A$13,Rekorde!$A$4:$A$23,0)),"")+2)))</f>
        <v>6</v>
      </c>
      <c r="E659" s="109"/>
      <c r="F659" s="109"/>
      <c r="G659" s="109"/>
      <c r="H659" s="109"/>
      <c r="I659" s="109"/>
    </row>
    <row r="661" customFormat="false" ht="18.75" hidden="false" customHeight="true" outlineLevel="0" collapsed="false">
      <c r="A661" s="101" t="str">
        <f aca="false">Übungen!$A$14</f>
        <v>Beinbeuger</v>
      </c>
      <c r="B661" s="101"/>
      <c r="C661" s="101"/>
      <c r="D661" s="101"/>
      <c r="E661" s="101"/>
      <c r="F661" s="101"/>
      <c r="G661" s="101"/>
      <c r="H661" s="101"/>
      <c r="I661" s="101"/>
    </row>
    <row r="662" customFormat="false" ht="13.5" hidden="false" customHeight="true" outlineLevel="0" collapsed="false">
      <c r="A662"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62" s="102"/>
      <c r="C662" s="102"/>
      <c r="D662" s="102"/>
      <c r="E662" s="102"/>
      <c r="F662" s="102"/>
      <c r="G662" s="102"/>
      <c r="H662" s="102"/>
      <c r="I662" s="102"/>
    </row>
    <row r="663" customFormat="false" ht="13.5" hidden="false" customHeight="true" outlineLevel="0" collapsed="false">
      <c r="A663"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663" s="103"/>
      <c r="C663" s="103"/>
      <c r="D663" s="103"/>
      <c r="E663" s="103"/>
      <c r="F663" s="103"/>
      <c r="G663" s="103"/>
      <c r="H663" s="103"/>
      <c r="I663" s="103"/>
    </row>
    <row r="664" customFormat="false" ht="18" hidden="false" customHeight="true" outlineLevel="0" collapsed="false">
      <c r="A664" s="104" t="s">
        <v>473</v>
      </c>
      <c r="B664" s="104" t="s">
        <v>474</v>
      </c>
      <c r="C664" s="104" t="s">
        <v>475</v>
      </c>
      <c r="D664" s="104" t="s">
        <v>476</v>
      </c>
      <c r="E664" s="104" t="s">
        <v>477</v>
      </c>
      <c r="F664" s="104" t="s">
        <v>374</v>
      </c>
      <c r="G664" s="104" t="s">
        <v>48</v>
      </c>
      <c r="H664" s="104" t="s">
        <v>478</v>
      </c>
      <c r="I664" s="104" t="s">
        <v>255</v>
      </c>
    </row>
    <row r="665" customFormat="false" ht="18" hidden="false" customHeight="true" outlineLevel="0" collapsed="false">
      <c r="A665" s="105" t="n">
        <v>1</v>
      </c>
      <c r="B665" s="106" t="s">
        <v>479</v>
      </c>
      <c r="C665" s="107" t="n">
        <f aca="false">IF(OR(FALSE(),Übungen!$L$14="pause"),"",IF(IFERROR(INDEX(Rekorde!$O$4:$O$23,MATCH(Übungen!$A$14,Rekorde!$A$4:$A$23,0)),"")="","",ROUND(IFERROR(INDEX(Rekorde!$O$4:$O$23,MATCH(Übungen!$A$14,Rekorde!$A$4:$A$23,0)),"")*0.4*2,0)/2))</f>
        <v>18</v>
      </c>
      <c r="D665" s="108"/>
      <c r="E665" s="109"/>
      <c r="F665" s="109"/>
      <c r="G665" s="109"/>
      <c r="H665" s="109"/>
      <c r="I665" s="109"/>
    </row>
    <row r="666" customFormat="false" ht="18" hidden="false" customHeight="true" outlineLevel="0" collapsed="false">
      <c r="A666" s="105" t="n">
        <v>2</v>
      </c>
      <c r="B666" s="106" t="s">
        <v>480</v>
      </c>
      <c r="C666" s="107" t="n">
        <f aca="false">IF(OR(FALSE(),Übungen!$L$14="pause"),"",IF(IFERROR(INDEX(Rekorde!$O$4:$O$23,MATCH(Übungen!$A$14,Rekorde!$A$4:$A$23,0)),"")="","",ROUND(IFERROR(INDEX(Rekorde!$O$4:$O$23,MATCH(Übungen!$A$14,Rekorde!$A$4:$A$23,0)),"")*0.7*2,0)/2))</f>
        <v>31.5</v>
      </c>
      <c r="D666" s="108"/>
      <c r="E666" s="109"/>
      <c r="F666" s="109"/>
      <c r="G666" s="109"/>
      <c r="H666" s="109"/>
      <c r="I666" s="109"/>
    </row>
    <row r="667" customFormat="false" ht="18" hidden="false" customHeight="true" outlineLevel="0" collapsed="false">
      <c r="A667" s="105" t="n">
        <v>3</v>
      </c>
      <c r="B667" s="110" t="s">
        <v>481</v>
      </c>
      <c r="C667" s="111" t="n">
        <f aca="false">IF(OR(FALSE(),Übungen!$L$14="pause"),"",IF(IFERROR(INDEX(Rekorde!$O$4:$O$23,MATCH(Übungen!$A$14,Rekorde!$A$4:$A$23,0)),"")="","",ROUND(IFERROR(INDEX(Rekorde!$O$4:$O$23,MATCH(Übungen!$A$14,Rekorde!$A$4:$A$23,0)),"")*1*2,0)/2))</f>
        <v>45</v>
      </c>
      <c r="D667" s="112" t="n">
        <f aca="false">IF(OR(FALSE(),Übungen!$L$14="pause"),"",IF(IFERROR(INDEX(Rekorde!$P$4:$P$23,MATCH(Übungen!$A$14,Rekorde!$A$4:$A$23,0)),"")="","",MIN(Übungen!$E$14,IFERROR(INDEX(Rekorde!$P$4:$P$23,MATCH(Übungen!$A$14,Rekorde!$A$4:$A$23,0)),"")+0)))</f>
        <v>6</v>
      </c>
      <c r="E667" s="109"/>
      <c r="F667" s="109"/>
      <c r="G667" s="109"/>
      <c r="H667" s="109"/>
      <c r="I667" s="109"/>
    </row>
    <row r="668" customFormat="false" ht="18" hidden="false" customHeight="true" outlineLevel="0" collapsed="false">
      <c r="A668" s="105" t="n">
        <v>4</v>
      </c>
      <c r="B668" s="110" t="s">
        <v>482</v>
      </c>
      <c r="C668" s="107" t="n">
        <f aca="false">IF(OR(FALSE(),Übungen!$L$14="pause"),"",IF(IFERROR(INDEX(Rekorde!$O$4:$O$23,MATCH(Übungen!$A$14,Rekorde!$A$4:$A$23,0)),"")="","",ROUND(IFERROR(INDEX(Rekorde!$O$4:$O$23,MATCH(Übungen!$A$14,Rekorde!$A$4:$A$23,0)),"")*0.95*2,0)/2))</f>
        <v>43</v>
      </c>
      <c r="D668" s="112" t="n">
        <f aca="false">IF(OR(FALSE(),Übungen!$L$14="pause"),"",IF(IFERROR(INDEX(Rekorde!$P$4:$P$23,MATCH(Übungen!$A$14,Rekorde!$A$4:$A$23,0)),"")="","",MIN(Übungen!$E$14,IFERROR(INDEX(Rekorde!$P$4:$P$23,MATCH(Übungen!$A$14,Rekorde!$A$4:$A$23,0)),"")+1)))</f>
        <v>6</v>
      </c>
      <c r="E668" s="109"/>
      <c r="F668" s="109"/>
      <c r="G668" s="109"/>
      <c r="H668" s="109"/>
      <c r="I668" s="109"/>
    </row>
    <row r="669" customFormat="false" ht="18" hidden="false" customHeight="true" outlineLevel="0" collapsed="false">
      <c r="A669" s="105" t="n">
        <v>5</v>
      </c>
      <c r="B669" s="110" t="s">
        <v>483</v>
      </c>
      <c r="C669" s="107" t="n">
        <f aca="false">IF(OR(FALSE(),Übungen!$L$14="pause"),"",IF(IFERROR(INDEX(Rekorde!$O$4:$O$23,MATCH(Übungen!$A$14,Rekorde!$A$4:$A$23,0)),"")="","",ROUND(IFERROR(INDEX(Rekorde!$O$4:$O$23,MATCH(Übungen!$A$14,Rekorde!$A$4:$A$23,0)),"")*0.9*2,0)/2))</f>
        <v>40.5</v>
      </c>
      <c r="D669" s="112" t="n">
        <f aca="false">IF(OR(FALSE(),Übungen!$L$14="pause"),"",IF(IFERROR(INDEX(Rekorde!$P$4:$P$23,MATCH(Übungen!$A$14,Rekorde!$A$4:$A$23,0)),"")="","",MIN(Übungen!$E$14,IFERROR(INDEX(Rekorde!$P$4:$P$23,MATCH(Übungen!$A$14,Rekorde!$A$4:$A$23,0)),"")+2)))</f>
        <v>6</v>
      </c>
      <c r="E669" s="109"/>
      <c r="F669" s="109"/>
      <c r="G669" s="109"/>
      <c r="H669" s="109"/>
      <c r="I669" s="109"/>
    </row>
    <row r="671" customFormat="false" ht="18.75" hidden="false" customHeight="true" outlineLevel="0" collapsed="false">
      <c r="A671" s="101" t="str">
        <f aca="false">Übungen!$A$15</f>
        <v>Seitliche Kickbacks</v>
      </c>
      <c r="B671" s="101"/>
      <c r="C671" s="101"/>
      <c r="D671" s="101"/>
      <c r="E671" s="101"/>
      <c r="F671" s="101"/>
      <c r="G671" s="101"/>
      <c r="H671" s="101"/>
      <c r="I671" s="101"/>
    </row>
    <row r="672" customFormat="false" ht="13.5" hidden="false" customHeight="true" outlineLevel="0" collapsed="false">
      <c r="A672"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672" s="102"/>
      <c r="C672" s="102"/>
      <c r="D672" s="102"/>
      <c r="E672" s="102"/>
      <c r="F672" s="102"/>
      <c r="G672" s="102"/>
      <c r="H672" s="102"/>
      <c r="I672" s="102"/>
    </row>
    <row r="673" customFormat="false" ht="13.5" hidden="false" customHeight="true" outlineLevel="0" collapsed="false">
      <c r="A673"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673" s="103"/>
      <c r="C673" s="103"/>
      <c r="D673" s="103"/>
      <c r="E673" s="103"/>
      <c r="F673" s="103"/>
      <c r="G673" s="103"/>
      <c r="H673" s="103"/>
      <c r="I673" s="103"/>
    </row>
    <row r="674" customFormat="false" ht="18" hidden="false" customHeight="true" outlineLevel="0" collapsed="false">
      <c r="A674" s="104" t="s">
        <v>473</v>
      </c>
      <c r="B674" s="104" t="s">
        <v>474</v>
      </c>
      <c r="C674" s="104" t="s">
        <v>475</v>
      </c>
      <c r="D674" s="104" t="s">
        <v>476</v>
      </c>
      <c r="E674" s="104" t="s">
        <v>477</v>
      </c>
      <c r="F674" s="104" t="s">
        <v>374</v>
      </c>
      <c r="G674" s="104" t="s">
        <v>48</v>
      </c>
      <c r="H674" s="104" t="s">
        <v>478</v>
      </c>
      <c r="I674" s="104" t="s">
        <v>255</v>
      </c>
    </row>
    <row r="675" customFormat="false" ht="18" hidden="false" customHeight="true" outlineLevel="0" collapsed="false">
      <c r="A675" s="105" t="n">
        <v>1</v>
      </c>
      <c r="B675" s="106" t="s">
        <v>479</v>
      </c>
      <c r="C675" s="107" t="n">
        <f aca="false">IF(OR(FALSE(),Übungen!$L$15="pause"),"",IF(IFERROR(INDEX(Rekorde!$O$4:$O$23,MATCH(Übungen!$A$15,Rekorde!$A$4:$A$23,0)),"")="","",ROUND(IFERROR(INDEX(Rekorde!$O$4:$O$23,MATCH(Übungen!$A$15,Rekorde!$A$4:$A$23,0)),"")*0.4*2,0)/2))</f>
        <v>16</v>
      </c>
      <c r="D675" s="108"/>
      <c r="E675" s="109"/>
      <c r="F675" s="109"/>
      <c r="G675" s="109"/>
      <c r="H675" s="109"/>
      <c r="I675" s="109"/>
    </row>
    <row r="676" customFormat="false" ht="18" hidden="false" customHeight="true" outlineLevel="0" collapsed="false">
      <c r="A676" s="105" t="n">
        <v>2</v>
      </c>
      <c r="B676" s="106" t="s">
        <v>480</v>
      </c>
      <c r="C676" s="107" t="n">
        <f aca="false">IF(OR(FALSE(),Übungen!$L$15="pause"),"",IF(IFERROR(INDEX(Rekorde!$O$4:$O$23,MATCH(Übungen!$A$15,Rekorde!$A$4:$A$23,0)),"")="","",ROUND(IFERROR(INDEX(Rekorde!$O$4:$O$23,MATCH(Übungen!$A$15,Rekorde!$A$4:$A$23,0)),"")*0.7*2,0)/2))</f>
        <v>28</v>
      </c>
      <c r="D676" s="108"/>
      <c r="E676" s="109"/>
      <c r="F676" s="109"/>
      <c r="G676" s="109"/>
      <c r="H676" s="109"/>
      <c r="I676" s="109"/>
    </row>
    <row r="677" customFormat="false" ht="18" hidden="false" customHeight="true" outlineLevel="0" collapsed="false">
      <c r="A677" s="105" t="n">
        <v>3</v>
      </c>
      <c r="B677" s="110" t="s">
        <v>481</v>
      </c>
      <c r="C677" s="111" t="n">
        <f aca="false">IF(OR(FALSE(),Übungen!$L$15="pause"),"",IF(IFERROR(INDEX(Rekorde!$O$4:$O$23,MATCH(Übungen!$A$15,Rekorde!$A$4:$A$23,0)),"")="","",ROUND(IFERROR(INDEX(Rekorde!$O$4:$O$23,MATCH(Übungen!$A$15,Rekorde!$A$4:$A$23,0)),"")*1*2,0)/2))</f>
        <v>40</v>
      </c>
      <c r="D677" s="112" t="n">
        <f aca="false">IF(OR(FALSE(),Übungen!$L$15="pause"),"",IF(IFERROR(INDEX(Rekorde!$P$4:$P$23,MATCH(Übungen!$A$15,Rekorde!$A$4:$A$23,0)),"")="","",MIN(Übungen!$E$15,IFERROR(INDEX(Rekorde!$P$4:$P$23,MATCH(Übungen!$A$15,Rekorde!$A$4:$A$23,0)),"")+0)))</f>
        <v>5</v>
      </c>
      <c r="E677" s="109"/>
      <c r="F677" s="109"/>
      <c r="G677" s="109"/>
      <c r="H677" s="109"/>
      <c r="I677" s="109"/>
    </row>
    <row r="678" customFormat="false" ht="18" hidden="false" customHeight="true" outlineLevel="0" collapsed="false">
      <c r="A678" s="105" t="n">
        <v>4</v>
      </c>
      <c r="B678" s="110" t="s">
        <v>482</v>
      </c>
      <c r="C678" s="107" t="n">
        <f aca="false">IF(OR(FALSE(),Übungen!$L$15="pause"),"",IF(IFERROR(INDEX(Rekorde!$O$4:$O$23,MATCH(Übungen!$A$15,Rekorde!$A$4:$A$23,0)),"")="","",ROUND(IFERROR(INDEX(Rekorde!$O$4:$O$23,MATCH(Übungen!$A$15,Rekorde!$A$4:$A$23,0)),"")*0.95*2,0)/2))</f>
        <v>38</v>
      </c>
      <c r="D678" s="112" t="n">
        <f aca="false">IF(OR(FALSE(),Übungen!$L$15="pause"),"",IF(IFERROR(INDEX(Rekorde!$P$4:$P$23,MATCH(Übungen!$A$15,Rekorde!$A$4:$A$23,0)),"")="","",MIN(Übungen!$E$15,IFERROR(INDEX(Rekorde!$P$4:$P$23,MATCH(Übungen!$A$15,Rekorde!$A$4:$A$23,0)),"")+1)))</f>
        <v>6</v>
      </c>
      <c r="E678" s="109"/>
      <c r="F678" s="109"/>
      <c r="G678" s="109"/>
      <c r="H678" s="109"/>
      <c r="I678" s="109"/>
    </row>
    <row r="679" customFormat="false" ht="18" hidden="false" customHeight="true" outlineLevel="0" collapsed="false">
      <c r="A679" s="105" t="n">
        <v>5</v>
      </c>
      <c r="B679" s="110" t="s">
        <v>483</v>
      </c>
      <c r="C679" s="107" t="n">
        <f aca="false">IF(OR(FALSE(),Übungen!$L$15="pause"),"",IF(IFERROR(INDEX(Rekorde!$O$4:$O$23,MATCH(Übungen!$A$15,Rekorde!$A$4:$A$23,0)),"")="","",ROUND(IFERROR(INDEX(Rekorde!$O$4:$O$23,MATCH(Übungen!$A$15,Rekorde!$A$4:$A$23,0)),"")*0.9*2,0)/2))</f>
        <v>36</v>
      </c>
      <c r="D679" s="112" t="n">
        <f aca="false">IF(OR(FALSE(),Übungen!$L$15="pause"),"",IF(IFERROR(INDEX(Rekorde!$P$4:$P$23,MATCH(Übungen!$A$15,Rekorde!$A$4:$A$23,0)),"")="","",MIN(Übungen!$E$15,IFERROR(INDEX(Rekorde!$P$4:$P$23,MATCH(Übungen!$A$15,Rekorde!$A$4:$A$23,0)),"")+2)))</f>
        <v>6</v>
      </c>
      <c r="E679" s="109"/>
      <c r="F679" s="109"/>
      <c r="G679" s="109"/>
      <c r="H679" s="109"/>
      <c r="I679" s="109"/>
    </row>
    <row r="681" customFormat="false" ht="18.75" hidden="false" customHeight="true" outlineLevel="0" collapsed="false">
      <c r="A681" s="101" t="str">
        <f aca="false">Übungen!$A$16</f>
        <v>Waden</v>
      </c>
      <c r="B681" s="101"/>
      <c r="C681" s="101"/>
      <c r="D681" s="101"/>
      <c r="E681" s="101"/>
      <c r="F681" s="101"/>
      <c r="G681" s="101"/>
      <c r="H681" s="101"/>
      <c r="I681" s="101"/>
    </row>
    <row r="682" customFormat="false" ht="13.5" hidden="false" customHeight="true" outlineLevel="0" collapsed="false">
      <c r="A682"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82" s="102"/>
      <c r="C682" s="102"/>
      <c r="D682" s="102"/>
      <c r="E682" s="102"/>
      <c r="F682" s="102"/>
      <c r="G682" s="102"/>
      <c r="H682" s="102"/>
      <c r="I682" s="102"/>
    </row>
    <row r="683" customFormat="false" ht="13.5" hidden="false" customHeight="true" outlineLevel="0" collapsed="false">
      <c r="A683"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683" s="103"/>
      <c r="C683" s="103"/>
      <c r="D683" s="103"/>
      <c r="E683" s="103"/>
      <c r="F683" s="103"/>
      <c r="G683" s="103"/>
      <c r="H683" s="103"/>
      <c r="I683" s="103"/>
    </row>
    <row r="684" customFormat="false" ht="18" hidden="false" customHeight="true" outlineLevel="0" collapsed="false">
      <c r="A684" s="104" t="s">
        <v>473</v>
      </c>
      <c r="B684" s="104" t="s">
        <v>474</v>
      </c>
      <c r="C684" s="104" t="s">
        <v>475</v>
      </c>
      <c r="D684" s="104" t="s">
        <v>476</v>
      </c>
      <c r="E684" s="104" t="s">
        <v>477</v>
      </c>
      <c r="F684" s="104" t="s">
        <v>374</v>
      </c>
      <c r="G684" s="104" t="s">
        <v>48</v>
      </c>
      <c r="H684" s="104" t="s">
        <v>478</v>
      </c>
      <c r="I684" s="104" t="s">
        <v>255</v>
      </c>
    </row>
    <row r="685" customFormat="false" ht="18" hidden="false" customHeight="true" outlineLevel="0" collapsed="false">
      <c r="A685" s="105" t="n">
        <v>1</v>
      </c>
      <c r="B685" s="106" t="s">
        <v>479</v>
      </c>
      <c r="C685" s="107" t="n">
        <f aca="false">IF(OR(FALSE(),Übungen!$L$16="pause"),"",IF(IFERROR(INDEX(Rekorde!$O$4:$O$23,MATCH(Übungen!$A$16,Rekorde!$A$4:$A$23,0)),"")="","",ROUND(IFERROR(INDEX(Rekorde!$O$4:$O$23,MATCH(Übungen!$A$16,Rekorde!$A$4:$A$23,0)),"")*0.4*2,0)/2))</f>
        <v>76</v>
      </c>
      <c r="D685" s="108"/>
      <c r="E685" s="109"/>
      <c r="F685" s="109"/>
      <c r="G685" s="109"/>
      <c r="H685" s="109"/>
      <c r="I685" s="109"/>
    </row>
    <row r="686" customFormat="false" ht="18" hidden="false" customHeight="true" outlineLevel="0" collapsed="false">
      <c r="A686" s="105" t="n">
        <v>2</v>
      </c>
      <c r="B686" s="106" t="s">
        <v>480</v>
      </c>
      <c r="C686" s="107" t="n">
        <f aca="false">IF(OR(FALSE(),Übungen!$L$16="pause"),"",IF(IFERROR(INDEX(Rekorde!$O$4:$O$23,MATCH(Übungen!$A$16,Rekorde!$A$4:$A$23,0)),"")="","",ROUND(IFERROR(INDEX(Rekorde!$O$4:$O$23,MATCH(Übungen!$A$16,Rekorde!$A$4:$A$23,0)),"")*0.7*2,0)/2))</f>
        <v>133</v>
      </c>
      <c r="D686" s="108"/>
      <c r="E686" s="109"/>
      <c r="F686" s="109"/>
      <c r="G686" s="109"/>
      <c r="H686" s="109"/>
      <c r="I686" s="109"/>
    </row>
    <row r="687" customFormat="false" ht="18" hidden="false" customHeight="true" outlineLevel="0" collapsed="false">
      <c r="A687" s="105" t="n">
        <v>3</v>
      </c>
      <c r="B687" s="110" t="s">
        <v>481</v>
      </c>
      <c r="C687" s="111" t="n">
        <f aca="false">IF(OR(FALSE(),Übungen!$L$16="pause"),"",IF(IFERROR(INDEX(Rekorde!$O$4:$O$23,MATCH(Übungen!$A$16,Rekorde!$A$4:$A$23,0)),"")="","",ROUND(IFERROR(INDEX(Rekorde!$O$4:$O$23,MATCH(Übungen!$A$16,Rekorde!$A$4:$A$23,0)),"")*1*2,0)/2))</f>
        <v>190</v>
      </c>
      <c r="D687" s="112" t="n">
        <f aca="false">IF(OR(FALSE(),Übungen!$L$16="pause"),"",IF(IFERROR(INDEX(Rekorde!$P$4:$P$23,MATCH(Übungen!$A$16,Rekorde!$A$4:$A$23,0)),"")="","",MIN(Übungen!$E$16,IFERROR(INDEX(Rekorde!$P$4:$P$23,MATCH(Übungen!$A$16,Rekorde!$A$4:$A$23,0)),"")+0)))</f>
        <v>6</v>
      </c>
      <c r="E687" s="109"/>
      <c r="F687" s="109"/>
      <c r="G687" s="109"/>
      <c r="H687" s="109"/>
      <c r="I687" s="109"/>
    </row>
    <row r="688" customFormat="false" ht="18" hidden="false" customHeight="true" outlineLevel="0" collapsed="false">
      <c r="A688" s="105" t="n">
        <v>4</v>
      </c>
      <c r="B688" s="110" t="s">
        <v>482</v>
      </c>
      <c r="C688" s="107" t="n">
        <f aca="false">IF(OR(FALSE(),Übungen!$L$16="pause"),"",IF(IFERROR(INDEX(Rekorde!$O$4:$O$23,MATCH(Übungen!$A$16,Rekorde!$A$4:$A$23,0)),"")="","",ROUND(IFERROR(INDEX(Rekorde!$O$4:$O$23,MATCH(Übungen!$A$16,Rekorde!$A$4:$A$23,0)),"")*0.95*2,0)/2))</f>
        <v>180.5</v>
      </c>
      <c r="D688" s="112" t="n">
        <f aca="false">IF(OR(FALSE(),Übungen!$L$16="pause"),"",IF(IFERROR(INDEX(Rekorde!$P$4:$P$23,MATCH(Übungen!$A$16,Rekorde!$A$4:$A$23,0)),"")="","",MIN(Übungen!$E$16,IFERROR(INDEX(Rekorde!$P$4:$P$23,MATCH(Übungen!$A$16,Rekorde!$A$4:$A$23,0)),"")+1)))</f>
        <v>6</v>
      </c>
      <c r="E688" s="109"/>
      <c r="F688" s="109"/>
      <c r="G688" s="109"/>
      <c r="H688" s="109"/>
      <c r="I688" s="109"/>
    </row>
    <row r="689" customFormat="false" ht="18" hidden="false" customHeight="true" outlineLevel="0" collapsed="false">
      <c r="A689" s="105" t="n">
        <v>5</v>
      </c>
      <c r="B689" s="110" t="s">
        <v>483</v>
      </c>
      <c r="C689" s="107" t="n">
        <f aca="false">IF(OR(FALSE(),Übungen!$L$16="pause"),"",IF(IFERROR(INDEX(Rekorde!$O$4:$O$23,MATCH(Übungen!$A$16,Rekorde!$A$4:$A$23,0)),"")="","",ROUND(IFERROR(INDEX(Rekorde!$O$4:$O$23,MATCH(Übungen!$A$16,Rekorde!$A$4:$A$23,0)),"")*0.9*2,0)/2))</f>
        <v>171</v>
      </c>
      <c r="D689" s="112" t="n">
        <f aca="false">IF(OR(FALSE(),Übungen!$L$16="pause"),"",IF(IFERROR(INDEX(Rekorde!$P$4:$P$23,MATCH(Übungen!$A$16,Rekorde!$A$4:$A$23,0)),"")="","",MIN(Übungen!$E$16,IFERROR(INDEX(Rekorde!$P$4:$P$23,MATCH(Übungen!$A$16,Rekorde!$A$4:$A$23,0)),"")+2)))</f>
        <v>6</v>
      </c>
      <c r="E689" s="109"/>
      <c r="F689" s="109"/>
      <c r="G689" s="109"/>
      <c r="H689" s="109"/>
      <c r="I689" s="109"/>
    </row>
    <row r="691" customFormat="false" ht="15.75" hidden="false" customHeight="true" outlineLevel="0" collapsed="false">
      <c r="A691" s="3" t="s">
        <v>484</v>
      </c>
      <c r="B691" s="3"/>
      <c r="C691" s="3"/>
      <c r="D691" s="3"/>
      <c r="E691" s="3"/>
      <c r="F691" s="3"/>
      <c r="G691" s="3"/>
      <c r="H691" s="3"/>
      <c r="I691" s="3"/>
    </row>
    <row r="692" customFormat="false" ht="18" hidden="false" customHeight="true" outlineLevel="0" collapsed="false">
      <c r="A692" s="113"/>
      <c r="B692" s="113"/>
      <c r="C692" s="113"/>
      <c r="D692" s="113"/>
      <c r="E692" s="113"/>
      <c r="F692" s="113"/>
      <c r="G692" s="113"/>
      <c r="H692" s="113"/>
      <c r="I692" s="113"/>
    </row>
    <row r="693" customFormat="false" ht="18" hidden="false" customHeight="true" outlineLevel="0" collapsed="false">
      <c r="A693" s="113"/>
      <c r="B693" s="113"/>
      <c r="C693" s="113"/>
      <c r="D693" s="113"/>
      <c r="E693" s="113"/>
      <c r="F693" s="113"/>
      <c r="G693" s="113"/>
      <c r="H693" s="113"/>
      <c r="I693" s="113"/>
    </row>
    <row r="695" customFormat="false" ht="27.75" hidden="false" customHeight="true" outlineLevel="0" collapsed="false">
      <c r="A695" s="1" t="s">
        <v>495</v>
      </c>
      <c r="B695" s="1"/>
      <c r="C695" s="1"/>
      <c r="D695" s="1"/>
      <c r="E695" s="1"/>
      <c r="F695" s="1"/>
      <c r="G695" s="1"/>
      <c r="H695" s="1"/>
      <c r="I695" s="1"/>
    </row>
    <row r="696" customFormat="false" ht="12" hidden="false" customHeight="true" outlineLevel="0" collapsed="false">
      <c r="A696" s="98" t="s">
        <v>73</v>
      </c>
      <c r="B696" s="98"/>
      <c r="C696" s="99" t="s">
        <v>469</v>
      </c>
      <c r="D696" s="99" t="s">
        <v>470</v>
      </c>
      <c r="E696" s="98" t="s">
        <v>471</v>
      </c>
      <c r="F696" s="98"/>
      <c r="G696" s="98" t="s">
        <v>472</v>
      </c>
      <c r="H696" s="98"/>
    </row>
    <row r="697" customFormat="false" ht="18" hidden="false" customHeight="true" outlineLevel="0" collapsed="false">
      <c r="A697" s="100"/>
      <c r="B697" s="100"/>
      <c r="C697" s="100"/>
      <c r="D697" s="100"/>
      <c r="E697" s="100"/>
      <c r="F697" s="100"/>
      <c r="G697" s="100"/>
      <c r="H697" s="100"/>
    </row>
    <row r="699" customFormat="false" ht="18.75" hidden="false" customHeight="true" outlineLevel="0" collapsed="false">
      <c r="A699" s="101" t="str">
        <f aca="false">Übungen!$A$17</f>
        <v>Squat Maschine Bülach</v>
      </c>
      <c r="B699" s="101"/>
      <c r="C699" s="101"/>
      <c r="D699" s="101"/>
      <c r="E699" s="101"/>
      <c r="F699" s="101"/>
      <c r="G699" s="101"/>
      <c r="H699" s="101"/>
      <c r="I699" s="101"/>
    </row>
    <row r="700" customFormat="false" ht="13.5" hidden="false" customHeight="true" outlineLevel="0" collapsed="false">
      <c r="A700"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700" s="102"/>
      <c r="C700" s="102"/>
      <c r="D700" s="102"/>
      <c r="E700" s="102"/>
      <c r="F700" s="102"/>
      <c r="G700" s="102"/>
      <c r="H700" s="102"/>
      <c r="I700" s="102"/>
    </row>
    <row r="701" customFormat="false" ht="13.5" hidden="false" customHeight="true" outlineLevel="0" collapsed="false">
      <c r="A701"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701" s="103"/>
      <c r="C701" s="103"/>
      <c r="D701" s="103"/>
      <c r="E701" s="103"/>
      <c r="F701" s="103"/>
      <c r="G701" s="103"/>
      <c r="H701" s="103"/>
      <c r="I701" s="103"/>
    </row>
    <row r="702" customFormat="false" ht="18" hidden="false" customHeight="true" outlineLevel="0" collapsed="false">
      <c r="A702" s="104" t="s">
        <v>473</v>
      </c>
      <c r="B702" s="104" t="s">
        <v>474</v>
      </c>
      <c r="C702" s="104" t="s">
        <v>475</v>
      </c>
      <c r="D702" s="104" t="s">
        <v>476</v>
      </c>
      <c r="E702" s="104" t="s">
        <v>477</v>
      </c>
      <c r="F702" s="104" t="s">
        <v>374</v>
      </c>
      <c r="G702" s="104" t="s">
        <v>48</v>
      </c>
      <c r="H702" s="104" t="s">
        <v>478</v>
      </c>
      <c r="I702" s="104" t="s">
        <v>255</v>
      </c>
    </row>
    <row r="703" customFormat="false" ht="18" hidden="false" customHeight="true" outlineLevel="0" collapsed="false">
      <c r="A703" s="105" t="n">
        <v>1</v>
      </c>
      <c r="B703" s="106" t="s">
        <v>479</v>
      </c>
      <c r="C703" s="107" t="n">
        <f aca="false">IF(OR(FALSE(),Übungen!$L$17="pause"),"",IF(IFERROR(INDEX(Rekorde!$O$4:$O$23,MATCH(Übungen!$A$17,Rekorde!$A$4:$A$23,0)),"")="","",ROUND(IFERROR(INDEX(Rekorde!$O$4:$O$23,MATCH(Übungen!$A$17,Rekorde!$A$4:$A$23,0)),"")*0.4*2,0)/2))</f>
        <v>52</v>
      </c>
      <c r="D703" s="108"/>
      <c r="E703" s="109"/>
      <c r="F703" s="109"/>
      <c r="G703" s="109"/>
      <c r="H703" s="109"/>
      <c r="I703" s="109"/>
    </row>
    <row r="704" customFormat="false" ht="18" hidden="false" customHeight="true" outlineLevel="0" collapsed="false">
      <c r="A704" s="105" t="n">
        <v>2</v>
      </c>
      <c r="B704" s="106" t="s">
        <v>480</v>
      </c>
      <c r="C704" s="107" t="n">
        <f aca="false">IF(OR(FALSE(),Übungen!$L$17="pause"),"",IF(IFERROR(INDEX(Rekorde!$O$4:$O$23,MATCH(Übungen!$A$17,Rekorde!$A$4:$A$23,0)),"")="","",ROUND(IFERROR(INDEX(Rekorde!$O$4:$O$23,MATCH(Übungen!$A$17,Rekorde!$A$4:$A$23,0)),"")*0.7*2,0)/2))</f>
        <v>91</v>
      </c>
      <c r="D704" s="108"/>
      <c r="E704" s="109"/>
      <c r="F704" s="109"/>
      <c r="G704" s="109"/>
      <c r="H704" s="109"/>
      <c r="I704" s="109"/>
    </row>
    <row r="705" customFormat="false" ht="18" hidden="false" customHeight="true" outlineLevel="0" collapsed="false">
      <c r="A705" s="105" t="n">
        <v>3</v>
      </c>
      <c r="B705" s="110" t="s">
        <v>481</v>
      </c>
      <c r="C705" s="111" t="n">
        <f aca="false">IF(OR(FALSE(),Übungen!$L$17="pause"),"",IF(IFERROR(INDEX(Rekorde!$O$4:$O$23,MATCH(Übungen!$A$17,Rekorde!$A$4:$A$23,0)),"")="","",ROUND(IFERROR(INDEX(Rekorde!$O$4:$O$23,MATCH(Übungen!$A$17,Rekorde!$A$4:$A$23,0)),"")*1*2,0)/2))</f>
        <v>130</v>
      </c>
      <c r="D705" s="112" t="n">
        <f aca="false">IF(OR(FALSE(),Übungen!$L$17="pause"),"",IF(IFERROR(INDEX(Rekorde!$P$4:$P$23,MATCH(Übungen!$A$17,Rekorde!$A$4:$A$23,0)),"")="","",MIN(Übungen!$E$17,IFERROR(INDEX(Rekorde!$P$4:$P$23,MATCH(Übungen!$A$17,Rekorde!$A$4:$A$23,0)),"")+0)))</f>
        <v>5</v>
      </c>
      <c r="E705" s="109"/>
      <c r="F705" s="109"/>
      <c r="G705" s="109"/>
      <c r="H705" s="109"/>
      <c r="I705" s="109"/>
    </row>
    <row r="706" customFormat="false" ht="18" hidden="false" customHeight="true" outlineLevel="0" collapsed="false">
      <c r="A706" s="105" t="n">
        <v>4</v>
      </c>
      <c r="B706" s="110" t="s">
        <v>482</v>
      </c>
      <c r="C706" s="107" t="n">
        <f aca="false">IF(OR(FALSE(),Übungen!$L$17="pause"),"",IF(IFERROR(INDEX(Rekorde!$O$4:$O$23,MATCH(Übungen!$A$17,Rekorde!$A$4:$A$23,0)),"")="","",ROUND(IFERROR(INDEX(Rekorde!$O$4:$O$23,MATCH(Übungen!$A$17,Rekorde!$A$4:$A$23,0)),"")*0.95*2,0)/2))</f>
        <v>123.5</v>
      </c>
      <c r="D706" s="112" t="n">
        <f aca="false">IF(OR(FALSE(),Übungen!$L$17="pause"),"",IF(IFERROR(INDEX(Rekorde!$P$4:$P$23,MATCH(Übungen!$A$17,Rekorde!$A$4:$A$23,0)),"")="","",MIN(Übungen!$E$17,IFERROR(INDEX(Rekorde!$P$4:$P$23,MATCH(Übungen!$A$17,Rekorde!$A$4:$A$23,0)),"")+1)))</f>
        <v>6</v>
      </c>
      <c r="E706" s="109"/>
      <c r="F706" s="109"/>
      <c r="G706" s="109"/>
      <c r="H706" s="109"/>
      <c r="I706" s="109"/>
    </row>
    <row r="707" customFormat="false" ht="18" hidden="false" customHeight="true" outlineLevel="0" collapsed="false">
      <c r="A707" s="105" t="n">
        <v>5</v>
      </c>
      <c r="B707" s="110" t="s">
        <v>483</v>
      </c>
      <c r="C707" s="107" t="n">
        <f aca="false">IF(OR(FALSE(),Übungen!$L$17="pause"),"",IF(IFERROR(INDEX(Rekorde!$O$4:$O$23,MATCH(Übungen!$A$17,Rekorde!$A$4:$A$23,0)),"")="","",ROUND(IFERROR(INDEX(Rekorde!$O$4:$O$23,MATCH(Übungen!$A$17,Rekorde!$A$4:$A$23,0)),"")*0.9*2,0)/2))</f>
        <v>117</v>
      </c>
      <c r="D707" s="112" t="n">
        <f aca="false">IF(OR(FALSE(),Übungen!$L$17="pause"),"",IF(IFERROR(INDEX(Rekorde!$P$4:$P$23,MATCH(Übungen!$A$17,Rekorde!$A$4:$A$23,0)),"")="","",MIN(Übungen!$E$17,IFERROR(INDEX(Rekorde!$P$4:$P$23,MATCH(Übungen!$A$17,Rekorde!$A$4:$A$23,0)),"")+2)))</f>
        <v>6</v>
      </c>
      <c r="E707" s="109"/>
      <c r="F707" s="109"/>
      <c r="G707" s="109"/>
      <c r="H707" s="109"/>
      <c r="I707" s="109"/>
    </row>
    <row r="709" customFormat="false" ht="18.75" hidden="false" customHeight="true" outlineLevel="0" collapsed="false">
      <c r="A709" s="101" t="str">
        <f aca="false">Übungen!$A$18</f>
        <v>Hip Thrust Bülach</v>
      </c>
      <c r="B709" s="101"/>
      <c r="C709" s="101"/>
      <c r="D709" s="101"/>
      <c r="E709" s="101"/>
      <c r="F709" s="101"/>
      <c r="G709" s="101"/>
      <c r="H709" s="101"/>
      <c r="I709" s="101"/>
    </row>
    <row r="710" customFormat="false" ht="13.5" hidden="false" customHeight="true" outlineLevel="0" collapsed="false">
      <c r="A710"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710" s="102"/>
      <c r="C710" s="102"/>
      <c r="D710" s="102"/>
      <c r="E710" s="102"/>
      <c r="F710" s="102"/>
      <c r="G710" s="102"/>
      <c r="H710" s="102"/>
      <c r="I710" s="102"/>
    </row>
    <row r="711" customFormat="false" ht="13.5" hidden="false" customHeight="true" outlineLevel="0" collapsed="false">
      <c r="A711"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711" s="103"/>
      <c r="C711" s="103"/>
      <c r="D711" s="103"/>
      <c r="E711" s="103"/>
      <c r="F711" s="103"/>
      <c r="G711" s="103"/>
      <c r="H711" s="103"/>
      <c r="I711" s="103"/>
    </row>
    <row r="712" customFormat="false" ht="18" hidden="false" customHeight="true" outlineLevel="0" collapsed="false">
      <c r="A712" s="104" t="s">
        <v>473</v>
      </c>
      <c r="B712" s="104" t="s">
        <v>474</v>
      </c>
      <c r="C712" s="104" t="s">
        <v>475</v>
      </c>
      <c r="D712" s="104" t="s">
        <v>476</v>
      </c>
      <c r="E712" s="104" t="s">
        <v>477</v>
      </c>
      <c r="F712" s="104" t="s">
        <v>374</v>
      </c>
      <c r="G712" s="104" t="s">
        <v>48</v>
      </c>
      <c r="H712" s="104" t="s">
        <v>478</v>
      </c>
      <c r="I712" s="104" t="s">
        <v>255</v>
      </c>
    </row>
    <row r="713" customFormat="false" ht="18" hidden="false" customHeight="true" outlineLevel="0" collapsed="false">
      <c r="A713" s="105" t="n">
        <v>1</v>
      </c>
      <c r="B713" s="106" t="s">
        <v>479</v>
      </c>
      <c r="C713" s="107" t="n">
        <f aca="false">IF(OR(FALSE(),Übungen!$L$18="pause"),"",IF(IFERROR(INDEX(Rekorde!$O$4:$O$23,MATCH(Übungen!$A$18,Rekorde!$A$4:$A$23,0)),"")="","",ROUND(IFERROR(INDEX(Rekorde!$O$4:$O$23,MATCH(Übungen!$A$18,Rekorde!$A$4:$A$23,0)),"")*0.4*2,0)/2))</f>
        <v>88</v>
      </c>
      <c r="D713" s="108"/>
      <c r="E713" s="109"/>
      <c r="F713" s="109"/>
      <c r="G713" s="109"/>
      <c r="H713" s="109"/>
      <c r="I713" s="109"/>
    </row>
    <row r="714" customFormat="false" ht="18" hidden="false" customHeight="true" outlineLevel="0" collapsed="false">
      <c r="A714" s="105" t="n">
        <v>2</v>
      </c>
      <c r="B714" s="106" t="s">
        <v>480</v>
      </c>
      <c r="C714" s="107" t="n">
        <f aca="false">IF(OR(FALSE(),Übungen!$L$18="pause"),"",IF(IFERROR(INDEX(Rekorde!$O$4:$O$23,MATCH(Übungen!$A$18,Rekorde!$A$4:$A$23,0)),"")="","",ROUND(IFERROR(INDEX(Rekorde!$O$4:$O$23,MATCH(Übungen!$A$18,Rekorde!$A$4:$A$23,0)),"")*0.7*2,0)/2))</f>
        <v>154</v>
      </c>
      <c r="D714" s="108"/>
      <c r="E714" s="109"/>
      <c r="F714" s="109"/>
      <c r="G714" s="109"/>
      <c r="H714" s="109"/>
      <c r="I714" s="109"/>
    </row>
    <row r="715" customFormat="false" ht="18" hidden="false" customHeight="true" outlineLevel="0" collapsed="false">
      <c r="A715" s="105" t="n">
        <v>3</v>
      </c>
      <c r="B715" s="110" t="s">
        <v>481</v>
      </c>
      <c r="C715" s="111" t="n">
        <f aca="false">IF(OR(FALSE(),Übungen!$L$18="pause"),"",IF(IFERROR(INDEX(Rekorde!$O$4:$O$23,MATCH(Übungen!$A$18,Rekorde!$A$4:$A$23,0)),"")="","",ROUND(IFERROR(INDEX(Rekorde!$O$4:$O$23,MATCH(Übungen!$A$18,Rekorde!$A$4:$A$23,0)),"")*1*2,0)/2))</f>
        <v>220</v>
      </c>
      <c r="D715" s="112" t="n">
        <f aca="false">IF(OR(FALSE(),Übungen!$L$18="pause"),"",IF(IFERROR(INDEX(Rekorde!$P$4:$P$23,MATCH(Übungen!$A$18,Rekorde!$A$4:$A$23,0)),"")="","",MIN(Übungen!$E$18,IFERROR(INDEX(Rekorde!$P$4:$P$23,MATCH(Übungen!$A$18,Rekorde!$A$4:$A$23,0)),"")+0)))</f>
        <v>5</v>
      </c>
      <c r="E715" s="109"/>
      <c r="F715" s="109"/>
      <c r="G715" s="109"/>
      <c r="H715" s="109"/>
      <c r="I715" s="109"/>
    </row>
    <row r="716" customFormat="false" ht="18" hidden="false" customHeight="true" outlineLevel="0" collapsed="false">
      <c r="A716" s="105" t="n">
        <v>4</v>
      </c>
      <c r="B716" s="110" t="s">
        <v>482</v>
      </c>
      <c r="C716" s="107" t="n">
        <f aca="false">IF(OR(FALSE(),Übungen!$L$18="pause"),"",IF(IFERROR(INDEX(Rekorde!$O$4:$O$23,MATCH(Übungen!$A$18,Rekorde!$A$4:$A$23,0)),"")="","",ROUND(IFERROR(INDEX(Rekorde!$O$4:$O$23,MATCH(Übungen!$A$18,Rekorde!$A$4:$A$23,0)),"")*0.95*2,0)/2))</f>
        <v>209</v>
      </c>
      <c r="D716" s="112" t="n">
        <f aca="false">IF(OR(FALSE(),Übungen!$L$18="pause"),"",IF(IFERROR(INDEX(Rekorde!$P$4:$P$23,MATCH(Übungen!$A$18,Rekorde!$A$4:$A$23,0)),"")="","",MIN(Übungen!$E$18,IFERROR(INDEX(Rekorde!$P$4:$P$23,MATCH(Übungen!$A$18,Rekorde!$A$4:$A$23,0)),"")+1)))</f>
        <v>6</v>
      </c>
      <c r="E716" s="109"/>
      <c r="F716" s="109"/>
      <c r="G716" s="109"/>
      <c r="H716" s="109"/>
      <c r="I716" s="109"/>
    </row>
    <row r="717" customFormat="false" ht="18" hidden="false" customHeight="true" outlineLevel="0" collapsed="false">
      <c r="A717" s="105" t="n">
        <v>5</v>
      </c>
      <c r="B717" s="110" t="s">
        <v>483</v>
      </c>
      <c r="C717" s="107" t="n">
        <f aca="false">IF(OR(FALSE(),Übungen!$L$18="pause"),"",IF(IFERROR(INDEX(Rekorde!$O$4:$O$23,MATCH(Übungen!$A$18,Rekorde!$A$4:$A$23,0)),"")="","",ROUND(IFERROR(INDEX(Rekorde!$O$4:$O$23,MATCH(Übungen!$A$18,Rekorde!$A$4:$A$23,0)),"")*0.9*2,0)/2))</f>
        <v>198</v>
      </c>
      <c r="D717" s="112" t="n">
        <f aca="false">IF(OR(FALSE(),Übungen!$L$18="pause"),"",IF(IFERROR(INDEX(Rekorde!$P$4:$P$23,MATCH(Übungen!$A$18,Rekorde!$A$4:$A$23,0)),"")="","",MIN(Übungen!$E$18,IFERROR(INDEX(Rekorde!$P$4:$P$23,MATCH(Übungen!$A$18,Rekorde!$A$4:$A$23,0)),"")+2)))</f>
        <v>6</v>
      </c>
      <c r="E717" s="109"/>
      <c r="F717" s="109"/>
      <c r="G717" s="109"/>
      <c r="H717" s="109"/>
      <c r="I717" s="109"/>
    </row>
    <row r="719" customFormat="false" ht="18.75" hidden="false" customHeight="true" outlineLevel="0" collapsed="false">
      <c r="A719" s="101" t="str">
        <f aca="false">Übungen!$A$19</f>
        <v>Beinbeuger Bülach</v>
      </c>
      <c r="B719" s="101"/>
      <c r="C719" s="101"/>
      <c r="D719" s="101"/>
      <c r="E719" s="101"/>
      <c r="F719" s="101"/>
      <c r="G719" s="101"/>
      <c r="H719" s="101"/>
      <c r="I719" s="101"/>
    </row>
    <row r="720" customFormat="false" ht="13.5" hidden="false" customHeight="true" outlineLevel="0" collapsed="false">
      <c r="A720"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20" s="102"/>
      <c r="C720" s="102"/>
      <c r="D720" s="102"/>
      <c r="E720" s="102"/>
      <c r="F720" s="102"/>
      <c r="G720" s="102"/>
      <c r="H720" s="102"/>
      <c r="I720" s="102"/>
    </row>
    <row r="721" customFormat="false" ht="13.5" hidden="false" customHeight="true" outlineLevel="0" collapsed="false">
      <c r="A721"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721" s="103"/>
      <c r="C721" s="103"/>
      <c r="D721" s="103"/>
      <c r="E721" s="103"/>
      <c r="F721" s="103"/>
      <c r="G721" s="103"/>
      <c r="H721" s="103"/>
      <c r="I721" s="103"/>
    </row>
    <row r="722" customFormat="false" ht="18" hidden="false" customHeight="true" outlineLevel="0" collapsed="false">
      <c r="A722" s="104" t="s">
        <v>473</v>
      </c>
      <c r="B722" s="104" t="s">
        <v>474</v>
      </c>
      <c r="C722" s="104" t="s">
        <v>475</v>
      </c>
      <c r="D722" s="104" t="s">
        <v>476</v>
      </c>
      <c r="E722" s="104" t="s">
        <v>477</v>
      </c>
      <c r="F722" s="104" t="s">
        <v>374</v>
      </c>
      <c r="G722" s="104" t="s">
        <v>48</v>
      </c>
      <c r="H722" s="104" t="s">
        <v>478</v>
      </c>
      <c r="I722" s="104" t="s">
        <v>255</v>
      </c>
    </row>
    <row r="723" customFormat="false" ht="18" hidden="false" customHeight="true" outlineLevel="0" collapsed="false">
      <c r="A723" s="105" t="n">
        <v>1</v>
      </c>
      <c r="B723" s="106" t="s">
        <v>479</v>
      </c>
      <c r="C723" s="107" t="n">
        <f aca="false">IF(OR(FALSE(),Übungen!$L$19="pause"),"",IF(IFERROR(INDEX(Rekorde!$O$4:$O$23,MATCH(Übungen!$A$19,Rekorde!$A$4:$A$23,0)),"")="","",ROUND(IFERROR(INDEX(Rekorde!$O$4:$O$23,MATCH(Übungen!$A$19,Rekorde!$A$4:$A$23,0)),"")*0.4*2,0)/2))</f>
        <v>25</v>
      </c>
      <c r="D723" s="108"/>
      <c r="E723" s="109"/>
      <c r="F723" s="109"/>
      <c r="G723" s="109"/>
      <c r="H723" s="109"/>
      <c r="I723" s="109"/>
    </row>
    <row r="724" customFormat="false" ht="18" hidden="false" customHeight="true" outlineLevel="0" collapsed="false">
      <c r="A724" s="105" t="n">
        <v>2</v>
      </c>
      <c r="B724" s="106" t="s">
        <v>480</v>
      </c>
      <c r="C724" s="107" t="n">
        <f aca="false">IF(OR(FALSE(),Übungen!$L$19="pause"),"",IF(IFERROR(INDEX(Rekorde!$O$4:$O$23,MATCH(Übungen!$A$19,Rekorde!$A$4:$A$23,0)),"")="","",ROUND(IFERROR(INDEX(Rekorde!$O$4:$O$23,MATCH(Übungen!$A$19,Rekorde!$A$4:$A$23,0)),"")*0.7*2,0)/2))</f>
        <v>44</v>
      </c>
      <c r="D724" s="108"/>
      <c r="E724" s="109"/>
      <c r="F724" s="109"/>
      <c r="G724" s="109"/>
      <c r="H724" s="109"/>
      <c r="I724" s="109"/>
    </row>
    <row r="725" customFormat="false" ht="18" hidden="false" customHeight="true" outlineLevel="0" collapsed="false">
      <c r="A725" s="105" t="n">
        <v>3</v>
      </c>
      <c r="B725" s="110" t="s">
        <v>481</v>
      </c>
      <c r="C725" s="111" t="n">
        <f aca="false">IF(OR(FALSE(),Übungen!$L$19="pause"),"",IF(IFERROR(INDEX(Rekorde!$O$4:$O$23,MATCH(Übungen!$A$19,Rekorde!$A$4:$A$23,0)),"")="","",ROUND(IFERROR(INDEX(Rekorde!$O$4:$O$23,MATCH(Übungen!$A$19,Rekorde!$A$4:$A$23,0)),"")*1*2,0)/2))</f>
        <v>63</v>
      </c>
      <c r="D725" s="112" t="n">
        <f aca="false">IF(OR(FALSE(),Übungen!$L$19="pause"),"",IF(IFERROR(INDEX(Rekorde!$P$4:$P$23,MATCH(Übungen!$A$19,Rekorde!$A$4:$A$23,0)),"")="","",MIN(Übungen!$E$19,IFERROR(INDEX(Rekorde!$P$4:$P$23,MATCH(Übungen!$A$19,Rekorde!$A$4:$A$23,0)),"")+0)))</f>
        <v>5</v>
      </c>
      <c r="E725" s="109"/>
      <c r="F725" s="109"/>
      <c r="G725" s="109"/>
      <c r="H725" s="109"/>
      <c r="I725" s="109"/>
    </row>
    <row r="726" customFormat="false" ht="18" hidden="false" customHeight="true" outlineLevel="0" collapsed="false">
      <c r="A726" s="105" t="n">
        <v>4</v>
      </c>
      <c r="B726" s="110" t="s">
        <v>482</v>
      </c>
      <c r="C726" s="107" t="n">
        <f aca="false">IF(OR(FALSE(),Übungen!$L$19="pause"),"",IF(IFERROR(INDEX(Rekorde!$O$4:$O$23,MATCH(Übungen!$A$19,Rekorde!$A$4:$A$23,0)),"")="","",ROUND(IFERROR(INDEX(Rekorde!$O$4:$O$23,MATCH(Übungen!$A$19,Rekorde!$A$4:$A$23,0)),"")*0.95*2,0)/2))</f>
        <v>60</v>
      </c>
      <c r="D726" s="112" t="n">
        <f aca="false">IF(OR(FALSE(),Übungen!$L$19="pause"),"",IF(IFERROR(INDEX(Rekorde!$P$4:$P$23,MATCH(Übungen!$A$19,Rekorde!$A$4:$A$23,0)),"")="","",MIN(Übungen!$E$19,IFERROR(INDEX(Rekorde!$P$4:$P$23,MATCH(Übungen!$A$19,Rekorde!$A$4:$A$23,0)),"")+1)))</f>
        <v>6</v>
      </c>
      <c r="E726" s="109"/>
      <c r="F726" s="109"/>
      <c r="G726" s="109"/>
      <c r="H726" s="109"/>
      <c r="I726" s="109"/>
    </row>
    <row r="727" customFormat="false" ht="18" hidden="false" customHeight="true" outlineLevel="0" collapsed="false">
      <c r="A727" s="105" t="n">
        <v>5</v>
      </c>
      <c r="B727" s="110" t="s">
        <v>483</v>
      </c>
      <c r="C727" s="107" t="n">
        <f aca="false">IF(OR(FALSE(),Übungen!$L$19="pause"),"",IF(IFERROR(INDEX(Rekorde!$O$4:$O$23,MATCH(Übungen!$A$19,Rekorde!$A$4:$A$23,0)),"")="","",ROUND(IFERROR(INDEX(Rekorde!$O$4:$O$23,MATCH(Übungen!$A$19,Rekorde!$A$4:$A$23,0)),"")*0.9*2,0)/2))</f>
        <v>56.5</v>
      </c>
      <c r="D727" s="112" t="n">
        <f aca="false">IF(OR(FALSE(),Übungen!$L$19="pause"),"",IF(IFERROR(INDEX(Rekorde!$P$4:$P$23,MATCH(Übungen!$A$19,Rekorde!$A$4:$A$23,0)),"")="","",MIN(Übungen!$E$19,IFERROR(INDEX(Rekorde!$P$4:$P$23,MATCH(Übungen!$A$19,Rekorde!$A$4:$A$23,0)),"")+2)))</f>
        <v>6</v>
      </c>
      <c r="E727" s="109"/>
      <c r="F727" s="109"/>
      <c r="G727" s="109"/>
      <c r="H727" s="109"/>
      <c r="I727" s="109"/>
    </row>
    <row r="729" customFormat="false" ht="15.75" hidden="false" customHeight="true" outlineLevel="0" collapsed="false">
      <c r="A729" s="3" t="s">
        <v>484</v>
      </c>
      <c r="B729" s="3"/>
      <c r="C729" s="3"/>
      <c r="D729" s="3"/>
      <c r="E729" s="3"/>
      <c r="F729" s="3"/>
      <c r="G729" s="3"/>
      <c r="H729" s="3"/>
      <c r="I729" s="3"/>
    </row>
    <row r="730" customFormat="false" ht="18" hidden="false" customHeight="true" outlineLevel="0" collapsed="false">
      <c r="A730" s="113"/>
      <c r="B730" s="113"/>
      <c r="C730" s="113"/>
      <c r="D730" s="113"/>
      <c r="E730" s="113"/>
      <c r="F730" s="113"/>
      <c r="G730" s="113"/>
      <c r="H730" s="113"/>
      <c r="I730" s="113"/>
    </row>
    <row r="731" customFormat="false" ht="18" hidden="false" customHeight="true" outlineLevel="0" collapsed="false">
      <c r="A731" s="113"/>
      <c r="B731" s="113"/>
      <c r="C731" s="113"/>
      <c r="D731" s="113"/>
      <c r="E731" s="113"/>
      <c r="F731" s="113"/>
      <c r="G731" s="113"/>
      <c r="H731" s="113"/>
      <c r="I731" s="113"/>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496</v>
      </c>
      <c r="B1" s="1"/>
      <c r="C1" s="1"/>
      <c r="D1" s="1"/>
      <c r="E1" s="1"/>
      <c r="F1" s="1"/>
      <c r="G1" s="1"/>
      <c r="H1" s="1"/>
      <c r="I1" s="1"/>
      <c r="J1" s="1"/>
      <c r="K1" s="1"/>
      <c r="L1" s="1"/>
      <c r="M1" s="1"/>
      <c r="N1" s="1"/>
      <c r="O1" s="1"/>
      <c r="P1" s="1"/>
    </row>
    <row r="2" customFormat="false" ht="15" hidden="false" customHeight="true" outlineLevel="0" collapsed="false">
      <c r="A2" s="2" t="s">
        <v>497</v>
      </c>
      <c r="B2" s="2"/>
      <c r="C2" s="2"/>
      <c r="D2" s="2"/>
      <c r="E2" s="2"/>
      <c r="F2" s="2"/>
      <c r="G2" s="2"/>
      <c r="H2" s="2"/>
      <c r="I2" s="2"/>
      <c r="J2" s="2"/>
      <c r="K2" s="2"/>
      <c r="L2" s="2"/>
      <c r="M2" s="2"/>
      <c r="N2" s="2"/>
      <c r="O2" s="2"/>
      <c r="P2" s="2"/>
    </row>
    <row r="3" customFormat="false" ht="31.5" hidden="false" customHeight="true" outlineLevel="0" collapsed="false">
      <c r="A3" s="13" t="s">
        <v>168</v>
      </c>
      <c r="B3" s="13" t="s">
        <v>371</v>
      </c>
      <c r="C3" s="13" t="s">
        <v>498</v>
      </c>
      <c r="D3" s="13" t="s">
        <v>499</v>
      </c>
      <c r="E3" s="13" t="s">
        <v>500</v>
      </c>
      <c r="F3" s="13" t="s">
        <v>501</v>
      </c>
      <c r="G3" s="13" t="s">
        <v>502</v>
      </c>
      <c r="H3" s="13" t="s">
        <v>503</v>
      </c>
      <c r="I3" s="13" t="s">
        <v>504</v>
      </c>
      <c r="J3" s="13" t="s">
        <v>505</v>
      </c>
      <c r="K3" s="13" t="s">
        <v>506</v>
      </c>
      <c r="L3" s="13" t="s">
        <v>507</v>
      </c>
      <c r="M3" s="13" t="s">
        <v>255</v>
      </c>
      <c r="N3" s="13" t="s">
        <v>508</v>
      </c>
      <c r="O3" s="13" t="s">
        <v>509</v>
      </c>
    </row>
    <row r="4" customFormat="false" ht="57.75" hidden="false" customHeight="true" outlineLevel="0" collapsed="false">
      <c r="A4" s="56" t="s">
        <v>410</v>
      </c>
      <c r="B4" s="56" t="s">
        <v>92</v>
      </c>
      <c r="C4" s="56" t="s">
        <v>510</v>
      </c>
      <c r="D4" s="54" t="n">
        <v>5</v>
      </c>
      <c r="E4" s="54" t="n">
        <v>6</v>
      </c>
      <c r="F4" s="54" t="n">
        <v>3</v>
      </c>
      <c r="G4" s="54" t="s">
        <v>511</v>
      </c>
      <c r="H4" s="55"/>
      <c r="I4" s="55"/>
      <c r="J4" s="55" t="n">
        <v>5</v>
      </c>
      <c r="K4" s="68" t="n">
        <v>100</v>
      </c>
      <c r="L4" s="54" t="s">
        <v>512</v>
      </c>
      <c r="M4" s="54" t="n">
        <v>6</v>
      </c>
      <c r="N4" s="114" t="s">
        <v>513</v>
      </c>
      <c r="O4" s="114" t="s">
        <v>514</v>
      </c>
      <c r="P4" s="114" t="s">
        <v>515</v>
      </c>
    </row>
    <row r="5" customFormat="false" ht="57.75" hidden="false" customHeight="true" outlineLevel="0" collapsed="false">
      <c r="A5" s="56" t="s">
        <v>394</v>
      </c>
      <c r="B5" s="56" t="s">
        <v>92</v>
      </c>
      <c r="C5" s="56" t="s">
        <v>516</v>
      </c>
      <c r="D5" s="54" t="n">
        <v>5</v>
      </c>
      <c r="E5" s="54" t="n">
        <v>6</v>
      </c>
      <c r="F5" s="54" t="n">
        <v>3</v>
      </c>
      <c r="G5" s="54" t="s">
        <v>517</v>
      </c>
      <c r="H5" s="55"/>
      <c r="I5" s="55"/>
      <c r="J5" s="55" t="n">
        <v>2.5</v>
      </c>
      <c r="K5" s="68" t="n">
        <v>100</v>
      </c>
      <c r="L5" s="54" t="s">
        <v>512</v>
      </c>
      <c r="M5" s="54" t="n">
        <v>12</v>
      </c>
      <c r="N5" s="114" t="s">
        <v>518</v>
      </c>
      <c r="O5" s="114" t="s">
        <v>519</v>
      </c>
      <c r="P5" s="114" t="s">
        <v>520</v>
      </c>
    </row>
    <row r="6" customFormat="false" ht="57.75" hidden="false" customHeight="true" outlineLevel="0" collapsed="false">
      <c r="A6" s="56" t="s">
        <v>387</v>
      </c>
      <c r="B6" s="56" t="s">
        <v>92</v>
      </c>
      <c r="C6" s="56" t="s">
        <v>521</v>
      </c>
      <c r="D6" s="54" t="n">
        <v>5</v>
      </c>
      <c r="E6" s="54" t="n">
        <v>6</v>
      </c>
      <c r="F6" s="54" t="n">
        <v>3</v>
      </c>
      <c r="G6" s="54" t="s">
        <v>522</v>
      </c>
      <c r="H6" s="55"/>
      <c r="I6" s="55"/>
      <c r="J6" s="55" t="n">
        <v>5</v>
      </c>
      <c r="K6" s="68" t="n">
        <v>100</v>
      </c>
      <c r="L6" s="54" t="s">
        <v>512</v>
      </c>
      <c r="M6" s="54" t="n">
        <v>2</v>
      </c>
      <c r="N6" s="114" t="s">
        <v>523</v>
      </c>
      <c r="O6" s="114" t="s">
        <v>524</v>
      </c>
      <c r="P6" s="114" t="s">
        <v>525</v>
      </c>
    </row>
    <row r="7" customFormat="false" ht="57.75" hidden="false" customHeight="true" outlineLevel="0" collapsed="false">
      <c r="A7" s="56" t="s">
        <v>378</v>
      </c>
      <c r="B7" s="56" t="s">
        <v>92</v>
      </c>
      <c r="C7" s="56" t="s">
        <v>521</v>
      </c>
      <c r="D7" s="54" t="n">
        <v>5</v>
      </c>
      <c r="E7" s="54" t="n">
        <v>6</v>
      </c>
      <c r="F7" s="54" t="n">
        <v>2</v>
      </c>
      <c r="G7" s="54" t="s">
        <v>522</v>
      </c>
      <c r="H7" s="55"/>
      <c r="I7" s="55"/>
      <c r="J7" s="55" t="n">
        <v>2.5</v>
      </c>
      <c r="K7" s="68" t="n">
        <v>90</v>
      </c>
      <c r="L7" s="54" t="s">
        <v>512</v>
      </c>
      <c r="M7" s="54" t="n">
        <v>2</v>
      </c>
      <c r="N7" s="114" t="s">
        <v>526</v>
      </c>
      <c r="O7" s="114" t="s">
        <v>524</v>
      </c>
      <c r="P7" s="114" t="s">
        <v>527</v>
      </c>
    </row>
    <row r="8" customFormat="false" ht="57.75" hidden="false" customHeight="true" outlineLevel="0" collapsed="false">
      <c r="A8" s="56" t="s">
        <v>417</v>
      </c>
      <c r="B8" s="56" t="s">
        <v>103</v>
      </c>
      <c r="C8" s="56" t="s">
        <v>528</v>
      </c>
      <c r="D8" s="54" t="n">
        <v>5</v>
      </c>
      <c r="E8" s="54" t="n">
        <v>6</v>
      </c>
      <c r="F8" s="54" t="n">
        <v>3</v>
      </c>
      <c r="G8" s="54" t="s">
        <v>511</v>
      </c>
      <c r="H8" s="55"/>
      <c r="I8" s="55"/>
      <c r="J8" s="55" t="n">
        <v>5</v>
      </c>
      <c r="K8" s="68" t="n">
        <v>100</v>
      </c>
      <c r="L8" s="54" t="s">
        <v>512</v>
      </c>
      <c r="M8" s="54" t="n">
        <v>12</v>
      </c>
      <c r="N8" s="114" t="s">
        <v>529</v>
      </c>
      <c r="O8" s="114" t="s">
        <v>530</v>
      </c>
      <c r="P8" s="114" t="s">
        <v>531</v>
      </c>
    </row>
    <row r="9" customFormat="false" ht="57.75" hidden="false" customHeight="true" outlineLevel="0" collapsed="false">
      <c r="A9" s="56" t="s">
        <v>407</v>
      </c>
      <c r="B9" s="56" t="s">
        <v>103</v>
      </c>
      <c r="C9" s="56" t="s">
        <v>408</v>
      </c>
      <c r="D9" s="54" t="n">
        <v>5</v>
      </c>
      <c r="E9" s="54" t="n">
        <v>6</v>
      </c>
      <c r="F9" s="54" t="n">
        <v>3</v>
      </c>
      <c r="G9" s="54" t="s">
        <v>517</v>
      </c>
      <c r="H9" s="55"/>
      <c r="I9" s="55"/>
      <c r="J9" s="55" t="n">
        <v>2.5</v>
      </c>
      <c r="K9" s="68" t="n">
        <v>100</v>
      </c>
      <c r="L9" s="54" t="s">
        <v>532</v>
      </c>
      <c r="M9" s="54" t="n">
        <v>16</v>
      </c>
      <c r="N9" s="114" t="s">
        <v>533</v>
      </c>
      <c r="O9" s="114" t="s">
        <v>534</v>
      </c>
      <c r="P9" s="114" t="s">
        <v>535</v>
      </c>
    </row>
    <row r="10" customFormat="false" ht="57.75" hidden="false" customHeight="true" outlineLevel="0" collapsed="false">
      <c r="A10" s="56" t="s">
        <v>421</v>
      </c>
      <c r="B10" s="56" t="s">
        <v>103</v>
      </c>
      <c r="C10" s="56" t="s">
        <v>536</v>
      </c>
      <c r="D10" s="54" t="n">
        <v>5</v>
      </c>
      <c r="E10" s="54" t="n">
        <v>6</v>
      </c>
      <c r="F10" s="54" t="n">
        <v>3</v>
      </c>
      <c r="G10" s="54" t="s">
        <v>517</v>
      </c>
      <c r="H10" s="55"/>
      <c r="I10" s="55"/>
      <c r="J10" s="55" t="n">
        <v>2</v>
      </c>
      <c r="K10" s="68" t="n">
        <v>100</v>
      </c>
      <c r="L10" s="54" t="s">
        <v>512</v>
      </c>
      <c r="M10" s="54" t="n">
        <v>16</v>
      </c>
      <c r="N10" s="114" t="s">
        <v>537</v>
      </c>
      <c r="O10" s="114" t="s">
        <v>534</v>
      </c>
      <c r="P10" s="114" t="s">
        <v>538</v>
      </c>
    </row>
    <row r="11" customFormat="false" ht="57.75" hidden="false" customHeight="true" outlineLevel="0" collapsed="false">
      <c r="A11" s="56" t="s">
        <v>539</v>
      </c>
      <c r="B11" s="56" t="s">
        <v>103</v>
      </c>
      <c r="C11" s="56" t="s">
        <v>540</v>
      </c>
      <c r="D11" s="54" t="n">
        <v>5</v>
      </c>
      <c r="E11" s="54" t="n">
        <v>6</v>
      </c>
      <c r="F11" s="54" t="n">
        <v>3</v>
      </c>
      <c r="G11" s="54" t="s">
        <v>511</v>
      </c>
      <c r="H11" s="55" t="n">
        <v>220</v>
      </c>
      <c r="I11" s="55"/>
      <c r="J11" s="55" t="n">
        <v>5</v>
      </c>
      <c r="K11" s="68" t="n">
        <v>100</v>
      </c>
      <c r="L11" s="54" t="s">
        <v>512</v>
      </c>
      <c r="M11" s="54" t="n">
        <v>6</v>
      </c>
      <c r="N11" s="114" t="s">
        <v>541</v>
      </c>
      <c r="O11" s="114" t="s">
        <v>514</v>
      </c>
      <c r="P11" s="114" t="s">
        <v>542</v>
      </c>
    </row>
    <row r="12" customFormat="false" ht="57.75" hidden="false" customHeight="true" outlineLevel="0" collapsed="false">
      <c r="A12" s="56" t="s">
        <v>402</v>
      </c>
      <c r="B12" s="56" t="s">
        <v>103</v>
      </c>
      <c r="C12" s="56" t="s">
        <v>408</v>
      </c>
      <c r="D12" s="54" t="n">
        <v>5</v>
      </c>
      <c r="E12" s="54" t="n">
        <v>6</v>
      </c>
      <c r="F12" s="54" t="n">
        <v>3</v>
      </c>
      <c r="G12" s="54" t="s">
        <v>511</v>
      </c>
      <c r="H12" s="55"/>
      <c r="I12" s="55"/>
      <c r="J12" s="55" t="n">
        <v>5</v>
      </c>
      <c r="K12" s="68" t="n">
        <v>100</v>
      </c>
      <c r="L12" s="54" t="s">
        <v>512</v>
      </c>
      <c r="M12" s="54" t="n">
        <v>12</v>
      </c>
      <c r="N12" s="114" t="s">
        <v>543</v>
      </c>
      <c r="O12" s="114" t="s">
        <v>544</v>
      </c>
      <c r="P12" s="114" t="s">
        <v>545</v>
      </c>
    </row>
    <row r="13" customFormat="false" ht="57.75" hidden="false" customHeight="true" outlineLevel="0" collapsed="false">
      <c r="A13" s="56" t="s">
        <v>413</v>
      </c>
      <c r="B13" s="56" t="s">
        <v>103</v>
      </c>
      <c r="C13" s="56" t="s">
        <v>521</v>
      </c>
      <c r="D13" s="54" t="n">
        <v>5</v>
      </c>
      <c r="E13" s="54" t="n">
        <v>6</v>
      </c>
      <c r="F13" s="54" t="n">
        <v>3</v>
      </c>
      <c r="G13" s="54" t="s">
        <v>511</v>
      </c>
      <c r="H13" s="55"/>
      <c r="I13" s="55"/>
      <c r="J13" s="55" t="n">
        <v>5</v>
      </c>
      <c r="K13" s="68" t="n">
        <v>100</v>
      </c>
      <c r="L13" s="54" t="s">
        <v>512</v>
      </c>
      <c r="M13" s="54" t="n">
        <v>6</v>
      </c>
      <c r="N13" s="114" t="s">
        <v>546</v>
      </c>
      <c r="O13" s="114" t="s">
        <v>547</v>
      </c>
      <c r="P13" s="114" t="s">
        <v>548</v>
      </c>
    </row>
    <row r="14" customFormat="false" ht="57.75" hidden="false" customHeight="true" outlineLevel="0" collapsed="false">
      <c r="A14" s="56" t="s">
        <v>398</v>
      </c>
      <c r="B14" s="56" t="s">
        <v>103</v>
      </c>
      <c r="C14" s="56" t="s">
        <v>549</v>
      </c>
      <c r="D14" s="54" t="n">
        <v>5</v>
      </c>
      <c r="E14" s="54" t="n">
        <v>6</v>
      </c>
      <c r="F14" s="54" t="n">
        <v>3</v>
      </c>
      <c r="G14" s="54" t="s">
        <v>522</v>
      </c>
      <c r="H14" s="55"/>
      <c r="I14" s="55"/>
      <c r="J14" s="55" t="n">
        <v>2.5</v>
      </c>
      <c r="K14" s="68" t="n">
        <v>100</v>
      </c>
      <c r="L14" s="54" t="s">
        <v>512</v>
      </c>
      <c r="M14" s="54" t="n">
        <v>2</v>
      </c>
      <c r="N14" s="114" t="s">
        <v>550</v>
      </c>
      <c r="O14" s="114" t="s">
        <v>524</v>
      </c>
      <c r="P14" s="114" t="s">
        <v>551</v>
      </c>
    </row>
    <row r="15" customFormat="false" ht="57.75" hidden="false" customHeight="true" outlineLevel="0" collapsed="false">
      <c r="A15" s="56" t="s">
        <v>397</v>
      </c>
      <c r="B15" s="56" t="s">
        <v>103</v>
      </c>
      <c r="C15" s="56" t="s">
        <v>552</v>
      </c>
      <c r="D15" s="54" t="n">
        <v>5</v>
      </c>
      <c r="E15" s="54" t="n">
        <v>6</v>
      </c>
      <c r="F15" s="54" t="n">
        <v>3</v>
      </c>
      <c r="G15" s="54" t="s">
        <v>522</v>
      </c>
      <c r="H15" s="55"/>
      <c r="I15" s="55"/>
      <c r="J15" s="55" t="n">
        <v>2</v>
      </c>
      <c r="K15" s="68" t="n">
        <v>100</v>
      </c>
      <c r="L15" s="54" t="s">
        <v>512</v>
      </c>
      <c r="M15" s="54" t="n">
        <v>6</v>
      </c>
      <c r="N15" s="114" t="s">
        <v>553</v>
      </c>
      <c r="O15" s="114" t="s">
        <v>554</v>
      </c>
      <c r="P15" s="114" t="s">
        <v>555</v>
      </c>
    </row>
    <row r="16" customFormat="false" ht="57.75" hidden="false" customHeight="true" outlineLevel="0" collapsed="false">
      <c r="A16" s="56" t="s">
        <v>406</v>
      </c>
      <c r="B16" s="56" t="s">
        <v>103</v>
      </c>
      <c r="C16" s="56" t="s">
        <v>521</v>
      </c>
      <c r="D16" s="54" t="n">
        <v>5</v>
      </c>
      <c r="E16" s="54" t="n">
        <v>6</v>
      </c>
      <c r="F16" s="54" t="n">
        <v>3</v>
      </c>
      <c r="G16" s="54" t="s">
        <v>522</v>
      </c>
      <c r="H16" s="55"/>
      <c r="I16" s="55"/>
      <c r="J16" s="55" t="n">
        <v>5</v>
      </c>
      <c r="K16" s="68" t="n">
        <v>100</v>
      </c>
      <c r="L16" s="54" t="s">
        <v>512</v>
      </c>
      <c r="M16" s="54" t="n">
        <v>2</v>
      </c>
      <c r="N16" s="114" t="s">
        <v>556</v>
      </c>
      <c r="O16" s="114" t="s">
        <v>557</v>
      </c>
      <c r="P16" s="114" t="s">
        <v>558</v>
      </c>
    </row>
    <row r="17" customFormat="false" ht="57.75" hidden="false" customHeight="true" outlineLevel="0" collapsed="false">
      <c r="A17" s="56" t="s">
        <v>424</v>
      </c>
      <c r="B17" s="56" t="s">
        <v>559</v>
      </c>
      <c r="C17" s="56" t="s">
        <v>560</v>
      </c>
      <c r="D17" s="54" t="n">
        <v>5</v>
      </c>
      <c r="E17" s="54" t="n">
        <v>6</v>
      </c>
      <c r="F17" s="54" t="n">
        <v>3</v>
      </c>
      <c r="G17" s="54" t="s">
        <v>511</v>
      </c>
      <c r="H17" s="55"/>
      <c r="I17" s="55"/>
      <c r="J17" s="55" t="n">
        <v>10</v>
      </c>
      <c r="K17" s="68" t="n">
        <v>100</v>
      </c>
      <c r="L17" s="54" t="s">
        <v>512</v>
      </c>
      <c r="M17" s="54" t="n">
        <v>12</v>
      </c>
      <c r="N17" s="114" t="s">
        <v>561</v>
      </c>
      <c r="O17" s="114" t="s">
        <v>530</v>
      </c>
      <c r="P17" s="114" t="s">
        <v>562</v>
      </c>
    </row>
    <row r="18" customFormat="false" ht="57.75" hidden="false" customHeight="true" outlineLevel="0" collapsed="false">
      <c r="A18" s="56" t="s">
        <v>423</v>
      </c>
      <c r="B18" s="56" t="s">
        <v>559</v>
      </c>
      <c r="C18" s="56" t="s">
        <v>563</v>
      </c>
      <c r="D18" s="54" t="n">
        <v>5</v>
      </c>
      <c r="E18" s="54" t="n">
        <v>6</v>
      </c>
      <c r="F18" s="54" t="n">
        <v>3</v>
      </c>
      <c r="G18" s="54" t="s">
        <v>511</v>
      </c>
      <c r="H18" s="55"/>
      <c r="I18" s="55"/>
      <c r="J18" s="55" t="n">
        <v>5</v>
      </c>
      <c r="K18" s="68" t="n">
        <v>100</v>
      </c>
      <c r="L18" s="54" t="s">
        <v>512</v>
      </c>
      <c r="M18" s="54" t="n">
        <v>12</v>
      </c>
      <c r="N18" s="114" t="s">
        <v>564</v>
      </c>
      <c r="O18" s="114" t="s">
        <v>544</v>
      </c>
      <c r="P18" s="114" t="s">
        <v>565</v>
      </c>
    </row>
    <row r="19" customFormat="false" ht="57.75" hidden="false" customHeight="true" outlineLevel="0" collapsed="false">
      <c r="A19" s="56" t="s">
        <v>425</v>
      </c>
      <c r="B19" s="56" t="s">
        <v>559</v>
      </c>
      <c r="C19" s="56" t="s">
        <v>566</v>
      </c>
      <c r="D19" s="54" t="n">
        <v>5</v>
      </c>
      <c r="E19" s="54" t="n">
        <v>6</v>
      </c>
      <c r="F19" s="54" t="n">
        <v>3</v>
      </c>
      <c r="G19" s="54" t="s">
        <v>522</v>
      </c>
      <c r="H19" s="55"/>
      <c r="I19" s="55"/>
      <c r="J19" s="55" t="n">
        <v>4.5</v>
      </c>
      <c r="K19" s="68" t="n">
        <v>100</v>
      </c>
      <c r="L19" s="54" t="s">
        <v>512</v>
      </c>
      <c r="M19" s="54" t="n">
        <v>2</v>
      </c>
      <c r="N19" s="114" t="s">
        <v>567</v>
      </c>
      <c r="O19" s="114" t="s">
        <v>524</v>
      </c>
      <c r="P19" s="114" t="s">
        <v>568</v>
      </c>
    </row>
    <row r="20" customFormat="false" ht="57.75" hidden="false" customHeight="true" outlineLevel="0" collapsed="false">
      <c r="A20" s="115" t="s">
        <v>71</v>
      </c>
      <c r="B20" s="115" t="s">
        <v>92</v>
      </c>
      <c r="C20" s="115" t="s">
        <v>569</v>
      </c>
      <c r="D20" s="116" t="n">
        <v>5</v>
      </c>
      <c r="E20" s="116" t="n">
        <v>6</v>
      </c>
      <c r="F20" s="116"/>
      <c r="G20" s="116"/>
      <c r="H20" s="117"/>
      <c r="I20" s="117"/>
      <c r="J20" s="117"/>
      <c r="K20" s="118" t="n">
        <v>100</v>
      </c>
      <c r="L20" s="116" t="s">
        <v>570</v>
      </c>
      <c r="M20" s="116"/>
      <c r="N20" s="119" t="s">
        <v>571</v>
      </c>
      <c r="O20" s="119" t="s">
        <v>572</v>
      </c>
      <c r="P20" s="119" t="s">
        <v>573</v>
      </c>
    </row>
    <row r="21" customFormat="false" ht="57.75" hidden="false" customHeight="true" outlineLevel="0" collapsed="false">
      <c r="A21" s="115" t="s">
        <v>396</v>
      </c>
      <c r="B21" s="115" t="s">
        <v>103</v>
      </c>
      <c r="C21" s="115" t="s">
        <v>574</v>
      </c>
      <c r="D21" s="116" t="n">
        <v>5</v>
      </c>
      <c r="E21" s="116" t="n">
        <v>6</v>
      </c>
      <c r="F21" s="116"/>
      <c r="G21" s="116"/>
      <c r="H21" s="117"/>
      <c r="I21" s="117"/>
      <c r="J21" s="117"/>
      <c r="K21" s="118" t="n">
        <v>100</v>
      </c>
      <c r="L21" s="116" t="s">
        <v>570</v>
      </c>
      <c r="M21" s="116"/>
      <c r="N21" s="119" t="s">
        <v>575</v>
      </c>
      <c r="O21" s="119" t="s">
        <v>572</v>
      </c>
      <c r="P21" s="119" t="s">
        <v>573</v>
      </c>
    </row>
    <row r="22" customFormat="false" ht="18" hidden="false" customHeight="true" outlineLevel="0" collapsed="false">
      <c r="A22" s="56"/>
      <c r="B22" s="56"/>
      <c r="C22" s="56"/>
      <c r="D22" s="54"/>
      <c r="E22" s="54"/>
      <c r="F22" s="54"/>
      <c r="G22" s="54"/>
      <c r="H22" s="55"/>
      <c r="I22" s="55"/>
      <c r="J22" s="55"/>
      <c r="K22" s="68"/>
      <c r="L22" s="54"/>
      <c r="M22" s="54"/>
      <c r="N22" s="114"/>
      <c r="O22" s="114"/>
      <c r="P22" s="114"/>
    </row>
    <row r="23" customFormat="false" ht="18" hidden="false" customHeight="true" outlineLevel="0" collapsed="false">
      <c r="A23" s="56"/>
      <c r="B23" s="56"/>
      <c r="C23" s="56"/>
      <c r="D23" s="54"/>
      <c r="E23" s="54"/>
      <c r="F23" s="54"/>
      <c r="G23" s="54"/>
      <c r="H23" s="55"/>
      <c r="I23" s="55"/>
      <c r="J23" s="55"/>
      <c r="K23" s="68"/>
      <c r="L23" s="54"/>
      <c r="M23" s="54"/>
      <c r="N23" s="114"/>
      <c r="O23" s="114"/>
      <c r="P23" s="114"/>
    </row>
    <row r="25" customFormat="false" ht="39.75" hidden="false" customHeight="true" outlineLevel="0" collapsed="false">
      <c r="A25" s="43" t="s">
        <v>576</v>
      </c>
      <c r="B25" s="43"/>
      <c r="C25" s="43"/>
      <c r="D25" s="43"/>
      <c r="E25" s="43"/>
      <c r="F25" s="43"/>
      <c r="G25" s="43"/>
      <c r="H25" s="43"/>
      <c r="I25" s="43"/>
      <c r="J25" s="43"/>
      <c r="K25" s="43"/>
      <c r="L25" s="43"/>
      <c r="M25" s="43"/>
      <c r="N25" s="43"/>
      <c r="O25" s="43"/>
      <c r="P25" s="43"/>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2026-09-27T15:32:09Z</dcterms:created>
  <dc:creator>openpyxl</dc:creator>
  <dc:description/>
  <dc:language>en-US</dc:language>
  <cp:lastModifiedBy/>
  <dcterms:modified xsi:type="dcterms:W3CDTF">2026-09-27T15:32:31Z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