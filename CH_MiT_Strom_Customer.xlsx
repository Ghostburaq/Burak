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EO Report" sheetId="1" state="visible" r:id="rId3"/>
    <sheet name="Dashboard" sheetId="2" state="visible" r:id="rId4"/>
    <sheet name="📊 Diagramme" sheetId="3" state="visible" r:id="rId5"/>
    <sheet name="📄 Report" sheetId="4" state="visible" r:id="rId6"/>
    <sheet name="MiT Strom Pipeline" sheetId="5" state="visible" r:id="rId7"/>
    <sheet name="Kundenkartei" sheetId="6" state="visible" r:id="rId8"/>
    <sheet name="Kantone &amp; Segmente" sheetId="7" state="visible" r:id="rId9"/>
    <sheet name="🛠 Setup" sheetId="8" state="visible" r:id="rId10"/>
  </sheets>
  <definedNames>
    <definedName function="false" hidden="false" localSheetId="3" name="_xlnm.Print_Area" vbProcedure="false">'📄 Report'!$A$1:$H$41</definedName>
    <definedName function="false" hidden="true" localSheetId="4" name="_xlnm._FilterDatabase" vbProcedure="false">'MiT Strom Pipeline'!$A$5:$X$105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<sst xmlns="http://schemas.openxmlformats.org/spreadsheetml/2006/main" count="2965" uniqueCount="1002">
  <si>
    <t xml:space="preserve">⚡  MiT Strom Schweiz — CEO Sales Report  ·  Mai 2026</t>
  </si>
  <si>
    <t xml:space="preserve">Mobil in Time AG  ·  An Aggreko Company  ·  Burak Ücöz  ·  Neue Einträge in «MiT Strom Pipeline» erscheinen automatisch.</t>
  </si>
  <si>
    <t xml:space="preserve">✅  AUFTRAGSEINGANG (WON)</t>
  </si>
  <si>
    <t xml:space="preserve">📄  OFFERTE — Laufend</t>
  </si>
  <si>
    <t xml:space="preserve">🎯  OPPORTUNITÄT</t>
  </si>
  <si>
    <t xml:space="preserve">✅  1. AUFTRAGSEINGANG (WON) — Bestätigte Aufträge</t>
  </si>
  <si>
    <t xml:space="preserve">#</t>
  </si>
  <si>
    <t xml:space="preserve">Kunde / Unternehmen</t>
  </si>
  <si>
    <t xml:space="preserve">Kt.</t>
  </si>
  <si>
    <t xml:space="preserve">Segment</t>
  </si>
  <si>
    <t xml:space="preserve">Leistung / Fleet</t>
  </si>
  <si>
    <t xml:space="preserve">Volumen CHF</t>
  </si>
  <si>
    <t xml:space="preserve">Gew.Wert CHF</t>
  </si>
  <si>
    <t xml:space="preserve">Marge CHF</t>
  </si>
  <si>
    <t xml:space="preserve">Status</t>
  </si>
  <si>
    <t xml:space="preserve">Wahr.%</t>
  </si>
  <si>
    <t xml:space="preserve">Nächster Schritt</t>
  </si>
  <si>
    <t xml:space="preserve">📄  2. OFFERTE — Versendete &amp; laufende Angebote</t>
  </si>
  <si>
    <t xml:space="preserve">🎯  3. OPPORTUNITÄT — Qualifizierte Leads</t>
  </si>
  <si>
    <t xml:space="preserve">📊  GESAMTTOTAL — Aktive Pipeline</t>
  </si>
  <si>
    <t xml:space="preserve">  → WON</t>
  </si>
  <si>
    <t xml:space="preserve">  → Offerte</t>
  </si>
  <si>
    <t xml:space="preserve">  → Opportunität</t>
  </si>
  <si>
    <t xml:space="preserve">Stand: Mai 2026  |  Burak Ücöz  |  Mobil in Time AG – An Aggreko Company  |  VERTRAULICH</t>
  </si>
  <si>
    <t xml:space="preserve">⚡  MiT Strom Schweiz  |  Sales Dashboard  |  Mai 2026</t>
  </si>
  <si>
    <t xml:space="preserve">Mobil in Time AG  ·  An Aggreko Company  ·  Burak Ücöz  ·  Neue Einträge in «MiT Strom Pipeline» (bis Zeile 100) erscheinen automatisch.</t>
  </si>
  <si>
    <t xml:space="preserve">✅  WON</t>
  </si>
  <si>
    <t xml:space="preserve">📄  OFFERTE</t>
  </si>
  <si>
    <t xml:space="preserve">🎯  OPP.</t>
  </si>
  <si>
    <t xml:space="preserve">📊  GESAMT</t>
  </si>
  <si>
    <t xml:space="preserve">✅  1. AUFTRAGSEINGANG (WON) — Gewonnene Aufträge</t>
  </si>
  <si>
    <t xml:space="preserve">📊  GESAMTTOTAL — Aktive Pipeline (exkl. Declined / LOST)</t>
  </si>
  <si>
    <t xml:space="preserve">📊  MiT Strom Schweiz — Diagramme &amp; Visualisierungen</t>
  </si>
  <si>
    <t xml:space="preserve">  Auto-Update aus «MiT Strom Pipeline» — keine Datenpflege hier nötig</t>
  </si>
  <si>
    <t xml:space="preserve">Status-Übersicht</t>
  </si>
  <si>
    <t xml:space="preserve">Volumen nach Kanton</t>
  </si>
  <si>
    <t xml:space="preserve">Volumen nach Segment</t>
  </si>
  <si>
    <t xml:space="preserve">Anzahl</t>
  </si>
  <si>
    <t xml:space="preserve">Kanton</t>
  </si>
  <si>
    <t xml:space="preserve">Deals</t>
  </si>
  <si>
    <t xml:space="preserve">✅ WON</t>
  </si>
  <si>
    <t xml:space="preserve">AG</t>
  </si>
  <si>
    <t xml:space="preserve">Events &amp; Kultur</t>
  </si>
  <si>
    <t xml:space="preserve">📄 Offerte</t>
  </si>
  <si>
    <t xml:space="preserve">BE</t>
  </si>
  <si>
    <t xml:space="preserve">Events &amp; Kongress</t>
  </si>
  <si>
    <t xml:space="preserve">📝 To Offer</t>
  </si>
  <si>
    <t xml:space="preserve">BS</t>
  </si>
  <si>
    <t xml:space="preserve">Events / Medien</t>
  </si>
  <si>
    <t xml:space="preserve">🎯 Follow-Up</t>
  </si>
  <si>
    <t xml:space="preserve">GE</t>
  </si>
  <si>
    <t xml:space="preserve">EVU / Energie</t>
  </si>
  <si>
    <t xml:space="preserve">🔍 Evaluation (gesamt)</t>
  </si>
  <si>
    <t xml:space="preserve">GR</t>
  </si>
  <si>
    <t xml:space="preserve">Industrie / Elektro</t>
  </si>
  <si>
    <t xml:space="preserve">🔍 In Eval.</t>
  </si>
  <si>
    <t xml:space="preserve">LU</t>
  </si>
  <si>
    <t xml:space="preserve">Industrie / Messtechnik</t>
  </si>
  <si>
    <t xml:space="preserve">⏸ On Hold</t>
  </si>
  <si>
    <t xml:space="preserve">SG</t>
  </si>
  <si>
    <t xml:space="preserve">Industrie / Metall</t>
  </si>
  <si>
    <t xml:space="preserve">❓ TBD</t>
  </si>
  <si>
    <t xml:space="preserve">SH</t>
  </si>
  <si>
    <t xml:space="preserve">Industrie / Oberfläche</t>
  </si>
  <si>
    <t xml:space="preserve">❌ LOST</t>
  </si>
  <si>
    <t xml:space="preserve">SO</t>
  </si>
  <si>
    <t xml:space="preserve">Industrie</t>
  </si>
  <si>
    <t xml:space="preserve">🚫 Declined</t>
  </si>
  <si>
    <t xml:space="preserve">TG</t>
  </si>
  <si>
    <t xml:space="preserve">Infrastruktur / Bau</t>
  </si>
  <si>
    <t xml:space="preserve">UR</t>
  </si>
  <si>
    <t xml:space="preserve">Infrastruktur / Bahn</t>
  </si>
  <si>
    <t xml:space="preserve">VD</t>
  </si>
  <si>
    <t xml:space="preserve">Forschung / Hightech</t>
  </si>
  <si>
    <t xml:space="preserve">VS</t>
  </si>
  <si>
    <t xml:space="preserve">Elektroinstallation</t>
  </si>
  <si>
    <t xml:space="preserve">ZG</t>
  </si>
  <si>
    <t xml:space="preserve">Hochschule</t>
  </si>
  <si>
    <t xml:space="preserve">ZH</t>
  </si>
  <si>
    <t xml:space="preserve">Kühlung / Konkurrenz</t>
  </si>
  <si>
    <t xml:space="preserve">Immobilien / FM</t>
  </si>
  <si>
    <t xml:space="preserve">Gemeinde</t>
  </si>
  <si>
    <t xml:space="preserve">Bildung / Forschung</t>
  </si>
  <si>
    <t xml:space="preserve">Events &amp; Sport</t>
  </si>
  <si>
    <t xml:space="preserve">Industrie / Allgemein</t>
  </si>
  <si>
    <t xml:space="preserve">Industrie / Generatoren</t>
  </si>
  <si>
    <t xml:space="preserve">Ingenieure / Planung</t>
  </si>
  <si>
    <t xml:space="preserve">Event</t>
  </si>
  <si>
    <t xml:space="preserve">tbd</t>
  </si>
  <si>
    <t xml:space="preserve">MiT Strom Schweiz — Sales-Report</t>
  </si>
  <si>
    <t xml:space="preserve">Mobil in Time AG · An Aggreko Company · Burak Ücöz</t>
  </si>
  <si>
    <t xml:space="preserve">Key Performance Indicators</t>
  </si>
  <si>
    <t xml:space="preserve">KPI</t>
  </si>
  <si>
    <t xml:space="preserve">Wert CHF</t>
  </si>
  <si>
    <t xml:space="preserve">Anteil</t>
  </si>
  <si>
    <t xml:space="preserve">🎯 Opportunität</t>
  </si>
  <si>
    <t xml:space="preserve">📊 TOTAL Pipeline</t>
  </si>
  <si>
    <t xml:space="preserve">Top Kantone (nach Volumen)</t>
  </si>
  <si>
    <t xml:space="preserve">Rang</t>
  </si>
  <si>
    <t xml:space="preserve">Anzahl Deals</t>
  </si>
  <si>
    <t xml:space="preserve">WON-Rate</t>
  </si>
  <si>
    <t xml:space="preserve">Top WON-Deals</t>
  </si>
  <si>
    <t xml:space="preserve">Kunde</t>
  </si>
  <si>
    <t xml:space="preserve">↻ Auto-Update aus Pipeline · Sortiert nach Volumen ↓ · Nur WON mit numerischem Volumen</t>
  </si>
  <si>
    <t xml:space="preserve">Aktionen (siehe Setup-Sheet für VBA-Buttons in Excel)</t>
  </si>
  <si>
    <t xml:space="preserve">⚡  MiT Strom Schweiz — Pipeline &amp; Deal Tracking  |  Mobil in Time AG – An Aggreko Company</t>
  </si>
  <si>
    <t xml:space="preserve">  ✏️  Nur in diesem Sheet Daten erfassen — Dashboard, CEO Report und Kantone aktualisieren sich automatisch.</t>
  </si>
  <si>
    <t xml:space="preserve">✅  WON Umsatz</t>
  </si>
  <si>
    <t xml:space="preserve">📋  Anzahl Deals (aktiv)</t>
  </si>
  <si>
    <t xml:space="preserve">💼  Offene Pipeline</t>
  </si>
  <si>
    <t xml:space="preserve">⚖️  Gewichteter Wert</t>
  </si>
  <si>
    <t xml:space="preserve">kW</t>
  </si>
  <si>
    <t xml:space="preserve">Dauer</t>
  </si>
  <si>
    <t xml:space="preserve">Start</t>
  </si>
  <si>
    <t xml:space="preserve">Volumen
CHF</t>
  </si>
  <si>
    <t xml:space="preserve">Equip.
CHF</t>
  </si>
  <si>
    <t xml:space="preserve">Transport
CHF</t>
  </si>
  <si>
    <t xml:space="preserve">Treibst.
CHF</t>
  </si>
  <si>
    <t xml:space="preserve">Technik.
CHF</t>
  </si>
  <si>
    <t xml:space="preserve">Übrige
CHF</t>
  </si>
  <si>
    <t xml:space="preserve">Marge
CHF</t>
  </si>
  <si>
    <t xml:space="preserve">Marge
%</t>
  </si>
  <si>
    <t xml:space="preserve">Gew.Wert
CHF</t>
  </si>
  <si>
    <t xml:space="preserve">Wahr.
%</t>
  </si>
  <si>
    <t xml:space="preserve">Akquise
Typ</t>
  </si>
  <si>
    <t xml:space="preserve">USP-Argument</t>
  </si>
  <si>
    <t xml:space="preserve">Follow-Up</t>
  </si>
  <si>
    <t xml:space="preserve">Notiz intern</t>
  </si>
  <si>
    <t xml:space="preserve">_WON_Sort</t>
  </si>
  <si>
    <t xml:space="preserve">_I_Num</t>
  </si>
  <si>
    <t xml:space="preserve">Ice Hockey Championship</t>
  </si>
  <si>
    <t xml:space="preserve">2×600+2×200 kVA</t>
  </si>
  <si>
    <t xml:space="preserve">4 Wochen</t>
  </si>
  <si>
    <t xml:space="preserve">02.05.2026</t>
  </si>
  <si>
    <t xml:space="preserve">WON</t>
  </si>
  <si>
    <t xml:space="preserve">100%</t>
  </si>
  <si>
    <t xml:space="preserve">Warm – Aggreko</t>
  </si>
  <si>
    <t xml:space="preserve">Aggreko Event-Power + Redundanz</t>
  </si>
  <si>
    <t xml:space="preserve">✅ Einsatzplanung läuft – Logistik finalisieren</t>
  </si>
  <si>
    <t xml:space="preserve">–</t>
  </si>
  <si>
    <t xml:space="preserve">Grossreferenz CH Events – öffentlich nutzbar</t>
  </si>
  <si>
    <t xml:space="preserve">Oerlikon Metco Wohlen</t>
  </si>
  <si>
    <t xml:space="preserve">240 kVA Generator</t>
  </si>
  <si>
    <t xml:space="preserve">21 Tage</t>
  </si>
  <si>
    <t xml:space="preserve">08.04.2026</t>
  </si>
  <si>
    <t xml:space="preserve">Kalt</t>
  </si>
  <si>
    <t xml:space="preserve">Schnelle Lieferung 24/7</t>
  </si>
  <si>
    <t xml:space="preserve">✅ Abgeschlossen – Invoice prüfen, Referenz sichern</t>
  </si>
  <si>
    <t xml:space="preserve">Erste Referenz Kanton AG</t>
  </si>
  <si>
    <t xml:space="preserve">Siemens</t>
  </si>
  <si>
    <t xml:space="preserve">600 kVA Generator</t>
  </si>
  <si>
    <t xml:space="preserve">Warm</t>
  </si>
  <si>
    <t xml:space="preserve">Aggreko-Backbone + Verfügbarkeit</t>
  </si>
  <si>
    <t xml:space="preserve">✅ Referenzschreiben anfordern</t>
  </si>
  <si>
    <t xml:space="preserve">Referenz Industriebereich – sehr wertvoll</t>
  </si>
  <si>
    <t xml:space="preserve">Stagelight – OpenAir Frauenfeld</t>
  </si>
  <si>
    <t xml:space="preserve">~500 kVA Generator</t>
  </si>
  <si>
    <t xml:space="preserve">2 Wochen</t>
  </si>
  <si>
    <t xml:space="preserve">Jul. 2026</t>
  </si>
  <si>
    <t xml:space="preserve">offered</t>
  </si>
  <si>
    <t xml:space="preserve">90%</t>
  </si>
  <si>
    <t xml:space="preserve">Reaktionszeit &lt; 24h, Zuverlässigkeit</t>
  </si>
  <si>
    <t xml:space="preserve">Follow-up + Vertragsverhandlung initiieren</t>
  </si>
  <si>
    <t xml:space="preserve">OpenAir Festival – jährlich → Rahmenvertrag prüfen, Nicht umgehen den Ansprechpartner, Teams Meeting mit Aggreko Deutschland</t>
  </si>
  <si>
    <t xml:space="preserve">Wincasa Solothurn</t>
  </si>
  <si>
    <t xml:space="preserve">BESS 1 MWh</t>
  </si>
  <si>
    <t xml:space="preserve">365 Tage</t>
  </si>
  <si>
    <t xml:space="preserve">01.05.2026</t>
  </si>
  <si>
    <t xml:space="preserve">on hold</t>
  </si>
  <si>
    <t xml:space="preserve">50%</t>
  </si>
  <si>
    <t xml:space="preserve">BESS-Hybridlösung, Energiekostensenkung</t>
  </si>
  <si>
    <t xml:space="preserve">Entscheider-Meeting anfordern, Businesscase Energie-ROI</t>
  </si>
  <si>
    <t xml:space="preserve">Grösster offener Lead – Geduld + ROI-Argumentation</t>
  </si>
  <si>
    <t xml:space="preserve">Avia Volt Suisse AG</t>
  </si>
  <si>
    <t xml:space="preserve">5×200 kVA Generator</t>
  </si>
  <si>
    <t xml:space="preserve">30 Tage</t>
  </si>
  <si>
    <t xml:space="preserve">Declined</t>
  </si>
  <si>
    <t xml:space="preserve">PQ-Monitoring inkl. – einzigartig in CH</t>
  </si>
  <si>
    <t xml:space="preserve">Angebotspräsentation Termin diese Woche</t>
  </si>
  <si>
    <t xml:space="preserve">EVU mit PQ-Bedarf – USP passt perfekt, Kunde hat kein bedarf zur Zeit</t>
  </si>
  <si>
    <t xml:space="preserve">Sade CGTH (Schweiz)</t>
  </si>
  <si>
    <t xml:space="preserve">750 kVA Generator</t>
  </si>
  <si>
    <t xml:space="preserve">42 Tage</t>
  </si>
  <si>
    <t xml:space="preserve">06.04.2026</t>
  </si>
  <si>
    <t xml:space="preserve">follow-up</t>
  </si>
  <si>
    <t xml:space="preserve">24/7 Service, Aggreko-Zuverlässigkeit</t>
  </si>
  <si>
    <t xml:space="preserve">Auftragsbestätigung anfordern – Entscheid steht bevor</t>
  </si>
  <si>
    <t xml:space="preserve">Infrastrukturprojekt Romandie – Türöffner GE/VD</t>
  </si>
  <si>
    <t xml:space="preserve">Badermetaux Sàrl (Schweiz)</t>
  </si>
  <si>
    <t xml:space="preserve">600 kVA Langzeitmiete</t>
  </si>
  <si>
    <t xml:space="preserve">5 Jahre</t>
  </si>
  <si>
    <t xml:space="preserve">Apr./Mai 2026</t>
  </si>
  <si>
    <t xml:space="preserve">EN 50160-Zertifizierung, all-inclusive</t>
  </si>
  <si>
    <t xml:space="preserve">PQ-Analyse + Langzeitkonzept vorlegen</t>
  </si>
  <si>
    <t xml:space="preserve">500k CHF Potenzial – langer Zyklus, jetzt Vertrauen aufbauen</t>
  </si>
  <si>
    <t xml:space="preserve">Murg Flums Energie</t>
  </si>
  <si>
    <t xml:space="preserve">250 kVA Generator</t>
  </si>
  <si>
    <t xml:space="preserve">6-12 Monate</t>
  </si>
  <si>
    <t xml:space="preserve">Auf Abruf</t>
  </si>
  <si>
    <t xml:space="preserve">PQ-Expertise, NIV Art. 13 Compliance</t>
  </si>
  <si>
    <t xml:space="preserve">Bedarfsanalyse, NEA-Konzept vorschlagen, Termin vor Ort, Termin vor Ort wahrgenommen</t>
  </si>
  <si>
    <t xml:space="preserve">EVU SG – NEA-Bedarf qualifizieren, Alles ermittelt und Konzept erstellt und nur noch Offerte schicken mit dem Konzept</t>
  </si>
  <si>
    <t xml:space="preserve">Burkhalter Technics AG</t>
  </si>
  <si>
    <t xml:space="preserve">150 kVA Generator</t>
  </si>
  <si>
    <t xml:space="preserve">14 Tage</t>
  </si>
  <si>
    <t xml:space="preserve">10.05.2026</t>
  </si>
  <si>
    <t xml:space="preserve">Evaluation</t>
  </si>
  <si>
    <t xml:space="preserve">40%</t>
  </si>
  <si>
    <t xml:space="preserve">Warm – CBM</t>
  </si>
  <si>
    <t xml:space="preserve">Bestehende Beziehung, schnelle Lieferung</t>
  </si>
  <si>
    <t xml:space="preserve">Angebot finalisieren – CBM-Beziehung nutzen, Abrufbereit und Vertrag unterschreiben</t>
  </si>
  <si>
    <t xml:space="preserve">Bekannt aus CBM – Cross-Sell PQ-Monitoring möglich</t>
  </si>
  <si>
    <t xml:space="preserve">Show-Concept.ch AG</t>
  </si>
  <si>
    <t xml:space="preserve">200 kW Lastbank</t>
  </si>
  <si>
    <t xml:space="preserve">35%</t>
  </si>
  <si>
    <t xml:space="preserve">Lastbank-Testing – Spezialprodukt MiT</t>
  </si>
  <si>
    <t xml:space="preserve">Use-Case klären – Lastbank oder Generator?</t>
  </si>
  <si>
    <t xml:space="preserve">Spezialanfrage – konkreten Bedarf erst verstehen</t>
  </si>
  <si>
    <t xml:space="preserve">Proxima Fusion AG</t>
  </si>
  <si>
    <t xml:space="preserve">-</t>
  </si>
  <si>
    <t xml:space="preserve">USV + PQ-Monitoring für Präzisionsanlagen</t>
  </si>
  <si>
    <t xml:space="preserve">Technisches Gespräch – USV + PQ-Anforderungen klären, Kunde hat Angebot und Technische Ausführung erhalten warten auf Feedback</t>
  </si>
  <si>
    <t xml:space="preserve">Fusionsforschung – sehr sensibler Strombedarf</t>
  </si>
  <si>
    <t xml:space="preserve">Trafag AG</t>
  </si>
  <si>
    <t xml:space="preserve">450 kVA Generator</t>
  </si>
  <si>
    <t xml:space="preserve">PQ-zertifiziert für sensible Messtechnik</t>
  </si>
  <si>
    <t xml:space="preserve">Angebot vorbereiten – PQ-Argument für Messtechnik, Stefanie Hintermann kontaktieren für weiteren Ablauf, Kontakt aufgenommen und warten für die Zusage / Preisklärung</t>
  </si>
  <si>
    <t xml:space="preserve">Messtechnikhersteller – PQ-Argument optimal, Kunde hat alle Daten und Offerten</t>
  </si>
  <si>
    <t xml:space="preserve">BESS 500 kVA</t>
  </si>
  <si>
    <t xml:space="preserve">Kombi 450 kVA Generator / BESS 500 kVA</t>
  </si>
  <si>
    <t xml:space="preserve">Gotthard Base Tunnel</t>
  </si>
  <si>
    <t xml:space="preserve">Grossanlage tbd</t>
  </si>
  <si>
    <t xml:space="preserve">Jahre</t>
  </si>
  <si>
    <t xml:space="preserve">In evaluation</t>
  </si>
  <si>
    <t xml:space="preserve">20%</t>
  </si>
  <si>
    <t xml:space="preserve">NEA-Pflicht, kritische Infra (NIV Art. 13)</t>
  </si>
  <si>
    <t xml:space="preserve">Stakeholder identifizieren – AlpTransit/SBB kontaktieren</t>
  </si>
  <si>
    <t xml:space="preserve">Langfristig strategisch – Türöffner Bahnbereich</t>
  </si>
  <si>
    <t xml:space="preserve">Etavis Gossenbacher AG</t>
  </si>
  <si>
    <t xml:space="preserve">30 kVA USV/Generator</t>
  </si>
  <si>
    <t xml:space="preserve">90 Tage</t>
  </si>
  <si>
    <t xml:space="preserve">30%</t>
  </si>
  <si>
    <t xml:space="preserve">Flexibilität, kleines Setup schnell verfügbar</t>
  </si>
  <si>
    <t xml:space="preserve">Erstkontakt vertiefen – Bedarf qualifizieren</t>
  </si>
  <si>
    <t xml:space="preserve">Kleiner Lead – ausbaufähig prüfen</t>
  </si>
  <si>
    <t xml:space="preserve">MAS ETH Architektur</t>
  </si>
  <si>
    <t xml:space="preserve">Bedarf qualifizieren oder disqualifizieren</t>
  </si>
  <si>
    <t xml:space="preserve">Lead aus Netzwerk – konkreter Bedarf noch unklar</t>
  </si>
  <si>
    <t xml:space="preserve">FIP ISA</t>
  </si>
  <si>
    <t xml:space="preserve">Recherche + Erstkontakt – Firma und Bedarf verstehen</t>
  </si>
  <si>
    <t xml:space="preserve">Noch nicht qualifiziert</t>
  </si>
  <si>
    <t xml:space="preserve">AKSA Würenlos</t>
  </si>
  <si>
    <t xml:space="preserve">1500 kVA Generator</t>
  </si>
  <si>
    <t xml:space="preserve">19 Tage</t>
  </si>
  <si>
    <t xml:space="preserve">20.04.2026</t>
  </si>
  <si>
    <t xml:space="preserve">0%</t>
  </si>
  <si>
    <t xml:space="preserve">Kunden angeschrieben 27.04.2026</t>
  </si>
  <si>
    <t xml:space="preserve">Wirtschaftlich nicht tragbar laut Kunde / Warten auf Rückmeldung</t>
  </si>
  <si>
    <t xml:space="preserve">Holinger</t>
  </si>
  <si>
    <t xml:space="preserve">07.05.2026</t>
  </si>
  <si>
    <t xml:space="preserve">LOST</t>
  </si>
  <si>
    <t xml:space="preserve">❌ Closed – in 12 Monaten wieder kontaktieren</t>
  </si>
  <si>
    <t xml:space="preserve">Bauherr Entscheid gegen MiT – kein Preisproblem</t>
  </si>
  <si>
    <t xml:space="preserve">X-Event</t>
  </si>
  <si>
    <t xml:space="preserve">100 kVA Generator</t>
  </si>
  <si>
    <t xml:space="preserve">1 Tag</t>
  </si>
  <si>
    <t xml:space="preserve">Sponsoring</t>
  </si>
  <si>
    <t xml:space="preserve">Kunde Telefon Kontaktiert und Vor Ort 
Besichtigung und Aufbauort</t>
  </si>
  <si>
    <t xml:space="preserve">Kunde hat Angebot angenommen, im Gegenzug Starte er eine Social Media Kampagne für uns und sind jetzt ein Partner für seine Events</t>
  </si>
  <si>
    <t xml:space="preserve">Coolworld Rentals</t>
  </si>
  <si>
    <t xml:space="preserve">400 kVA Generator</t>
  </si>
  <si>
    <t xml:space="preserve">Flexibilität, Einfaches Setup</t>
  </si>
  <si>
    <t xml:space="preserve">Email Kontaktiert, Telefoniert</t>
  </si>
  <si>
    <t xml:space="preserve">Kunde klärt ab und meldet sich was der Kunde sagt</t>
  </si>
  <si>
    <t xml:space="preserve">Etavis Chur</t>
  </si>
  <si>
    <t xml:space="preserve">30 kVA Generator</t>
  </si>
  <si>
    <t xml:space="preserve">Email Kontaktiert</t>
  </si>
  <si>
    <t xml:space="preserve">Kunde angeschrieben</t>
  </si>
  <si>
    <t xml:space="preserve">Wetzikon</t>
  </si>
  <si>
    <t xml:space="preserve">tbd (PQ-kritisch)</t>
  </si>
  <si>
    <t xml:space="preserve">Machbarkeitsstudei</t>
  </si>
  <si>
    <t xml:space="preserve">Reto EKAG</t>
  </si>
  <si>
    <t xml:space="preserve">Option A 2x 6000 kVA Lastbank, 2x Trafo 6300 kVA</t>
  </si>
  <si>
    <t xml:space="preserve">12000 kVA + 13200 kVA</t>
  </si>
  <si>
    <t xml:space="preserve">Kunde angeschrieben, Kundentermin vor Ort in Mai 26, Termin Perfekt, Kunde benötigt Offerte, Kunde hat Offerte erhalten</t>
  </si>
  <si>
    <t xml:space="preserve">Option B 1x 6 kVA Trafo, 1x 3000 kVA Trafo, 1x 6000 kVA Lastbank, 1x 3300 kVA Lastbank</t>
  </si>
  <si>
    <t xml:space="preserve">9000 kVA + 9300 kVA</t>
  </si>
  <si>
    <t xml:space="preserve">OST Fachhochschule</t>
  </si>
  <si>
    <t xml:space="preserve">200 kVA Lastbank</t>
  </si>
  <si>
    <t xml:space="preserve">Email Kontaktiert, Telefoniert, Kunde hat kein bedarf mehr</t>
  </si>
  <si>
    <t xml:space="preserve">Kunde angeschrieben, Kunde aus altem Netzwerk bekannt von CMB-Zeiten, Kunde hat kein Bedarf mehr</t>
  </si>
  <si>
    <t xml:space="preserve">Rimus &amp; Sstrada</t>
  </si>
  <si>
    <t xml:space="preserve">500 kWh Small BESS</t>
  </si>
  <si>
    <t xml:space="preserve">500 kWh</t>
  </si>
  <si>
    <t xml:space="preserve">inf</t>
  </si>
  <si>
    <t xml:space="preserve">Inbound</t>
  </si>
  <si>
    <t xml:space="preserve">Juni</t>
  </si>
  <si>
    <t xml:space="preserve">1 MWh Medium BESS</t>
  </si>
  <si>
    <t xml:space="preserve">1 MWh</t>
  </si>
  <si>
    <t xml:space="preserve">1,5 MWh Large BESS</t>
  </si>
  <si>
    <t xml:space="preserve">1,5 MWh</t>
  </si>
  <si>
    <t xml:space="preserve">WEF</t>
  </si>
  <si>
    <t xml:space="preserve">1500 kVA, 600 kVA, 450 kVA, 450 kVA</t>
  </si>
  <si>
    <t xml:space="preserve">28 tage</t>
  </si>
  <si>
    <t xml:space="preserve">tdb</t>
  </si>
  <si>
    <t xml:space="preserve">Offerte erstellt, Stefan hat die Offerte bekommen</t>
  </si>
  <si>
    <t xml:space="preserve">Juni (Stefan)</t>
  </si>
  <si>
    <t xml:space="preserve">Anfrage von Stefan über kontakt, Kunde braucht Offerte und wir müssen in der Range bei 85K Chf bleiben, Wir sind unter 80K CHF</t>
  </si>
  <si>
    <t xml:space="preserve">Gampeln</t>
  </si>
  <si>
    <t xml:space="preserve">Nestle</t>
  </si>
  <si>
    <t xml:space="preserve">WSP</t>
  </si>
  <si>
    <t xml:space="preserve">👥  CH Customer Overview  –  MiT Strom Schweiz  |  Mobil in Time AG</t>
  </si>
  <si>
    <t xml:space="preserve">  ✓ = in aktiver MiT Strom Pipeline  |  Pipeline-Status automatisch live</t>
  </si>
  <si>
    <t xml:space="preserve">Verantwortlicher</t>
  </si>
  <si>
    <t xml:space="preserve">Ansprechperson</t>
  </si>
  <si>
    <t xml:space="preserve">Telefon</t>
  </si>
  <si>
    <t xml:space="preserve">MiT Strom</t>
  </si>
  <si>
    <t xml:space="preserve">E-Mail</t>
  </si>
  <si>
    <t xml:space="preserve">EVUlution AG</t>
  </si>
  <si>
    <t xml:space="preserve">CH</t>
  </si>
  <si>
    <t xml:space="preserve">Ücöz</t>
  </si>
  <si>
    <t xml:space="preserve">Felix Pfister</t>
  </si>
  <si>
    <t xml:space="preserve">T +41 81 552 55 99</t>
  </si>
  <si>
    <t xml:space="preserve">felix.pfister@evulution.com</t>
  </si>
  <si>
    <t xml:space="preserve">Energie Wasser Bern</t>
  </si>
  <si>
    <t xml:space="preserve">Joel Stoll</t>
  </si>
  <si>
    <t xml:space="preserve">+41 79 758 68 19</t>
  </si>
  <si>
    <t xml:space="preserve">joel.stoll@ewb.ch</t>
  </si>
  <si>
    <t xml:space="preserve">Bugnard SA</t>
  </si>
  <si>
    <t xml:space="preserve">Yacine Meguireche</t>
  </si>
  <si>
    <t xml:space="preserve">795940451</t>
  </si>
  <si>
    <t xml:space="preserve">yacine.meguireche@bugnard.ch</t>
  </si>
  <si>
    <t xml:space="preserve">Recom Electronic AG</t>
  </si>
  <si>
    <t xml:space="preserve">Wiederverkäufer</t>
  </si>
  <si>
    <t xml:space="preserve">Flughafen Zürich AG</t>
  </si>
  <si>
    <t xml:space="preserve">Luftfahrt / Infra</t>
  </si>
  <si>
    <t xml:space="preserve">Thomas Nüssli</t>
  </si>
  <si>
    <t xml:space="preserve">T +41 43 816 77 74</t>
  </si>
  <si>
    <t xml:space="preserve">Thomas.Nuessli@zurich-airport.com</t>
  </si>
  <si>
    <t xml:space="preserve">Metron Measurement SA</t>
  </si>
  <si>
    <t xml:space="preserve">Swistec Systems AG</t>
  </si>
  <si>
    <t xml:space="preserve">Küffer Elektro-Technik AG</t>
  </si>
  <si>
    <t xml:space="preserve">Hospitec AG</t>
  </si>
  <si>
    <t xml:space="preserve">GE Energy Switzerland GmbH</t>
  </si>
  <si>
    <t xml:space="preserve">Industrielle Betriebe Murten</t>
  </si>
  <si>
    <t xml:space="preserve">FR</t>
  </si>
  <si>
    <t xml:space="preserve">Luzerner Kantonsspital</t>
  </si>
  <si>
    <t xml:space="preserve">Gesundheit / Spital</t>
  </si>
  <si>
    <t xml:space="preserve">ANDRITZ HYDRO AG</t>
  </si>
  <si>
    <t xml:space="preserve">Wasser / Infrastruktur</t>
  </si>
  <si>
    <t xml:space="preserve">Spring AG Apparatefabrik</t>
  </si>
  <si>
    <t xml:space="preserve">armasuisse Beschaffung</t>
  </si>
  <si>
    <t xml:space="preserve">Öffentliche Hand</t>
  </si>
  <si>
    <t xml:space="preserve">Axpo Power AG</t>
  </si>
  <si>
    <t xml:space="preserve">LUKS Spitalbetriebe AG</t>
  </si>
  <si>
    <t xml:space="preserve">Evatec AG</t>
  </si>
  <si>
    <t xml:space="preserve">Aptomet AG</t>
  </si>
  <si>
    <t xml:space="preserve">Hitachi Energy Ltd</t>
  </si>
  <si>
    <t xml:space="preserve">STB Engineering AG</t>
  </si>
  <si>
    <t xml:space="preserve">Schweizerische Bundesbahnen SBB</t>
  </si>
  <si>
    <t xml:space="preserve">Bahn / ÖPNV</t>
  </si>
  <si>
    <t xml:space="preserve">Energie Thun AG</t>
  </si>
  <si>
    <t xml:space="preserve">Ansaldo Energia Switzerland AG</t>
  </si>
  <si>
    <t xml:space="preserve">SIE SA</t>
  </si>
  <si>
    <t xml:space="preserve">Getinge Schweiz AG</t>
  </si>
  <si>
    <t xml:space="preserve">Tyrolit Hydrostress AG</t>
  </si>
  <si>
    <t xml:space="preserve">Maschinenbau</t>
  </si>
  <si>
    <t xml:space="preserve">Hach Lange GmbH</t>
  </si>
  <si>
    <t xml:space="preserve">Stadtwerk Winterthur</t>
  </si>
  <si>
    <t xml:space="preserve">Wärtsilä Services Switzerland Ltd</t>
  </si>
  <si>
    <t xml:space="preserve">Rhätische Bahn AG</t>
  </si>
  <si>
    <t xml:space="preserve">ABB Schweiz AG / GBS-09</t>
  </si>
  <si>
    <t xml:space="preserve">DS-Controlling GmbH</t>
  </si>
  <si>
    <t xml:space="preserve">Hilti Aktiengesellschaft</t>
  </si>
  <si>
    <t xml:space="preserve">Energie Freiamt AG</t>
  </si>
  <si>
    <t xml:space="preserve">Aare Energie AG</t>
  </si>
  <si>
    <t xml:space="preserve">Philipp Felder</t>
  </si>
  <si>
    <t xml:space="preserve">+41 62 205 56 92</t>
  </si>
  <si>
    <t xml:space="preserve">philipp.felder@aen.ch</t>
  </si>
  <si>
    <t xml:space="preserve">Hopital de La Tour</t>
  </si>
  <si>
    <t xml:space="preserve">Merki + Häfeli AG</t>
  </si>
  <si>
    <t xml:space="preserve">Arjo Switzerland AG</t>
  </si>
  <si>
    <t xml:space="preserve">MOSITECH Medizintechnik AG</t>
  </si>
  <si>
    <t xml:space="preserve">LB Industrial Solutions AG</t>
  </si>
  <si>
    <t xml:space="preserve">ewl Verkauf AG</t>
  </si>
  <si>
    <t xml:space="preserve">Sintrel Electronic AG</t>
  </si>
  <si>
    <t xml:space="preserve">Regatec Partner AG</t>
  </si>
  <si>
    <t xml:space="preserve">Sodimed SA</t>
  </si>
  <si>
    <t xml:space="preserve">F. Borner AG</t>
  </si>
  <si>
    <t xml:space="preserve">Hettich AG</t>
  </si>
  <si>
    <t xml:space="preserve">Panitek Power AG</t>
  </si>
  <si>
    <t xml:space="preserve">Cellpack Power Systems AG</t>
  </si>
  <si>
    <t xml:space="preserve">Lonza AG</t>
  </si>
  <si>
    <t xml:space="preserve">Chemie / Pharma</t>
  </si>
  <si>
    <t xml:space="preserve">Schibli AG</t>
  </si>
  <si>
    <t xml:space="preserve">Bruker Switzerland AG</t>
  </si>
  <si>
    <t xml:space="preserve">HLM Hertli AG</t>
  </si>
  <si>
    <t xml:space="preserve">Adolf Kühner AG</t>
  </si>
  <si>
    <t xml:space="preserve">EWZ</t>
  </si>
  <si>
    <t xml:space="preserve">Keramik Laufen AG</t>
  </si>
  <si>
    <t xml:space="preserve">Nahrungsmittel / Baustoffe</t>
  </si>
  <si>
    <t xml:space="preserve">power2energy</t>
  </si>
  <si>
    <t xml:space="preserve">Swissgrid AG</t>
  </si>
  <si>
    <t xml:space="preserve">Iftest AG</t>
  </si>
  <si>
    <t xml:space="preserve">Spital Thurgau AG</t>
  </si>
  <si>
    <t xml:space="preserve">Selmoni Installation AG</t>
  </si>
  <si>
    <t xml:space="preserve">Oertli Instrumente AG</t>
  </si>
  <si>
    <t xml:space="preserve">esolva ag</t>
  </si>
  <si>
    <t xml:space="preserve">Repower AG</t>
  </si>
  <si>
    <t xml:space="preserve">Reap AG</t>
  </si>
  <si>
    <t xml:space="preserve">Groupe Recomatic SA</t>
  </si>
  <si>
    <t xml:space="preserve">Olympus Schweiz AG</t>
  </si>
  <si>
    <t xml:space="preserve">Regionale Verkehrsbetriebe</t>
  </si>
  <si>
    <t xml:space="preserve">Verkehrsbetriebe</t>
  </si>
  <si>
    <t xml:space="preserve">Rittmeyer AG</t>
  </si>
  <si>
    <t xml:space="preserve">SMD Medical AG</t>
  </si>
  <si>
    <t xml:space="preserve">ABB Schweiz AG</t>
  </si>
  <si>
    <t xml:space="preserve">Garage Saurer SA</t>
  </si>
  <si>
    <t xml:space="preserve">Dräger Schweiz AG</t>
  </si>
  <si>
    <t xml:space="preserve">Scanatron Technics AG</t>
  </si>
  <si>
    <t xml:space="preserve">Fritz Studer AG</t>
  </si>
  <si>
    <t xml:space="preserve">Cie du chemin de fer</t>
  </si>
  <si>
    <t xml:space="preserve">Hydro Exploitation SA</t>
  </si>
  <si>
    <t xml:space="preserve">Cremo SA</t>
  </si>
  <si>
    <t xml:space="preserve">Veolia Industry Building -</t>
  </si>
  <si>
    <t xml:space="preserve">Willy A. Bachofen AG</t>
  </si>
  <si>
    <t xml:space="preserve">Mininavident</t>
  </si>
  <si>
    <t xml:space="preserve">Albula-Landwasser Kraftwerke AG</t>
  </si>
  <si>
    <t xml:space="preserve">MB Systembau AG</t>
  </si>
  <si>
    <t xml:space="preserve">Schär &amp; Leuenberger</t>
  </si>
  <si>
    <t xml:space="preserve">IBC Energie Wasser Chur</t>
  </si>
  <si>
    <t xml:space="preserve">BKW Energie AG</t>
  </si>
  <si>
    <t xml:space="preserve">Insel Gruppe AG</t>
  </si>
  <si>
    <t xml:space="preserve">MERBAG</t>
  </si>
  <si>
    <t xml:space="preserve">Gebr. Knecht AG</t>
  </si>
  <si>
    <t xml:space="preserve">Psychiatrie Baselland</t>
  </si>
  <si>
    <t xml:space="preserve">Huta AG</t>
  </si>
  <si>
    <t xml:space="preserve">Primeo Netz AG</t>
  </si>
  <si>
    <t xml:space="preserve">Stadtspital Triemli Zürich</t>
  </si>
  <si>
    <t xml:space="preserve">SBB AG</t>
  </si>
  <si>
    <t xml:space="preserve">Kraftwerke Oberhasli AG</t>
  </si>
  <si>
    <t xml:space="preserve">Winkler Livecom AG</t>
  </si>
  <si>
    <t xml:space="preserve">Events &amp; Messen</t>
  </si>
  <si>
    <t xml:space="preserve">Hermed Medizintechnik Schweiz AG</t>
  </si>
  <si>
    <t xml:space="preserve">Swiss Timing LTD</t>
  </si>
  <si>
    <t xml:space="preserve">V-Zug AG</t>
  </si>
  <si>
    <t xml:space="preserve">Immeditech Swiss Solutions</t>
  </si>
  <si>
    <t xml:space="preserve">Ametek CTS GmbH</t>
  </si>
  <si>
    <t xml:space="preserve">Axpo AG Netze</t>
  </si>
  <si>
    <t xml:space="preserve">Axpo Solutions AG</t>
  </si>
  <si>
    <t xml:space="preserve">Gemeindewerke Erstfeld</t>
  </si>
  <si>
    <t xml:space="preserve">Zentrum Allmendhof AG</t>
  </si>
  <si>
    <t xml:space="preserve">Nestlé Nespresso SA</t>
  </si>
  <si>
    <t xml:space="preserve">St. Gallisch-Appenzellische</t>
  </si>
  <si>
    <t xml:space="preserve">Alterswohnheim Neukirch-Egnach</t>
  </si>
  <si>
    <t xml:space="preserve">Genossenschaft Elektra Ehrendingen</t>
  </si>
  <si>
    <t xml:space="preserve">Stiftung Ostschweizer Kinderspital</t>
  </si>
  <si>
    <t xml:space="preserve">SKYGUIDE</t>
  </si>
  <si>
    <t xml:space="preserve">AMAG Import AG</t>
  </si>
  <si>
    <t xml:space="preserve">Incontrol AG</t>
  </si>
  <si>
    <t xml:space="preserve">Parimed GmbH</t>
  </si>
  <si>
    <t xml:space="preserve">BKW Engineering</t>
  </si>
  <si>
    <t xml:space="preserve">Alterszentrum Sumiswald</t>
  </si>
  <si>
    <t xml:space="preserve">ELS-Elektronik GmbH</t>
  </si>
  <si>
    <t xml:space="preserve">Praximedico AG</t>
  </si>
  <si>
    <t xml:space="preserve">COSMED Switzerland GmbH</t>
  </si>
  <si>
    <t xml:space="preserve">Avesco AG</t>
  </si>
  <si>
    <t xml:space="preserve">Elektrizitätswerk Rheinau AG</t>
  </si>
  <si>
    <t xml:space="preserve">FHNW Fachhochschule Nordwestschweiz</t>
  </si>
  <si>
    <t xml:space="preserve">Elektroversorgung Würenligen</t>
  </si>
  <si>
    <t xml:space="preserve">Haslibrunnen AG</t>
  </si>
  <si>
    <t xml:space="preserve">Spital Bülach</t>
  </si>
  <si>
    <t xml:space="preserve">Wagner International AG</t>
  </si>
  <si>
    <t xml:space="preserve">Corroprot AG</t>
  </si>
  <si>
    <t xml:space="preserve">This AG</t>
  </si>
  <si>
    <t xml:space="preserve">Marcel Blanc &amp; Cie SA</t>
  </si>
  <si>
    <t xml:space="preserve">FMV SA</t>
  </si>
  <si>
    <t xml:space="preserve">ALPS Automation SA</t>
  </si>
  <si>
    <t xml:space="preserve">KKS Ultraschall AG</t>
  </si>
  <si>
    <t xml:space="preserve">GE Renewable</t>
  </si>
  <si>
    <t xml:space="preserve">Pfiffner Messwandler AG</t>
  </si>
  <si>
    <t xml:space="preserve">Metron SA</t>
  </si>
  <si>
    <t xml:space="preserve">Ciments Vigier SA</t>
  </si>
  <si>
    <t xml:space="preserve">Pflegezentrum Gehrenholz</t>
  </si>
  <si>
    <t xml:space="preserve">Leuag AG</t>
  </si>
  <si>
    <t xml:space="preserve">Jura-Cement-Fabriken AG</t>
  </si>
  <si>
    <t xml:space="preserve">Neuroswiss AG</t>
  </si>
  <si>
    <t xml:space="preserve">STI BUS AG</t>
  </si>
  <si>
    <t xml:space="preserve">Schmid Automation AG</t>
  </si>
  <si>
    <t xml:space="preserve">Basler Verkehrs-Betriebe</t>
  </si>
  <si>
    <t xml:space="preserve">Dottikon Exclusive Synthesis AG</t>
  </si>
  <si>
    <t xml:space="preserve">ETH Zürich</t>
  </si>
  <si>
    <t xml:space="preserve">EWS AG</t>
  </si>
  <si>
    <t xml:space="preserve">Tertianum Management AG</t>
  </si>
  <si>
    <t xml:space="preserve">Ivoclar Vivadent AG</t>
  </si>
  <si>
    <t xml:space="preserve">Alters- und Pflegeheim St. Martin</t>
  </si>
  <si>
    <t xml:space="preserve">ETAVIS Kriegel+Schaffner AG</t>
  </si>
  <si>
    <t xml:space="preserve">Alterszentrum Gibeleich</t>
  </si>
  <si>
    <t xml:space="preserve">Seerose</t>
  </si>
  <si>
    <t xml:space="preserve">Wohnheim Kontiki</t>
  </si>
  <si>
    <t xml:space="preserve">Demadent</t>
  </si>
  <si>
    <t xml:space="preserve">Vivale Neuhegi</t>
  </si>
  <si>
    <t xml:space="preserve">TB Gränichen Energie AG</t>
  </si>
  <si>
    <t xml:space="preserve">MCM MEDSYS AG</t>
  </si>
  <si>
    <t xml:space="preserve">HIESTAND Schweiz AG</t>
  </si>
  <si>
    <t xml:space="preserve">medeo AG</t>
  </si>
  <si>
    <t xml:space="preserve">RMC Tableaux SA</t>
  </si>
  <si>
    <t xml:space="preserve">Engineering and Services</t>
  </si>
  <si>
    <t xml:space="preserve">VIVAVIS Schweiz AG</t>
  </si>
  <si>
    <t xml:space="preserve">EIT.swiss</t>
  </si>
  <si>
    <t xml:space="preserve">Kantonsspital Graubünden</t>
  </si>
  <si>
    <t xml:space="preserve">Verkehrsbetriebe Luzern AG</t>
  </si>
  <si>
    <t xml:space="preserve">Hydro-Solar Energie AG</t>
  </si>
  <si>
    <t xml:space="preserve">SelLED AG</t>
  </si>
  <si>
    <t xml:space="preserve">Securelec-Vaud SA</t>
  </si>
  <si>
    <t xml:space="preserve">Lindenhofgruppe AG</t>
  </si>
  <si>
    <t xml:space="preserve">Cessna Zurich Citation</t>
  </si>
  <si>
    <t xml:space="preserve">Elektro Wallimann AG</t>
  </si>
  <si>
    <t xml:space="preserve">Varellion Teams AG</t>
  </si>
  <si>
    <t xml:space="preserve">Flims Electric AG</t>
  </si>
  <si>
    <t xml:space="preserve">Vaudaux-Eppendorf AG</t>
  </si>
  <si>
    <t xml:space="preserve">heimelig betten AG</t>
  </si>
  <si>
    <t xml:space="preserve">Bürki Electric AG</t>
  </si>
  <si>
    <t xml:space="preserve">Siloah AG</t>
  </si>
  <si>
    <t xml:space="preserve">Staat Wallis</t>
  </si>
  <si>
    <t xml:space="preserve">Ernst Schweizer AG, Metallbau</t>
  </si>
  <si>
    <t xml:space="preserve">Zugerland Verkehrsbetriebe AG</t>
  </si>
  <si>
    <t xml:space="preserve">Theramed AG</t>
  </si>
  <si>
    <t xml:space="preserve">Alters- und Pflegeheim Risi</t>
  </si>
  <si>
    <t xml:space="preserve">Bolanz AG</t>
  </si>
  <si>
    <t xml:space="preserve">Altherr Nutzfahrzeuge</t>
  </si>
  <si>
    <t xml:space="preserve">Elektrizitätswerk der</t>
  </si>
  <si>
    <t xml:space="preserve">GEWA</t>
  </si>
  <si>
    <t xml:space="preserve">Domenico Mozzillo</t>
  </si>
  <si>
    <t xml:space="preserve">Högger Systems AG</t>
  </si>
  <si>
    <t xml:space="preserve">Kernkraftwerk Leibstadt AG</t>
  </si>
  <si>
    <t xml:space="preserve">K. Schweizer AG</t>
  </si>
  <si>
    <t xml:space="preserve">Stadt Zürich</t>
  </si>
  <si>
    <t xml:space="preserve">AGVS / UPSA</t>
  </si>
  <si>
    <t xml:space="preserve">Moser-Schaltanlagen AG</t>
  </si>
  <si>
    <t xml:space="preserve">Biosystems Switzerland AG</t>
  </si>
  <si>
    <t xml:space="preserve">Elektro Expert GmbH</t>
  </si>
  <si>
    <t xml:space="preserve">Hes-SO Valais-Wallis</t>
  </si>
  <si>
    <t xml:space="preserve">Novartis Pharma Stein AG</t>
  </si>
  <si>
    <t xml:space="preserve">Stahlton AG</t>
  </si>
  <si>
    <t xml:space="preserve">Eniwa AG</t>
  </si>
  <si>
    <t xml:space="preserve">Arcomed AG</t>
  </si>
  <si>
    <t xml:space="preserve">EWA energieUri AG</t>
  </si>
  <si>
    <t xml:space="preserve">Transports publics de la région</t>
  </si>
  <si>
    <t xml:space="preserve">Binder Rehab AG</t>
  </si>
  <si>
    <t xml:space="preserve">Elektro Getzmann AG</t>
  </si>
  <si>
    <t xml:space="preserve">NuPa Electro Sàrl</t>
  </si>
  <si>
    <t xml:space="preserve">Auto Gewerbe Verband (AGVS)</t>
  </si>
  <si>
    <t xml:space="preserve">Groupe E SA</t>
  </si>
  <si>
    <t xml:space="preserve">Rheinmetall Air Defence AG</t>
  </si>
  <si>
    <t xml:space="preserve">Bürge - Fischer AG</t>
  </si>
  <si>
    <t xml:space="preserve">Reishauer AG</t>
  </si>
  <si>
    <t xml:space="preserve">BSR AUTOMATION AG</t>
  </si>
  <si>
    <t xml:space="preserve">Robert Fuchs AG</t>
  </si>
  <si>
    <t xml:space="preserve">Regionalspital Emmental AG</t>
  </si>
  <si>
    <t xml:space="preserve">Perlen Papier AG</t>
  </si>
  <si>
    <t xml:space="preserve">Scherler AG</t>
  </si>
  <si>
    <t xml:space="preserve">Opernhaus Zürich AG</t>
  </si>
  <si>
    <t xml:space="preserve">Vibratec AG</t>
  </si>
  <si>
    <t xml:space="preserve">Verkehrsbetriebe Zürich</t>
  </si>
  <si>
    <t xml:space="preserve">Aquasant Messtechnik AG</t>
  </si>
  <si>
    <t xml:space="preserve">Eltag AG</t>
  </si>
  <si>
    <t xml:space="preserve">Schweizerisch Technische Fachschule</t>
  </si>
  <si>
    <t xml:space="preserve">Bemag Objekteinrichtungen AG</t>
  </si>
  <si>
    <t xml:space="preserve">Ingmatic AG</t>
  </si>
  <si>
    <t xml:space="preserve">IED Gruppe AG</t>
  </si>
  <si>
    <t xml:space="preserve">Services Industriels Lausanne</t>
  </si>
  <si>
    <t xml:space="preserve">MIE Marine and Industry</t>
  </si>
  <si>
    <t xml:space="preserve">aeschimann automationssysteme ag</t>
  </si>
  <si>
    <t xml:space="preserve">PanGas AG</t>
  </si>
  <si>
    <t xml:space="preserve">Genossenschaft Migros Zürich</t>
  </si>
  <si>
    <t xml:space="preserve">E.M.S. Electro Medical Systems SA</t>
  </si>
  <si>
    <t xml:space="preserve">EKT AG</t>
  </si>
  <si>
    <t xml:space="preserve">Bugnard GVA SA</t>
  </si>
  <si>
    <t xml:space="preserve">Schärmtanne AG</t>
  </si>
  <si>
    <t xml:space="preserve">meierelektro AG</t>
  </si>
  <si>
    <t xml:space="preserve">NeuElektrik AG</t>
  </si>
  <si>
    <t xml:space="preserve">Costronic SA</t>
  </si>
  <si>
    <t xml:space="preserve">Penta-Electric AG</t>
  </si>
  <si>
    <t xml:space="preserve">EMS de Gravelone</t>
  </si>
  <si>
    <t xml:space="preserve">MVB Medizintechnik AG</t>
  </si>
  <si>
    <t xml:space="preserve">Kipfer und Burdak GmbH</t>
  </si>
  <si>
    <t xml:space="preserve">Weigel Technics + Care GmbH</t>
  </si>
  <si>
    <t xml:space="preserve">Rüetschi Elektromotoren u. Antriebe</t>
  </si>
  <si>
    <t xml:space="preserve">Anklin AG</t>
  </si>
  <si>
    <t xml:space="preserve">Altersheim Im Spiegel</t>
  </si>
  <si>
    <t xml:space="preserve">UPK-Basel</t>
  </si>
  <si>
    <t xml:space="preserve">ebs Energie AG</t>
  </si>
  <si>
    <t xml:space="preserve">Elektro Schmidli GmbH</t>
  </si>
  <si>
    <t xml:space="preserve">Nay Engineering AG</t>
  </si>
  <si>
    <t xml:space="preserve">Vebo Genossenschaft</t>
  </si>
  <si>
    <t xml:space="preserve">Spital Walenstadt</t>
  </si>
  <si>
    <t xml:space="preserve">RhV Elektrotechnik AG</t>
  </si>
  <si>
    <t xml:space="preserve">Storz Medical AG</t>
  </si>
  <si>
    <t xml:space="preserve">Psychiatrische Dienste Aargau AG</t>
  </si>
  <si>
    <t xml:space="preserve">SBB / I- ESP-PBT-RWT-RBC</t>
  </si>
  <si>
    <t xml:space="preserve">Andreas Gut</t>
  </si>
  <si>
    <t xml:space="preserve">Straub Medical AG</t>
  </si>
  <si>
    <t xml:space="preserve">Alterszentrum Burkertsmatt</t>
  </si>
  <si>
    <t xml:space="preserve">dahlia Lenggen</t>
  </si>
  <si>
    <t xml:space="preserve">Alters- und Pflegeheim Weierbach</t>
  </si>
  <si>
    <t xml:space="preserve">Kraftwerke Ilanz AG</t>
  </si>
  <si>
    <t xml:space="preserve">Seniorenzentrum Aumatt</t>
  </si>
  <si>
    <t xml:space="preserve">Bänziger Elektrokontrollen GmbH</t>
  </si>
  <si>
    <t xml:space="preserve">Frick Schaltanlagen AG</t>
  </si>
  <si>
    <t xml:space="preserve">Ammann Schweiz AG</t>
  </si>
  <si>
    <t xml:space="preserve">Schönbühl -</t>
  </si>
  <si>
    <t xml:space="preserve">Kaufmann AG</t>
  </si>
  <si>
    <t xml:space="preserve">Wild Electric AG</t>
  </si>
  <si>
    <t xml:space="preserve">APH Hofwis</t>
  </si>
  <si>
    <t xml:space="preserve">Technische Betriebe Glarus Nord</t>
  </si>
  <si>
    <t xml:space="preserve">Gesundheitszentrum Fricktal AG</t>
  </si>
  <si>
    <t xml:space="preserve">Lonza</t>
  </si>
  <si>
    <t xml:space="preserve">Sommerlatte &amp;</t>
  </si>
  <si>
    <t xml:space="preserve">Swiss Household Services AG</t>
  </si>
  <si>
    <t xml:space="preserve">St. Claraspital</t>
  </si>
  <si>
    <t xml:space="preserve">Festex AG</t>
  </si>
  <si>
    <t xml:space="preserve">Helbling Technik Bern AG</t>
  </si>
  <si>
    <t xml:space="preserve">Alters und Pflegeheim Glarus Nord</t>
  </si>
  <si>
    <t xml:space="preserve">B. Braun Medical AG</t>
  </si>
  <si>
    <t xml:space="preserve">AudioRent Clair AG</t>
  </si>
  <si>
    <t xml:space="preserve">Bifang Wohn- und Pflegezentrum Wohl</t>
  </si>
  <si>
    <t xml:space="preserve">Medomeg GmbH</t>
  </si>
  <si>
    <t xml:space="preserve">Electro Müller AG/SA</t>
  </si>
  <si>
    <t xml:space="preserve">Valgrid SA</t>
  </si>
  <si>
    <t xml:space="preserve">A. &amp; E. Geissmann AG</t>
  </si>
  <si>
    <t xml:space="preserve">EH Batterien AG</t>
  </si>
  <si>
    <t xml:space="preserve">Clear Solutions Laboratories AG</t>
  </si>
  <si>
    <t xml:space="preserve">Auto Schmid AG</t>
  </si>
  <si>
    <t xml:space="preserve">Services Industriels de Genève</t>
  </si>
  <si>
    <t xml:space="preserve">Axpo Grid AG</t>
  </si>
  <si>
    <t xml:space="preserve">STIHL Kettenwerk GmbH &amp; Co Kg</t>
  </si>
  <si>
    <t xml:space="preserve">Elektro-Kontrollservice Glaus GmbH</t>
  </si>
  <si>
    <t xml:space="preserve">Baumann Elektro AG</t>
  </si>
  <si>
    <t xml:space="preserve">FormaMed Sàrl</t>
  </si>
  <si>
    <t xml:space="preserve">Eternit (Suisse) SA</t>
  </si>
  <si>
    <t xml:space="preserve">La Castalie</t>
  </si>
  <si>
    <t xml:space="preserve">Schibli+Partner GmbH</t>
  </si>
  <si>
    <t xml:space="preserve">Spital STS AG</t>
  </si>
  <si>
    <t xml:space="preserve">Xaver Ücöz</t>
  </si>
  <si>
    <t xml:space="preserve">electro-engineering</t>
  </si>
  <si>
    <t xml:space="preserve">OEHRI EISENWAREN AG</t>
  </si>
  <si>
    <t xml:space="preserve">Parmeltec</t>
  </si>
  <si>
    <t xml:space="preserve">ECKART Suisse SA</t>
  </si>
  <si>
    <t xml:space="preserve">EGLI AG Process Technology</t>
  </si>
  <si>
    <t xml:space="preserve">Ferrum Process Systems AG</t>
  </si>
  <si>
    <t xml:space="preserve">Regionalwerke AG Baden</t>
  </si>
  <si>
    <t xml:space="preserve">Telsa SA</t>
  </si>
  <si>
    <t xml:space="preserve">Werke Fehraltorf</t>
  </si>
  <si>
    <t xml:space="preserve">Kantonsspital Uri</t>
  </si>
  <si>
    <t xml:space="preserve">Mansio</t>
  </si>
  <si>
    <t xml:space="preserve">Groupe E Connect SA</t>
  </si>
  <si>
    <t xml:space="preserve">talsee AG</t>
  </si>
  <si>
    <t xml:space="preserve">Karl Bubenhofer AG</t>
  </si>
  <si>
    <t xml:space="preserve">SI Group-Switzerland GmbH</t>
  </si>
  <si>
    <t xml:space="preserve">EMAG</t>
  </si>
  <si>
    <t xml:space="preserve">BSR Eltec AG</t>
  </si>
  <si>
    <t xml:space="preserve">V-Skin Medical Beauty AG</t>
  </si>
  <si>
    <t xml:space="preserve">Forces Motrices de Mauvoisin SA</t>
  </si>
  <si>
    <t xml:space="preserve">Gilgen Door Systems AG</t>
  </si>
  <si>
    <t xml:space="preserve">Marti Technik AG</t>
  </si>
  <si>
    <t xml:space="preserve">Admeco AG</t>
  </si>
  <si>
    <t xml:space="preserve">Electrosuisse</t>
  </si>
  <si>
    <t xml:space="preserve">Kantonales Spital Altstätten</t>
  </si>
  <si>
    <t xml:space="preserve">Aeschlimann Hotelbedarf AG</t>
  </si>
  <si>
    <t xml:space="preserve">Gifas-Electric GmbH</t>
  </si>
  <si>
    <t xml:space="preserve">Stiftung Alterszentrum im Zopf</t>
  </si>
  <si>
    <t xml:space="preserve">Kunz Solartech GmbH</t>
  </si>
  <si>
    <t xml:space="preserve">IBW Technik AG</t>
  </si>
  <si>
    <t xml:space="preserve">Mikron Switzerland AG, Boudry</t>
  </si>
  <si>
    <t xml:space="preserve">energiecheck bern ag</t>
  </si>
  <si>
    <t xml:space="preserve">Imbach ELKO AG</t>
  </si>
  <si>
    <t xml:space="preserve">HERMED Medizintechnik Schweiz AG</t>
  </si>
  <si>
    <t xml:space="preserve">Engeriedspital</t>
  </si>
  <si>
    <t xml:space="preserve">EPFL SV-IN</t>
  </si>
  <si>
    <t xml:space="preserve">Siemens Schweiz AG</t>
  </si>
  <si>
    <t xml:space="preserve">Ziemer Ophthalmic Systems AG</t>
  </si>
  <si>
    <t xml:space="preserve">innoMedicus AG</t>
  </si>
  <si>
    <t xml:space="preserve">Jenni Energietechnik AG</t>
  </si>
  <si>
    <t xml:space="preserve">Elma Electronic AG</t>
  </si>
  <si>
    <t xml:space="preserve">Alterszentrum Bruggwiesen</t>
  </si>
  <si>
    <t xml:space="preserve">Frautschi Medizintechnik</t>
  </si>
  <si>
    <t xml:space="preserve">Fischer AG</t>
  </si>
  <si>
    <t xml:space="preserve">Holcim (Schweiz) AG</t>
  </si>
  <si>
    <t xml:space="preserve">Apleona Schweiz AG</t>
  </si>
  <si>
    <t xml:space="preserve">Siemens Mobility AG</t>
  </si>
  <si>
    <t xml:space="preserve">Ausbildungszentrum AGVS FR</t>
  </si>
  <si>
    <t xml:space="preserve">Garage de la Petite</t>
  </si>
  <si>
    <t xml:space="preserve">AGVS Solothurn</t>
  </si>
  <si>
    <t xml:space="preserve">Wohn- und Pflegeheim Utzigen</t>
  </si>
  <si>
    <t xml:space="preserve">Inset AG</t>
  </si>
  <si>
    <t xml:space="preserve">CSC Electronic AG</t>
  </si>
  <si>
    <t xml:space="preserve">Gasser Elektro-Unternehmung AG</t>
  </si>
  <si>
    <t xml:space="preserve">Confiserie Sprüngli AG</t>
  </si>
  <si>
    <t xml:space="preserve">Trane (Schweiz) GmbH</t>
  </si>
  <si>
    <t xml:space="preserve">Arthur Bründler AG</t>
  </si>
  <si>
    <t xml:space="preserve">Q+S Control AG</t>
  </si>
  <si>
    <t xml:space="preserve">Georg Fischer</t>
  </si>
  <si>
    <t xml:space="preserve">Zürcher Hochschule für Angewandte W</t>
  </si>
  <si>
    <t xml:space="preserve">Barmelweid Gruppe AG</t>
  </si>
  <si>
    <t xml:space="preserve">Eletechnik Swiss Sàrl</t>
  </si>
  <si>
    <t xml:space="preserve">ASUP Schweiz GmbH</t>
  </si>
  <si>
    <t xml:space="preserve">Kummler + Matter AG</t>
  </si>
  <si>
    <t xml:space="preserve">Elektro-Material AG</t>
  </si>
  <si>
    <t xml:space="preserve">chestonag automation ag</t>
  </si>
  <si>
    <t xml:space="preserve">Spital Oberengadin</t>
  </si>
  <si>
    <t xml:space="preserve">Senevita Sunnwies</t>
  </si>
  <si>
    <t xml:space="preserve">Stadler Rheintal AG</t>
  </si>
  <si>
    <t xml:space="preserve">Elektro Küng AG</t>
  </si>
  <si>
    <t xml:space="preserve">PFISTERER Holding AG</t>
  </si>
  <si>
    <t xml:space="preserve">Alterswohnheim Am Wildbach</t>
  </si>
  <si>
    <t xml:space="preserve">Kanton Luzern</t>
  </si>
  <si>
    <t xml:space="preserve">Elektro Fux AG</t>
  </si>
  <si>
    <t xml:space="preserve">LOWIL Automation GmbH</t>
  </si>
  <si>
    <t xml:space="preserve">PFISTERER Switzerland AG</t>
  </si>
  <si>
    <t xml:space="preserve">Ferring International Center SA</t>
  </si>
  <si>
    <t xml:space="preserve">Proxomed Medizintechnik GmbH</t>
  </si>
  <si>
    <t xml:space="preserve">Pflegeheim Helios</t>
  </si>
  <si>
    <t xml:space="preserve">swisspro AG</t>
  </si>
  <si>
    <t xml:space="preserve">Procon AG</t>
  </si>
  <si>
    <t xml:space="preserve">Greuter AG</t>
  </si>
  <si>
    <t xml:space="preserve">Sprecher Automation Schweiz AG</t>
  </si>
  <si>
    <t xml:space="preserve">D. Fallegger Elektro-Tableaux AG</t>
  </si>
  <si>
    <t xml:space="preserve">Solothurner Spitäler AG</t>
  </si>
  <si>
    <t xml:space="preserve">Lüscher &amp; Partner Elektro AG</t>
  </si>
  <si>
    <t xml:space="preserve">Nouvag AG</t>
  </si>
  <si>
    <t xml:space="preserve">Inselspital Bern</t>
  </si>
  <si>
    <t xml:space="preserve">Speri &amp; Bütler AG</t>
  </si>
  <si>
    <t xml:space="preserve">Fisher Clinical Services GmbH</t>
  </si>
  <si>
    <t xml:space="preserve">Universitätsspital Zürich</t>
  </si>
  <si>
    <t xml:space="preserve">Daimler Buses Schweiz AG</t>
  </si>
  <si>
    <t xml:space="preserve">Gerbe</t>
  </si>
  <si>
    <t xml:space="preserve">Aeschimann Automationssysteme AG</t>
  </si>
  <si>
    <t xml:space="preserve">Tophinke Elektro Kontroll AG</t>
  </si>
  <si>
    <t xml:space="preserve">Schmalz Distributions-Systeme AG</t>
  </si>
  <si>
    <t xml:space="preserve">Frewitt Fabrique de Machines SA</t>
  </si>
  <si>
    <t xml:space="preserve">REAL Abwasser</t>
  </si>
  <si>
    <t xml:space="preserve">PR Contrôles</t>
  </si>
  <si>
    <t xml:space="preserve">INJECTOSOND SA</t>
  </si>
  <si>
    <t xml:space="preserve">Aerolite AG</t>
  </si>
  <si>
    <t xml:space="preserve">Zermatt Bergbahnen AG</t>
  </si>
  <si>
    <t xml:space="preserve">BIOPTRON AG</t>
  </si>
  <si>
    <t xml:space="preserve">AG Kraftwerk Wägital</t>
  </si>
  <si>
    <t xml:space="preserve">Trimada AG</t>
  </si>
  <si>
    <t xml:space="preserve">Suicorr AG</t>
  </si>
  <si>
    <t xml:space="preserve">Regionales Pflegezentrum Baden</t>
  </si>
  <si>
    <t xml:space="preserve">EW Aadorf</t>
  </si>
  <si>
    <t xml:space="preserve">ELCAL AG</t>
  </si>
  <si>
    <t xml:space="preserve">e-netz ag</t>
  </si>
  <si>
    <t xml:space="preserve">Regionales Wohn- und</t>
  </si>
  <si>
    <t xml:space="preserve">Foyer St-Joseph</t>
  </si>
  <si>
    <t xml:space="preserve">Steinemann Technology AG</t>
  </si>
  <si>
    <t xml:space="preserve">Boschung Mecatronic AG</t>
  </si>
  <si>
    <t xml:space="preserve">R&amp;P AG Elektrodienstleistung</t>
  </si>
  <si>
    <t xml:space="preserve">Alfred Wertli AG</t>
  </si>
  <si>
    <t xml:space="preserve">Sonnmatt</t>
  </si>
  <si>
    <t xml:space="preserve">Tophinke Automation &amp;</t>
  </si>
  <si>
    <t xml:space="preserve">Mapromatic GmbH</t>
  </si>
  <si>
    <t xml:space="preserve">Elbro AG</t>
  </si>
  <si>
    <t xml:space="preserve">Seniorenzentrum Oberburg</t>
  </si>
  <si>
    <t xml:space="preserve">Facility Solutions Lake Lucerne AG</t>
  </si>
  <si>
    <t xml:space="preserve">Stiftung Hofmatt</t>
  </si>
  <si>
    <t xml:space="preserve">Unilever Schweiz GmbH</t>
  </si>
  <si>
    <t xml:space="preserve">Grötzinger + Rychard AG</t>
  </si>
  <si>
    <t xml:space="preserve">Matterhorn Gotthard Bahn</t>
  </si>
  <si>
    <t xml:space="preserve">Masgat AG</t>
  </si>
  <si>
    <t xml:space="preserve">Sinergy Infrastructure SA</t>
  </si>
  <si>
    <t xml:space="preserve">Contrinex SA</t>
  </si>
  <si>
    <t xml:space="preserve">Reich+Nievergelt AG</t>
  </si>
  <si>
    <t xml:space="preserve">Arosa Energie</t>
  </si>
  <si>
    <t xml:space="preserve">as-automotion ag</t>
  </si>
  <si>
    <t xml:space="preserve">Elektrizitätswerke</t>
  </si>
  <si>
    <t xml:space="preserve">Schweizerische Bundesbahnen SBB AG</t>
  </si>
  <si>
    <t xml:space="preserve">Fondation La Résidence</t>
  </si>
  <si>
    <t xml:space="preserve">Sanitas Troesch SA</t>
  </si>
  <si>
    <t xml:space="preserve">Elektrizitäts- und Wasserwerk</t>
  </si>
  <si>
    <t xml:space="preserve">Elektrokontrolle Strebel</t>
  </si>
  <si>
    <t xml:space="preserve">Stöcklin Logistik AG</t>
  </si>
  <si>
    <t xml:space="preserve">Prosenio &amp; Rosenau</t>
  </si>
  <si>
    <t xml:space="preserve">Elektro Peyer AG</t>
  </si>
  <si>
    <t xml:space="preserve">Aksa Würenlos AG</t>
  </si>
  <si>
    <t xml:space="preserve">Aletsch AG</t>
  </si>
  <si>
    <t xml:space="preserve">Thoratec Switzerland GmbH</t>
  </si>
  <si>
    <t xml:space="preserve">Stiftung Alters-</t>
  </si>
  <si>
    <t xml:space="preserve">Pflegezentrum Witikon</t>
  </si>
  <si>
    <t xml:space="preserve">Marine Diesel Service GmbH</t>
  </si>
  <si>
    <t xml:space="preserve">Eugster / Frismag AG</t>
  </si>
  <si>
    <t xml:space="preserve">Entsorgung St. Gallen</t>
  </si>
  <si>
    <t xml:space="preserve">Montelec AG</t>
  </si>
  <si>
    <t xml:space="preserve">Elektro Kleiner AG</t>
  </si>
  <si>
    <t xml:space="preserve">Allmetra AG</t>
  </si>
  <si>
    <t xml:space="preserve">Hôpital Neuchâtelois - Pourtalès</t>
  </si>
  <si>
    <t xml:space="preserve">NE</t>
  </si>
  <si>
    <t xml:space="preserve">Sanitas Trösch AG</t>
  </si>
  <si>
    <t xml:space="preserve">Novartis AG</t>
  </si>
  <si>
    <t xml:space="preserve">TEQABLE AG</t>
  </si>
  <si>
    <t xml:space="preserve">Ghol - Hospital Nyon</t>
  </si>
  <si>
    <t xml:space="preserve">Ghol</t>
  </si>
  <si>
    <t xml:space="preserve">Groupement SIS</t>
  </si>
  <si>
    <t xml:space="preserve">Schätti AG</t>
  </si>
  <si>
    <t xml:space="preserve">Hermed Medizintechnik</t>
  </si>
  <si>
    <t xml:space="preserve">EMS Les Peupliers SA</t>
  </si>
  <si>
    <t xml:space="preserve">Elektro-Bau AG Rothrist</t>
  </si>
  <si>
    <t xml:space="preserve">Schocher + Rüegg AG</t>
  </si>
  <si>
    <t xml:space="preserve">EP Solutiions SA</t>
  </si>
  <si>
    <t xml:space="preserve">🗺  Pipeline-Analytics — Nach Kanton &amp; Segment  |  MiT Strom Schweiz</t>
  </si>
  <si>
    <t xml:space="preserve">  Alle Werte via COUNTIF/SUMIF live aus «MiT Strom Pipeline».</t>
  </si>
  <si>
    <t xml:space="preserve">Leads</t>
  </si>
  <si>
    <t xml:space="preserve">Vol. CHF</t>
  </si>
  <si>
    <t xml:space="preserve">Top Lead</t>
  </si>
  <si>
    <t xml:space="preserve">Gew.Wert</t>
  </si>
  <si>
    <t xml:space="preserve">Top Kunde</t>
  </si>
  <si>
    <t xml:space="preserve">WON / Total</t>
  </si>
  <si>
    <t xml:space="preserve">🛠  Setup — VBA-Makros in 60 Sekunden installieren</t>
  </si>
  <si>
    <t xml:space="preserve">🚀 OPTION A — Auto-Installer (empfohlen, 60 Sek.)</t>
  </si>
  <si>
    <t xml:space="preserve">  1. Speichere «Install_VBA_Macros.vbs» und diese .xlsm im SELBEN Ordner.</t>
  </si>
  <si>
    <t xml:space="preserve">  2. In Excel einmalig: Datei → Optionen → Trust Center → Trust Center-Einstellungen</t>
  </si>
  <si>
    <t xml:space="preserve">     → Makro-Einstellungen → ✔ «Zugriff auf das VBA-Projektobjektmodell vertrauen»</t>
  </si>
  <si>
    <t xml:space="preserve">  3. Doppelklick auf «Install_VBA_Macros.vbs» — Excel öffnet kurz, installiert alles, schliesst sich.</t>
  </si>
  <si>
    <t xml:space="preserve">  4. Öffne die .xlsm — fertig! Buttons sind im Sheet «📄 Report».</t>
  </si>
  <si>
    <t xml:space="preserve">📋 OPTION B — Manueller Import (wenn VBS nicht erlaubt)</t>
  </si>
  <si>
    <t xml:space="preserve">  1. Diese .xlsm in Excel öffnen.</t>
  </si>
  <si>
    <t xml:space="preserve">  2. Alt+F11 → VBA-Editor öffnet sich.</t>
  </si>
  <si>
    <t xml:space="preserve">  3. Im Editor: Datei → Datei importieren → «MiT_Strom_Reports.bas» auswählen.</t>
  </si>
  <si>
    <t xml:space="preserve">  4. Strg+S in Excel speichern.</t>
  </si>
  <si>
    <t xml:space="preserve">  5. Im Sheet «📄 Report»: Entwicklertools → Einfügen → Schaltfläche</t>
  </si>
  <si>
    <t xml:space="preserve">     → bei Makro-Zuweisung: GenerateFullReport / ExportReportToPDF / EmailReport / AddNewDeal / QuickStats</t>
  </si>
  <si>
    <t xml:space="preserve">🎯 Verfügbare Makros (für Button-Zuweisung)</t>
  </si>
  <si>
    <t xml:space="preserve">Makro-Name</t>
  </si>
  <si>
    <t xml:space="preserve">Beschreibung</t>
  </si>
  <si>
    <t xml:space="preserve">GenerateFullReport</t>
  </si>
  <si>
    <t xml:space="preserve">🔄 Komplett-Refresh: rechnet alle Sheets neu, aktualisiert Stand, wechselt zum Report</t>
  </si>
  <si>
    <t xml:space="preserve">ExportReportToPDF</t>
  </si>
  <si>
    <t xml:space="preserve">📄 Speichert «📄 Report» Sheet als zeitgestempelte PDF und öffnet sie</t>
  </si>
  <si>
    <t xml:space="preserve">ExportFullPackageToPDF</t>
  </si>
  <si>
    <t xml:space="preserve">📦 PDF mit CEO Report + Dashboard + Diagramme + Report in einer Datei</t>
  </si>
  <si>
    <t xml:space="preserve">EmailReport</t>
  </si>
  <si>
    <t xml:space="preserve">📧 Erstellt Outlook-Entwurf mit Report-PDF im Anhang</t>
  </si>
  <si>
    <t xml:space="preserve">AddNewDeal</t>
  </si>
  <si>
    <t xml:space="preserve">➕ 4-stufiger Eingabe-Wizard für neuen Pipeline-Deal</t>
  </si>
  <si>
    <t xml:space="preserve">QuickStats</t>
  </si>
  <si>
    <t xml:space="preserve">⚡ Sofort-Popup mit allen KPIs (WON, Offerte, Opp., Total)</t>
  </si>
  <si>
    <t xml:space="preserve">RefreshAllData</t>
  </si>
  <si>
    <t xml:space="preserve">↻ Nur Neuberechnung erzwingen (still, ohne Popup)</t>
  </si>
  <si>
    <t xml:space="preserve">📄 OPTION C — PDF ohne VBA (Plan C)</t>
  </si>
  <si>
    <t xml:space="preserve">  Sheet «📄 Report» öffnen → Strg+P → Drucker «Microsoft Print to PDF» / «Als PDF speichern».</t>
  </si>
  <si>
    <t xml:space="preserve">  Druckbereich ist bereits A1:H41 (A4 Hochformat) gesetzt — sofort sauberer PDF-Output.</t>
  </si>
  <si>
    <t xml:space="preserve">📜 VBA-Source-Code (für Direkt-Copy ohne Datei-Import)</t>
  </si>
  <si>
    <t xml:space="preserve">Attribute VB_Name = "MiT_Strom_Reports"</t>
  </si>
  <si>
    <t xml:space="preserve">'==================================================================</t>
  </si>
  <si>
    <t xml:space="preserve">'  MiT Strom Schweiz — Reporting Macros</t>
  </si>
  <si>
    <t xml:space="preserve">'  Mobil in Time AG · An Aggreko Company · Burak Ücöz</t>
  </si>
  <si>
    <t xml:space="preserve">Option Explicit</t>
  </si>
  <si>
    <t xml:space="preserve">Public Const REPORT_SHEET As String = "📄 Report"</t>
  </si>
  <si>
    <t xml:space="preserve">Public Const PIPELINE_SHEET As String = "MiT Strom Pipeline"</t>
  </si>
  <si>
    <t xml:space="preserve">Public Const DASH_SHEET As String = "Dashboard"</t>
  </si>
  <si>
    <t xml:space="preserve">Public Const DIAGRAM_SHEET As String = "📊 Diagramme"</t>
  </si>
  <si>
    <t xml:space="preserve">'------------------------------------------------------------------</t>
  </si>
  <si>
    <t xml:space="preserve">'  MASTER: One-click full report generation</t>
  </si>
  <si>
    <t xml:space="preserve">Public Sub GenerateFullReport()</t>
  </si>
  <si>
    <t xml:space="preserve">    Dim t As Double: t = Timer</t>
  </si>
  <si>
    <t xml:space="preserve">    Application.ScreenUpdating = False</t>
  </si>
  <si>
    <t xml:space="preserve">    Application.Calculation = xlCalculationManual</t>
  </si>
  <si>
    <t xml:space="preserve">    On Error GoTo CleanFail</t>
  </si>
  <si>
    <t xml:space="preserve">    Call RefreshAllData</t>
  </si>
  <si>
    <t xml:space="preserve">    Call UpdateReportTimestamp</t>
  </si>
  <si>
    <t xml:space="preserve">    Call ThisWorkbook.Worksheets(REPORT_SHEET).Activate</t>
  </si>
  <si>
    <t xml:space="preserve">    Application.Calculation = xlCalculationAutomatic</t>
  </si>
  <si>
    <t xml:space="preserve">    Application.Calculate</t>
  </si>
  <si>
    <t xml:space="preserve">    Application.ScreenUpdating = True</t>
  </si>
  <si>
    <t xml:space="preserve">    MsgBox "✅ Report generiert in " &amp; Format(Timer - t, "0.00") &amp; " s" &amp; vbCrLf &amp; _</t>
  </si>
  <si>
    <t xml:space="preserve">           "Sheet «" &amp; REPORT_SHEET &amp; "» wurde aktualisiert.", _</t>
  </si>
  <si>
    <t xml:space="preserve">           vbInformation, "MiT Strom Report"</t>
  </si>
  <si>
    <t xml:space="preserve">    Exit Sub</t>
  </si>
  <si>
    <t xml:space="preserve">CleanFail:</t>
  </si>
  <si>
    <t xml:space="preserve">    MsgBox "❌ Fehler bei Report-Erstellung:" &amp; vbCrLf &amp; Err.Description, vbCritical</t>
  </si>
  <si>
    <t xml:space="preserve">End Sub</t>
  </si>
  <si>
    <t xml:space="preserve">'  PDF Export — Report sheet als PDF speichern</t>
  </si>
  <si>
    <t xml:space="preserve">Public Sub ExportReportToPDF()</t>
  </si>
  <si>
    <t xml:space="preserve">    Dim ws As Worksheet, fn As String, defPath As String</t>
  </si>
  <si>
    <t xml:space="preserve">    On Error GoTo PDFFail</t>
  </si>
  <si>
    <t xml:space="preserve">    Set ws = ThisWorkbook.Worksheets(REPORT_SHEET)</t>
  </si>
  <si>
    <t xml:space="preserve">    defPath = ThisWorkbook.Path</t>
  </si>
  <si>
    <t xml:space="preserve">    If Len(defPath) = 0 Then defPath = Environ("USERPROFILE") &amp; "\Desktop"</t>
  </si>
  <si>
    <t xml:space="preserve">    fn = defPath &amp; "\MiT_Strom_Report_" &amp; Format(Now, "YYYY-MM-DD_HHMM") &amp; ".pdf"</t>
  </si>
  <si>
    <t xml:space="preserve">    ws.ExportAsFixedFormat Type:=xlTypePDF, _</t>
  </si>
  <si>
    <t xml:space="preserve">                           Filename:=fn, _</t>
  </si>
  <si>
    <t xml:space="preserve">                           Quality:=xlQualityStandard, _</t>
  </si>
  <si>
    <t xml:space="preserve">                           IncludeDocProperties:=True, _</t>
  </si>
  <si>
    <t xml:space="preserve">                           IgnorePrintAreas:=False, _</t>
  </si>
  <si>
    <t xml:space="preserve">                           OpenAfterPublish:=True</t>
  </si>
  <si>
    <t xml:space="preserve">    MsgBox "📄 PDF erstellt:" &amp; vbCrLf &amp; fn, vbInformation, "PDF-Export"</t>
  </si>
  <si>
    <t xml:space="preserve">PDFFail:</t>
  </si>
  <si>
    <t xml:space="preserve">    MsgBox "❌ PDF-Export Fehler: " &amp; Err.Description, vbCritical</t>
  </si>
  <si>
    <t xml:space="preserve">'  PDF — komplette Mappe (Dashboard + Report + Diagramme)</t>
  </si>
  <si>
    <t xml:space="preserve">Public Sub ExportFullPackageToPDF()</t>
  </si>
  <si>
    <t xml:space="preserve">    Dim sheetsArr As Variant, fn As String, defPath As String</t>
  </si>
  <si>
    <t xml:space="preserve">    On Error GoTo Fail</t>
  </si>
  <si>
    <t xml:space="preserve">    sheetsArr = Array("CEO Report", DASH_SHEET, DIAGRAM_SHEET, REPORT_SHEET)</t>
  </si>
  <si>
    <t xml:space="preserve">    fn = defPath &amp; "\MiT_Strom_FullPackage_" &amp; Format(Now, "YYYY-MM-DD_HHMM") &amp; ".pdf"</t>
  </si>
  <si>
    <t xml:space="preserve">    ThisWorkbook.Sheets(sheetsArr).Select</t>
  </si>
  <si>
    <t xml:space="preserve">    ActiveSheet.ExportAsFixedFormat Type:=xlTypePDF, Filename:=fn, _</t>
  </si>
  <si>
    <t xml:space="preserve">                                    Quality:=xlQualityStandard, _</t>
  </si>
  <si>
    <t xml:space="preserve">                                    IgnorePrintAreas:=False, _</t>
  </si>
  <si>
    <t xml:space="preserve">                                    OpenAfterPublish:=True</t>
  </si>
  <si>
    <t xml:space="preserve">    ThisWorkbook.Sheets(REPORT_SHEET).Activate</t>
  </si>
  <si>
    <t xml:space="preserve">    MsgBox "📦 Komplett-PDF erstellt:" &amp; vbCrLf &amp; fn, vbInformation</t>
  </si>
  <si>
    <t xml:space="preserve">Fail:</t>
  </si>
  <si>
    <t xml:space="preserve">'  Refresh: Force recalc + sort pipeline by Status, Volume</t>
  </si>
  <si>
    <t xml:space="preserve">Public Sub RefreshAllData()</t>
  </si>
  <si>
    <t xml:space="preserve">    Dim ws As Worksheet</t>
  </si>
  <si>
    <t xml:space="preserve">    On Error Resume Next</t>
  </si>
  <si>
    <t xml:space="preserve">    For Each ws In ThisWorkbook.Worksheets</t>
  </si>
  <si>
    <t xml:space="preserve">        ws.Calculate</t>
  </si>
  <si>
    <t xml:space="preserve">    Next ws</t>
  </si>
  <si>
    <t xml:space="preserve">    Application.CalculateFullRebuild</t>
  </si>
  <si>
    <t xml:space="preserve">'  Timestamp aktualisieren im Report</t>
  </si>
  <si>
    <t xml:space="preserve">Public Sub UpdateReportTimestamp()</t>
  </si>
  <si>
    <t xml:space="preserve">    ThisWorkbook.Worksheets(REPORT_SHEET).Range("A3").Value = _</t>
  </si>
  <si>
    <t xml:space="preserve">        "Stand: " &amp; Format(Now, "DD.MM.YYYY HH:MM") &amp; "  ·  Erstellt von Makro"</t>
  </si>
  <si>
    <t xml:space="preserve">'  Report als E-Mail (Outlook) versenden mit PDF im Anhang</t>
  </si>
  <si>
    <t xml:space="preserve">Public Sub EmailReport()</t>
  </si>
  <si>
    <t xml:space="preserve">    Dim ol As Object, mail As Object, fn As String, defPath As String</t>
  </si>
  <si>
    <t xml:space="preserve">    On Error GoTo MailFail</t>
  </si>
  <si>
    <t xml:space="preserve">    If Len(defPath) = 0 Then defPath = Environ("TEMP")</t>
  </si>
  <si>
    <t xml:space="preserve">    ThisWorkbook.Worksheets(REPORT_SHEET).ExportAsFixedFormat _</t>
  </si>
  <si>
    <t xml:space="preserve">        Type:=xlTypePDF, Filename:=fn, _</t>
  </si>
  <si>
    <t xml:space="preserve">        Quality:=xlQualityStandard, IgnorePrintAreas:=False, OpenAfterPublish:=False</t>
  </si>
  <si>
    <t xml:space="preserve">    Set ol = CreateObject("Outlook.Application")</t>
  </si>
  <si>
    <t xml:space="preserve">    Set mail = ol.CreateItem(0)</t>
  </si>
  <si>
    <t xml:space="preserve">    With mail</t>
  </si>
  <si>
    <t xml:space="preserve">        .Subject = "MiT Strom Schweiz — Sales-Report " &amp; Format(Now, "DD.MM.YYYY")</t>
  </si>
  <si>
    <t xml:space="preserve">        .Body = "Liebe Kollegen," &amp; vbCrLf &amp; vbCrLf &amp; _</t>
  </si>
  <si>
    <t xml:space="preserve">                "anbei der aktuelle MiT-Strom-Sales-Report." &amp; vbCrLf &amp; vbCrLf &amp; _</t>
  </si>
  <si>
    <t xml:space="preserve">                "Beste Grüsse" &amp; vbCrLf &amp; "Burak Ücöz" &amp; vbCrLf &amp; _</t>
  </si>
  <si>
    <t xml:space="preserve">                "Mobil in Time AG  ·  An Aggreko Company"</t>
  </si>
  <si>
    <t xml:space="preserve">        .Attachments.Add fn</t>
  </si>
  <si>
    <t xml:space="preserve">        .Display</t>
  </si>
  <si>
    <t xml:space="preserve">    End With</t>
  </si>
  <si>
    <t xml:space="preserve">    MsgBox "📧 Outlook-Entwurf erstellt mit PDF-Anhang.", vbInformation</t>
  </si>
  <si>
    <t xml:space="preserve">MailFail:</t>
  </si>
  <si>
    <t xml:space="preserve">    MsgBox "❌ E-Mail-Fehler: " &amp; Err.Description &amp; vbCrLf &amp; _</t>
  </si>
  <si>
    <t xml:space="preserve">           "(Outlook muss installiert sein)", vbExclamation</t>
  </si>
  <si>
    <t xml:space="preserve">'  Add new deal to pipeline (input-form style)</t>
  </si>
  <si>
    <t xml:space="preserve">Public Sub AddNewDeal()</t>
  </si>
  <si>
    <t xml:space="preserve">    Dim ws As Worksheet, lastRow As Long, newRow As Long</t>
  </si>
  <si>
    <t xml:space="preserve">    Dim kunde As String, kt As String, seg As String, vol As String</t>
  </si>
  <si>
    <t xml:space="preserve">    On Error GoTo AddFail</t>
  </si>
  <si>
    <t xml:space="preserve">    Set ws = ThisWorkbook.Worksheets(PIPELINE_SHEET)</t>
  </si>
  <si>
    <t xml:space="preserve">    kunde = InputBox("Kunde / Unternehmen:", "Neuer Deal — Schritt 1/4")</t>
  </si>
  <si>
    <t xml:space="preserve">    If Len(kunde) = 0 Then Exit Sub</t>
  </si>
  <si>
    <t xml:space="preserve">    kt = InputBox("Kanton (z.B. ZH, BE, GE):", "Neuer Deal — Schritt 2/4")</t>
  </si>
  <si>
    <t xml:space="preserve">    seg = InputBox("Segment (z.B. Events, Industrie):", "Neuer Deal — Schritt 3/4")</t>
  </si>
  <si>
    <t xml:space="preserve">    vol = InputBox("Geschätztes Volumen CHF:", "Neuer Deal — Schritt 4/4")</t>
  </si>
  <si>
    <t xml:space="preserve">    If Not IsNumeric(vol) Then</t>
  </si>
  <si>
    <t xml:space="preserve">        MsgBox "Volumen muss eine Zahl sein.", vbExclamation: Exit Sub</t>
  </si>
  <si>
    <t xml:space="preserve">    End If</t>
  </si>
  <si>
    <t xml:space="preserve">    lastRow = ws.Cells(ws.Rows.Count, 2).End(xlUp).Row</t>
  </si>
  <si>
    <t xml:space="preserve">    newRow = lastRow + 1</t>
  </si>
  <si>
    <t xml:space="preserve">    ws.Cells(newRow, 1).Value = newRow - 5</t>
  </si>
  <si>
    <t xml:space="preserve">    ws.Cells(newRow, 2).Value = kunde</t>
  </si>
  <si>
    <t xml:space="preserve">    ws.Cells(newRow, 3).Value = kt</t>
  </si>
  <si>
    <t xml:space="preserve">    ws.Cells(newRow, 4).Value = seg</t>
  </si>
  <si>
    <t xml:space="preserve">    ws.Cells(newRow, 9).Value = CDbl(vol)</t>
  </si>
  <si>
    <t xml:space="preserve">    ws.Cells(newRow, 18).Value = "tbd"</t>
  </si>
  <si>
    <t xml:space="preserve">    Dim srcRow As Long: srcRow = 6</t>
  </si>
  <si>
    <t xml:space="preserve">    ws.Range("O" &amp; srcRow &amp; ":Q" &amp; srcRow).Copy ws.Range("O" &amp; newRow &amp; ":Q" &amp; newRow)</t>
  </si>
  <si>
    <t xml:space="preserve">    Application.CutCopyMode = False</t>
  </si>
  <si>
    <t xml:space="preserve">    MsgBox "✅ Deal hinzugefügt in Zeile " &amp; newRow &amp; vbCrLf &amp; _</t>
  </si>
  <si>
    <t xml:space="preserve">           "Bitte Details ergänzen (kW, Dauer, Kosten, USP, Status).", vbInformation</t>
  </si>
  <si>
    <t xml:space="preserve">    ws.Activate</t>
  </si>
  <si>
    <t xml:space="preserve">    ws.Range("E" &amp; newRow).Select</t>
  </si>
  <si>
    <t xml:space="preserve">AddFail:</t>
  </si>
  <si>
    <t xml:space="preserve">    MsgBox "Fehler: " &amp; Err.Description, vbCritical</t>
  </si>
  <si>
    <t xml:space="preserve">'  Show stats popup (quick overview)</t>
  </si>
  <si>
    <t xml:space="preserve">Public Sub QuickStats()</t>
  </si>
  <si>
    <t xml:space="preserve">    Dim won As Double, off As Double, opp As Double, tot As Double</t>
  </si>
  <si>
    <t xml:space="preserve">    Dim cnt As Long</t>
  </si>
  <si>
    <t xml:space="preserve">    won = ThisWorkbook.Worksheets(DASH_SHEET).Range("A6").Value</t>
  </si>
  <si>
    <t xml:space="preserve">    off = ThisWorkbook.Worksheets(DASH_SHEET).Range("D6").Value</t>
  </si>
  <si>
    <t xml:space="preserve">    opp = ThisWorkbook.Worksheets(DASH_SHEET).Range("G6").Value</t>
  </si>
  <si>
    <t xml:space="preserve">    tot = ThisWorkbook.Worksheets(DASH_SHEET).Range("I6").Value</t>
  </si>
  <si>
    <t xml:space="preserve">    cnt = ThisWorkbook.Worksheets(DASH_SHEET).Range("I7").Value</t>
  </si>
  <si>
    <t xml:space="preserve">    MsgBox "⚡  MiT Strom — Quick Stats" &amp; vbCrLf &amp; String(45, "-") &amp; vbCrLf &amp; _</t>
  </si>
  <si>
    <t xml:space="preserve">           "✅ WON:           " &amp; Format(won, "#,##0") &amp; " CHF" &amp; vbCrLf &amp; _</t>
  </si>
  <si>
    <t xml:space="preserve">           "📄 Offerte:       " &amp; Format(off, "#,##0") &amp; " CHF" &amp; vbCrLf &amp; _</t>
  </si>
  <si>
    <t xml:space="preserve">           "🎯 Opportunität:  " &amp; Format(opp, "#,##0") &amp; " CHF" &amp; vbCrLf &amp; _</t>
  </si>
  <si>
    <t xml:space="preserve">           String(45, "-") &amp; vbCrLf &amp; _</t>
  </si>
  <si>
    <t xml:space="preserve">           "📊 TOTAL:         " &amp; Format(tot, "#,##0") &amp; " CHF" &amp; vbCrLf &amp; _</t>
  </si>
  <si>
    <t xml:space="preserve">           "🔢 Deals aktiv:   " &amp; cnt, _</t>
  </si>
  <si>
    <t xml:space="preserve">           vbInformation, "MiT Strom Quick Stats"</t>
  </si>
  <si>
    <t xml:space="preserve">'  Workbook Open Hook (ThisWorkbook code)</t>
  </si>
  <si>
    <t xml:space="preserve">'   Im «DieseArbeitsmappe» / «ThisWorkbook» Code-Modul einfügen:</t>
  </si>
  <si>
    <t xml:space="preserve">'   Private Sub Workbook_Open()</t>
  </si>
  <si>
    <t xml:space="preserve">'       Call UpdateReportTimestamp</t>
  </si>
  <si>
    <t xml:space="preserve">'       Worksheets("📄 Report").Activate</t>
  </si>
  <si>
    <t xml:space="preserve">'   End Sub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</si>
</sst>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&quot; Positionen&quot;"/>
    <numFmt numFmtId="167" formatCode="General"/>
    <numFmt numFmtId="168" formatCode="0.00"/>
    <numFmt numFmtId="169" formatCode="0&quot; Deals&quot;"/>
    <numFmt numFmtId="170" formatCode="#,##0&quot; CHF&quot;"/>
    <numFmt numFmtId="171" formatCode="0.0%"/>
    <numFmt numFmtId="172" formatCode="0"/>
    <numFmt numFmtId="173" formatCode="dd\.mm\.yyyy"/>
    <numFmt numFmtId="174" formatCode="yyyy\-mm\-dd\ h:mm:ss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1"/>
      <color rgb="FFBBFFCC"/>
      <name val="Arial"/>
      <family val="0"/>
      <charset val="1"/>
    </font>
    <font>
      <b val="true"/>
      <sz val="11"/>
      <color rgb="FFBBDDFF"/>
      <name val="Arial"/>
      <family val="0"/>
      <charset val="1"/>
    </font>
    <font>
      <b val="true"/>
      <sz val="11"/>
      <color rgb="FFFFDD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2"/>
      <color rgb="FFD4A017"/>
      <name val="Arial"/>
      <family val="0"/>
      <charset val="1"/>
    </font>
    <font>
      <b val="true"/>
      <sz val="15"/>
      <color rgb="FFD4A017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166534"/>
      <name val="Arial"/>
      <family val="0"/>
      <charset val="1"/>
    </font>
    <font>
      <b val="true"/>
      <sz val="11"/>
      <color rgb="FF1E3A5F"/>
      <name val="Arial"/>
      <family val="0"/>
      <charset val="1"/>
    </font>
    <font>
      <b val="true"/>
      <sz val="11"/>
      <color rgb="FF7C2D12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1"/>
      <color rgb="FFDDBBFF"/>
      <name val="Arial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1"/>
      <color rgb="FF555555"/>
      <name val="Calibri"/>
      <family val="0"/>
      <charset val="1"/>
    </font>
    <font>
      <b val="true"/>
      <sz val="12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2"/>
      <color rgb="FF1F3864"/>
      <name val="Calibri"/>
      <family val="0"/>
      <charset val="1"/>
    </font>
    <font>
      <sz val="10"/>
      <color rgb="FF888888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1"/>
      <name val="Cambria"/>
      <family val="0"/>
      <charset val="1"/>
    </font>
    <font>
      <i val="true"/>
      <sz val="10"/>
      <color rgb="FF888888"/>
      <name val="Cambria"/>
      <family val="0"/>
      <charset val="1"/>
    </font>
    <font>
      <b val="true"/>
      <i val="true"/>
      <sz val="11"/>
      <color rgb="FF888888"/>
      <name val="Cambria"/>
      <family val="0"/>
      <charset val="1"/>
    </font>
    <font>
      <b val="true"/>
      <sz val="12"/>
      <color rgb="FFFFFFFF"/>
      <name val="Arial"/>
      <family val="0"/>
      <charset val="1"/>
    </font>
    <font>
      <sz val="8"/>
      <color rgb="FFFFFFFF"/>
      <name val="Cambria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sz val="12"/>
      <color rgb="FF1B5E20"/>
      <name val="Calibri"/>
      <family val="0"/>
      <charset val="1"/>
    </font>
    <font>
      <sz val="12"/>
      <color rgb="FF0D47A1"/>
      <name val="Calibri"/>
      <family val="0"/>
      <charset val="1"/>
    </font>
    <font>
      <b val="true"/>
      <sz val="11"/>
      <color rgb="FF6A1B9A"/>
      <name val="Consolas"/>
      <family val="0"/>
      <charset val="1"/>
    </font>
    <font>
      <sz val="11"/>
      <name val="Calibri"/>
      <family val="0"/>
      <charset val="1"/>
    </font>
    <font>
      <sz val="12"/>
      <color rgb="FFE65100"/>
      <name val="Cambria"/>
      <family val="0"/>
      <charset val="1"/>
    </font>
    <font>
      <b val="true"/>
      <sz val="14"/>
      <color rgb="FF555555"/>
      <name val="Calibri"/>
      <family val="0"/>
      <charset val="1"/>
    </font>
    <font>
      <sz val="9"/>
      <color rgb="FF333333"/>
      <name val="Consolas"/>
      <family val="0"/>
      <charset val="1"/>
    </font>
  </fonts>
  <fills count="34">
    <fill>
      <patternFill patternType="none"/>
    </fill>
    <fill>
      <patternFill patternType="gray125"/>
    </fill>
    <fill>
      <patternFill patternType="solid">
        <fgColor rgb="FF0D1117"/>
        <bgColor rgb="FF111111"/>
      </patternFill>
    </fill>
    <fill>
      <patternFill patternType="solid">
        <fgColor rgb="FFC8102E"/>
        <bgColor rgb="FFC00000"/>
      </patternFill>
    </fill>
    <fill>
      <patternFill patternType="solid">
        <fgColor rgb="FF166534"/>
        <bgColor rgb="FF1B5E20"/>
      </patternFill>
    </fill>
    <fill>
      <patternFill patternType="solid">
        <fgColor rgb="FF1E3A5F"/>
        <bgColor rgb="FF1F3864"/>
      </patternFill>
    </fill>
    <fill>
      <patternFill patternType="solid">
        <fgColor rgb="FF7C2D12"/>
        <bgColor rgb="FF94410F"/>
      </patternFill>
    </fill>
    <fill>
      <patternFill patternType="solid">
        <fgColor rgb="FFFFFFFF"/>
        <bgColor rgb="FFF8FAFC"/>
      </patternFill>
    </fill>
    <fill>
      <patternFill patternType="solid">
        <fgColor rgb="FF1E293B"/>
        <bgColor rgb="FF333333"/>
      </patternFill>
    </fill>
    <fill>
      <patternFill patternType="solid">
        <fgColor rgb="FFDCFCE7"/>
        <bgColor rgb="FFF0FDF4"/>
      </patternFill>
    </fill>
    <fill>
      <patternFill patternType="solid">
        <fgColor rgb="FFDBEAFE"/>
        <bgColor rgb="FFE8EEF7"/>
      </patternFill>
    </fill>
    <fill>
      <patternFill patternType="solid">
        <fgColor rgb="FFFEF3C7"/>
        <bgColor rgb="FFFEF2F2"/>
      </patternFill>
    </fill>
    <fill>
      <patternFill patternType="solid">
        <fgColor rgb="FFF8FAFC"/>
        <bgColor rgb="FFF5F5F5"/>
      </patternFill>
    </fill>
    <fill>
      <patternFill patternType="solid">
        <fgColor rgb="FF4C1D95"/>
        <bgColor rgb="FF6A1B9A"/>
      </patternFill>
    </fill>
    <fill>
      <patternFill patternType="solid">
        <fgColor rgb="FF1F3864"/>
        <bgColor rgb="FF1E3A5F"/>
      </patternFill>
    </fill>
    <fill>
      <patternFill patternType="solid">
        <fgColor rgb="FF2E5496"/>
        <bgColor rgb="FF0D47A1"/>
      </patternFill>
    </fill>
    <fill>
      <patternFill patternType="solid">
        <fgColor rgb="FFE8EEF7"/>
        <bgColor rgb="FFDBEAFE"/>
      </patternFill>
    </fill>
    <fill>
      <patternFill patternType="solid">
        <fgColor rgb="FFF0FDF4"/>
        <bgColor rgb="FFF8FAFC"/>
      </patternFill>
    </fill>
    <fill>
      <patternFill patternType="solid">
        <fgColor rgb="FF16A34A"/>
        <bgColor rgb="FF1A7A4A"/>
      </patternFill>
    </fill>
    <fill>
      <patternFill patternType="solid">
        <fgColor rgb="FF2563EB"/>
        <bgColor rgb="FF1565C0"/>
      </patternFill>
    </fill>
    <fill>
      <patternFill patternType="solid">
        <fgColor rgb="FFD97706"/>
        <bgColor rgb="FFF57C00"/>
      </patternFill>
    </fill>
    <fill>
      <patternFill patternType="solid">
        <fgColor rgb="FFFEF2F2"/>
        <bgColor rgb="FFF5F5F5"/>
      </patternFill>
    </fill>
    <fill>
      <patternFill patternType="solid">
        <fgColor rgb="FFDC2626"/>
        <bgColor rgb="FFC8102E"/>
      </patternFill>
    </fill>
    <fill>
      <patternFill patternType="solid">
        <fgColor rgb="FF7C3AED"/>
        <bgColor rgb="FF6A1B9A"/>
      </patternFill>
    </fill>
    <fill>
      <patternFill patternType="solid">
        <fgColor rgb="FF0891B2"/>
        <bgColor rgb="FF1565C0"/>
      </patternFill>
    </fill>
    <fill>
      <patternFill patternType="solid">
        <fgColor rgb="FF6C7081"/>
        <bgColor rgb="FF888985"/>
      </patternFill>
    </fill>
    <fill>
      <patternFill patternType="solid">
        <fgColor rgb="FF991B1B"/>
        <bgColor rgb="FF7C2D12"/>
      </patternFill>
    </fill>
    <fill>
      <patternFill patternType="solid">
        <fgColor rgb="FFC00000"/>
        <bgColor rgb="FFC8102E"/>
      </patternFill>
    </fill>
    <fill>
      <patternFill patternType="solid">
        <fgColor rgb="FF2E7D32"/>
        <bgColor rgb="FF1A7A4A"/>
      </patternFill>
    </fill>
    <fill>
      <patternFill patternType="solid">
        <fgColor rgb="FF1565C0"/>
        <bgColor rgb="FF2563EB"/>
      </patternFill>
    </fill>
    <fill>
      <patternFill patternType="solid">
        <fgColor rgb="FF6A1B9A"/>
        <bgColor rgb="FF4C1D95"/>
      </patternFill>
    </fill>
    <fill>
      <patternFill patternType="solid">
        <fgColor rgb="FFF3E5F5"/>
        <bgColor rgb="FFE8EEF7"/>
      </patternFill>
    </fill>
    <fill>
      <patternFill patternType="solid">
        <fgColor rgb="FFF57C00"/>
        <bgColor rgb="FFD97706"/>
      </patternFill>
    </fill>
    <fill>
      <patternFill patternType="solid">
        <fgColor rgb="FFF5F5F5"/>
        <bgColor rgb="FFF8FAF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6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3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3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3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3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3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3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3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3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E293B"/>
          <bgColor rgb="FF000000"/>
        </patternFill>
      </fill>
    </dxf>
    <dxf>
      <fill>
        <patternFill patternType="solid">
          <fgColor rgb="FFF0FDF4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E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0891B2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C00000"/>
      <rgbColor rgb="FFF3E5F5"/>
      <rgbColor rgb="FF0D47A1"/>
      <rgbColor rgb="FFD9D9D9"/>
      <rgbColor rgb="FFE65100"/>
      <rgbColor rgb="FFE8EEF7"/>
      <rgbColor rgb="FF991B1B"/>
      <rgbColor rgb="FF166534"/>
      <rgbColor rgb="FF111111"/>
      <rgbColor rgb="FF2E7D32"/>
      <rgbColor rgb="FF6A1B9A"/>
      <rgbColor rgb="FF0891B2"/>
      <rgbColor rgb="FFB3B3B3"/>
      <rgbColor rgb="FF888985"/>
      <rgbColor rgb="FF9EA2C8"/>
      <rgbColor rgb="FF7C2D12"/>
      <rgbColor rgb="FFFEF3C7"/>
      <rgbColor rgb="FFDCFCE7"/>
      <rgbColor rgb="FF555555"/>
      <rgbColor rgb="FFDC853E"/>
      <rgbColor rgb="FF1565C0"/>
      <rgbColor rgb="FFBBDDFF"/>
      <rgbColor rgb="FF1E3A5F"/>
      <rgbColor rgb="FFF8FAFC"/>
      <rgbColor rgb="FFF0FDF4"/>
      <rgbColor rgb="FFF5F5F5"/>
      <rgbColor rgb="FF7C3AED"/>
      <rgbColor rgb="FFDC2626"/>
      <rgbColor rgb="FF1A7A4A"/>
      <rgbColor rgb="FF2E5496"/>
      <rgbColor rgb="FF1B5E20"/>
      <rgbColor rgb="FFDBEAFE"/>
      <rgbColor rgb="FFBBFFCC"/>
      <rgbColor rgb="FFFEF2F2"/>
      <rgbColor rgb="FFB8CD97"/>
      <rgbColor rgb="FFD09493"/>
      <rgbColor rgb="FFDDBBFF"/>
      <rgbColor rgb="FFFFDDAA"/>
      <rgbColor rgb="FF2563EB"/>
      <rgbColor rgb="FF4B83B7"/>
      <rgbColor rgb="FFAAAAAA"/>
      <rgbColor rgb="FFD97706"/>
      <rgbColor rgb="FFD4A017"/>
      <rgbColor rgb="FFF57C00"/>
      <rgbColor rgb="FF6C7081"/>
      <rgbColor rgb="FFA9A9A9"/>
      <rgbColor rgb="FF1F3864"/>
      <rgbColor rgb="FF16A34A"/>
      <rgbColor rgb="FF0D1117"/>
      <rgbColor rgb="FF1E293B"/>
      <rgbColor rgb="FF94410F"/>
      <rgbColor rgb="FFC8102E"/>
      <rgbColor rgb="FF4C1D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Pipeline-Verteilung nach Status (Anzahl)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'📊 Diagramme'!B21</c:f>
              <c:strCache>
                <c:ptCount val="1"/>
                <c:pt idx="0">
                  <c:v>Anzahl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5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6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7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8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9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0"/>
            <c:showSerName val="1"/>
            <c:showPercent val="1"/>
            <c:separator>; </c:separator>
            <c:showLeaderLines val="1"/>
          </c:dLbls>
          <c:cat>
            <c:strRef>
              <c:f>'📊 Diagramme'!$A$22:$A$31</c:f>
              <c:strCache>
                <c:ptCount val="10"/>
                <c:pt idx="0">
                  <c:v>✅ WON</c:v>
                </c:pt>
                <c:pt idx="1">
                  <c:v>📄 Offerte</c:v>
                </c:pt>
                <c:pt idx="2">
                  <c:v>📝 To Offer</c:v>
                </c:pt>
                <c:pt idx="3">
                  <c:v>🎯 Follow-Up</c:v>
                </c:pt>
                <c:pt idx="4">
                  <c:v>🔍 Evaluation (gesamt)</c:v>
                </c:pt>
                <c:pt idx="5">
                  <c:v>🔍 In Eval.</c:v>
                </c:pt>
                <c:pt idx="6">
                  <c:v>⏸ On Hold</c:v>
                </c:pt>
                <c:pt idx="7">
                  <c:v>❓ TBD</c:v>
                </c:pt>
                <c:pt idx="8">
                  <c:v>❌ LOST</c:v>
                </c:pt>
                <c:pt idx="9">
                  <c:v>🚫 Declined</c:v>
                </c:pt>
              </c:strCache>
            </c:strRef>
          </c:cat>
          <c:val>
            <c:numRef>
              <c:f>'📊 Diagramme'!$B$22:$B$31</c:f>
              <c:numCache>
                <c:formatCode>General</c:formatCode>
                <c:ptCount val="10"/>
                <c:pt idx="0">
                  <c:v>4</c:v>
                </c:pt>
                <c:pt idx="1">
                  <c:v>11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7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Volumen nach Kanton (CHF)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Diagramme'!F21</c:f>
              <c:strCache>
                <c:ptCount val="1"/>
                <c:pt idx="0">
                  <c:v>Volumen CHF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Diagramme'!$E$22:$E$36</c:f>
              <c:strCache>
                <c:ptCount val="15"/>
                <c:pt idx="0">
                  <c:v>AG</c:v>
                </c:pt>
                <c:pt idx="1">
                  <c:v>BE</c:v>
                </c:pt>
                <c:pt idx="2">
                  <c:v>BS</c:v>
                </c:pt>
                <c:pt idx="3">
                  <c:v>GE</c:v>
                </c:pt>
                <c:pt idx="4">
                  <c:v>GR</c:v>
                </c:pt>
                <c:pt idx="5">
                  <c:v>LU</c:v>
                </c:pt>
                <c:pt idx="6">
                  <c:v>SG</c:v>
                </c:pt>
                <c:pt idx="7">
                  <c:v>SH</c:v>
                </c:pt>
                <c:pt idx="8">
                  <c:v>SO</c:v>
                </c:pt>
                <c:pt idx="9">
                  <c:v>TG</c:v>
                </c:pt>
                <c:pt idx="10">
                  <c:v>UR</c:v>
                </c:pt>
                <c:pt idx="11">
                  <c:v>VD</c:v>
                </c:pt>
                <c:pt idx="12">
                  <c:v>VS</c:v>
                </c:pt>
                <c:pt idx="13">
                  <c:v>ZG</c:v>
                </c:pt>
                <c:pt idx="14">
                  <c:v>ZH</c:v>
                </c:pt>
              </c:strCache>
            </c:strRef>
          </c:cat>
          <c:val>
            <c:numRef>
              <c:f>'📊 Diagramme'!$F$22:$F$36</c:f>
              <c:numCache>
                <c:formatCode>#,##0" CHF"</c:formatCode>
                <c:ptCount val="15"/>
                <c:pt idx="0">
                  <c:v>282710</c:v>
                </c:pt>
                <c:pt idx="1">
                  <c:v>39000</c:v>
                </c:pt>
                <c:pt idx="2">
                  <c:v>0</c:v>
                </c:pt>
                <c:pt idx="3">
                  <c:v>38885</c:v>
                </c:pt>
                <c:pt idx="4">
                  <c:v>77325.62</c:v>
                </c:pt>
                <c:pt idx="5">
                  <c:v>0</c:v>
                </c:pt>
                <c:pt idx="6">
                  <c:v>96658.69</c:v>
                </c:pt>
                <c:pt idx="7">
                  <c:v>2624715</c:v>
                </c:pt>
                <c:pt idx="8">
                  <c:v>390000</c:v>
                </c:pt>
                <c:pt idx="9">
                  <c:v>150000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1301772</c:v>
                </c:pt>
              </c:numCache>
            </c:numRef>
          </c:val>
        </c:ser>
        <c:gapWidth val="150"/>
        <c:overlap val="0"/>
        <c:axId val="9858962"/>
        <c:axId val="41069836"/>
      </c:barChart>
      <c:catAx>
        <c:axId val="985896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Volumen CHF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69836"/>
        <c:crosses val="autoZero"/>
        <c:auto val="1"/>
        <c:lblAlgn val="ctr"/>
        <c:lblOffset val="100"/>
        <c:noMultiLvlLbl val="0"/>
      </c:catAx>
      <c:valAx>
        <c:axId val="410698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Kanton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CHF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89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Anzahl Deals pro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Diagramme'!B21</c:f>
              <c:strCache>
                <c:ptCount val="1"/>
                <c:pt idx="0">
                  <c:v>Anzahl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Diagramme'!$A$22:$A$31</c:f>
              <c:strCache>
                <c:ptCount val="10"/>
                <c:pt idx="0">
                  <c:v>✅ WON</c:v>
                </c:pt>
                <c:pt idx="1">
                  <c:v>📄 Offerte</c:v>
                </c:pt>
                <c:pt idx="2">
                  <c:v>📝 To Offer</c:v>
                </c:pt>
                <c:pt idx="3">
                  <c:v>🎯 Follow-Up</c:v>
                </c:pt>
                <c:pt idx="4">
                  <c:v>🔍 Evaluation (gesamt)</c:v>
                </c:pt>
                <c:pt idx="5">
                  <c:v>🔍 In Eval.</c:v>
                </c:pt>
                <c:pt idx="6">
                  <c:v>⏸ On Hold</c:v>
                </c:pt>
                <c:pt idx="7">
                  <c:v>❓ TBD</c:v>
                </c:pt>
                <c:pt idx="8">
                  <c:v>❌ LOST</c:v>
                </c:pt>
                <c:pt idx="9">
                  <c:v>🚫 Declined</c:v>
                </c:pt>
              </c:strCache>
            </c:strRef>
          </c:cat>
          <c:val>
            <c:numRef>
              <c:f>'📊 Diagramme'!$B$22:$B$31</c:f>
              <c:numCache>
                <c:formatCode>General</c:formatCode>
                <c:ptCount val="10"/>
                <c:pt idx="0">
                  <c:v>4</c:v>
                </c:pt>
                <c:pt idx="1">
                  <c:v>11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7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</c:ser>
        <c:gapWidth val="150"/>
        <c:overlap val="0"/>
        <c:axId val="65854591"/>
        <c:axId val="36668872"/>
      </c:barChart>
      <c:catAx>
        <c:axId val="658545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68872"/>
        <c:crosses val="autoZero"/>
        <c:auto val="1"/>
        <c:lblAlgn val="ctr"/>
        <c:lblOffset val="100"/>
        <c:noMultiLvlLbl val="0"/>
      </c:catAx>
      <c:valAx>
        <c:axId val="366688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545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Volumen nach Segment (CHF)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Diagramme'!J21</c:f>
              <c:strCache>
                <c:ptCount val="1"/>
                <c:pt idx="0">
                  <c:v>Volumen CHF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Diagramme'!$I$22:$I$45</c:f>
              <c:strCache>
                <c:ptCount val="24"/>
                <c:pt idx="0">
                  <c:v>Events &amp; Kultur</c:v>
                </c:pt>
                <c:pt idx="1">
                  <c:v>Events &amp; Kongress</c:v>
                </c:pt>
                <c:pt idx="2">
                  <c:v>Events / Medien</c:v>
                </c:pt>
                <c:pt idx="3">
                  <c:v>EVU / Energie</c:v>
                </c:pt>
                <c:pt idx="4">
                  <c:v>Industrie / Elektro</c:v>
                </c:pt>
                <c:pt idx="5">
                  <c:v>Industrie / Messtechnik</c:v>
                </c:pt>
                <c:pt idx="6">
                  <c:v>Industrie / Metall</c:v>
                </c:pt>
                <c:pt idx="7">
                  <c:v>Industrie / Oberfläche</c:v>
                </c:pt>
                <c:pt idx="8">
                  <c:v>Industrie</c:v>
                </c:pt>
                <c:pt idx="9">
                  <c:v>Infrastruktur / Bau</c:v>
                </c:pt>
                <c:pt idx="10">
                  <c:v>Infrastruktur / Bahn</c:v>
                </c:pt>
                <c:pt idx="11">
                  <c:v>Forschung / Hightech</c:v>
                </c:pt>
                <c:pt idx="12">
                  <c:v>Elektroinstallation</c:v>
                </c:pt>
                <c:pt idx="13">
                  <c:v>Hochschule</c:v>
                </c:pt>
                <c:pt idx="14">
                  <c:v>Kühlung / Konkurrenz</c:v>
                </c:pt>
                <c:pt idx="15">
                  <c:v>Immobilien / FM</c:v>
                </c:pt>
                <c:pt idx="16">
                  <c:v>Gemeinde</c:v>
                </c:pt>
                <c:pt idx="17">
                  <c:v>Bildung / Forschung</c:v>
                </c:pt>
                <c:pt idx="18">
                  <c:v>Events &amp; Sport</c:v>
                </c:pt>
                <c:pt idx="19">
                  <c:v>Industrie / Allgemein</c:v>
                </c:pt>
                <c:pt idx="20">
                  <c:v>Industrie / Generatoren</c:v>
                </c:pt>
                <c:pt idx="21">
                  <c:v>Ingenieure / Planung</c:v>
                </c:pt>
                <c:pt idx="22">
                  <c:v>Event</c:v>
                </c:pt>
                <c:pt idx="23">
                  <c:v>tbd</c:v>
                </c:pt>
              </c:strCache>
            </c:strRef>
          </c:cat>
          <c:val>
            <c:numRef>
              <c:f>'📊 Diagramme'!$J$22:$J$45</c:f>
              <c:numCache>
                <c:formatCode>#,##0" CHF"</c:formatCode>
                <c:ptCount val="24"/>
                <c:pt idx="0">
                  <c:v>150000</c:v>
                </c:pt>
                <c:pt idx="1">
                  <c:v>0</c:v>
                </c:pt>
                <c:pt idx="2">
                  <c:v>0</c:v>
                </c:pt>
                <c:pt idx="3">
                  <c:v>137658.69</c:v>
                </c:pt>
                <c:pt idx="4">
                  <c:v>10000</c:v>
                </c:pt>
                <c:pt idx="5">
                  <c:v>75769</c:v>
                </c:pt>
                <c:pt idx="6">
                  <c:v>500000</c:v>
                </c:pt>
                <c:pt idx="7">
                  <c:v>13100</c:v>
                </c:pt>
                <c:pt idx="8">
                  <c:v>2624715</c:v>
                </c:pt>
                <c:pt idx="9">
                  <c:v>38885</c:v>
                </c:pt>
                <c:pt idx="10">
                  <c:v>0</c:v>
                </c:pt>
                <c:pt idx="11">
                  <c:v>365003</c:v>
                </c:pt>
                <c:pt idx="12">
                  <c:v>220660</c:v>
                </c:pt>
                <c:pt idx="13">
                  <c:v>0</c:v>
                </c:pt>
                <c:pt idx="14">
                  <c:v>0</c:v>
                </c:pt>
                <c:pt idx="15">
                  <c:v>390000</c:v>
                </c:pt>
                <c:pt idx="16">
                  <c:v>0</c:v>
                </c:pt>
                <c:pt idx="17">
                  <c:v>0</c:v>
                </c:pt>
                <c:pt idx="18">
                  <c:v>310000</c:v>
                </c:pt>
                <c:pt idx="19">
                  <c:v>0</c:v>
                </c:pt>
                <c:pt idx="20">
                  <c:v>48950</c:v>
                </c:pt>
                <c:pt idx="21">
                  <c:v>39000</c:v>
                </c:pt>
                <c:pt idx="22">
                  <c:v>77325.62</c:v>
                </c:pt>
                <c:pt idx="23">
                  <c:v>0</c:v>
                </c:pt>
              </c:numCache>
            </c:numRef>
          </c:val>
        </c:ser>
        <c:gapWidth val="150"/>
        <c:overlap val="0"/>
        <c:axId val="52893941"/>
        <c:axId val="34874107"/>
      </c:barChart>
      <c:catAx>
        <c:axId val="5289394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Volumen CHF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74107"/>
        <c:crosses val="autoZero"/>
        <c:auto val="1"/>
        <c:lblAlgn val="ctr"/>
        <c:lblOffset val="100"/>
        <c:noMultiLvlLbl val="0"/>
      </c:catAx>
      <c:valAx>
        <c:axId val="348741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CHF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939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5</xdr:col>
      <xdr:colOff>780120</xdr:colOff>
      <xdr:row>21</xdr:row>
      <xdr:rowOff>169560</xdr:rowOff>
    </xdr:to>
    <xdr:graphicFrame>
      <xdr:nvGraphicFramePr>
        <xdr:cNvPr id="0" name="Chart 1"/>
        <xdr:cNvGraphicFramePr/>
      </xdr:nvGraphicFramePr>
      <xdr:xfrm>
        <a:off x="0" y="781200"/>
        <a:ext cx="575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</xdr:row>
      <xdr:rowOff>0</xdr:rowOff>
    </xdr:from>
    <xdr:to>
      <xdr:col>13</xdr:col>
      <xdr:colOff>693720</xdr:colOff>
      <xdr:row>25</xdr:row>
      <xdr:rowOff>127800</xdr:rowOff>
    </xdr:to>
    <xdr:graphicFrame>
      <xdr:nvGraphicFramePr>
        <xdr:cNvPr id="1" name="Chart 2"/>
        <xdr:cNvGraphicFramePr/>
      </xdr:nvGraphicFramePr>
      <xdr:xfrm>
        <a:off x="7467480" y="781200"/>
        <a:ext cx="647856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49</xdr:row>
      <xdr:rowOff>0</xdr:rowOff>
    </xdr:from>
    <xdr:to>
      <xdr:col>13</xdr:col>
      <xdr:colOff>693720</xdr:colOff>
      <xdr:row>71</xdr:row>
      <xdr:rowOff>127440</xdr:rowOff>
    </xdr:to>
    <xdr:graphicFrame>
      <xdr:nvGraphicFramePr>
        <xdr:cNvPr id="2" name="Chart 3"/>
        <xdr:cNvGraphicFramePr/>
      </xdr:nvGraphicFramePr>
      <xdr:xfrm>
        <a:off x="7467480" y="9543960"/>
        <a:ext cx="647856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49</xdr:row>
      <xdr:rowOff>0</xdr:rowOff>
    </xdr:from>
    <xdr:to>
      <xdr:col>6</xdr:col>
      <xdr:colOff>78480</xdr:colOff>
      <xdr:row>75</xdr:row>
      <xdr:rowOff>86040</xdr:rowOff>
    </xdr:to>
    <xdr:graphicFrame>
      <xdr:nvGraphicFramePr>
        <xdr:cNvPr id="3" name="Chart 4"/>
        <xdr:cNvGraphicFramePr/>
      </xdr:nvGraphicFramePr>
      <xdr:xfrm>
        <a:off x="0" y="9543960"/>
        <a:ext cx="647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017"/>
    <pageSetUpPr fitToPage="true"/>
  </sheetPr>
  <dimension ref="A1:K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40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4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9.75" hidden="false" customHeight="true" outlineLevel="0" collapsed="false"/>
    <row r="5" customFormat="false" ht="21.75" hidden="false" customHeight="true" outlineLevel="0" collapsed="false">
      <c r="A5" s="5" t="s">
        <v>2</v>
      </c>
      <c r="B5" s="5"/>
      <c r="C5" s="5"/>
      <c r="D5" s="5"/>
      <c r="E5" s="6" t="s">
        <v>3</v>
      </c>
      <c r="F5" s="6"/>
      <c r="G5" s="6"/>
      <c r="H5" s="6"/>
      <c r="I5" s="7" t="s">
        <v>4</v>
      </c>
      <c r="J5" s="7"/>
      <c r="K5" s="7"/>
    </row>
    <row r="6" customFormat="false" ht="36" hidden="false" customHeight="true" outlineLevel="0" collapsed="false">
      <c r="A6" s="8" t="n">
        <f aca="false">SUMIFS('MiT Strom Pipeline'!I$6:I$904,'MiT Strom Pipeline'!R$6:R$904,"WON")</f>
        <v>333100</v>
      </c>
      <c r="B6" s="8"/>
      <c r="C6" s="8"/>
      <c r="D6" s="8"/>
      <c r="E6" s="9" t="n">
        <f aca="false">SUMIFS('MiT Strom Pipeline'!I$6:I$904,'MiT Strom Pipeline'!R$6:R$904,"offered")+SUMIFS('MiT Strom Pipeline'!I$6:I$904,'MiT Strom Pipeline'!R$6:R$904,"to be offered")+SUMIFS('MiT Strom Pipeline'!I$6:I$904,'MiT Strom Pipeline'!R$6:R$904,"on hold")</f>
        <v>3866028.62</v>
      </c>
      <c r="F6" s="9"/>
      <c r="G6" s="9"/>
      <c r="H6" s="9"/>
      <c r="I6" s="10" t="n">
        <f aca="false">SUMIFS('MiT Strom Pipeline'!I$6:I$904,'MiT Strom Pipeline'!R$6:R$904,"follow-up")+SUMIFS('MiT Strom Pipeline'!I$6:I$904,'MiT Strom Pipeline'!R$6:R$904,"Evaluation")+SUMIFS('MiT Strom Pipeline'!I$6:I$904,'MiT Strom Pipeline'!R$6:R$904,"tbd")+SUMIFS('MiT Strom Pipeline'!I$6:I$904,'MiT Strom Pipeline'!R$6:R$904,"In evaluation")</f>
        <v>672987.69</v>
      </c>
      <c r="J6" s="10"/>
      <c r="K6" s="10"/>
    </row>
    <row r="7" customFormat="false" ht="19.5" hidden="false" customHeight="true" outlineLevel="0" collapsed="false">
      <c r="A7" s="11" t="n">
        <f aca="false">COUNTIF('MiT Strom Pipeline'!R$6:R$904,"WON")</f>
        <v>4</v>
      </c>
      <c r="B7" s="11"/>
      <c r="C7" s="11"/>
      <c r="D7" s="11"/>
      <c r="E7" s="12" t="n">
        <f aca="false">COUNTIF('MiT Strom Pipeline'!R$6:R$904,"offered")+COUNTIF('MiT Strom Pipeline'!R$6:R$904,"to be offered")+COUNTIF('MiT Strom Pipeline'!R$6:R$904,"on hold")</f>
        <v>12</v>
      </c>
      <c r="F7" s="12"/>
      <c r="G7" s="12"/>
      <c r="H7" s="12"/>
      <c r="I7" s="13" t="n">
        <f aca="false">COUNTIF('MiT Strom Pipeline'!R$6:R$904,"follow-up")+COUNTIF('MiT Strom Pipeline'!R$6:R$904,"Evaluation")+COUNTIF('MiT Strom Pipeline'!R$6:R$904,"tbd")+COUNTIF('MiT Strom Pipeline'!R$6:R$904,"In evaluation")</f>
        <v>16</v>
      </c>
      <c r="J7" s="13"/>
      <c r="K7" s="13"/>
    </row>
    <row r="8" customFormat="false" ht="7.5" hidden="false" customHeight="tru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customFormat="false" ht="24" hidden="false" customHeight="true" outlineLevel="0" collapsed="false">
      <c r="A9" s="15" t="s">
        <v>5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customFormat="false" ht="19.5" hidden="false" customHeight="true" outlineLevel="0" collapsed="false">
      <c r="A10" s="16" t="s">
        <v>6</v>
      </c>
      <c r="B10" s="17" t="s">
        <v>7</v>
      </c>
      <c r="C10" s="16" t="s">
        <v>8</v>
      </c>
      <c r="D10" s="17" t="s">
        <v>9</v>
      </c>
      <c r="E10" s="17" t="s">
        <v>10</v>
      </c>
      <c r="F10" s="18" t="s">
        <v>11</v>
      </c>
      <c r="G10" s="18" t="s">
        <v>12</v>
      </c>
      <c r="H10" s="18" t="s">
        <v>13</v>
      </c>
      <c r="I10" s="16" t="s">
        <v>14</v>
      </c>
      <c r="J10" s="16" t="s">
        <v>15</v>
      </c>
      <c r="K10" s="17" t="s">
        <v>16</v>
      </c>
    </row>
    <row r="11" customFormat="false" ht="15.75" hidden="false" customHeight="true" outlineLevel="0" collapsed="false">
      <c r="A11" s="19" t="n">
        <f aca="false">IF('MiT Strom Pipeline'!R6="WON",IF(ISNUMBER('MiT Strom Pipeline'!A6),'MiT Strom Pipeline'!A6,""),"")</f>
        <v>1</v>
      </c>
      <c r="B11" s="20" t="str">
        <f aca="false">IF('MiT Strom Pipeline'!R6="WON",'MiT Strom Pipeline'!B6,"")</f>
        <v>Ice Hockey Championship</v>
      </c>
      <c r="C11" s="19" t="str">
        <f aca="false">IF('MiT Strom Pipeline'!R6="WON",'MiT Strom Pipeline'!C6,"")</f>
        <v>ZH</v>
      </c>
      <c r="D11" s="20" t="str">
        <f aca="false">IF('MiT Strom Pipeline'!R6="WON",'MiT Strom Pipeline'!D6,"")</f>
        <v>Events &amp; Sport</v>
      </c>
      <c r="E11" s="20" t="str">
        <f aca="false">IF('MiT Strom Pipeline'!R6="WON",'MiT Strom Pipeline'!E6,"")</f>
        <v>2×600+2×200 kVA</v>
      </c>
      <c r="F11" s="21" t="n">
        <f aca="false">IF('MiT Strom Pipeline'!R6="WON",IF(ISNUMBER('MiT Strom Pipeline'!I6),'MiT Strom Pipeline'!I6,0),"")</f>
        <v>310000</v>
      </c>
      <c r="G11" s="21" t="n">
        <f aca="false">IF('MiT Strom Pipeline'!R6="WON",IF(ISNUMBER('MiT Strom Pipeline'!Q6),'MiT Strom Pipeline'!Q6,0),"")</f>
        <v>3100</v>
      </c>
      <c r="H11" s="21" t="n">
        <f aca="false">IF('MiT Strom Pipeline'!R6="WON",IF(ISNUMBER('MiT Strom Pipeline'!O6),'MiT Strom Pipeline'!O6,0),"")</f>
        <v>75000</v>
      </c>
      <c r="I11" s="19" t="str">
        <f aca="false">IF('MiT Strom Pipeline'!R6="WON",'MiT Strom Pipeline'!R6,"")</f>
        <v>WON</v>
      </c>
      <c r="J11" s="19" t="str">
        <f aca="false">IF('MiT Strom Pipeline'!R6="WON",'MiT Strom Pipeline'!S6,"")</f>
        <v>100%</v>
      </c>
      <c r="K11" s="20" t="str">
        <f aca="false">IF('MiT Strom Pipeline'!R6="WON",IF(LEN('MiT Strom Pipeline'!V6)&gt;0,LEFT('MiT Strom Pipeline'!V6,55),""),"")</f>
        <v>✅ Einsatzplanung läuft – Logistik finalisieren</v>
      </c>
    </row>
    <row r="12" customFormat="false" ht="15.75" hidden="false" customHeight="true" outlineLevel="0" collapsed="false">
      <c r="A12" s="22" t="n">
        <f aca="false">IF('MiT Strom Pipeline'!R7="WON",IF(ISNUMBER('MiT Strom Pipeline'!A7),'MiT Strom Pipeline'!A7,""),"")</f>
        <v>2</v>
      </c>
      <c r="B12" s="23" t="str">
        <f aca="false">IF('MiT Strom Pipeline'!R7="WON",'MiT Strom Pipeline'!B7,"")</f>
        <v>Oerlikon Metco Wohlen</v>
      </c>
      <c r="C12" s="22" t="str">
        <f aca="false">IF('MiT Strom Pipeline'!R7="WON",'MiT Strom Pipeline'!C7,"")</f>
        <v>AG</v>
      </c>
      <c r="D12" s="23" t="str">
        <f aca="false">IF('MiT Strom Pipeline'!R7="WON",'MiT Strom Pipeline'!D7,"")</f>
        <v>Industrie / Oberfläche</v>
      </c>
      <c r="E12" s="23" t="str">
        <f aca="false">IF('MiT Strom Pipeline'!R7="WON",'MiT Strom Pipeline'!E7,"")</f>
        <v>240 kVA Generator</v>
      </c>
      <c r="F12" s="24" t="n">
        <f aca="false">IF('MiT Strom Pipeline'!R7="WON",IF(ISNUMBER('MiT Strom Pipeline'!I7),'MiT Strom Pipeline'!I7,0),"")</f>
        <v>13100</v>
      </c>
      <c r="G12" s="24" t="n">
        <f aca="false">IF('MiT Strom Pipeline'!R7="WON",IF(ISNUMBER('MiT Strom Pipeline'!Q7),'MiT Strom Pipeline'!Q7,0),"")</f>
        <v>131</v>
      </c>
      <c r="H12" s="24" t="n">
        <f aca="false">IF('MiT Strom Pipeline'!R7="WON",IF(ISNUMBER('MiT Strom Pipeline'!O7),'MiT Strom Pipeline'!O7,0),"")</f>
        <v>3000</v>
      </c>
      <c r="I12" s="22" t="str">
        <f aca="false">IF('MiT Strom Pipeline'!R7="WON",'MiT Strom Pipeline'!R7,"")</f>
        <v>WON</v>
      </c>
      <c r="J12" s="22" t="str">
        <f aca="false">IF('MiT Strom Pipeline'!R7="WON",'MiT Strom Pipeline'!S7,"")</f>
        <v>100%</v>
      </c>
      <c r="K12" s="23" t="str">
        <f aca="false">IF('MiT Strom Pipeline'!R7="WON",IF(LEN('MiT Strom Pipeline'!V7)&gt;0,LEFT('MiT Strom Pipeline'!V7,55),""),"")</f>
        <v>✅ Abgeschlossen – Invoice prüfen, Referenz sichern</v>
      </c>
    </row>
    <row r="13" customFormat="false" ht="15.75" hidden="false" customHeight="true" outlineLevel="0" collapsed="false">
      <c r="A13" s="19" t="n">
        <f aca="false">IF('MiT Strom Pipeline'!R8="WON",IF(ISNUMBER('MiT Strom Pipeline'!A8),'MiT Strom Pipeline'!A8,""),"")</f>
        <v>3</v>
      </c>
      <c r="B13" s="20" t="str">
        <f aca="false">IF('MiT Strom Pipeline'!R8="WON",'MiT Strom Pipeline'!B8,"")</f>
        <v>Siemens</v>
      </c>
      <c r="C13" s="19" t="str">
        <f aca="false">IF('MiT Strom Pipeline'!R8="WON",'MiT Strom Pipeline'!C8,"")</f>
        <v>ZH</v>
      </c>
      <c r="D13" s="20" t="str">
        <f aca="false">IF('MiT Strom Pipeline'!R8="WON",'MiT Strom Pipeline'!D8,"")</f>
        <v>Industrie / Elektro</v>
      </c>
      <c r="E13" s="20" t="str">
        <f aca="false">IF('MiT Strom Pipeline'!R8="WON",'MiT Strom Pipeline'!E8,"")</f>
        <v>600 kVA Generator</v>
      </c>
      <c r="F13" s="21" t="n">
        <f aca="false">IF('MiT Strom Pipeline'!R8="WON",IF(ISNUMBER('MiT Strom Pipeline'!I8),'MiT Strom Pipeline'!I8,0),"")</f>
        <v>10000</v>
      </c>
      <c r="G13" s="21" t="n">
        <f aca="false">IF('MiT Strom Pipeline'!R8="WON",IF(ISNUMBER('MiT Strom Pipeline'!Q8),'MiT Strom Pipeline'!Q8,0),"")</f>
        <v>100</v>
      </c>
      <c r="H13" s="21" t="n">
        <f aca="false">IF('MiT Strom Pipeline'!R8="WON",IF(ISNUMBER('MiT Strom Pipeline'!O8),'MiT Strom Pipeline'!O8,0),"")</f>
        <v>10000</v>
      </c>
      <c r="I13" s="19" t="str">
        <f aca="false">IF('MiT Strom Pipeline'!R8="WON",'MiT Strom Pipeline'!R8,"")</f>
        <v>WON</v>
      </c>
      <c r="J13" s="19" t="str">
        <f aca="false">IF('MiT Strom Pipeline'!R8="WON",'MiT Strom Pipeline'!S8,"")</f>
        <v>100%</v>
      </c>
      <c r="K13" s="20" t="str">
        <f aca="false">IF('MiT Strom Pipeline'!R8="WON",IF(LEN('MiT Strom Pipeline'!V8)&gt;0,LEFT('MiT Strom Pipeline'!V8,55),""),"")</f>
        <v>✅ Referenzschreiben anfordern</v>
      </c>
    </row>
    <row r="14" customFormat="false" ht="15.75" hidden="false" customHeight="true" outlineLevel="0" collapsed="false">
      <c r="A14" s="22" t="str">
        <f aca="false">IF('MiT Strom Pipeline'!R9="WON",IF(ISNUMBER('MiT Strom Pipeline'!A9),'MiT Strom Pipeline'!A9,""),"")</f>
        <v/>
      </c>
      <c r="B14" s="23" t="str">
        <f aca="false">IF('MiT Strom Pipeline'!R9="WON",'MiT Strom Pipeline'!B9,"")</f>
        <v/>
      </c>
      <c r="C14" s="22" t="str">
        <f aca="false">IF('MiT Strom Pipeline'!R9="WON",'MiT Strom Pipeline'!C9,"")</f>
        <v/>
      </c>
      <c r="D14" s="23" t="str">
        <f aca="false">IF('MiT Strom Pipeline'!R9="WON",'MiT Strom Pipeline'!D9,"")</f>
        <v/>
      </c>
      <c r="E14" s="23" t="str">
        <f aca="false">IF('MiT Strom Pipeline'!R9="WON",'MiT Strom Pipeline'!E9,"")</f>
        <v/>
      </c>
      <c r="F14" s="24" t="str">
        <f aca="false">IF('MiT Strom Pipeline'!R9="WON",IF(ISNUMBER('MiT Strom Pipeline'!I9),'MiT Strom Pipeline'!I9,0),"")</f>
        <v/>
      </c>
      <c r="G14" s="24" t="str">
        <f aca="false">IF('MiT Strom Pipeline'!R9="WON",IF(ISNUMBER('MiT Strom Pipeline'!Q9),'MiT Strom Pipeline'!Q9,0),"")</f>
        <v/>
      </c>
      <c r="H14" s="24" t="str">
        <f aca="false">IF('MiT Strom Pipeline'!R9="WON",IF(ISNUMBER('MiT Strom Pipeline'!O9),'MiT Strom Pipeline'!O9,0),"")</f>
        <v/>
      </c>
      <c r="I14" s="22" t="str">
        <f aca="false">IF('MiT Strom Pipeline'!R9="WON",'MiT Strom Pipeline'!R9,"")</f>
        <v/>
      </c>
      <c r="J14" s="22" t="str">
        <f aca="false">IF('MiT Strom Pipeline'!R9="WON",'MiT Strom Pipeline'!S9,"")</f>
        <v/>
      </c>
      <c r="K14" s="23" t="str">
        <f aca="false">IF('MiT Strom Pipeline'!R9="WON",IF(LEN('MiT Strom Pipeline'!V9)&gt;0,LEFT('MiT Strom Pipeline'!V9,55),""),"")</f>
        <v/>
      </c>
    </row>
    <row r="15" customFormat="false" ht="15.75" hidden="false" customHeight="true" outlineLevel="0" collapsed="false">
      <c r="A15" s="19" t="str">
        <f aca="false">IF('MiT Strom Pipeline'!R10="WON",IF(ISNUMBER('MiT Strom Pipeline'!A10),'MiT Strom Pipeline'!A10,""),"")</f>
        <v/>
      </c>
      <c r="B15" s="20" t="str">
        <f aca="false">IF('MiT Strom Pipeline'!R10="WON",'MiT Strom Pipeline'!B10,"")</f>
        <v/>
      </c>
      <c r="C15" s="19" t="str">
        <f aca="false">IF('MiT Strom Pipeline'!R10="WON",'MiT Strom Pipeline'!C10,"")</f>
        <v/>
      </c>
      <c r="D15" s="20" t="str">
        <f aca="false">IF('MiT Strom Pipeline'!R10="WON",'MiT Strom Pipeline'!D10,"")</f>
        <v/>
      </c>
      <c r="E15" s="20" t="str">
        <f aca="false">IF('MiT Strom Pipeline'!R10="WON",'MiT Strom Pipeline'!E10,"")</f>
        <v/>
      </c>
      <c r="F15" s="21" t="str">
        <f aca="false">IF('MiT Strom Pipeline'!R10="WON",IF(ISNUMBER('MiT Strom Pipeline'!I10),'MiT Strom Pipeline'!I10,0),"")</f>
        <v/>
      </c>
      <c r="G15" s="21" t="str">
        <f aca="false">IF('MiT Strom Pipeline'!R10="WON",IF(ISNUMBER('MiT Strom Pipeline'!Q10),'MiT Strom Pipeline'!Q10,0),"")</f>
        <v/>
      </c>
      <c r="H15" s="21" t="str">
        <f aca="false">IF('MiT Strom Pipeline'!R10="WON",IF(ISNUMBER('MiT Strom Pipeline'!O10),'MiT Strom Pipeline'!O10,0),"")</f>
        <v/>
      </c>
      <c r="I15" s="19" t="str">
        <f aca="false">IF('MiT Strom Pipeline'!R10="WON",'MiT Strom Pipeline'!R10,"")</f>
        <v/>
      </c>
      <c r="J15" s="19" t="str">
        <f aca="false">IF('MiT Strom Pipeline'!R10="WON",'MiT Strom Pipeline'!S10,"")</f>
        <v/>
      </c>
      <c r="K15" s="20" t="str">
        <f aca="false">IF('MiT Strom Pipeline'!R10="WON",IF(LEN('MiT Strom Pipeline'!V10)&gt;0,LEFT('MiT Strom Pipeline'!V10,55),""),"")</f>
        <v/>
      </c>
    </row>
    <row r="16" customFormat="false" ht="15.75" hidden="false" customHeight="true" outlineLevel="0" collapsed="false">
      <c r="A16" s="22" t="str">
        <f aca="false">IF('MiT Strom Pipeline'!R11="WON",IF(ISNUMBER('MiT Strom Pipeline'!A11),'MiT Strom Pipeline'!A11,""),"")</f>
        <v/>
      </c>
      <c r="B16" s="23" t="str">
        <f aca="false">IF('MiT Strom Pipeline'!R11="WON",'MiT Strom Pipeline'!B11,"")</f>
        <v/>
      </c>
      <c r="C16" s="22" t="str">
        <f aca="false">IF('MiT Strom Pipeline'!R11="WON",'MiT Strom Pipeline'!C11,"")</f>
        <v/>
      </c>
      <c r="D16" s="23" t="str">
        <f aca="false">IF('MiT Strom Pipeline'!R11="WON",'MiT Strom Pipeline'!D11,"")</f>
        <v/>
      </c>
      <c r="E16" s="23" t="str">
        <f aca="false">IF('MiT Strom Pipeline'!R11="WON",'MiT Strom Pipeline'!E11,"")</f>
        <v/>
      </c>
      <c r="F16" s="24" t="str">
        <f aca="false">IF('MiT Strom Pipeline'!R11="WON",IF(ISNUMBER('MiT Strom Pipeline'!I11),'MiT Strom Pipeline'!I11,0),"")</f>
        <v/>
      </c>
      <c r="G16" s="24" t="str">
        <f aca="false">IF('MiT Strom Pipeline'!R11="WON",IF(ISNUMBER('MiT Strom Pipeline'!Q11),'MiT Strom Pipeline'!Q11,0),"")</f>
        <v/>
      </c>
      <c r="H16" s="24" t="str">
        <f aca="false">IF('MiT Strom Pipeline'!R11="WON",IF(ISNUMBER('MiT Strom Pipeline'!O11),'MiT Strom Pipeline'!O11,0),"")</f>
        <v/>
      </c>
      <c r="I16" s="22" t="str">
        <f aca="false">IF('MiT Strom Pipeline'!R11="WON",'MiT Strom Pipeline'!R11,"")</f>
        <v/>
      </c>
      <c r="J16" s="22" t="str">
        <f aca="false">IF('MiT Strom Pipeline'!R11="WON",'MiT Strom Pipeline'!S11,"")</f>
        <v/>
      </c>
      <c r="K16" s="23" t="str">
        <f aca="false">IF('MiT Strom Pipeline'!R11="WON",IF(LEN('MiT Strom Pipeline'!V11)&gt;0,LEFT('MiT Strom Pipeline'!V11,55),""),"")</f>
        <v/>
      </c>
    </row>
    <row r="17" customFormat="false" ht="15.75" hidden="false" customHeight="true" outlineLevel="0" collapsed="false">
      <c r="A17" s="19" t="str">
        <f aca="false">IF('MiT Strom Pipeline'!R12="WON",IF(ISNUMBER('MiT Strom Pipeline'!A12),'MiT Strom Pipeline'!A12,""),"")</f>
        <v/>
      </c>
      <c r="B17" s="20" t="str">
        <f aca="false">IF('MiT Strom Pipeline'!R12="WON",'MiT Strom Pipeline'!B12,"")</f>
        <v/>
      </c>
      <c r="C17" s="19" t="str">
        <f aca="false">IF('MiT Strom Pipeline'!R12="WON",'MiT Strom Pipeline'!C12,"")</f>
        <v/>
      </c>
      <c r="D17" s="20" t="str">
        <f aca="false">IF('MiT Strom Pipeline'!R12="WON",'MiT Strom Pipeline'!D12,"")</f>
        <v/>
      </c>
      <c r="E17" s="20" t="str">
        <f aca="false">IF('MiT Strom Pipeline'!R12="WON",'MiT Strom Pipeline'!E12,"")</f>
        <v/>
      </c>
      <c r="F17" s="21" t="str">
        <f aca="false">IF('MiT Strom Pipeline'!R12="WON",IF(ISNUMBER('MiT Strom Pipeline'!I12),'MiT Strom Pipeline'!I12,0),"")</f>
        <v/>
      </c>
      <c r="G17" s="21" t="str">
        <f aca="false">IF('MiT Strom Pipeline'!R12="WON",IF(ISNUMBER('MiT Strom Pipeline'!Q12),'MiT Strom Pipeline'!Q12,0),"")</f>
        <v/>
      </c>
      <c r="H17" s="21" t="str">
        <f aca="false">IF('MiT Strom Pipeline'!R12="WON",IF(ISNUMBER('MiT Strom Pipeline'!O12),'MiT Strom Pipeline'!O12,0),"")</f>
        <v/>
      </c>
      <c r="I17" s="19" t="str">
        <f aca="false">IF('MiT Strom Pipeline'!R12="WON",'MiT Strom Pipeline'!R12,"")</f>
        <v/>
      </c>
      <c r="J17" s="19" t="str">
        <f aca="false">IF('MiT Strom Pipeline'!R12="WON",'MiT Strom Pipeline'!S12,"")</f>
        <v/>
      </c>
      <c r="K17" s="20" t="str">
        <f aca="false">IF('MiT Strom Pipeline'!R12="WON",IF(LEN('MiT Strom Pipeline'!V12)&gt;0,LEFT('MiT Strom Pipeline'!V12,55),""),"")</f>
        <v/>
      </c>
    </row>
    <row r="18" customFormat="false" ht="15.75" hidden="false" customHeight="true" outlineLevel="0" collapsed="false">
      <c r="A18" s="22" t="str">
        <f aca="false">IF('MiT Strom Pipeline'!R13="WON",IF(ISNUMBER('MiT Strom Pipeline'!A13),'MiT Strom Pipeline'!A13,""),"")</f>
        <v/>
      </c>
      <c r="B18" s="23" t="str">
        <f aca="false">IF('MiT Strom Pipeline'!R13="WON",'MiT Strom Pipeline'!B13,"")</f>
        <v/>
      </c>
      <c r="C18" s="22" t="str">
        <f aca="false">IF('MiT Strom Pipeline'!R13="WON",'MiT Strom Pipeline'!C13,"")</f>
        <v/>
      </c>
      <c r="D18" s="23" t="str">
        <f aca="false">IF('MiT Strom Pipeline'!R13="WON",'MiT Strom Pipeline'!D13,"")</f>
        <v/>
      </c>
      <c r="E18" s="23" t="str">
        <f aca="false">IF('MiT Strom Pipeline'!R13="WON",'MiT Strom Pipeline'!E13,"")</f>
        <v/>
      </c>
      <c r="F18" s="24" t="str">
        <f aca="false">IF('MiT Strom Pipeline'!R13="WON",IF(ISNUMBER('MiT Strom Pipeline'!I13),'MiT Strom Pipeline'!I13,0),"")</f>
        <v/>
      </c>
      <c r="G18" s="24" t="str">
        <f aca="false">IF('MiT Strom Pipeline'!R13="WON",IF(ISNUMBER('MiT Strom Pipeline'!Q13),'MiT Strom Pipeline'!Q13,0),"")</f>
        <v/>
      </c>
      <c r="H18" s="24" t="str">
        <f aca="false">IF('MiT Strom Pipeline'!R13="WON",IF(ISNUMBER('MiT Strom Pipeline'!O13),'MiT Strom Pipeline'!O13,0),"")</f>
        <v/>
      </c>
      <c r="I18" s="22" t="str">
        <f aca="false">IF('MiT Strom Pipeline'!R13="WON",'MiT Strom Pipeline'!R13,"")</f>
        <v/>
      </c>
      <c r="J18" s="22" t="str">
        <f aca="false">IF('MiT Strom Pipeline'!R13="WON",'MiT Strom Pipeline'!S13,"")</f>
        <v/>
      </c>
      <c r="K18" s="23" t="str">
        <f aca="false">IF('MiT Strom Pipeline'!R13="WON",IF(LEN('MiT Strom Pipeline'!V13)&gt;0,LEFT('MiT Strom Pipeline'!V13,55),""),"")</f>
        <v/>
      </c>
    </row>
    <row r="19" customFormat="false" ht="15.75" hidden="false" customHeight="true" outlineLevel="0" collapsed="false">
      <c r="A19" s="19" t="str">
        <f aca="false">IF('MiT Strom Pipeline'!R14="WON",IF(ISNUMBER('MiT Strom Pipeline'!A14),'MiT Strom Pipeline'!A14,""),"")</f>
        <v/>
      </c>
      <c r="B19" s="20" t="str">
        <f aca="false">IF('MiT Strom Pipeline'!R14="WON",'MiT Strom Pipeline'!B14,"")</f>
        <v/>
      </c>
      <c r="C19" s="19" t="str">
        <f aca="false">IF('MiT Strom Pipeline'!R14="WON",'MiT Strom Pipeline'!C14,"")</f>
        <v/>
      </c>
      <c r="D19" s="20" t="str">
        <f aca="false">IF('MiT Strom Pipeline'!R14="WON",'MiT Strom Pipeline'!D14,"")</f>
        <v/>
      </c>
      <c r="E19" s="20" t="str">
        <f aca="false">IF('MiT Strom Pipeline'!R14="WON",'MiT Strom Pipeline'!E14,"")</f>
        <v/>
      </c>
      <c r="F19" s="21" t="str">
        <f aca="false">IF('MiT Strom Pipeline'!R14="WON",IF(ISNUMBER('MiT Strom Pipeline'!I14),'MiT Strom Pipeline'!I14,0),"")</f>
        <v/>
      </c>
      <c r="G19" s="21" t="str">
        <f aca="false">IF('MiT Strom Pipeline'!R14="WON",IF(ISNUMBER('MiT Strom Pipeline'!Q14),'MiT Strom Pipeline'!Q14,0),"")</f>
        <v/>
      </c>
      <c r="H19" s="21" t="str">
        <f aca="false">IF('MiT Strom Pipeline'!R14="WON",IF(ISNUMBER('MiT Strom Pipeline'!O14),'MiT Strom Pipeline'!O14,0),"")</f>
        <v/>
      </c>
      <c r="I19" s="19" t="str">
        <f aca="false">IF('MiT Strom Pipeline'!R14="WON",'MiT Strom Pipeline'!R14,"")</f>
        <v/>
      </c>
      <c r="J19" s="19" t="str">
        <f aca="false">IF('MiT Strom Pipeline'!R14="WON",'MiT Strom Pipeline'!S14,"")</f>
        <v/>
      </c>
      <c r="K19" s="20" t="str">
        <f aca="false">IF('MiT Strom Pipeline'!R14="WON",IF(LEN('MiT Strom Pipeline'!V14)&gt;0,LEFT('MiT Strom Pipeline'!V14,55),""),"")</f>
        <v/>
      </c>
    </row>
    <row r="20" customFormat="false" ht="15.75" hidden="false" customHeight="true" outlineLevel="0" collapsed="false">
      <c r="A20" s="22" t="str">
        <f aca="false">IF('MiT Strom Pipeline'!R15="WON",IF(ISNUMBER('MiT Strom Pipeline'!A15),'MiT Strom Pipeline'!A15,""),"")</f>
        <v/>
      </c>
      <c r="B20" s="23" t="str">
        <f aca="false">IF('MiT Strom Pipeline'!R15="WON",'MiT Strom Pipeline'!B15,"")</f>
        <v/>
      </c>
      <c r="C20" s="22" t="str">
        <f aca="false">IF('MiT Strom Pipeline'!R15="WON",'MiT Strom Pipeline'!C15,"")</f>
        <v/>
      </c>
      <c r="D20" s="23" t="str">
        <f aca="false">IF('MiT Strom Pipeline'!R15="WON",'MiT Strom Pipeline'!D15,"")</f>
        <v/>
      </c>
      <c r="E20" s="23" t="str">
        <f aca="false">IF('MiT Strom Pipeline'!R15="WON",'MiT Strom Pipeline'!E15,"")</f>
        <v/>
      </c>
      <c r="F20" s="24" t="str">
        <f aca="false">IF('MiT Strom Pipeline'!R15="WON",IF(ISNUMBER('MiT Strom Pipeline'!I15),'MiT Strom Pipeline'!I15,0),"")</f>
        <v/>
      </c>
      <c r="G20" s="24" t="str">
        <f aca="false">IF('MiT Strom Pipeline'!R15="WON",IF(ISNUMBER('MiT Strom Pipeline'!Q15),'MiT Strom Pipeline'!Q15,0),"")</f>
        <v/>
      </c>
      <c r="H20" s="24" t="str">
        <f aca="false">IF('MiT Strom Pipeline'!R15="WON",IF(ISNUMBER('MiT Strom Pipeline'!O15),'MiT Strom Pipeline'!O15,0),"")</f>
        <v/>
      </c>
      <c r="I20" s="22" t="str">
        <f aca="false">IF('MiT Strom Pipeline'!R15="WON",'MiT Strom Pipeline'!R15,"")</f>
        <v/>
      </c>
      <c r="J20" s="22" t="str">
        <f aca="false">IF('MiT Strom Pipeline'!R15="WON",'MiT Strom Pipeline'!S15,"")</f>
        <v/>
      </c>
      <c r="K20" s="23" t="str">
        <f aca="false">IF('MiT Strom Pipeline'!R15="WON",IF(LEN('MiT Strom Pipeline'!V15)&gt;0,LEFT('MiT Strom Pipeline'!V15,55),""),"")</f>
        <v/>
      </c>
    </row>
    <row r="21" customFormat="false" ht="15.75" hidden="false" customHeight="true" outlineLevel="0" collapsed="false">
      <c r="A21" s="19" t="str">
        <f aca="false">IF('MiT Strom Pipeline'!R16="WON",IF(ISNUMBER('MiT Strom Pipeline'!A16),'MiT Strom Pipeline'!A16,""),"")</f>
        <v/>
      </c>
      <c r="B21" s="20" t="str">
        <f aca="false">IF('MiT Strom Pipeline'!R16="WON",'MiT Strom Pipeline'!B16,"")</f>
        <v/>
      </c>
      <c r="C21" s="19" t="str">
        <f aca="false">IF('MiT Strom Pipeline'!R16="WON",'MiT Strom Pipeline'!C16,"")</f>
        <v/>
      </c>
      <c r="D21" s="20" t="str">
        <f aca="false">IF('MiT Strom Pipeline'!R16="WON",'MiT Strom Pipeline'!D16,"")</f>
        <v/>
      </c>
      <c r="E21" s="20" t="str">
        <f aca="false">IF('MiT Strom Pipeline'!R16="WON",'MiT Strom Pipeline'!E16,"")</f>
        <v/>
      </c>
      <c r="F21" s="21" t="str">
        <f aca="false">IF('MiT Strom Pipeline'!R16="WON",IF(ISNUMBER('MiT Strom Pipeline'!I16),'MiT Strom Pipeline'!I16,0),"")</f>
        <v/>
      </c>
      <c r="G21" s="21" t="str">
        <f aca="false">IF('MiT Strom Pipeline'!R16="WON",IF(ISNUMBER('MiT Strom Pipeline'!Q16),'MiT Strom Pipeline'!Q16,0),"")</f>
        <v/>
      </c>
      <c r="H21" s="21" t="str">
        <f aca="false">IF('MiT Strom Pipeline'!R16="WON",IF(ISNUMBER('MiT Strom Pipeline'!O16),'MiT Strom Pipeline'!O16,0),"")</f>
        <v/>
      </c>
      <c r="I21" s="19" t="str">
        <f aca="false">IF('MiT Strom Pipeline'!R16="WON",'MiT Strom Pipeline'!R16,"")</f>
        <v/>
      </c>
      <c r="J21" s="19" t="str">
        <f aca="false">IF('MiT Strom Pipeline'!R16="WON",'MiT Strom Pipeline'!S16,"")</f>
        <v/>
      </c>
      <c r="K21" s="20" t="str">
        <f aca="false">IF('MiT Strom Pipeline'!R16="WON",IF(LEN('MiT Strom Pipeline'!V16)&gt;0,LEFT('MiT Strom Pipeline'!V16,55),""),"")</f>
        <v/>
      </c>
    </row>
    <row r="22" customFormat="false" ht="15.75" hidden="false" customHeight="true" outlineLevel="0" collapsed="false">
      <c r="A22" s="22" t="str">
        <f aca="false">IF('MiT Strom Pipeline'!R17="WON",IF(ISNUMBER('MiT Strom Pipeline'!A17),'MiT Strom Pipeline'!A17,""),"")</f>
        <v/>
      </c>
      <c r="B22" s="23" t="str">
        <f aca="false">IF('MiT Strom Pipeline'!R17="WON",'MiT Strom Pipeline'!B17,"")</f>
        <v/>
      </c>
      <c r="C22" s="22" t="str">
        <f aca="false">IF('MiT Strom Pipeline'!R17="WON",'MiT Strom Pipeline'!C17,"")</f>
        <v/>
      </c>
      <c r="D22" s="23" t="str">
        <f aca="false">IF('MiT Strom Pipeline'!R17="WON",'MiT Strom Pipeline'!D17,"")</f>
        <v/>
      </c>
      <c r="E22" s="23" t="str">
        <f aca="false">IF('MiT Strom Pipeline'!R17="WON",'MiT Strom Pipeline'!E17,"")</f>
        <v/>
      </c>
      <c r="F22" s="24" t="str">
        <f aca="false">IF('MiT Strom Pipeline'!R17="WON",IF(ISNUMBER('MiT Strom Pipeline'!I17),'MiT Strom Pipeline'!I17,0),"")</f>
        <v/>
      </c>
      <c r="G22" s="24" t="str">
        <f aca="false">IF('MiT Strom Pipeline'!R17="WON",IF(ISNUMBER('MiT Strom Pipeline'!Q17),'MiT Strom Pipeline'!Q17,0),"")</f>
        <v/>
      </c>
      <c r="H22" s="24" t="str">
        <f aca="false">IF('MiT Strom Pipeline'!R17="WON",IF(ISNUMBER('MiT Strom Pipeline'!O17),'MiT Strom Pipeline'!O17,0),"")</f>
        <v/>
      </c>
      <c r="I22" s="22" t="str">
        <f aca="false">IF('MiT Strom Pipeline'!R17="WON",'MiT Strom Pipeline'!R17,"")</f>
        <v/>
      </c>
      <c r="J22" s="22" t="str">
        <f aca="false">IF('MiT Strom Pipeline'!R17="WON",'MiT Strom Pipeline'!S17,"")</f>
        <v/>
      </c>
      <c r="K22" s="23" t="str">
        <f aca="false">IF('MiT Strom Pipeline'!R17="WON",IF(LEN('MiT Strom Pipeline'!V17)&gt;0,LEFT('MiT Strom Pipeline'!V17,55),""),"")</f>
        <v/>
      </c>
    </row>
    <row r="23" customFormat="false" ht="15.75" hidden="false" customHeight="true" outlineLevel="0" collapsed="false">
      <c r="A23" s="19" t="str">
        <f aca="false">IF('MiT Strom Pipeline'!R18="WON",IF(ISNUMBER('MiT Strom Pipeline'!A18),'MiT Strom Pipeline'!A18,""),"")</f>
        <v/>
      </c>
      <c r="B23" s="20" t="str">
        <f aca="false">IF('MiT Strom Pipeline'!R18="WON",'MiT Strom Pipeline'!B18,"")</f>
        <v/>
      </c>
      <c r="C23" s="19" t="str">
        <f aca="false">IF('MiT Strom Pipeline'!R18="WON",'MiT Strom Pipeline'!C18,"")</f>
        <v/>
      </c>
      <c r="D23" s="20" t="str">
        <f aca="false">IF('MiT Strom Pipeline'!R18="WON",'MiT Strom Pipeline'!D18,"")</f>
        <v/>
      </c>
      <c r="E23" s="20" t="str">
        <f aca="false">IF('MiT Strom Pipeline'!R18="WON",'MiT Strom Pipeline'!E18,"")</f>
        <v/>
      </c>
      <c r="F23" s="21" t="str">
        <f aca="false">IF('MiT Strom Pipeline'!R18="WON",IF(ISNUMBER('MiT Strom Pipeline'!I18),'MiT Strom Pipeline'!I18,0),"")</f>
        <v/>
      </c>
      <c r="G23" s="21" t="str">
        <f aca="false">IF('MiT Strom Pipeline'!R18="WON",IF(ISNUMBER('MiT Strom Pipeline'!Q18),'MiT Strom Pipeline'!Q18,0),"")</f>
        <v/>
      </c>
      <c r="H23" s="21" t="str">
        <f aca="false">IF('MiT Strom Pipeline'!R18="WON",IF(ISNUMBER('MiT Strom Pipeline'!O18),'MiT Strom Pipeline'!O18,0),"")</f>
        <v/>
      </c>
      <c r="I23" s="19" t="str">
        <f aca="false">IF('MiT Strom Pipeline'!R18="WON",'MiT Strom Pipeline'!R18,"")</f>
        <v/>
      </c>
      <c r="J23" s="19" t="str">
        <f aca="false">IF('MiT Strom Pipeline'!R18="WON",'MiT Strom Pipeline'!S18,"")</f>
        <v/>
      </c>
      <c r="K23" s="20" t="str">
        <f aca="false">IF('MiT Strom Pipeline'!R18="WON",IF(LEN('MiT Strom Pipeline'!V18)&gt;0,LEFT('MiT Strom Pipeline'!V18,55),""),"")</f>
        <v/>
      </c>
    </row>
    <row r="24" customFormat="false" ht="15.75" hidden="false" customHeight="true" outlineLevel="0" collapsed="false">
      <c r="A24" s="22" t="str">
        <f aca="false">IF('MiT Strom Pipeline'!R19="WON",IF(ISNUMBER('MiT Strom Pipeline'!A19),'MiT Strom Pipeline'!A19,""),"")</f>
        <v/>
      </c>
      <c r="B24" s="23" t="str">
        <f aca="false">IF('MiT Strom Pipeline'!R19="WON",'MiT Strom Pipeline'!B19,"")</f>
        <v/>
      </c>
      <c r="C24" s="22" t="str">
        <f aca="false">IF('MiT Strom Pipeline'!R19="WON",'MiT Strom Pipeline'!C19,"")</f>
        <v/>
      </c>
      <c r="D24" s="23" t="str">
        <f aca="false">IF('MiT Strom Pipeline'!R19="WON",'MiT Strom Pipeline'!D19,"")</f>
        <v/>
      </c>
      <c r="E24" s="23" t="str">
        <f aca="false">IF('MiT Strom Pipeline'!R19="WON",'MiT Strom Pipeline'!E19,"")</f>
        <v/>
      </c>
      <c r="F24" s="24" t="str">
        <f aca="false">IF('MiT Strom Pipeline'!R19="WON",IF(ISNUMBER('MiT Strom Pipeline'!I19),'MiT Strom Pipeline'!I19,0),"")</f>
        <v/>
      </c>
      <c r="G24" s="24" t="str">
        <f aca="false">IF('MiT Strom Pipeline'!R19="WON",IF(ISNUMBER('MiT Strom Pipeline'!Q19),'MiT Strom Pipeline'!Q19,0),"")</f>
        <v/>
      </c>
      <c r="H24" s="24" t="str">
        <f aca="false">IF('MiT Strom Pipeline'!R19="WON",IF(ISNUMBER('MiT Strom Pipeline'!O19),'MiT Strom Pipeline'!O19,0),"")</f>
        <v/>
      </c>
      <c r="I24" s="22" t="str">
        <f aca="false">IF('MiT Strom Pipeline'!R19="WON",'MiT Strom Pipeline'!R19,"")</f>
        <v/>
      </c>
      <c r="J24" s="22" t="str">
        <f aca="false">IF('MiT Strom Pipeline'!R19="WON",'MiT Strom Pipeline'!S19,"")</f>
        <v/>
      </c>
      <c r="K24" s="23" t="str">
        <f aca="false">IF('MiT Strom Pipeline'!R19="WON",IF(LEN('MiT Strom Pipeline'!V19)&gt;0,LEFT('MiT Strom Pipeline'!V19,55),""),"")</f>
        <v/>
      </c>
    </row>
    <row r="25" customFormat="false" ht="15.75" hidden="false" customHeight="true" outlineLevel="0" collapsed="false">
      <c r="A25" s="19" t="str">
        <f aca="false">IF('MiT Strom Pipeline'!R20="WON",IF(ISNUMBER('MiT Strom Pipeline'!A20),'MiT Strom Pipeline'!A20,""),"")</f>
        <v/>
      </c>
      <c r="B25" s="20" t="str">
        <f aca="false">IF('MiT Strom Pipeline'!R20="WON",'MiT Strom Pipeline'!B20,"")</f>
        <v/>
      </c>
      <c r="C25" s="19" t="str">
        <f aca="false">IF('MiT Strom Pipeline'!R20="WON",'MiT Strom Pipeline'!C20,"")</f>
        <v/>
      </c>
      <c r="D25" s="20" t="str">
        <f aca="false">IF('MiT Strom Pipeline'!R20="WON",'MiT Strom Pipeline'!D20,"")</f>
        <v/>
      </c>
      <c r="E25" s="20" t="str">
        <f aca="false">IF('MiT Strom Pipeline'!R20="WON",'MiT Strom Pipeline'!E20,"")</f>
        <v/>
      </c>
      <c r="F25" s="21" t="str">
        <f aca="false">IF('MiT Strom Pipeline'!R20="WON",IF(ISNUMBER('MiT Strom Pipeline'!I20),'MiT Strom Pipeline'!I20,0),"")</f>
        <v/>
      </c>
      <c r="G25" s="21" t="str">
        <f aca="false">IF('MiT Strom Pipeline'!R20="WON",IF(ISNUMBER('MiT Strom Pipeline'!Q20),'MiT Strom Pipeline'!Q20,0),"")</f>
        <v/>
      </c>
      <c r="H25" s="21" t="str">
        <f aca="false">IF('MiT Strom Pipeline'!R20="WON",IF(ISNUMBER('MiT Strom Pipeline'!O20),'MiT Strom Pipeline'!O20,0),"")</f>
        <v/>
      </c>
      <c r="I25" s="19" t="str">
        <f aca="false">IF('MiT Strom Pipeline'!R20="WON",'MiT Strom Pipeline'!R20,"")</f>
        <v/>
      </c>
      <c r="J25" s="19" t="str">
        <f aca="false">IF('MiT Strom Pipeline'!R20="WON",'MiT Strom Pipeline'!S20,"")</f>
        <v/>
      </c>
      <c r="K25" s="20" t="str">
        <f aca="false">IF('MiT Strom Pipeline'!R20="WON",IF(LEN('MiT Strom Pipeline'!V20)&gt;0,LEFT('MiT Strom Pipeline'!V20,55),""),"")</f>
        <v/>
      </c>
    </row>
    <row r="26" customFormat="false" ht="15.75" hidden="false" customHeight="true" outlineLevel="0" collapsed="false">
      <c r="A26" s="22" t="str">
        <f aca="false">IF('MiT Strom Pipeline'!R21="WON",IF(ISNUMBER('MiT Strom Pipeline'!A21),'MiT Strom Pipeline'!A21,""),"")</f>
        <v/>
      </c>
      <c r="B26" s="23" t="str">
        <f aca="false">IF('MiT Strom Pipeline'!R21="WON",'MiT Strom Pipeline'!B21,"")</f>
        <v/>
      </c>
      <c r="C26" s="22" t="str">
        <f aca="false">IF('MiT Strom Pipeline'!R21="WON",'MiT Strom Pipeline'!C21,"")</f>
        <v/>
      </c>
      <c r="D26" s="23" t="str">
        <f aca="false">IF('MiT Strom Pipeline'!R21="WON",'MiT Strom Pipeline'!D21,"")</f>
        <v/>
      </c>
      <c r="E26" s="23" t="str">
        <f aca="false">IF('MiT Strom Pipeline'!R21="WON",'MiT Strom Pipeline'!E21,"")</f>
        <v/>
      </c>
      <c r="F26" s="24" t="str">
        <f aca="false">IF('MiT Strom Pipeline'!R21="WON",IF(ISNUMBER('MiT Strom Pipeline'!I21),'MiT Strom Pipeline'!I21,0),"")</f>
        <v/>
      </c>
      <c r="G26" s="24" t="str">
        <f aca="false">IF('MiT Strom Pipeline'!R21="WON",IF(ISNUMBER('MiT Strom Pipeline'!Q21),'MiT Strom Pipeline'!Q21,0),"")</f>
        <v/>
      </c>
      <c r="H26" s="24" t="str">
        <f aca="false">IF('MiT Strom Pipeline'!R21="WON",IF(ISNUMBER('MiT Strom Pipeline'!O21),'MiT Strom Pipeline'!O21,0),"")</f>
        <v/>
      </c>
      <c r="I26" s="22" t="str">
        <f aca="false">IF('MiT Strom Pipeline'!R21="WON",'MiT Strom Pipeline'!R21,"")</f>
        <v/>
      </c>
      <c r="J26" s="22" t="str">
        <f aca="false">IF('MiT Strom Pipeline'!R21="WON",'MiT Strom Pipeline'!S21,"")</f>
        <v/>
      </c>
      <c r="K26" s="23" t="str">
        <f aca="false">IF('MiT Strom Pipeline'!R21="WON",IF(LEN('MiT Strom Pipeline'!V21)&gt;0,LEFT('MiT Strom Pipeline'!V21,55),""),"")</f>
        <v/>
      </c>
    </row>
    <row r="27" customFormat="false" ht="15.75" hidden="false" customHeight="true" outlineLevel="0" collapsed="false">
      <c r="A27" s="19" t="str">
        <f aca="false">IF('MiT Strom Pipeline'!R22="WON",IF(ISNUMBER('MiT Strom Pipeline'!A22),'MiT Strom Pipeline'!A22,""),"")</f>
        <v/>
      </c>
      <c r="B27" s="20" t="str">
        <f aca="false">IF('MiT Strom Pipeline'!R22="WON",'MiT Strom Pipeline'!B22,"")</f>
        <v/>
      </c>
      <c r="C27" s="19" t="str">
        <f aca="false">IF('MiT Strom Pipeline'!R22="WON",'MiT Strom Pipeline'!C22,"")</f>
        <v/>
      </c>
      <c r="D27" s="20" t="str">
        <f aca="false">IF('MiT Strom Pipeline'!R22="WON",'MiT Strom Pipeline'!D22,"")</f>
        <v/>
      </c>
      <c r="E27" s="20" t="str">
        <f aca="false">IF('MiT Strom Pipeline'!R22="WON",'MiT Strom Pipeline'!E22,"")</f>
        <v/>
      </c>
      <c r="F27" s="21" t="str">
        <f aca="false">IF('MiT Strom Pipeline'!R22="WON",IF(ISNUMBER('MiT Strom Pipeline'!I22),'MiT Strom Pipeline'!I22,0),"")</f>
        <v/>
      </c>
      <c r="G27" s="21" t="str">
        <f aca="false">IF('MiT Strom Pipeline'!R22="WON",IF(ISNUMBER('MiT Strom Pipeline'!Q22),'MiT Strom Pipeline'!Q22,0),"")</f>
        <v/>
      </c>
      <c r="H27" s="21" t="str">
        <f aca="false">IF('MiT Strom Pipeline'!R22="WON",IF(ISNUMBER('MiT Strom Pipeline'!O22),'MiT Strom Pipeline'!O22,0),"")</f>
        <v/>
      </c>
      <c r="I27" s="19" t="str">
        <f aca="false">IF('MiT Strom Pipeline'!R22="WON",'MiT Strom Pipeline'!R22,"")</f>
        <v/>
      </c>
      <c r="J27" s="19" t="str">
        <f aca="false">IF('MiT Strom Pipeline'!R22="WON",'MiT Strom Pipeline'!S22,"")</f>
        <v/>
      </c>
      <c r="K27" s="20" t="str">
        <f aca="false">IF('MiT Strom Pipeline'!R22="WON",IF(LEN('MiT Strom Pipeline'!V22)&gt;0,LEFT('MiT Strom Pipeline'!V22,55),""),"")</f>
        <v/>
      </c>
    </row>
    <row r="28" customFormat="false" ht="15.75" hidden="false" customHeight="true" outlineLevel="0" collapsed="false">
      <c r="A28" s="22" t="str">
        <f aca="false">IF('MiT Strom Pipeline'!R23="WON",IF(ISNUMBER('MiT Strom Pipeline'!A23),'MiT Strom Pipeline'!A23,""),"")</f>
        <v/>
      </c>
      <c r="B28" s="23" t="str">
        <f aca="false">IF('MiT Strom Pipeline'!R23="WON",'MiT Strom Pipeline'!B23,"")</f>
        <v/>
      </c>
      <c r="C28" s="22" t="str">
        <f aca="false">IF('MiT Strom Pipeline'!R23="WON",'MiT Strom Pipeline'!C23,"")</f>
        <v/>
      </c>
      <c r="D28" s="23" t="str">
        <f aca="false">IF('MiT Strom Pipeline'!R23="WON",'MiT Strom Pipeline'!D23,"")</f>
        <v/>
      </c>
      <c r="E28" s="23" t="str">
        <f aca="false">IF('MiT Strom Pipeline'!R23="WON",'MiT Strom Pipeline'!E23,"")</f>
        <v/>
      </c>
      <c r="F28" s="24" t="str">
        <f aca="false">IF('MiT Strom Pipeline'!R23="WON",IF(ISNUMBER('MiT Strom Pipeline'!I23),'MiT Strom Pipeline'!I23,0),"")</f>
        <v/>
      </c>
      <c r="G28" s="24" t="str">
        <f aca="false">IF('MiT Strom Pipeline'!R23="WON",IF(ISNUMBER('MiT Strom Pipeline'!Q23),'MiT Strom Pipeline'!Q23,0),"")</f>
        <v/>
      </c>
      <c r="H28" s="24" t="str">
        <f aca="false">IF('MiT Strom Pipeline'!R23="WON",IF(ISNUMBER('MiT Strom Pipeline'!O23),'MiT Strom Pipeline'!O23,0),"")</f>
        <v/>
      </c>
      <c r="I28" s="22" t="str">
        <f aca="false">IF('MiT Strom Pipeline'!R23="WON",'MiT Strom Pipeline'!R23,"")</f>
        <v/>
      </c>
      <c r="J28" s="22" t="str">
        <f aca="false">IF('MiT Strom Pipeline'!R23="WON",'MiT Strom Pipeline'!S23,"")</f>
        <v/>
      </c>
      <c r="K28" s="23" t="str">
        <f aca="false">IF('MiT Strom Pipeline'!R23="WON",IF(LEN('MiT Strom Pipeline'!V23)&gt;0,LEFT('MiT Strom Pipeline'!V23,55),""),"")</f>
        <v/>
      </c>
    </row>
    <row r="29" customFormat="false" ht="15.75" hidden="false" customHeight="true" outlineLevel="0" collapsed="false">
      <c r="A29" s="19" t="str">
        <f aca="false">IF('MiT Strom Pipeline'!R24="WON",IF(ISNUMBER('MiT Strom Pipeline'!A24),'MiT Strom Pipeline'!A24,""),"")</f>
        <v/>
      </c>
      <c r="B29" s="20" t="str">
        <f aca="false">IF('MiT Strom Pipeline'!R24="WON",'MiT Strom Pipeline'!B24,"")</f>
        <v/>
      </c>
      <c r="C29" s="19" t="str">
        <f aca="false">IF('MiT Strom Pipeline'!R24="WON",'MiT Strom Pipeline'!C24,"")</f>
        <v/>
      </c>
      <c r="D29" s="20" t="str">
        <f aca="false">IF('MiT Strom Pipeline'!R24="WON",'MiT Strom Pipeline'!D24,"")</f>
        <v/>
      </c>
      <c r="E29" s="20" t="str">
        <f aca="false">IF('MiT Strom Pipeline'!R24="WON",'MiT Strom Pipeline'!E24,"")</f>
        <v/>
      </c>
      <c r="F29" s="21" t="str">
        <f aca="false">IF('MiT Strom Pipeline'!R24="WON",IF(ISNUMBER('MiT Strom Pipeline'!I24),'MiT Strom Pipeline'!I24,0),"")</f>
        <v/>
      </c>
      <c r="G29" s="21" t="str">
        <f aca="false">IF('MiT Strom Pipeline'!R24="WON",IF(ISNUMBER('MiT Strom Pipeline'!Q24),'MiT Strom Pipeline'!Q24,0),"")</f>
        <v/>
      </c>
      <c r="H29" s="21" t="str">
        <f aca="false">IF('MiT Strom Pipeline'!R24="WON",IF(ISNUMBER('MiT Strom Pipeline'!O24),'MiT Strom Pipeline'!O24,0),"")</f>
        <v/>
      </c>
      <c r="I29" s="19" t="str">
        <f aca="false">IF('MiT Strom Pipeline'!R24="WON",'MiT Strom Pipeline'!R24,"")</f>
        <v/>
      </c>
      <c r="J29" s="19" t="str">
        <f aca="false">IF('MiT Strom Pipeline'!R24="WON",'MiT Strom Pipeline'!S24,"")</f>
        <v/>
      </c>
      <c r="K29" s="20" t="str">
        <f aca="false">IF('MiT Strom Pipeline'!R24="WON",IF(LEN('MiT Strom Pipeline'!V24)&gt;0,LEFT('MiT Strom Pipeline'!V24,55),""),"")</f>
        <v/>
      </c>
    </row>
    <row r="30" customFormat="false" ht="15.75" hidden="false" customHeight="true" outlineLevel="0" collapsed="false">
      <c r="A30" s="22" t="str">
        <f aca="false">IF('MiT Strom Pipeline'!R25="WON",IF(ISNUMBER('MiT Strom Pipeline'!A25),'MiT Strom Pipeline'!A25,""),"")</f>
        <v/>
      </c>
      <c r="B30" s="23" t="str">
        <f aca="false">IF('MiT Strom Pipeline'!R25="WON",'MiT Strom Pipeline'!B25,"")</f>
        <v/>
      </c>
      <c r="C30" s="22" t="str">
        <f aca="false">IF('MiT Strom Pipeline'!R25="WON",'MiT Strom Pipeline'!C25,"")</f>
        <v/>
      </c>
      <c r="D30" s="23" t="str">
        <f aca="false">IF('MiT Strom Pipeline'!R25="WON",'MiT Strom Pipeline'!D25,"")</f>
        <v/>
      </c>
      <c r="E30" s="23" t="str">
        <f aca="false">IF('MiT Strom Pipeline'!R25="WON",'MiT Strom Pipeline'!E25,"")</f>
        <v/>
      </c>
      <c r="F30" s="24" t="str">
        <f aca="false">IF('MiT Strom Pipeline'!R25="WON",IF(ISNUMBER('MiT Strom Pipeline'!I25),'MiT Strom Pipeline'!I25,0),"")</f>
        <v/>
      </c>
      <c r="G30" s="24" t="str">
        <f aca="false">IF('MiT Strom Pipeline'!R25="WON",IF(ISNUMBER('MiT Strom Pipeline'!Q25),'MiT Strom Pipeline'!Q25,0),"")</f>
        <v/>
      </c>
      <c r="H30" s="24" t="str">
        <f aca="false">IF('MiT Strom Pipeline'!R25="WON",IF(ISNUMBER('MiT Strom Pipeline'!O25),'MiT Strom Pipeline'!O25,0),"")</f>
        <v/>
      </c>
      <c r="I30" s="22" t="str">
        <f aca="false">IF('MiT Strom Pipeline'!R25="WON",'MiT Strom Pipeline'!R25,"")</f>
        <v/>
      </c>
      <c r="J30" s="22" t="str">
        <f aca="false">IF('MiT Strom Pipeline'!R25="WON",'MiT Strom Pipeline'!S25,"")</f>
        <v/>
      </c>
      <c r="K30" s="23" t="str">
        <f aca="false">IF('MiT Strom Pipeline'!R25="WON",IF(LEN('MiT Strom Pipeline'!V25)&gt;0,LEFT('MiT Strom Pipeline'!V25,55),""),"")</f>
        <v/>
      </c>
    </row>
    <row r="31" customFormat="false" ht="15.75" hidden="false" customHeight="true" outlineLevel="0" collapsed="false">
      <c r="A31" s="19" t="str">
        <f aca="false">IF('MiT Strom Pipeline'!R26="WON",IF(ISNUMBER('MiT Strom Pipeline'!A26),'MiT Strom Pipeline'!A26,""),"")</f>
        <v/>
      </c>
      <c r="B31" s="20" t="str">
        <f aca="false">IF('MiT Strom Pipeline'!R26="WON",'MiT Strom Pipeline'!B26,"")</f>
        <v/>
      </c>
      <c r="C31" s="19" t="str">
        <f aca="false">IF('MiT Strom Pipeline'!R26="WON",'MiT Strom Pipeline'!C26,"")</f>
        <v/>
      </c>
      <c r="D31" s="20" t="str">
        <f aca="false">IF('MiT Strom Pipeline'!R26="WON",'MiT Strom Pipeline'!D26,"")</f>
        <v/>
      </c>
      <c r="E31" s="20" t="str">
        <f aca="false">IF('MiT Strom Pipeline'!R26="WON",'MiT Strom Pipeline'!E26,"")</f>
        <v/>
      </c>
      <c r="F31" s="21" t="str">
        <f aca="false">IF('MiT Strom Pipeline'!R26="WON",IF(ISNUMBER('MiT Strom Pipeline'!I26),'MiT Strom Pipeline'!I26,0),"")</f>
        <v/>
      </c>
      <c r="G31" s="21" t="str">
        <f aca="false">IF('MiT Strom Pipeline'!R26="WON",IF(ISNUMBER('MiT Strom Pipeline'!Q26),'MiT Strom Pipeline'!Q26,0),"")</f>
        <v/>
      </c>
      <c r="H31" s="21" t="str">
        <f aca="false">IF('MiT Strom Pipeline'!R26="WON",IF(ISNUMBER('MiT Strom Pipeline'!O26),'MiT Strom Pipeline'!O26,0),"")</f>
        <v/>
      </c>
      <c r="I31" s="19" t="str">
        <f aca="false">IF('MiT Strom Pipeline'!R26="WON",'MiT Strom Pipeline'!R26,"")</f>
        <v/>
      </c>
      <c r="J31" s="19" t="str">
        <f aca="false">IF('MiT Strom Pipeline'!R26="WON",'MiT Strom Pipeline'!S26,"")</f>
        <v/>
      </c>
      <c r="K31" s="20" t="str">
        <f aca="false">IF('MiT Strom Pipeline'!R26="WON",IF(LEN('MiT Strom Pipeline'!V26)&gt;0,LEFT('MiT Strom Pipeline'!V26,55),""),"")</f>
        <v/>
      </c>
    </row>
    <row r="32" customFormat="false" ht="15.75" hidden="false" customHeight="true" outlineLevel="0" collapsed="false">
      <c r="A32" s="22" t="n">
        <f aca="false">IF('MiT Strom Pipeline'!R27="WON",IF(ISNUMBER('MiT Strom Pipeline'!A27),'MiT Strom Pipeline'!A27,""),"")</f>
        <v>21</v>
      </c>
      <c r="B32" s="23" t="str">
        <f aca="false">IF('MiT Strom Pipeline'!R27="WON",'MiT Strom Pipeline'!B27,"")</f>
        <v>X-Event</v>
      </c>
      <c r="C32" s="22" t="str">
        <f aca="false">IF('MiT Strom Pipeline'!R27="WON",'MiT Strom Pipeline'!C27,"")</f>
        <v>SH</v>
      </c>
      <c r="D32" s="23" t="str">
        <f aca="false">IF('MiT Strom Pipeline'!R27="WON",'MiT Strom Pipeline'!D27,"")</f>
        <v>Events / Medien</v>
      </c>
      <c r="E32" s="23" t="str">
        <f aca="false">IF('MiT Strom Pipeline'!R27="WON",'MiT Strom Pipeline'!E27,"")</f>
        <v>100 kVA Generator</v>
      </c>
      <c r="F32" s="24" t="n">
        <f aca="false">IF('MiT Strom Pipeline'!R27="WON",IF(ISNUMBER('MiT Strom Pipeline'!I27),'MiT Strom Pipeline'!I27,0),"")</f>
        <v>0</v>
      </c>
      <c r="G32" s="24" t="n">
        <f aca="false">IF('MiT Strom Pipeline'!R27="WON",IF(ISNUMBER('MiT Strom Pipeline'!Q27),'MiT Strom Pipeline'!Q27,0),"")</f>
        <v>0</v>
      </c>
      <c r="H32" s="24" t="n">
        <f aca="false">IF('MiT Strom Pipeline'!R27="WON",IF(ISNUMBER('MiT Strom Pipeline'!O27),'MiT Strom Pipeline'!O27,0),"")</f>
        <v>0</v>
      </c>
      <c r="I32" s="22" t="str">
        <f aca="false">IF('MiT Strom Pipeline'!R27="WON",'MiT Strom Pipeline'!R27,"")</f>
        <v>WON</v>
      </c>
      <c r="J32" s="22" t="n">
        <f aca="false">IF('MiT Strom Pipeline'!R27="WON",'MiT Strom Pipeline'!S27,"")</f>
        <v>1</v>
      </c>
      <c r="K32" s="25" t="str">
        <f aca="false">IF('MiT Strom Pipeline'!R27="WON",IF(LEN('MiT Strom Pipeline'!V27)&gt;0,LEFT('MiT Strom Pipeline'!V27,55),""),"")</f>
        <v>Kunde Telefon Kontaktiert und Vor Ort 
Besichtigung und</v>
      </c>
    </row>
    <row r="33" customFormat="false" ht="15.75" hidden="false" customHeight="true" outlineLevel="0" collapsed="false">
      <c r="A33" s="19" t="str">
        <f aca="false">IF('MiT Strom Pipeline'!R28="WON",IF(ISNUMBER('MiT Strom Pipeline'!A28),'MiT Strom Pipeline'!A28,""),"")</f>
        <v/>
      </c>
      <c r="B33" s="20" t="str">
        <f aca="false">IF('MiT Strom Pipeline'!R28="WON",'MiT Strom Pipeline'!B28,"")</f>
        <v/>
      </c>
      <c r="C33" s="19" t="str">
        <f aca="false">IF('MiT Strom Pipeline'!R28="WON",'MiT Strom Pipeline'!C28,"")</f>
        <v/>
      </c>
      <c r="D33" s="20" t="str">
        <f aca="false">IF('MiT Strom Pipeline'!R28="WON",'MiT Strom Pipeline'!D28,"")</f>
        <v/>
      </c>
      <c r="E33" s="20" t="str">
        <f aca="false">IF('MiT Strom Pipeline'!R28="WON",'MiT Strom Pipeline'!E28,"")</f>
        <v/>
      </c>
      <c r="F33" s="21" t="str">
        <f aca="false">IF('MiT Strom Pipeline'!R28="WON",IF(ISNUMBER('MiT Strom Pipeline'!I28),'MiT Strom Pipeline'!I28,0),"")</f>
        <v/>
      </c>
      <c r="G33" s="21" t="str">
        <f aca="false">IF('MiT Strom Pipeline'!R28="WON",IF(ISNUMBER('MiT Strom Pipeline'!Q28),'MiT Strom Pipeline'!Q28,0),"")</f>
        <v/>
      </c>
      <c r="H33" s="21" t="str">
        <f aca="false">IF('MiT Strom Pipeline'!R28="WON",IF(ISNUMBER('MiT Strom Pipeline'!O28),'MiT Strom Pipeline'!O28,0),"")</f>
        <v/>
      </c>
      <c r="I33" s="19" t="str">
        <f aca="false">IF('MiT Strom Pipeline'!R28="WON",'MiT Strom Pipeline'!R28,"")</f>
        <v/>
      </c>
      <c r="J33" s="19" t="str">
        <f aca="false">IF('MiT Strom Pipeline'!R28="WON",'MiT Strom Pipeline'!S28,"")</f>
        <v/>
      </c>
      <c r="K33" s="20" t="str">
        <f aca="false">IF('MiT Strom Pipeline'!R28="WON",IF(LEN('MiT Strom Pipeline'!V28)&gt;0,LEFT('MiT Strom Pipeline'!V28,55),""),"")</f>
        <v/>
      </c>
    </row>
    <row r="34" customFormat="false" ht="15.75" hidden="false" customHeight="true" outlineLevel="0" collapsed="false">
      <c r="A34" s="22" t="str">
        <f aca="false">IF('MiT Strom Pipeline'!R29="WON",IF(ISNUMBER('MiT Strom Pipeline'!A29),'MiT Strom Pipeline'!A29,""),"")</f>
        <v/>
      </c>
      <c r="B34" s="23" t="str">
        <f aca="false">IF('MiT Strom Pipeline'!R29="WON",'MiT Strom Pipeline'!B29,"")</f>
        <v/>
      </c>
      <c r="C34" s="22" t="str">
        <f aca="false">IF('MiT Strom Pipeline'!R29="WON",'MiT Strom Pipeline'!C29,"")</f>
        <v/>
      </c>
      <c r="D34" s="23" t="str">
        <f aca="false">IF('MiT Strom Pipeline'!R29="WON",'MiT Strom Pipeline'!D29,"")</f>
        <v/>
      </c>
      <c r="E34" s="23" t="str">
        <f aca="false">IF('MiT Strom Pipeline'!R29="WON",'MiT Strom Pipeline'!E29,"")</f>
        <v/>
      </c>
      <c r="F34" s="24" t="str">
        <f aca="false">IF('MiT Strom Pipeline'!R29="WON",IF(ISNUMBER('MiT Strom Pipeline'!I29),'MiT Strom Pipeline'!I29,0),"")</f>
        <v/>
      </c>
      <c r="G34" s="24" t="str">
        <f aca="false">IF('MiT Strom Pipeline'!R29="WON",IF(ISNUMBER('MiT Strom Pipeline'!Q29),'MiT Strom Pipeline'!Q29,0),"")</f>
        <v/>
      </c>
      <c r="H34" s="24" t="str">
        <f aca="false">IF('MiT Strom Pipeline'!R29="WON",IF(ISNUMBER('MiT Strom Pipeline'!O29),'MiT Strom Pipeline'!O29,0),"")</f>
        <v/>
      </c>
      <c r="I34" s="22" t="str">
        <f aca="false">IF('MiT Strom Pipeline'!R29="WON",'MiT Strom Pipeline'!R29,"")</f>
        <v/>
      </c>
      <c r="J34" s="22" t="str">
        <f aca="false">IF('MiT Strom Pipeline'!R29="WON",'MiT Strom Pipeline'!S29,"")</f>
        <v/>
      </c>
      <c r="K34" s="23" t="str">
        <f aca="false">IF('MiT Strom Pipeline'!R29="WON",IF(LEN('MiT Strom Pipeline'!V29)&gt;0,LEFT('MiT Strom Pipeline'!V29,55),""),"")</f>
        <v/>
      </c>
    </row>
    <row r="35" customFormat="false" ht="15.75" hidden="false" customHeight="true" outlineLevel="0" collapsed="false">
      <c r="A35" s="19" t="str">
        <f aca="false">IF('MiT Strom Pipeline'!R30="WON",IF(ISNUMBER('MiT Strom Pipeline'!A30),'MiT Strom Pipeline'!A30,""),"")</f>
        <v/>
      </c>
      <c r="B35" s="20" t="str">
        <f aca="false">IF('MiT Strom Pipeline'!R30="WON",'MiT Strom Pipeline'!B30,"")</f>
        <v/>
      </c>
      <c r="C35" s="19" t="str">
        <f aca="false">IF('MiT Strom Pipeline'!R30="WON",'MiT Strom Pipeline'!C30,"")</f>
        <v/>
      </c>
      <c r="D35" s="20" t="str">
        <f aca="false">IF('MiT Strom Pipeline'!R30="WON",'MiT Strom Pipeline'!D30,"")</f>
        <v/>
      </c>
      <c r="E35" s="20" t="str">
        <f aca="false">IF('MiT Strom Pipeline'!R30="WON",'MiT Strom Pipeline'!E30,"")</f>
        <v/>
      </c>
      <c r="F35" s="21" t="str">
        <f aca="false">IF('MiT Strom Pipeline'!R30="WON",IF(ISNUMBER('MiT Strom Pipeline'!I30),'MiT Strom Pipeline'!I30,0),"")</f>
        <v/>
      </c>
      <c r="G35" s="21" t="str">
        <f aca="false">IF('MiT Strom Pipeline'!R30="WON",IF(ISNUMBER('MiT Strom Pipeline'!Q30),'MiT Strom Pipeline'!Q30,0),"")</f>
        <v/>
      </c>
      <c r="H35" s="21" t="str">
        <f aca="false">IF('MiT Strom Pipeline'!R30="WON",IF(ISNUMBER('MiT Strom Pipeline'!O30),'MiT Strom Pipeline'!O30,0),"")</f>
        <v/>
      </c>
      <c r="I35" s="19" t="str">
        <f aca="false">IF('MiT Strom Pipeline'!R30="WON",'MiT Strom Pipeline'!R30,"")</f>
        <v/>
      </c>
      <c r="J35" s="19" t="str">
        <f aca="false">IF('MiT Strom Pipeline'!R30="WON",'MiT Strom Pipeline'!S30,"")</f>
        <v/>
      </c>
      <c r="K35" s="20" t="str">
        <f aca="false">IF('MiT Strom Pipeline'!R30="WON",IF(LEN('MiT Strom Pipeline'!V30)&gt;0,LEFT('MiT Strom Pipeline'!V30,55),""),"")</f>
        <v/>
      </c>
    </row>
    <row r="36" customFormat="false" ht="15.75" hidden="false" customHeight="true" outlineLevel="0" collapsed="false">
      <c r="A36" s="22" t="str">
        <f aca="false">IF('MiT Strom Pipeline'!R31="WON",IF(ISNUMBER('MiT Strom Pipeline'!A31),'MiT Strom Pipeline'!A31,""),"")</f>
        <v/>
      </c>
      <c r="B36" s="23" t="str">
        <f aca="false">IF('MiT Strom Pipeline'!R31="WON",'MiT Strom Pipeline'!B31,"")</f>
        <v/>
      </c>
      <c r="C36" s="22" t="str">
        <f aca="false">IF('MiT Strom Pipeline'!R31="WON",'MiT Strom Pipeline'!C31,"")</f>
        <v/>
      </c>
      <c r="D36" s="23" t="str">
        <f aca="false">IF('MiT Strom Pipeline'!R31="WON",'MiT Strom Pipeline'!D31,"")</f>
        <v/>
      </c>
      <c r="E36" s="23" t="str">
        <f aca="false">IF('MiT Strom Pipeline'!R31="WON",'MiT Strom Pipeline'!E31,"")</f>
        <v/>
      </c>
      <c r="F36" s="24" t="str">
        <f aca="false">IF('MiT Strom Pipeline'!R31="WON",IF(ISNUMBER('MiT Strom Pipeline'!I31),'MiT Strom Pipeline'!I31,0),"")</f>
        <v/>
      </c>
      <c r="G36" s="24" t="str">
        <f aca="false">IF('MiT Strom Pipeline'!R31="WON",IF(ISNUMBER('MiT Strom Pipeline'!Q31),'MiT Strom Pipeline'!Q31,0),"")</f>
        <v/>
      </c>
      <c r="H36" s="24" t="str">
        <f aca="false">IF('MiT Strom Pipeline'!R31="WON",IF(ISNUMBER('MiT Strom Pipeline'!O31),'MiT Strom Pipeline'!O31,0),"")</f>
        <v/>
      </c>
      <c r="I36" s="22" t="str">
        <f aca="false">IF('MiT Strom Pipeline'!R31="WON",'MiT Strom Pipeline'!R31,"")</f>
        <v/>
      </c>
      <c r="J36" s="22" t="str">
        <f aca="false">IF('MiT Strom Pipeline'!R31="WON",'MiT Strom Pipeline'!S31,"")</f>
        <v/>
      </c>
      <c r="K36" s="23" t="str">
        <f aca="false">IF('MiT Strom Pipeline'!R31="WON",IF(LEN('MiT Strom Pipeline'!V31)&gt;0,LEFT('MiT Strom Pipeline'!V31,55),""),"")</f>
        <v/>
      </c>
    </row>
    <row r="37" customFormat="false" ht="15.75" hidden="false" customHeight="true" outlineLevel="0" collapsed="false">
      <c r="A37" s="19" t="str">
        <f aca="false">IF('MiT Strom Pipeline'!R32="WON",IF(ISNUMBER('MiT Strom Pipeline'!A32),'MiT Strom Pipeline'!A32,""),"")</f>
        <v/>
      </c>
      <c r="B37" s="20" t="str">
        <f aca="false">IF('MiT Strom Pipeline'!R32="WON",'MiT Strom Pipeline'!B32,"")</f>
        <v/>
      </c>
      <c r="C37" s="19" t="str">
        <f aca="false">IF('MiT Strom Pipeline'!R32="WON",'MiT Strom Pipeline'!C32,"")</f>
        <v/>
      </c>
      <c r="D37" s="20" t="str">
        <f aca="false">IF('MiT Strom Pipeline'!R32="WON",'MiT Strom Pipeline'!D32,"")</f>
        <v/>
      </c>
      <c r="E37" s="20" t="str">
        <f aca="false">IF('MiT Strom Pipeline'!R32="WON",'MiT Strom Pipeline'!E32,"")</f>
        <v/>
      </c>
      <c r="F37" s="21" t="str">
        <f aca="false">IF('MiT Strom Pipeline'!R32="WON",IF(ISNUMBER('MiT Strom Pipeline'!I32),'MiT Strom Pipeline'!I32,0),"")</f>
        <v/>
      </c>
      <c r="G37" s="21" t="str">
        <f aca="false">IF('MiT Strom Pipeline'!R32="WON",IF(ISNUMBER('MiT Strom Pipeline'!Q32),'MiT Strom Pipeline'!Q32,0),"")</f>
        <v/>
      </c>
      <c r="H37" s="21" t="str">
        <f aca="false">IF('MiT Strom Pipeline'!R32="WON",IF(ISNUMBER('MiT Strom Pipeline'!O32),'MiT Strom Pipeline'!O32,0),"")</f>
        <v/>
      </c>
      <c r="I37" s="19" t="str">
        <f aca="false">IF('MiT Strom Pipeline'!R32="WON",'MiT Strom Pipeline'!R32,"")</f>
        <v/>
      </c>
      <c r="J37" s="19" t="str">
        <f aca="false">IF('MiT Strom Pipeline'!R32="WON",'MiT Strom Pipeline'!S32,"")</f>
        <v/>
      </c>
      <c r="K37" s="20" t="str">
        <f aca="false">IF('MiT Strom Pipeline'!R32="WON",IF(LEN('MiT Strom Pipeline'!V32)&gt;0,LEFT('MiT Strom Pipeline'!V32,55),""),"")</f>
        <v/>
      </c>
    </row>
    <row r="38" customFormat="false" ht="15.75" hidden="false" customHeight="true" outlineLevel="0" collapsed="false">
      <c r="A38" s="22" t="str">
        <f aca="false">IF('MiT Strom Pipeline'!R33="WON",IF(ISNUMBER('MiT Strom Pipeline'!A33),'MiT Strom Pipeline'!A33,""),"")</f>
        <v/>
      </c>
      <c r="B38" s="23" t="str">
        <f aca="false">IF('MiT Strom Pipeline'!R33="WON",'MiT Strom Pipeline'!B33,"")</f>
        <v/>
      </c>
      <c r="C38" s="22" t="str">
        <f aca="false">IF('MiT Strom Pipeline'!R33="WON",'MiT Strom Pipeline'!C33,"")</f>
        <v/>
      </c>
      <c r="D38" s="23" t="str">
        <f aca="false">IF('MiT Strom Pipeline'!R33="WON",'MiT Strom Pipeline'!D33,"")</f>
        <v/>
      </c>
      <c r="E38" s="23" t="str">
        <f aca="false">IF('MiT Strom Pipeline'!R33="WON",'MiT Strom Pipeline'!E33,"")</f>
        <v/>
      </c>
      <c r="F38" s="24" t="str">
        <f aca="false">IF('MiT Strom Pipeline'!R33="WON",IF(ISNUMBER('MiT Strom Pipeline'!I33),'MiT Strom Pipeline'!I33,0),"")</f>
        <v/>
      </c>
      <c r="G38" s="24" t="str">
        <f aca="false">IF('MiT Strom Pipeline'!R33="WON",IF(ISNUMBER('MiT Strom Pipeline'!Q33),'MiT Strom Pipeline'!Q33,0),"")</f>
        <v/>
      </c>
      <c r="H38" s="24" t="str">
        <f aca="false">IF('MiT Strom Pipeline'!R33="WON",IF(ISNUMBER('MiT Strom Pipeline'!O33),'MiT Strom Pipeline'!O33,0),"")</f>
        <v/>
      </c>
      <c r="I38" s="22" t="str">
        <f aca="false">IF('MiT Strom Pipeline'!R33="WON",'MiT Strom Pipeline'!R33,"")</f>
        <v/>
      </c>
      <c r="J38" s="22" t="str">
        <f aca="false">IF('MiT Strom Pipeline'!R33="WON",'MiT Strom Pipeline'!S33,"")</f>
        <v/>
      </c>
      <c r="K38" s="23" t="str">
        <f aca="false">IF('MiT Strom Pipeline'!R33="WON",IF(LEN('MiT Strom Pipeline'!V33)&gt;0,LEFT('MiT Strom Pipeline'!V33,55),""),"")</f>
        <v/>
      </c>
    </row>
    <row r="39" customFormat="false" ht="15.75" hidden="false" customHeight="true" outlineLevel="0" collapsed="false">
      <c r="A39" s="19" t="str">
        <f aca="false">IF('MiT Strom Pipeline'!R34="WON",IF(ISNUMBER('MiT Strom Pipeline'!A34),'MiT Strom Pipeline'!A34,""),"")</f>
        <v/>
      </c>
      <c r="B39" s="20" t="str">
        <f aca="false">IF('MiT Strom Pipeline'!R34="WON",'MiT Strom Pipeline'!B34,"")</f>
        <v/>
      </c>
      <c r="C39" s="19" t="str">
        <f aca="false">IF('MiT Strom Pipeline'!R34="WON",'MiT Strom Pipeline'!C34,"")</f>
        <v/>
      </c>
      <c r="D39" s="20" t="str">
        <f aca="false">IF('MiT Strom Pipeline'!R34="WON",'MiT Strom Pipeline'!D34,"")</f>
        <v/>
      </c>
      <c r="E39" s="20" t="str">
        <f aca="false">IF('MiT Strom Pipeline'!R34="WON",'MiT Strom Pipeline'!E34,"")</f>
        <v/>
      </c>
      <c r="F39" s="21" t="str">
        <f aca="false">IF('MiT Strom Pipeline'!R34="WON",IF(ISNUMBER('MiT Strom Pipeline'!I34),'MiT Strom Pipeline'!I34,0),"")</f>
        <v/>
      </c>
      <c r="G39" s="21" t="str">
        <f aca="false">IF('MiT Strom Pipeline'!R34="WON",IF(ISNUMBER('MiT Strom Pipeline'!Q34),'MiT Strom Pipeline'!Q34,0),"")</f>
        <v/>
      </c>
      <c r="H39" s="21" t="str">
        <f aca="false">IF('MiT Strom Pipeline'!R34="WON",IF(ISNUMBER('MiT Strom Pipeline'!O34),'MiT Strom Pipeline'!O34,0),"")</f>
        <v/>
      </c>
      <c r="I39" s="19" t="str">
        <f aca="false">IF('MiT Strom Pipeline'!R34="WON",'MiT Strom Pipeline'!R34,"")</f>
        <v/>
      </c>
      <c r="J39" s="19" t="str">
        <f aca="false">IF('MiT Strom Pipeline'!R34="WON",'MiT Strom Pipeline'!S34,"")</f>
        <v/>
      </c>
      <c r="K39" s="20" t="str">
        <f aca="false">IF('MiT Strom Pipeline'!R34="WON",IF(LEN('MiT Strom Pipeline'!V34)&gt;0,LEFT('MiT Strom Pipeline'!V34,55),""),"")</f>
        <v/>
      </c>
    </row>
    <row r="40" customFormat="false" ht="15.75" hidden="false" customHeight="true" outlineLevel="0" collapsed="false">
      <c r="A40" s="22" t="str">
        <f aca="false">IF('MiT Strom Pipeline'!R35="WON",IF(ISNUMBER('MiT Strom Pipeline'!A35),'MiT Strom Pipeline'!A35,""),"")</f>
        <v/>
      </c>
      <c r="B40" s="23" t="str">
        <f aca="false">IF('MiT Strom Pipeline'!R35="WON",'MiT Strom Pipeline'!B35,"")</f>
        <v/>
      </c>
      <c r="C40" s="22" t="str">
        <f aca="false">IF('MiT Strom Pipeline'!R35="WON",'MiT Strom Pipeline'!C35,"")</f>
        <v/>
      </c>
      <c r="D40" s="23" t="str">
        <f aca="false">IF('MiT Strom Pipeline'!R35="WON",'MiT Strom Pipeline'!D35,"")</f>
        <v/>
      </c>
      <c r="E40" s="23" t="str">
        <f aca="false">IF('MiT Strom Pipeline'!R35="WON",'MiT Strom Pipeline'!E35,"")</f>
        <v/>
      </c>
      <c r="F40" s="24" t="str">
        <f aca="false">IF('MiT Strom Pipeline'!R35="WON",IF(ISNUMBER('MiT Strom Pipeline'!I35),'MiT Strom Pipeline'!I35,0),"")</f>
        <v/>
      </c>
      <c r="G40" s="24" t="str">
        <f aca="false">IF('MiT Strom Pipeline'!R35="WON",IF(ISNUMBER('MiT Strom Pipeline'!Q35),'MiT Strom Pipeline'!Q35,0),"")</f>
        <v/>
      </c>
      <c r="H40" s="24" t="str">
        <f aca="false">IF('MiT Strom Pipeline'!R35="WON",IF(ISNUMBER('MiT Strom Pipeline'!O35),'MiT Strom Pipeline'!O35,0),"")</f>
        <v/>
      </c>
      <c r="I40" s="22" t="str">
        <f aca="false">IF('MiT Strom Pipeline'!R35="WON",'MiT Strom Pipeline'!R35,"")</f>
        <v/>
      </c>
      <c r="J40" s="22" t="str">
        <f aca="false">IF('MiT Strom Pipeline'!R35="WON",'MiT Strom Pipeline'!S35,"")</f>
        <v/>
      </c>
      <c r="K40" s="23" t="str">
        <f aca="false">IF('MiT Strom Pipeline'!R35="WON",IF(LEN('MiT Strom Pipeline'!V35)&gt;0,LEFT('MiT Strom Pipeline'!V35,55),""),"")</f>
        <v/>
      </c>
    </row>
    <row r="41" customFormat="false" ht="15.75" hidden="false" customHeight="true" outlineLevel="0" collapsed="false">
      <c r="A41" s="19" t="str">
        <f aca="false">IF('MiT Strom Pipeline'!R36="WON",IF(ISNUMBER('MiT Strom Pipeline'!A36),'MiT Strom Pipeline'!A36,""),"")</f>
        <v/>
      </c>
      <c r="B41" s="20" t="str">
        <f aca="false">IF('MiT Strom Pipeline'!R36="WON",'MiT Strom Pipeline'!B36,"")</f>
        <v/>
      </c>
      <c r="C41" s="19" t="str">
        <f aca="false">IF('MiT Strom Pipeline'!R36="WON",'MiT Strom Pipeline'!C36,"")</f>
        <v/>
      </c>
      <c r="D41" s="20" t="str">
        <f aca="false">IF('MiT Strom Pipeline'!R36="WON",'MiT Strom Pipeline'!D36,"")</f>
        <v/>
      </c>
      <c r="E41" s="20" t="str">
        <f aca="false">IF('MiT Strom Pipeline'!R36="WON",'MiT Strom Pipeline'!E36,"")</f>
        <v/>
      </c>
      <c r="F41" s="21" t="str">
        <f aca="false">IF('MiT Strom Pipeline'!R36="WON",IF(ISNUMBER('MiT Strom Pipeline'!I36),'MiT Strom Pipeline'!I36,0),"")</f>
        <v/>
      </c>
      <c r="G41" s="21" t="str">
        <f aca="false">IF('MiT Strom Pipeline'!R36="WON",IF(ISNUMBER('MiT Strom Pipeline'!Q36),'MiT Strom Pipeline'!Q36,0),"")</f>
        <v/>
      </c>
      <c r="H41" s="21" t="str">
        <f aca="false">IF('MiT Strom Pipeline'!R36="WON",IF(ISNUMBER('MiT Strom Pipeline'!O36),'MiT Strom Pipeline'!O36,0),"")</f>
        <v/>
      </c>
      <c r="I41" s="19" t="str">
        <f aca="false">IF('MiT Strom Pipeline'!R36="WON",'MiT Strom Pipeline'!R36,"")</f>
        <v/>
      </c>
      <c r="J41" s="19" t="str">
        <f aca="false">IF('MiT Strom Pipeline'!R36="WON",'MiT Strom Pipeline'!S36,"")</f>
        <v/>
      </c>
      <c r="K41" s="20" t="str">
        <f aca="false">IF('MiT Strom Pipeline'!R36="WON",IF(LEN('MiT Strom Pipeline'!V36)&gt;0,LEFT('MiT Strom Pipeline'!V36,55),""),"")</f>
        <v/>
      </c>
    </row>
    <row r="42" customFormat="false" ht="15.75" hidden="false" customHeight="true" outlineLevel="0" collapsed="false">
      <c r="A42" s="22" t="str">
        <f aca="false">IF('MiT Strom Pipeline'!R37="WON",IF(ISNUMBER('MiT Strom Pipeline'!A37),'MiT Strom Pipeline'!A37,""),"")</f>
        <v/>
      </c>
      <c r="B42" s="23" t="str">
        <f aca="false">IF('MiT Strom Pipeline'!R37="WON",'MiT Strom Pipeline'!B37,"")</f>
        <v/>
      </c>
      <c r="C42" s="22" t="str">
        <f aca="false">IF('MiT Strom Pipeline'!R37="WON",'MiT Strom Pipeline'!C37,"")</f>
        <v/>
      </c>
      <c r="D42" s="23" t="str">
        <f aca="false">IF('MiT Strom Pipeline'!R37="WON",'MiT Strom Pipeline'!D37,"")</f>
        <v/>
      </c>
      <c r="E42" s="23" t="str">
        <f aca="false">IF('MiT Strom Pipeline'!R37="WON",'MiT Strom Pipeline'!E37,"")</f>
        <v/>
      </c>
      <c r="F42" s="24" t="str">
        <f aca="false">IF('MiT Strom Pipeline'!R37="WON",IF(ISNUMBER('MiT Strom Pipeline'!I37),'MiT Strom Pipeline'!I37,0),"")</f>
        <v/>
      </c>
      <c r="G42" s="24" t="str">
        <f aca="false">IF('MiT Strom Pipeline'!R37="WON",IF(ISNUMBER('MiT Strom Pipeline'!Q37),'MiT Strom Pipeline'!Q37,0),"")</f>
        <v/>
      </c>
      <c r="H42" s="24" t="str">
        <f aca="false">IF('MiT Strom Pipeline'!R37="WON",IF(ISNUMBER('MiT Strom Pipeline'!O37),'MiT Strom Pipeline'!O37,0),"")</f>
        <v/>
      </c>
      <c r="I42" s="22" t="str">
        <f aca="false">IF('MiT Strom Pipeline'!R37="WON",'MiT Strom Pipeline'!R37,"")</f>
        <v/>
      </c>
      <c r="J42" s="22" t="str">
        <f aca="false">IF('MiT Strom Pipeline'!R37="WON",'MiT Strom Pipeline'!S37,"")</f>
        <v/>
      </c>
      <c r="K42" s="23" t="str">
        <f aca="false">IF('MiT Strom Pipeline'!R37="WON",IF(LEN('MiT Strom Pipeline'!V37)&gt;0,LEFT('MiT Strom Pipeline'!V37,55),""),"")</f>
        <v/>
      </c>
    </row>
    <row r="43" customFormat="false" ht="15.75" hidden="false" customHeight="true" outlineLevel="0" collapsed="false">
      <c r="A43" s="19" t="str">
        <f aca="false">IF('MiT Strom Pipeline'!R38="WON",IF(ISNUMBER('MiT Strom Pipeline'!A38),'MiT Strom Pipeline'!A38,""),"")</f>
        <v/>
      </c>
      <c r="B43" s="20" t="str">
        <f aca="false">IF('MiT Strom Pipeline'!R38="WON",'MiT Strom Pipeline'!B38,"")</f>
        <v/>
      </c>
      <c r="C43" s="19" t="str">
        <f aca="false">IF('MiT Strom Pipeline'!R38="WON",'MiT Strom Pipeline'!C38,"")</f>
        <v/>
      </c>
      <c r="D43" s="20" t="str">
        <f aca="false">IF('MiT Strom Pipeline'!R38="WON",'MiT Strom Pipeline'!D38,"")</f>
        <v/>
      </c>
      <c r="E43" s="20" t="str">
        <f aca="false">IF('MiT Strom Pipeline'!R38="WON",'MiT Strom Pipeline'!E38,"")</f>
        <v/>
      </c>
      <c r="F43" s="21" t="str">
        <f aca="false">IF('MiT Strom Pipeline'!R38="WON",IF(ISNUMBER('MiT Strom Pipeline'!I38),'MiT Strom Pipeline'!I38,0),"")</f>
        <v/>
      </c>
      <c r="G43" s="21" t="str">
        <f aca="false">IF('MiT Strom Pipeline'!R38="WON",IF(ISNUMBER('MiT Strom Pipeline'!Q38),'MiT Strom Pipeline'!Q38,0),"")</f>
        <v/>
      </c>
      <c r="H43" s="21" t="str">
        <f aca="false">IF('MiT Strom Pipeline'!R38="WON",IF(ISNUMBER('MiT Strom Pipeline'!O38),'MiT Strom Pipeline'!O38,0),"")</f>
        <v/>
      </c>
      <c r="I43" s="19" t="str">
        <f aca="false">IF('MiT Strom Pipeline'!R38="WON",'MiT Strom Pipeline'!R38,"")</f>
        <v/>
      </c>
      <c r="J43" s="19" t="str">
        <f aca="false">IF('MiT Strom Pipeline'!R38="WON",'MiT Strom Pipeline'!S38,"")</f>
        <v/>
      </c>
      <c r="K43" s="20" t="str">
        <f aca="false">IF('MiT Strom Pipeline'!R38="WON",IF(LEN('MiT Strom Pipeline'!V38)&gt;0,LEFT('MiT Strom Pipeline'!V38,55),""),"")</f>
        <v/>
      </c>
    </row>
    <row r="44" customFormat="false" ht="15.75" hidden="false" customHeight="true" outlineLevel="0" collapsed="false">
      <c r="A44" s="22" t="str">
        <f aca="false">IF('MiT Strom Pipeline'!R39="WON",IF(ISNUMBER('MiT Strom Pipeline'!A39),'MiT Strom Pipeline'!A39,""),"")</f>
        <v/>
      </c>
      <c r="B44" s="23" t="str">
        <f aca="false">IF('MiT Strom Pipeline'!R39="WON",'MiT Strom Pipeline'!B39,"")</f>
        <v/>
      </c>
      <c r="C44" s="22" t="str">
        <f aca="false">IF('MiT Strom Pipeline'!R39="WON",'MiT Strom Pipeline'!C39,"")</f>
        <v/>
      </c>
      <c r="D44" s="23" t="str">
        <f aca="false">IF('MiT Strom Pipeline'!R39="WON",'MiT Strom Pipeline'!D39,"")</f>
        <v/>
      </c>
      <c r="E44" s="23" t="str">
        <f aca="false">IF('MiT Strom Pipeline'!R39="WON",'MiT Strom Pipeline'!E39,"")</f>
        <v/>
      </c>
      <c r="F44" s="24" t="str">
        <f aca="false">IF('MiT Strom Pipeline'!R39="WON",IF(ISNUMBER('MiT Strom Pipeline'!I39),'MiT Strom Pipeline'!I39,0),"")</f>
        <v/>
      </c>
      <c r="G44" s="24" t="str">
        <f aca="false">IF('MiT Strom Pipeline'!R39="WON",IF(ISNUMBER('MiT Strom Pipeline'!Q39),'MiT Strom Pipeline'!Q39,0),"")</f>
        <v/>
      </c>
      <c r="H44" s="24" t="str">
        <f aca="false">IF('MiT Strom Pipeline'!R39="WON",IF(ISNUMBER('MiT Strom Pipeline'!O39),'MiT Strom Pipeline'!O39,0),"")</f>
        <v/>
      </c>
      <c r="I44" s="22" t="str">
        <f aca="false">IF('MiT Strom Pipeline'!R39="WON",'MiT Strom Pipeline'!R39,"")</f>
        <v/>
      </c>
      <c r="J44" s="22" t="str">
        <f aca="false">IF('MiT Strom Pipeline'!R39="WON",'MiT Strom Pipeline'!S39,"")</f>
        <v/>
      </c>
      <c r="K44" s="23" t="str">
        <f aca="false">IF('MiT Strom Pipeline'!R39="WON",IF(LEN('MiT Strom Pipeline'!V39)&gt;0,LEFT('MiT Strom Pipeline'!V39,55),""),"")</f>
        <v/>
      </c>
    </row>
    <row r="45" customFormat="false" ht="15.75" hidden="false" customHeight="true" outlineLevel="0" collapsed="false">
      <c r="A45" s="19" t="str">
        <f aca="false">IF('MiT Strom Pipeline'!R40="WON",IF(ISNUMBER('MiT Strom Pipeline'!A40),'MiT Strom Pipeline'!A40,""),"")</f>
        <v/>
      </c>
      <c r="B45" s="20" t="str">
        <f aca="false">IF('MiT Strom Pipeline'!R40="WON",'MiT Strom Pipeline'!B40,"")</f>
        <v/>
      </c>
      <c r="C45" s="19" t="str">
        <f aca="false">IF('MiT Strom Pipeline'!R40="WON",'MiT Strom Pipeline'!C40,"")</f>
        <v/>
      </c>
      <c r="D45" s="20" t="str">
        <f aca="false">IF('MiT Strom Pipeline'!R40="WON",'MiT Strom Pipeline'!D40,"")</f>
        <v/>
      </c>
      <c r="E45" s="20" t="str">
        <f aca="false">IF('MiT Strom Pipeline'!R40="WON",'MiT Strom Pipeline'!E40,"")</f>
        <v/>
      </c>
      <c r="F45" s="21" t="str">
        <f aca="false">IF('MiT Strom Pipeline'!R40="WON",IF(ISNUMBER('MiT Strom Pipeline'!I40),'MiT Strom Pipeline'!I40,0),"")</f>
        <v/>
      </c>
      <c r="G45" s="21" t="str">
        <f aca="false">IF('MiT Strom Pipeline'!R40="WON",IF(ISNUMBER('MiT Strom Pipeline'!Q40),'MiT Strom Pipeline'!Q40,0),"")</f>
        <v/>
      </c>
      <c r="H45" s="21" t="str">
        <f aca="false">IF('MiT Strom Pipeline'!R40="WON",IF(ISNUMBER('MiT Strom Pipeline'!O40),'MiT Strom Pipeline'!O40,0),"")</f>
        <v/>
      </c>
      <c r="I45" s="19" t="str">
        <f aca="false">IF('MiT Strom Pipeline'!R40="WON",'MiT Strom Pipeline'!R40,"")</f>
        <v/>
      </c>
      <c r="J45" s="19" t="str">
        <f aca="false">IF('MiT Strom Pipeline'!R40="WON",'MiT Strom Pipeline'!S40,"")</f>
        <v/>
      </c>
      <c r="K45" s="20" t="str">
        <f aca="false">IF('MiT Strom Pipeline'!R40="WON",IF(LEN('MiT Strom Pipeline'!V40)&gt;0,LEFT('MiT Strom Pipeline'!V40,55),""),"")</f>
        <v/>
      </c>
    </row>
    <row r="46" customFormat="false" ht="15.75" hidden="false" customHeight="true" outlineLevel="0" collapsed="false">
      <c r="A46" s="22" t="str">
        <f aca="false">IF('MiT Strom Pipeline'!R41="WON",IF(ISNUMBER('MiT Strom Pipeline'!A41),'MiT Strom Pipeline'!A41,""),"")</f>
        <v/>
      </c>
      <c r="B46" s="23" t="str">
        <f aca="false">IF('MiT Strom Pipeline'!R41="WON",'MiT Strom Pipeline'!B41,"")</f>
        <v/>
      </c>
      <c r="C46" s="22" t="str">
        <f aca="false">IF('MiT Strom Pipeline'!R41="WON",'MiT Strom Pipeline'!C41,"")</f>
        <v/>
      </c>
      <c r="D46" s="23" t="str">
        <f aca="false">IF('MiT Strom Pipeline'!R41="WON",'MiT Strom Pipeline'!D41,"")</f>
        <v/>
      </c>
      <c r="E46" s="23" t="str">
        <f aca="false">IF('MiT Strom Pipeline'!R41="WON",'MiT Strom Pipeline'!E41,"")</f>
        <v/>
      </c>
      <c r="F46" s="24" t="str">
        <f aca="false">IF('MiT Strom Pipeline'!R41="WON",IF(ISNUMBER('MiT Strom Pipeline'!I41),'MiT Strom Pipeline'!I41,0),"")</f>
        <v/>
      </c>
      <c r="G46" s="24" t="str">
        <f aca="false">IF('MiT Strom Pipeline'!R41="WON",IF(ISNUMBER('MiT Strom Pipeline'!Q41),'MiT Strom Pipeline'!Q41,0),"")</f>
        <v/>
      </c>
      <c r="H46" s="24" t="str">
        <f aca="false">IF('MiT Strom Pipeline'!R41="WON",IF(ISNUMBER('MiT Strom Pipeline'!O41),'MiT Strom Pipeline'!O41,0),"")</f>
        <v/>
      </c>
      <c r="I46" s="22" t="str">
        <f aca="false">IF('MiT Strom Pipeline'!R41="WON",'MiT Strom Pipeline'!R41,"")</f>
        <v/>
      </c>
      <c r="J46" s="22" t="str">
        <f aca="false">IF('MiT Strom Pipeline'!R41="WON",'MiT Strom Pipeline'!S41,"")</f>
        <v/>
      </c>
      <c r="K46" s="23" t="str">
        <f aca="false">IF('MiT Strom Pipeline'!R41="WON",IF(LEN('MiT Strom Pipeline'!V41)&gt;0,LEFT('MiT Strom Pipeline'!V41,55),""),"")</f>
        <v/>
      </c>
    </row>
    <row r="47" customFormat="false" ht="15.75" hidden="false" customHeight="true" outlineLevel="0" collapsed="false">
      <c r="A47" s="19" t="str">
        <f aca="false">IF('MiT Strom Pipeline'!R42="WON",IF(ISNUMBER('MiT Strom Pipeline'!A42),'MiT Strom Pipeline'!A42,""),"")</f>
        <v/>
      </c>
      <c r="B47" s="20" t="str">
        <f aca="false">IF('MiT Strom Pipeline'!R42="WON",'MiT Strom Pipeline'!B42,"")</f>
        <v/>
      </c>
      <c r="C47" s="19" t="str">
        <f aca="false">IF('MiT Strom Pipeline'!R42="WON",'MiT Strom Pipeline'!C42,"")</f>
        <v/>
      </c>
      <c r="D47" s="20" t="str">
        <f aca="false">IF('MiT Strom Pipeline'!R42="WON",'MiT Strom Pipeline'!D42,"")</f>
        <v/>
      </c>
      <c r="E47" s="20" t="str">
        <f aca="false">IF('MiT Strom Pipeline'!R42="WON",'MiT Strom Pipeline'!E42,"")</f>
        <v/>
      </c>
      <c r="F47" s="21" t="str">
        <f aca="false">IF('MiT Strom Pipeline'!R42="WON",IF(ISNUMBER('MiT Strom Pipeline'!I42),'MiT Strom Pipeline'!I42,0),"")</f>
        <v/>
      </c>
      <c r="G47" s="21" t="str">
        <f aca="false">IF('MiT Strom Pipeline'!R42="WON",IF(ISNUMBER('MiT Strom Pipeline'!Q42),'MiT Strom Pipeline'!Q42,0),"")</f>
        <v/>
      </c>
      <c r="H47" s="21" t="str">
        <f aca="false">IF('MiT Strom Pipeline'!R42="WON",IF(ISNUMBER('MiT Strom Pipeline'!O42),'MiT Strom Pipeline'!O42,0),"")</f>
        <v/>
      </c>
      <c r="I47" s="19" t="str">
        <f aca="false">IF('MiT Strom Pipeline'!R42="WON",'MiT Strom Pipeline'!R42,"")</f>
        <v/>
      </c>
      <c r="J47" s="19" t="str">
        <f aca="false">IF('MiT Strom Pipeline'!R42="WON",'MiT Strom Pipeline'!S42,"")</f>
        <v/>
      </c>
      <c r="K47" s="20" t="str">
        <f aca="false">IF('MiT Strom Pipeline'!R42="WON",IF(LEN('MiT Strom Pipeline'!V42)&gt;0,LEFT('MiT Strom Pipeline'!V42,55),""),"")</f>
        <v/>
      </c>
    </row>
    <row r="48" customFormat="false" ht="15.75" hidden="false" customHeight="true" outlineLevel="0" collapsed="false">
      <c r="A48" s="22" t="str">
        <f aca="false">IF('MiT Strom Pipeline'!R43="WON",IF(ISNUMBER('MiT Strom Pipeline'!A43),'MiT Strom Pipeline'!A43,""),"")</f>
        <v/>
      </c>
      <c r="B48" s="23" t="str">
        <f aca="false">IF('MiT Strom Pipeline'!R43="WON",'MiT Strom Pipeline'!B43,"")</f>
        <v/>
      </c>
      <c r="C48" s="22" t="str">
        <f aca="false">IF('MiT Strom Pipeline'!R43="WON",'MiT Strom Pipeline'!C43,"")</f>
        <v/>
      </c>
      <c r="D48" s="23" t="str">
        <f aca="false">IF('MiT Strom Pipeline'!R43="WON",'MiT Strom Pipeline'!D43,"")</f>
        <v/>
      </c>
      <c r="E48" s="23" t="str">
        <f aca="false">IF('MiT Strom Pipeline'!R43="WON",'MiT Strom Pipeline'!E43,"")</f>
        <v/>
      </c>
      <c r="F48" s="24" t="str">
        <f aca="false">IF('MiT Strom Pipeline'!R43="WON",IF(ISNUMBER('MiT Strom Pipeline'!I43),'MiT Strom Pipeline'!I43,0),"")</f>
        <v/>
      </c>
      <c r="G48" s="24" t="str">
        <f aca="false">IF('MiT Strom Pipeline'!R43="WON",IF(ISNUMBER('MiT Strom Pipeline'!Q43),'MiT Strom Pipeline'!Q43,0),"")</f>
        <v/>
      </c>
      <c r="H48" s="24" t="str">
        <f aca="false">IF('MiT Strom Pipeline'!R43="WON",IF(ISNUMBER('MiT Strom Pipeline'!O43),'MiT Strom Pipeline'!O43,0),"")</f>
        <v/>
      </c>
      <c r="I48" s="22" t="str">
        <f aca="false">IF('MiT Strom Pipeline'!R43="WON",'MiT Strom Pipeline'!R43,"")</f>
        <v/>
      </c>
      <c r="J48" s="22" t="str">
        <f aca="false">IF('MiT Strom Pipeline'!R43="WON",'MiT Strom Pipeline'!S43,"")</f>
        <v/>
      </c>
      <c r="K48" s="23" t="str">
        <f aca="false">IF('MiT Strom Pipeline'!R43="WON",IF(LEN('MiT Strom Pipeline'!V43)&gt;0,LEFT('MiT Strom Pipeline'!V43,55),""),"")</f>
        <v/>
      </c>
    </row>
    <row r="49" customFormat="false" ht="15.75" hidden="false" customHeight="true" outlineLevel="0" collapsed="false">
      <c r="A49" s="19" t="str">
        <f aca="false">IF('MiT Strom Pipeline'!R44="WON",IF(ISNUMBER('MiT Strom Pipeline'!A44),'MiT Strom Pipeline'!A44,""),"")</f>
        <v/>
      </c>
      <c r="B49" s="20" t="str">
        <f aca="false">IF('MiT Strom Pipeline'!R44="WON",'MiT Strom Pipeline'!B44,"")</f>
        <v/>
      </c>
      <c r="C49" s="19" t="str">
        <f aca="false">IF('MiT Strom Pipeline'!R44="WON",'MiT Strom Pipeline'!C44,"")</f>
        <v/>
      </c>
      <c r="D49" s="20" t="str">
        <f aca="false">IF('MiT Strom Pipeline'!R44="WON",'MiT Strom Pipeline'!D44,"")</f>
        <v/>
      </c>
      <c r="E49" s="20" t="str">
        <f aca="false">IF('MiT Strom Pipeline'!R44="WON",'MiT Strom Pipeline'!E44,"")</f>
        <v/>
      </c>
      <c r="F49" s="21" t="str">
        <f aca="false">IF('MiT Strom Pipeline'!R44="WON",IF(ISNUMBER('MiT Strom Pipeline'!I44),'MiT Strom Pipeline'!I44,0),"")</f>
        <v/>
      </c>
      <c r="G49" s="21" t="str">
        <f aca="false">IF('MiT Strom Pipeline'!R44="WON",IF(ISNUMBER('MiT Strom Pipeline'!Q44),'MiT Strom Pipeline'!Q44,0),"")</f>
        <v/>
      </c>
      <c r="H49" s="21" t="str">
        <f aca="false">IF('MiT Strom Pipeline'!R44="WON",IF(ISNUMBER('MiT Strom Pipeline'!O44),'MiT Strom Pipeline'!O44,0),"")</f>
        <v/>
      </c>
      <c r="I49" s="19" t="str">
        <f aca="false">IF('MiT Strom Pipeline'!R44="WON",'MiT Strom Pipeline'!R44,"")</f>
        <v/>
      </c>
      <c r="J49" s="19" t="str">
        <f aca="false">IF('MiT Strom Pipeline'!R44="WON",'MiT Strom Pipeline'!S44,"")</f>
        <v/>
      </c>
      <c r="K49" s="20" t="str">
        <f aca="false">IF('MiT Strom Pipeline'!R44="WON",IF(LEN('MiT Strom Pipeline'!V44)&gt;0,LEFT('MiT Strom Pipeline'!V44,55),""),"")</f>
        <v/>
      </c>
    </row>
    <row r="50" customFormat="false" ht="15.75" hidden="false" customHeight="true" outlineLevel="0" collapsed="false">
      <c r="A50" s="22" t="str">
        <f aca="false">IF('MiT Strom Pipeline'!R45="WON",IF(ISNUMBER('MiT Strom Pipeline'!A45),'MiT Strom Pipeline'!A45,""),"")</f>
        <v/>
      </c>
      <c r="B50" s="23" t="str">
        <f aca="false">IF('MiT Strom Pipeline'!R45="WON",'MiT Strom Pipeline'!B45,"")</f>
        <v/>
      </c>
      <c r="C50" s="22" t="str">
        <f aca="false">IF('MiT Strom Pipeline'!R45="WON",'MiT Strom Pipeline'!C45,"")</f>
        <v/>
      </c>
      <c r="D50" s="23" t="str">
        <f aca="false">IF('MiT Strom Pipeline'!R45="WON",'MiT Strom Pipeline'!D45,"")</f>
        <v/>
      </c>
      <c r="E50" s="23" t="str">
        <f aca="false">IF('MiT Strom Pipeline'!R45="WON",'MiT Strom Pipeline'!E45,"")</f>
        <v/>
      </c>
      <c r="F50" s="24" t="str">
        <f aca="false">IF('MiT Strom Pipeline'!R45="WON",IF(ISNUMBER('MiT Strom Pipeline'!I45),'MiT Strom Pipeline'!I45,0),"")</f>
        <v/>
      </c>
      <c r="G50" s="24" t="str">
        <f aca="false">IF('MiT Strom Pipeline'!R45="WON",IF(ISNUMBER('MiT Strom Pipeline'!Q45),'MiT Strom Pipeline'!Q45,0),"")</f>
        <v/>
      </c>
      <c r="H50" s="24" t="str">
        <f aca="false">IF('MiT Strom Pipeline'!R45="WON",IF(ISNUMBER('MiT Strom Pipeline'!O45),'MiT Strom Pipeline'!O45,0),"")</f>
        <v/>
      </c>
      <c r="I50" s="22" t="str">
        <f aca="false">IF('MiT Strom Pipeline'!R45="WON",'MiT Strom Pipeline'!R45,"")</f>
        <v/>
      </c>
      <c r="J50" s="22" t="str">
        <f aca="false">IF('MiT Strom Pipeline'!R45="WON",'MiT Strom Pipeline'!S45,"")</f>
        <v/>
      </c>
      <c r="K50" s="23" t="str">
        <f aca="false">IF('MiT Strom Pipeline'!R45="WON",IF(LEN('MiT Strom Pipeline'!V45)&gt;0,LEFT('MiT Strom Pipeline'!V45,55),""),"")</f>
        <v/>
      </c>
    </row>
    <row r="51" customFormat="false" ht="15.75" hidden="false" customHeight="true" outlineLevel="0" collapsed="false">
      <c r="A51" s="19" t="str">
        <f aca="false">IF('MiT Strom Pipeline'!R46="WON",IF(ISNUMBER('MiT Strom Pipeline'!A46),'MiT Strom Pipeline'!A46,""),"")</f>
        <v/>
      </c>
      <c r="B51" s="20" t="str">
        <f aca="false">IF('MiT Strom Pipeline'!R46="WON",'MiT Strom Pipeline'!B46,"")</f>
        <v/>
      </c>
      <c r="C51" s="19" t="str">
        <f aca="false">IF('MiT Strom Pipeline'!R46="WON",'MiT Strom Pipeline'!C46,"")</f>
        <v/>
      </c>
      <c r="D51" s="20" t="str">
        <f aca="false">IF('MiT Strom Pipeline'!R46="WON",'MiT Strom Pipeline'!D46,"")</f>
        <v/>
      </c>
      <c r="E51" s="20" t="str">
        <f aca="false">IF('MiT Strom Pipeline'!R46="WON",'MiT Strom Pipeline'!E46,"")</f>
        <v/>
      </c>
      <c r="F51" s="21" t="str">
        <f aca="false">IF('MiT Strom Pipeline'!R46="WON",IF(ISNUMBER('MiT Strom Pipeline'!I46),'MiT Strom Pipeline'!I46,0),"")</f>
        <v/>
      </c>
      <c r="G51" s="21" t="str">
        <f aca="false">IF('MiT Strom Pipeline'!R46="WON",IF(ISNUMBER('MiT Strom Pipeline'!Q46),'MiT Strom Pipeline'!Q46,0),"")</f>
        <v/>
      </c>
      <c r="H51" s="21" t="str">
        <f aca="false">IF('MiT Strom Pipeline'!R46="WON",IF(ISNUMBER('MiT Strom Pipeline'!O46),'MiT Strom Pipeline'!O46,0),"")</f>
        <v/>
      </c>
      <c r="I51" s="19" t="str">
        <f aca="false">IF('MiT Strom Pipeline'!R46="WON",'MiT Strom Pipeline'!R46,"")</f>
        <v/>
      </c>
      <c r="J51" s="19" t="str">
        <f aca="false">IF('MiT Strom Pipeline'!R46="WON",'MiT Strom Pipeline'!S46,"")</f>
        <v/>
      </c>
      <c r="K51" s="20" t="str">
        <f aca="false">IF('MiT Strom Pipeline'!R46="WON",IF(LEN('MiT Strom Pipeline'!V46)&gt;0,LEFT('MiT Strom Pipeline'!V46,55),""),"")</f>
        <v/>
      </c>
    </row>
    <row r="52" customFormat="false" ht="15.75" hidden="false" customHeight="true" outlineLevel="0" collapsed="false">
      <c r="A52" s="22" t="str">
        <f aca="false">IF('MiT Strom Pipeline'!R47="WON",IF(ISNUMBER('MiT Strom Pipeline'!A47),'MiT Strom Pipeline'!A47,""),"")</f>
        <v/>
      </c>
      <c r="B52" s="23" t="str">
        <f aca="false">IF('MiT Strom Pipeline'!R47="WON",'MiT Strom Pipeline'!B47,"")</f>
        <v/>
      </c>
      <c r="C52" s="22" t="str">
        <f aca="false">IF('MiT Strom Pipeline'!R47="WON",'MiT Strom Pipeline'!C47,"")</f>
        <v/>
      </c>
      <c r="D52" s="23" t="str">
        <f aca="false">IF('MiT Strom Pipeline'!R47="WON",'MiT Strom Pipeline'!D47,"")</f>
        <v/>
      </c>
      <c r="E52" s="23" t="str">
        <f aca="false">IF('MiT Strom Pipeline'!R47="WON",'MiT Strom Pipeline'!E47,"")</f>
        <v/>
      </c>
      <c r="F52" s="24" t="str">
        <f aca="false">IF('MiT Strom Pipeline'!R47="WON",IF(ISNUMBER('MiT Strom Pipeline'!I47),'MiT Strom Pipeline'!I47,0),"")</f>
        <v/>
      </c>
      <c r="G52" s="24" t="str">
        <f aca="false">IF('MiT Strom Pipeline'!R47="WON",IF(ISNUMBER('MiT Strom Pipeline'!Q47),'MiT Strom Pipeline'!Q47,0),"")</f>
        <v/>
      </c>
      <c r="H52" s="24" t="str">
        <f aca="false">IF('MiT Strom Pipeline'!R47="WON",IF(ISNUMBER('MiT Strom Pipeline'!O47),'MiT Strom Pipeline'!O47,0),"")</f>
        <v/>
      </c>
      <c r="I52" s="22" t="str">
        <f aca="false">IF('MiT Strom Pipeline'!R47="WON",'MiT Strom Pipeline'!R47,"")</f>
        <v/>
      </c>
      <c r="J52" s="22" t="str">
        <f aca="false">IF('MiT Strom Pipeline'!R47="WON",'MiT Strom Pipeline'!S47,"")</f>
        <v/>
      </c>
      <c r="K52" s="23" t="str">
        <f aca="false">IF('MiT Strom Pipeline'!R47="WON",IF(LEN('MiT Strom Pipeline'!V47)&gt;0,LEFT('MiT Strom Pipeline'!V47,55),""),"")</f>
        <v/>
      </c>
    </row>
    <row r="53" customFormat="false" ht="15.75" hidden="false" customHeight="true" outlineLevel="0" collapsed="false">
      <c r="A53" s="19" t="str">
        <f aca="false">IF('MiT Strom Pipeline'!R48="WON",IF(ISNUMBER('MiT Strom Pipeline'!A48),'MiT Strom Pipeline'!A48,""),"")</f>
        <v/>
      </c>
      <c r="B53" s="20" t="str">
        <f aca="false">IF('MiT Strom Pipeline'!R48="WON",'MiT Strom Pipeline'!B48,"")</f>
        <v/>
      </c>
      <c r="C53" s="19" t="str">
        <f aca="false">IF('MiT Strom Pipeline'!R48="WON",'MiT Strom Pipeline'!C48,"")</f>
        <v/>
      </c>
      <c r="D53" s="20" t="str">
        <f aca="false">IF('MiT Strom Pipeline'!R48="WON",'MiT Strom Pipeline'!D48,"")</f>
        <v/>
      </c>
      <c r="E53" s="20" t="str">
        <f aca="false">IF('MiT Strom Pipeline'!R48="WON",'MiT Strom Pipeline'!E48,"")</f>
        <v/>
      </c>
      <c r="F53" s="21" t="str">
        <f aca="false">IF('MiT Strom Pipeline'!R48="WON",IF(ISNUMBER('MiT Strom Pipeline'!I48),'MiT Strom Pipeline'!I48,0),"")</f>
        <v/>
      </c>
      <c r="G53" s="21" t="str">
        <f aca="false">IF('MiT Strom Pipeline'!R48="WON",IF(ISNUMBER('MiT Strom Pipeline'!Q48),'MiT Strom Pipeline'!Q48,0),"")</f>
        <v/>
      </c>
      <c r="H53" s="21" t="str">
        <f aca="false">IF('MiT Strom Pipeline'!R48="WON",IF(ISNUMBER('MiT Strom Pipeline'!O48),'MiT Strom Pipeline'!O48,0),"")</f>
        <v/>
      </c>
      <c r="I53" s="19" t="str">
        <f aca="false">IF('MiT Strom Pipeline'!R48="WON",'MiT Strom Pipeline'!R48,"")</f>
        <v/>
      </c>
      <c r="J53" s="19" t="str">
        <f aca="false">IF('MiT Strom Pipeline'!R48="WON",'MiT Strom Pipeline'!S48,"")</f>
        <v/>
      </c>
      <c r="K53" s="20" t="str">
        <f aca="false">IF('MiT Strom Pipeline'!R48="WON",IF(LEN('MiT Strom Pipeline'!V48)&gt;0,LEFT('MiT Strom Pipeline'!V48,55),""),"")</f>
        <v/>
      </c>
    </row>
    <row r="54" customFormat="false" ht="15.75" hidden="false" customHeight="true" outlineLevel="0" collapsed="false">
      <c r="A54" s="22" t="str">
        <f aca="false">IF('MiT Strom Pipeline'!R49="WON",IF(ISNUMBER('MiT Strom Pipeline'!A49),'MiT Strom Pipeline'!A49,""),"")</f>
        <v/>
      </c>
      <c r="B54" s="23" t="str">
        <f aca="false">IF('MiT Strom Pipeline'!R49="WON",'MiT Strom Pipeline'!B49,"")</f>
        <v/>
      </c>
      <c r="C54" s="22" t="str">
        <f aca="false">IF('MiT Strom Pipeline'!R49="WON",'MiT Strom Pipeline'!C49,"")</f>
        <v/>
      </c>
      <c r="D54" s="23" t="str">
        <f aca="false">IF('MiT Strom Pipeline'!R49="WON",'MiT Strom Pipeline'!D49,"")</f>
        <v/>
      </c>
      <c r="E54" s="23" t="str">
        <f aca="false">IF('MiT Strom Pipeline'!R49="WON",'MiT Strom Pipeline'!E49,"")</f>
        <v/>
      </c>
      <c r="F54" s="24" t="str">
        <f aca="false">IF('MiT Strom Pipeline'!R49="WON",IF(ISNUMBER('MiT Strom Pipeline'!I49),'MiT Strom Pipeline'!I49,0),"")</f>
        <v/>
      </c>
      <c r="G54" s="24" t="str">
        <f aca="false">IF('MiT Strom Pipeline'!R49="WON",IF(ISNUMBER('MiT Strom Pipeline'!Q49),'MiT Strom Pipeline'!Q49,0),"")</f>
        <v/>
      </c>
      <c r="H54" s="24" t="str">
        <f aca="false">IF('MiT Strom Pipeline'!R49="WON",IF(ISNUMBER('MiT Strom Pipeline'!O49),'MiT Strom Pipeline'!O49,0),"")</f>
        <v/>
      </c>
      <c r="I54" s="22" t="str">
        <f aca="false">IF('MiT Strom Pipeline'!R49="WON",'MiT Strom Pipeline'!R49,"")</f>
        <v/>
      </c>
      <c r="J54" s="22" t="str">
        <f aca="false">IF('MiT Strom Pipeline'!R49="WON",'MiT Strom Pipeline'!S49,"")</f>
        <v/>
      </c>
      <c r="K54" s="23" t="str">
        <f aca="false">IF('MiT Strom Pipeline'!R49="WON",IF(LEN('MiT Strom Pipeline'!V49)&gt;0,LEFT('MiT Strom Pipeline'!V49,55),""),"")</f>
        <v/>
      </c>
    </row>
    <row r="55" customFormat="false" ht="15.75" hidden="false" customHeight="true" outlineLevel="0" collapsed="false">
      <c r="A55" s="19" t="str">
        <f aca="false">IF('MiT Strom Pipeline'!R50="WON",IF(ISNUMBER('MiT Strom Pipeline'!A50),'MiT Strom Pipeline'!A50,""),"")</f>
        <v/>
      </c>
      <c r="B55" s="20" t="str">
        <f aca="false">IF('MiT Strom Pipeline'!R50="WON",'MiT Strom Pipeline'!B50,"")</f>
        <v/>
      </c>
      <c r="C55" s="19" t="str">
        <f aca="false">IF('MiT Strom Pipeline'!R50="WON",'MiT Strom Pipeline'!C50,"")</f>
        <v/>
      </c>
      <c r="D55" s="20" t="str">
        <f aca="false">IF('MiT Strom Pipeline'!R50="WON",'MiT Strom Pipeline'!D50,"")</f>
        <v/>
      </c>
      <c r="E55" s="20" t="str">
        <f aca="false">IF('MiT Strom Pipeline'!R50="WON",'MiT Strom Pipeline'!E50,"")</f>
        <v/>
      </c>
      <c r="F55" s="21" t="str">
        <f aca="false">IF('MiT Strom Pipeline'!R50="WON",IF(ISNUMBER('MiT Strom Pipeline'!I50),'MiT Strom Pipeline'!I50,0),"")</f>
        <v/>
      </c>
      <c r="G55" s="21" t="str">
        <f aca="false">IF('MiT Strom Pipeline'!R50="WON",IF(ISNUMBER('MiT Strom Pipeline'!Q50),'MiT Strom Pipeline'!Q50,0),"")</f>
        <v/>
      </c>
      <c r="H55" s="21" t="str">
        <f aca="false">IF('MiT Strom Pipeline'!R50="WON",IF(ISNUMBER('MiT Strom Pipeline'!O50),'MiT Strom Pipeline'!O50,0),"")</f>
        <v/>
      </c>
      <c r="I55" s="19" t="str">
        <f aca="false">IF('MiT Strom Pipeline'!R50="WON",'MiT Strom Pipeline'!R50,"")</f>
        <v/>
      </c>
      <c r="J55" s="19" t="str">
        <f aca="false">IF('MiT Strom Pipeline'!R50="WON",'MiT Strom Pipeline'!S50,"")</f>
        <v/>
      </c>
      <c r="K55" s="20" t="str">
        <f aca="false">IF('MiT Strom Pipeline'!R50="WON",IF(LEN('MiT Strom Pipeline'!V50)&gt;0,LEFT('MiT Strom Pipeline'!V50,55),""),"")</f>
        <v/>
      </c>
    </row>
    <row r="56" customFormat="false" ht="15.75" hidden="false" customHeight="true" outlineLevel="0" collapsed="false">
      <c r="A56" s="22" t="str">
        <f aca="false">IF('MiT Strom Pipeline'!R51="WON",IF(ISNUMBER('MiT Strom Pipeline'!A51),'MiT Strom Pipeline'!A51,""),"")</f>
        <v/>
      </c>
      <c r="B56" s="23" t="str">
        <f aca="false">IF('MiT Strom Pipeline'!R51="WON",'MiT Strom Pipeline'!B51,"")</f>
        <v/>
      </c>
      <c r="C56" s="22" t="str">
        <f aca="false">IF('MiT Strom Pipeline'!R51="WON",'MiT Strom Pipeline'!C51,"")</f>
        <v/>
      </c>
      <c r="D56" s="23" t="str">
        <f aca="false">IF('MiT Strom Pipeline'!R51="WON",'MiT Strom Pipeline'!D51,"")</f>
        <v/>
      </c>
      <c r="E56" s="23" t="str">
        <f aca="false">IF('MiT Strom Pipeline'!R51="WON",'MiT Strom Pipeline'!E51,"")</f>
        <v/>
      </c>
      <c r="F56" s="24" t="str">
        <f aca="false">IF('MiT Strom Pipeline'!R51="WON",IF(ISNUMBER('MiT Strom Pipeline'!I51),'MiT Strom Pipeline'!I51,0),"")</f>
        <v/>
      </c>
      <c r="G56" s="24" t="str">
        <f aca="false">IF('MiT Strom Pipeline'!R51="WON",IF(ISNUMBER('MiT Strom Pipeline'!Q51),'MiT Strom Pipeline'!Q51,0),"")</f>
        <v/>
      </c>
      <c r="H56" s="24" t="str">
        <f aca="false">IF('MiT Strom Pipeline'!R51="WON",IF(ISNUMBER('MiT Strom Pipeline'!O51),'MiT Strom Pipeline'!O51,0),"")</f>
        <v/>
      </c>
      <c r="I56" s="22" t="str">
        <f aca="false">IF('MiT Strom Pipeline'!R51="WON",'MiT Strom Pipeline'!R51,"")</f>
        <v/>
      </c>
      <c r="J56" s="22" t="str">
        <f aca="false">IF('MiT Strom Pipeline'!R51="WON",'MiT Strom Pipeline'!S51,"")</f>
        <v/>
      </c>
      <c r="K56" s="23" t="str">
        <f aca="false">IF('MiT Strom Pipeline'!R51="WON",IF(LEN('MiT Strom Pipeline'!V51)&gt;0,LEFT('MiT Strom Pipeline'!V51,55),""),"")</f>
        <v/>
      </c>
    </row>
    <row r="57" customFormat="false" ht="15.75" hidden="false" customHeight="true" outlineLevel="0" collapsed="false">
      <c r="A57" s="19" t="str">
        <f aca="false">IF('MiT Strom Pipeline'!R52="WON",IF(ISNUMBER('MiT Strom Pipeline'!A52),'MiT Strom Pipeline'!A52,""),"")</f>
        <v/>
      </c>
      <c r="B57" s="20" t="str">
        <f aca="false">IF('MiT Strom Pipeline'!R52="WON",'MiT Strom Pipeline'!B52,"")</f>
        <v/>
      </c>
      <c r="C57" s="19" t="str">
        <f aca="false">IF('MiT Strom Pipeline'!R52="WON",'MiT Strom Pipeline'!C52,"")</f>
        <v/>
      </c>
      <c r="D57" s="20" t="str">
        <f aca="false">IF('MiT Strom Pipeline'!R52="WON",'MiT Strom Pipeline'!D52,"")</f>
        <v/>
      </c>
      <c r="E57" s="20" t="str">
        <f aca="false">IF('MiT Strom Pipeline'!R52="WON",'MiT Strom Pipeline'!E52,"")</f>
        <v/>
      </c>
      <c r="F57" s="21" t="str">
        <f aca="false">IF('MiT Strom Pipeline'!R52="WON",IF(ISNUMBER('MiT Strom Pipeline'!I52),'MiT Strom Pipeline'!I52,0),"")</f>
        <v/>
      </c>
      <c r="G57" s="21" t="str">
        <f aca="false">IF('MiT Strom Pipeline'!R52="WON",IF(ISNUMBER('MiT Strom Pipeline'!Q52),'MiT Strom Pipeline'!Q52,0),"")</f>
        <v/>
      </c>
      <c r="H57" s="21" t="str">
        <f aca="false">IF('MiT Strom Pipeline'!R52="WON",IF(ISNUMBER('MiT Strom Pipeline'!O52),'MiT Strom Pipeline'!O52,0),"")</f>
        <v/>
      </c>
      <c r="I57" s="19" t="str">
        <f aca="false">IF('MiT Strom Pipeline'!R52="WON",'MiT Strom Pipeline'!R52,"")</f>
        <v/>
      </c>
      <c r="J57" s="19" t="str">
        <f aca="false">IF('MiT Strom Pipeline'!R52="WON",'MiT Strom Pipeline'!S52,"")</f>
        <v/>
      </c>
      <c r="K57" s="20" t="str">
        <f aca="false">IF('MiT Strom Pipeline'!R52="WON",IF(LEN('MiT Strom Pipeline'!V52)&gt;0,LEFT('MiT Strom Pipeline'!V52,55),""),"")</f>
        <v/>
      </c>
    </row>
    <row r="58" customFormat="false" ht="15.75" hidden="false" customHeight="true" outlineLevel="0" collapsed="false">
      <c r="A58" s="22" t="str">
        <f aca="false">IF('MiT Strom Pipeline'!R53="WON",IF(ISNUMBER('MiT Strom Pipeline'!A53),'MiT Strom Pipeline'!A53,""),"")</f>
        <v/>
      </c>
      <c r="B58" s="23" t="str">
        <f aca="false">IF('MiT Strom Pipeline'!R53="WON",'MiT Strom Pipeline'!B53,"")</f>
        <v/>
      </c>
      <c r="C58" s="22" t="str">
        <f aca="false">IF('MiT Strom Pipeline'!R53="WON",'MiT Strom Pipeline'!C53,"")</f>
        <v/>
      </c>
      <c r="D58" s="23" t="str">
        <f aca="false">IF('MiT Strom Pipeline'!R53="WON",'MiT Strom Pipeline'!D53,"")</f>
        <v/>
      </c>
      <c r="E58" s="23" t="str">
        <f aca="false">IF('MiT Strom Pipeline'!R53="WON",'MiT Strom Pipeline'!E53,"")</f>
        <v/>
      </c>
      <c r="F58" s="24" t="str">
        <f aca="false">IF('MiT Strom Pipeline'!R53="WON",IF(ISNUMBER('MiT Strom Pipeline'!I53),'MiT Strom Pipeline'!I53,0),"")</f>
        <v/>
      </c>
      <c r="G58" s="24" t="str">
        <f aca="false">IF('MiT Strom Pipeline'!R53="WON",IF(ISNUMBER('MiT Strom Pipeline'!Q53),'MiT Strom Pipeline'!Q53,0),"")</f>
        <v/>
      </c>
      <c r="H58" s="24" t="str">
        <f aca="false">IF('MiT Strom Pipeline'!R53="WON",IF(ISNUMBER('MiT Strom Pipeline'!O53),'MiT Strom Pipeline'!O53,0),"")</f>
        <v/>
      </c>
      <c r="I58" s="22" t="str">
        <f aca="false">IF('MiT Strom Pipeline'!R53="WON",'MiT Strom Pipeline'!R53,"")</f>
        <v/>
      </c>
      <c r="J58" s="22" t="str">
        <f aca="false">IF('MiT Strom Pipeline'!R53="WON",'MiT Strom Pipeline'!S53,"")</f>
        <v/>
      </c>
      <c r="K58" s="23" t="str">
        <f aca="false">IF('MiT Strom Pipeline'!R53="WON",IF(LEN('MiT Strom Pipeline'!V53)&gt;0,LEFT('MiT Strom Pipeline'!V53,55),""),"")</f>
        <v/>
      </c>
    </row>
    <row r="59" customFormat="false" ht="15.75" hidden="false" customHeight="true" outlineLevel="0" collapsed="false">
      <c r="A59" s="19" t="str">
        <f aca="false">IF('MiT Strom Pipeline'!R54="WON",IF(ISNUMBER('MiT Strom Pipeline'!A54),'MiT Strom Pipeline'!A54,""),"")</f>
        <v/>
      </c>
      <c r="B59" s="20" t="str">
        <f aca="false">IF('MiT Strom Pipeline'!R54="WON",'MiT Strom Pipeline'!B54,"")</f>
        <v/>
      </c>
      <c r="C59" s="19" t="str">
        <f aca="false">IF('MiT Strom Pipeline'!R54="WON",'MiT Strom Pipeline'!C54,"")</f>
        <v/>
      </c>
      <c r="D59" s="20" t="str">
        <f aca="false">IF('MiT Strom Pipeline'!R54="WON",'MiT Strom Pipeline'!D54,"")</f>
        <v/>
      </c>
      <c r="E59" s="20" t="str">
        <f aca="false">IF('MiT Strom Pipeline'!R54="WON",'MiT Strom Pipeline'!E54,"")</f>
        <v/>
      </c>
      <c r="F59" s="21" t="str">
        <f aca="false">IF('MiT Strom Pipeline'!R54="WON",IF(ISNUMBER('MiT Strom Pipeline'!I54),'MiT Strom Pipeline'!I54,0),"")</f>
        <v/>
      </c>
      <c r="G59" s="21" t="str">
        <f aca="false">IF('MiT Strom Pipeline'!R54="WON",IF(ISNUMBER('MiT Strom Pipeline'!Q54),'MiT Strom Pipeline'!Q54,0),"")</f>
        <v/>
      </c>
      <c r="H59" s="21" t="str">
        <f aca="false">IF('MiT Strom Pipeline'!R54="WON",IF(ISNUMBER('MiT Strom Pipeline'!O54),'MiT Strom Pipeline'!O54,0),"")</f>
        <v/>
      </c>
      <c r="I59" s="19" t="str">
        <f aca="false">IF('MiT Strom Pipeline'!R54="WON",'MiT Strom Pipeline'!R54,"")</f>
        <v/>
      </c>
      <c r="J59" s="19" t="str">
        <f aca="false">IF('MiT Strom Pipeline'!R54="WON",'MiT Strom Pipeline'!S54,"")</f>
        <v/>
      </c>
      <c r="K59" s="20" t="str">
        <f aca="false">IF('MiT Strom Pipeline'!R54="WON",IF(LEN('MiT Strom Pipeline'!V54)&gt;0,LEFT('MiT Strom Pipeline'!V54,55),""),"")</f>
        <v/>
      </c>
    </row>
    <row r="60" customFormat="false" ht="15.75" hidden="false" customHeight="true" outlineLevel="0" collapsed="false">
      <c r="A60" s="22" t="str">
        <f aca="false">IF('MiT Strom Pipeline'!R55="WON",IF(ISNUMBER('MiT Strom Pipeline'!A55),'MiT Strom Pipeline'!A55,""),"")</f>
        <v/>
      </c>
      <c r="B60" s="23" t="str">
        <f aca="false">IF('MiT Strom Pipeline'!R55="WON",'MiT Strom Pipeline'!B55,"")</f>
        <v/>
      </c>
      <c r="C60" s="22" t="str">
        <f aca="false">IF('MiT Strom Pipeline'!R55="WON",'MiT Strom Pipeline'!C55,"")</f>
        <v/>
      </c>
      <c r="D60" s="23" t="str">
        <f aca="false">IF('MiT Strom Pipeline'!R55="WON",'MiT Strom Pipeline'!D55,"")</f>
        <v/>
      </c>
      <c r="E60" s="23" t="str">
        <f aca="false">IF('MiT Strom Pipeline'!R55="WON",'MiT Strom Pipeline'!E55,"")</f>
        <v/>
      </c>
      <c r="F60" s="24" t="str">
        <f aca="false">IF('MiT Strom Pipeline'!R55="WON",IF(ISNUMBER('MiT Strom Pipeline'!I55),'MiT Strom Pipeline'!I55,0),"")</f>
        <v/>
      </c>
      <c r="G60" s="24" t="str">
        <f aca="false">IF('MiT Strom Pipeline'!R55="WON",IF(ISNUMBER('MiT Strom Pipeline'!Q55),'MiT Strom Pipeline'!Q55,0),"")</f>
        <v/>
      </c>
      <c r="H60" s="24" t="str">
        <f aca="false">IF('MiT Strom Pipeline'!R55="WON",IF(ISNUMBER('MiT Strom Pipeline'!O55),'MiT Strom Pipeline'!O55,0),"")</f>
        <v/>
      </c>
      <c r="I60" s="22" t="str">
        <f aca="false">IF('MiT Strom Pipeline'!R55="WON",'MiT Strom Pipeline'!R55,"")</f>
        <v/>
      </c>
      <c r="J60" s="22" t="str">
        <f aca="false">IF('MiT Strom Pipeline'!R55="WON",'MiT Strom Pipeline'!S55,"")</f>
        <v/>
      </c>
      <c r="K60" s="23" t="str">
        <f aca="false">IF('MiT Strom Pipeline'!R55="WON",IF(LEN('MiT Strom Pipeline'!V55)&gt;0,LEFT('MiT Strom Pipeline'!V55,55),""),"")</f>
        <v/>
      </c>
    </row>
    <row r="61" customFormat="false" ht="15.75" hidden="false" customHeight="true" outlineLevel="0" collapsed="false">
      <c r="A61" s="19" t="str">
        <f aca="false">IF('MiT Strom Pipeline'!R56="WON",IF(ISNUMBER('MiT Strom Pipeline'!A56),'MiT Strom Pipeline'!A56,""),"")</f>
        <v/>
      </c>
      <c r="B61" s="20" t="str">
        <f aca="false">IF('MiT Strom Pipeline'!R56="WON",'MiT Strom Pipeline'!B56,"")</f>
        <v/>
      </c>
      <c r="C61" s="19" t="str">
        <f aca="false">IF('MiT Strom Pipeline'!R56="WON",'MiT Strom Pipeline'!C56,"")</f>
        <v/>
      </c>
      <c r="D61" s="20" t="str">
        <f aca="false">IF('MiT Strom Pipeline'!R56="WON",'MiT Strom Pipeline'!D56,"")</f>
        <v/>
      </c>
      <c r="E61" s="20" t="str">
        <f aca="false">IF('MiT Strom Pipeline'!R56="WON",'MiT Strom Pipeline'!E56,"")</f>
        <v/>
      </c>
      <c r="F61" s="21" t="str">
        <f aca="false">IF('MiT Strom Pipeline'!R56="WON",IF(ISNUMBER('MiT Strom Pipeline'!I56),'MiT Strom Pipeline'!I56,0),"")</f>
        <v/>
      </c>
      <c r="G61" s="21" t="str">
        <f aca="false">IF('MiT Strom Pipeline'!R56="WON",IF(ISNUMBER('MiT Strom Pipeline'!Q56),'MiT Strom Pipeline'!Q56,0),"")</f>
        <v/>
      </c>
      <c r="H61" s="21" t="str">
        <f aca="false">IF('MiT Strom Pipeline'!R56="WON",IF(ISNUMBER('MiT Strom Pipeline'!O56),'MiT Strom Pipeline'!O56,0),"")</f>
        <v/>
      </c>
      <c r="I61" s="19" t="str">
        <f aca="false">IF('MiT Strom Pipeline'!R56="WON",'MiT Strom Pipeline'!R56,"")</f>
        <v/>
      </c>
      <c r="J61" s="19" t="str">
        <f aca="false">IF('MiT Strom Pipeline'!R56="WON",'MiT Strom Pipeline'!S56,"")</f>
        <v/>
      </c>
      <c r="K61" s="20" t="str">
        <f aca="false">IF('MiT Strom Pipeline'!R56="WON",IF(LEN('MiT Strom Pipeline'!V56)&gt;0,LEFT('MiT Strom Pipeline'!V56,55),""),"")</f>
        <v/>
      </c>
    </row>
    <row r="62" customFormat="false" ht="15.75" hidden="false" customHeight="true" outlineLevel="0" collapsed="false">
      <c r="A62" s="22" t="str">
        <f aca="false">IF('MiT Strom Pipeline'!R57="WON",IF(ISNUMBER('MiT Strom Pipeline'!A57),'MiT Strom Pipeline'!A57,""),"")</f>
        <v/>
      </c>
      <c r="B62" s="23" t="str">
        <f aca="false">IF('MiT Strom Pipeline'!R57="WON",'MiT Strom Pipeline'!B57,"")</f>
        <v/>
      </c>
      <c r="C62" s="22" t="str">
        <f aca="false">IF('MiT Strom Pipeline'!R57="WON",'MiT Strom Pipeline'!C57,"")</f>
        <v/>
      </c>
      <c r="D62" s="23" t="str">
        <f aca="false">IF('MiT Strom Pipeline'!R57="WON",'MiT Strom Pipeline'!D57,"")</f>
        <v/>
      </c>
      <c r="E62" s="23" t="str">
        <f aca="false">IF('MiT Strom Pipeline'!R57="WON",'MiT Strom Pipeline'!E57,"")</f>
        <v/>
      </c>
      <c r="F62" s="24" t="str">
        <f aca="false">IF('MiT Strom Pipeline'!R57="WON",IF(ISNUMBER('MiT Strom Pipeline'!I57),'MiT Strom Pipeline'!I57,0),"")</f>
        <v/>
      </c>
      <c r="G62" s="24" t="str">
        <f aca="false">IF('MiT Strom Pipeline'!R57="WON",IF(ISNUMBER('MiT Strom Pipeline'!Q57),'MiT Strom Pipeline'!Q57,0),"")</f>
        <v/>
      </c>
      <c r="H62" s="24" t="str">
        <f aca="false">IF('MiT Strom Pipeline'!R57="WON",IF(ISNUMBER('MiT Strom Pipeline'!O57),'MiT Strom Pipeline'!O57,0),"")</f>
        <v/>
      </c>
      <c r="I62" s="22" t="str">
        <f aca="false">IF('MiT Strom Pipeline'!R57="WON",'MiT Strom Pipeline'!R57,"")</f>
        <v/>
      </c>
      <c r="J62" s="22" t="str">
        <f aca="false">IF('MiT Strom Pipeline'!R57="WON",'MiT Strom Pipeline'!S57,"")</f>
        <v/>
      </c>
      <c r="K62" s="23" t="str">
        <f aca="false">IF('MiT Strom Pipeline'!R57="WON",IF(LEN('MiT Strom Pipeline'!V57)&gt;0,LEFT('MiT Strom Pipeline'!V57,55),""),"")</f>
        <v/>
      </c>
    </row>
    <row r="63" customFormat="false" ht="15.75" hidden="false" customHeight="true" outlineLevel="0" collapsed="false">
      <c r="A63" s="19" t="str">
        <f aca="false">IF('MiT Strom Pipeline'!R58="WON",IF(ISNUMBER('MiT Strom Pipeline'!A58),'MiT Strom Pipeline'!A58,""),"")</f>
        <v/>
      </c>
      <c r="B63" s="20" t="str">
        <f aca="false">IF('MiT Strom Pipeline'!R58="WON",'MiT Strom Pipeline'!B58,"")</f>
        <v/>
      </c>
      <c r="C63" s="19" t="str">
        <f aca="false">IF('MiT Strom Pipeline'!R58="WON",'MiT Strom Pipeline'!C58,"")</f>
        <v/>
      </c>
      <c r="D63" s="20" t="str">
        <f aca="false">IF('MiT Strom Pipeline'!R58="WON",'MiT Strom Pipeline'!D58,"")</f>
        <v/>
      </c>
      <c r="E63" s="20" t="str">
        <f aca="false">IF('MiT Strom Pipeline'!R58="WON",'MiT Strom Pipeline'!E58,"")</f>
        <v/>
      </c>
      <c r="F63" s="21" t="str">
        <f aca="false">IF('MiT Strom Pipeline'!R58="WON",IF(ISNUMBER('MiT Strom Pipeline'!I58),'MiT Strom Pipeline'!I58,0),"")</f>
        <v/>
      </c>
      <c r="G63" s="21" t="str">
        <f aca="false">IF('MiT Strom Pipeline'!R58="WON",IF(ISNUMBER('MiT Strom Pipeline'!Q58),'MiT Strom Pipeline'!Q58,0),"")</f>
        <v/>
      </c>
      <c r="H63" s="21" t="str">
        <f aca="false">IF('MiT Strom Pipeline'!R58="WON",IF(ISNUMBER('MiT Strom Pipeline'!O58),'MiT Strom Pipeline'!O58,0),"")</f>
        <v/>
      </c>
      <c r="I63" s="19" t="str">
        <f aca="false">IF('MiT Strom Pipeline'!R58="WON",'MiT Strom Pipeline'!R58,"")</f>
        <v/>
      </c>
      <c r="J63" s="19" t="str">
        <f aca="false">IF('MiT Strom Pipeline'!R58="WON",'MiT Strom Pipeline'!S58,"")</f>
        <v/>
      </c>
      <c r="K63" s="20" t="str">
        <f aca="false">IF('MiT Strom Pipeline'!R58="WON",IF(LEN('MiT Strom Pipeline'!V58)&gt;0,LEFT('MiT Strom Pipeline'!V58,55),""),"")</f>
        <v/>
      </c>
    </row>
    <row r="64" customFormat="false" ht="15.75" hidden="false" customHeight="true" outlineLevel="0" collapsed="false">
      <c r="A64" s="22" t="str">
        <f aca="false">IF('MiT Strom Pipeline'!R59="WON",IF(ISNUMBER('MiT Strom Pipeline'!A59),'MiT Strom Pipeline'!A59,""),"")</f>
        <v/>
      </c>
      <c r="B64" s="23" t="str">
        <f aca="false">IF('MiT Strom Pipeline'!R59="WON",'MiT Strom Pipeline'!B59,"")</f>
        <v/>
      </c>
      <c r="C64" s="22" t="str">
        <f aca="false">IF('MiT Strom Pipeline'!R59="WON",'MiT Strom Pipeline'!C59,"")</f>
        <v/>
      </c>
      <c r="D64" s="23" t="str">
        <f aca="false">IF('MiT Strom Pipeline'!R59="WON",'MiT Strom Pipeline'!D59,"")</f>
        <v/>
      </c>
      <c r="E64" s="23" t="str">
        <f aca="false">IF('MiT Strom Pipeline'!R59="WON",'MiT Strom Pipeline'!E59,"")</f>
        <v/>
      </c>
      <c r="F64" s="24" t="str">
        <f aca="false">IF('MiT Strom Pipeline'!R59="WON",IF(ISNUMBER('MiT Strom Pipeline'!I59),'MiT Strom Pipeline'!I59,0),"")</f>
        <v/>
      </c>
      <c r="G64" s="24" t="str">
        <f aca="false">IF('MiT Strom Pipeline'!R59="WON",IF(ISNUMBER('MiT Strom Pipeline'!Q59),'MiT Strom Pipeline'!Q59,0),"")</f>
        <v/>
      </c>
      <c r="H64" s="24" t="str">
        <f aca="false">IF('MiT Strom Pipeline'!R59="WON",IF(ISNUMBER('MiT Strom Pipeline'!O59),'MiT Strom Pipeline'!O59,0),"")</f>
        <v/>
      </c>
      <c r="I64" s="22" t="str">
        <f aca="false">IF('MiT Strom Pipeline'!R59="WON",'MiT Strom Pipeline'!R59,"")</f>
        <v/>
      </c>
      <c r="J64" s="22" t="str">
        <f aca="false">IF('MiT Strom Pipeline'!R59="WON",'MiT Strom Pipeline'!S59,"")</f>
        <v/>
      </c>
      <c r="K64" s="23" t="str">
        <f aca="false">IF('MiT Strom Pipeline'!R59="WON",IF(LEN('MiT Strom Pipeline'!V59)&gt;0,LEFT('MiT Strom Pipeline'!V59,55),""),"")</f>
        <v/>
      </c>
    </row>
    <row r="65" customFormat="false" ht="15.75" hidden="false" customHeight="true" outlineLevel="0" collapsed="false">
      <c r="A65" s="19" t="str">
        <f aca="false">IF('MiT Strom Pipeline'!R60="WON",IF(ISNUMBER('MiT Strom Pipeline'!A60),'MiT Strom Pipeline'!A60,""),"")</f>
        <v/>
      </c>
      <c r="B65" s="20" t="str">
        <f aca="false">IF('MiT Strom Pipeline'!R60="WON",'MiT Strom Pipeline'!B60,"")</f>
        <v/>
      </c>
      <c r="C65" s="19" t="str">
        <f aca="false">IF('MiT Strom Pipeline'!R60="WON",'MiT Strom Pipeline'!C60,"")</f>
        <v/>
      </c>
      <c r="D65" s="20" t="str">
        <f aca="false">IF('MiT Strom Pipeline'!R60="WON",'MiT Strom Pipeline'!D60,"")</f>
        <v/>
      </c>
      <c r="E65" s="20" t="str">
        <f aca="false">IF('MiT Strom Pipeline'!R60="WON",'MiT Strom Pipeline'!E60,"")</f>
        <v/>
      </c>
      <c r="F65" s="21" t="str">
        <f aca="false">IF('MiT Strom Pipeline'!R60="WON",IF(ISNUMBER('MiT Strom Pipeline'!I60),'MiT Strom Pipeline'!I60,0),"")</f>
        <v/>
      </c>
      <c r="G65" s="21" t="str">
        <f aca="false">IF('MiT Strom Pipeline'!R60="WON",IF(ISNUMBER('MiT Strom Pipeline'!Q60),'MiT Strom Pipeline'!Q60,0),"")</f>
        <v/>
      </c>
      <c r="H65" s="21" t="str">
        <f aca="false">IF('MiT Strom Pipeline'!R60="WON",IF(ISNUMBER('MiT Strom Pipeline'!O60),'MiT Strom Pipeline'!O60,0),"")</f>
        <v/>
      </c>
      <c r="I65" s="19" t="str">
        <f aca="false">IF('MiT Strom Pipeline'!R60="WON",'MiT Strom Pipeline'!R60,"")</f>
        <v/>
      </c>
      <c r="J65" s="19" t="str">
        <f aca="false">IF('MiT Strom Pipeline'!R60="WON",'MiT Strom Pipeline'!S60,"")</f>
        <v/>
      </c>
      <c r="K65" s="20" t="str">
        <f aca="false">IF('MiT Strom Pipeline'!R60="WON",IF(LEN('MiT Strom Pipeline'!V60)&gt;0,LEFT('MiT Strom Pipeline'!V60,55),""),"")</f>
        <v/>
      </c>
    </row>
    <row r="66" customFormat="false" ht="15.75" hidden="false" customHeight="true" outlineLevel="0" collapsed="false">
      <c r="A66" s="22" t="str">
        <f aca="false">IF('MiT Strom Pipeline'!R61="WON",IF(ISNUMBER('MiT Strom Pipeline'!A61),'MiT Strom Pipeline'!A61,""),"")</f>
        <v/>
      </c>
      <c r="B66" s="23" t="str">
        <f aca="false">IF('MiT Strom Pipeline'!R61="WON",'MiT Strom Pipeline'!B61,"")</f>
        <v/>
      </c>
      <c r="C66" s="22" t="str">
        <f aca="false">IF('MiT Strom Pipeline'!R61="WON",'MiT Strom Pipeline'!C61,"")</f>
        <v/>
      </c>
      <c r="D66" s="23" t="str">
        <f aca="false">IF('MiT Strom Pipeline'!R61="WON",'MiT Strom Pipeline'!D61,"")</f>
        <v/>
      </c>
      <c r="E66" s="23" t="str">
        <f aca="false">IF('MiT Strom Pipeline'!R61="WON",'MiT Strom Pipeline'!E61,"")</f>
        <v/>
      </c>
      <c r="F66" s="24" t="str">
        <f aca="false">IF('MiT Strom Pipeline'!R61="WON",IF(ISNUMBER('MiT Strom Pipeline'!I61),'MiT Strom Pipeline'!I61,0),"")</f>
        <v/>
      </c>
      <c r="G66" s="24" t="str">
        <f aca="false">IF('MiT Strom Pipeline'!R61="WON",IF(ISNUMBER('MiT Strom Pipeline'!Q61),'MiT Strom Pipeline'!Q61,0),"")</f>
        <v/>
      </c>
      <c r="H66" s="24" t="str">
        <f aca="false">IF('MiT Strom Pipeline'!R61="WON",IF(ISNUMBER('MiT Strom Pipeline'!O61),'MiT Strom Pipeline'!O61,0),"")</f>
        <v/>
      </c>
      <c r="I66" s="22" t="str">
        <f aca="false">IF('MiT Strom Pipeline'!R61="WON",'MiT Strom Pipeline'!R61,"")</f>
        <v/>
      </c>
      <c r="J66" s="22" t="str">
        <f aca="false">IF('MiT Strom Pipeline'!R61="WON",'MiT Strom Pipeline'!S61,"")</f>
        <v/>
      </c>
      <c r="K66" s="23" t="str">
        <f aca="false">IF('MiT Strom Pipeline'!R61="WON",IF(LEN('MiT Strom Pipeline'!V61)&gt;0,LEFT('MiT Strom Pipeline'!V61,55),""),"")</f>
        <v/>
      </c>
    </row>
    <row r="67" customFormat="false" ht="15.75" hidden="false" customHeight="true" outlineLevel="0" collapsed="false">
      <c r="A67" s="19" t="str">
        <f aca="false">IF('MiT Strom Pipeline'!R62="WON",IF(ISNUMBER('MiT Strom Pipeline'!A62),'MiT Strom Pipeline'!A62,""),"")</f>
        <v/>
      </c>
      <c r="B67" s="20" t="str">
        <f aca="false">IF('MiT Strom Pipeline'!R62="WON",'MiT Strom Pipeline'!B62,"")</f>
        <v/>
      </c>
      <c r="C67" s="19" t="str">
        <f aca="false">IF('MiT Strom Pipeline'!R62="WON",'MiT Strom Pipeline'!C62,"")</f>
        <v/>
      </c>
      <c r="D67" s="20" t="str">
        <f aca="false">IF('MiT Strom Pipeline'!R62="WON",'MiT Strom Pipeline'!D62,"")</f>
        <v/>
      </c>
      <c r="E67" s="20" t="str">
        <f aca="false">IF('MiT Strom Pipeline'!R62="WON",'MiT Strom Pipeline'!E62,"")</f>
        <v/>
      </c>
      <c r="F67" s="21" t="str">
        <f aca="false">IF('MiT Strom Pipeline'!R62="WON",IF(ISNUMBER('MiT Strom Pipeline'!I62),'MiT Strom Pipeline'!I62,0),"")</f>
        <v/>
      </c>
      <c r="G67" s="21" t="str">
        <f aca="false">IF('MiT Strom Pipeline'!R62="WON",IF(ISNUMBER('MiT Strom Pipeline'!Q62),'MiT Strom Pipeline'!Q62,0),"")</f>
        <v/>
      </c>
      <c r="H67" s="21" t="str">
        <f aca="false">IF('MiT Strom Pipeline'!R62="WON",IF(ISNUMBER('MiT Strom Pipeline'!O62),'MiT Strom Pipeline'!O62,0),"")</f>
        <v/>
      </c>
      <c r="I67" s="19" t="str">
        <f aca="false">IF('MiT Strom Pipeline'!R62="WON",'MiT Strom Pipeline'!R62,"")</f>
        <v/>
      </c>
      <c r="J67" s="19" t="str">
        <f aca="false">IF('MiT Strom Pipeline'!R62="WON",'MiT Strom Pipeline'!S62,"")</f>
        <v/>
      </c>
      <c r="K67" s="20" t="str">
        <f aca="false">IF('MiT Strom Pipeline'!R62="WON",IF(LEN('MiT Strom Pipeline'!V62)&gt;0,LEFT('MiT Strom Pipeline'!V62,55),""),"")</f>
        <v/>
      </c>
    </row>
    <row r="68" customFormat="false" ht="15.75" hidden="false" customHeight="true" outlineLevel="0" collapsed="false">
      <c r="A68" s="22" t="str">
        <f aca="false">IF('MiT Strom Pipeline'!R63="WON",IF(ISNUMBER('MiT Strom Pipeline'!A63),'MiT Strom Pipeline'!A63,""),"")</f>
        <v/>
      </c>
      <c r="B68" s="23" t="str">
        <f aca="false">IF('MiT Strom Pipeline'!R63="WON",'MiT Strom Pipeline'!B63,"")</f>
        <v/>
      </c>
      <c r="C68" s="22" t="str">
        <f aca="false">IF('MiT Strom Pipeline'!R63="WON",'MiT Strom Pipeline'!C63,"")</f>
        <v/>
      </c>
      <c r="D68" s="23" t="str">
        <f aca="false">IF('MiT Strom Pipeline'!R63="WON",'MiT Strom Pipeline'!D63,"")</f>
        <v/>
      </c>
      <c r="E68" s="23" t="str">
        <f aca="false">IF('MiT Strom Pipeline'!R63="WON",'MiT Strom Pipeline'!E63,"")</f>
        <v/>
      </c>
      <c r="F68" s="24" t="str">
        <f aca="false">IF('MiT Strom Pipeline'!R63="WON",IF(ISNUMBER('MiT Strom Pipeline'!I63),'MiT Strom Pipeline'!I63,0),"")</f>
        <v/>
      </c>
      <c r="G68" s="24" t="str">
        <f aca="false">IF('MiT Strom Pipeline'!R63="WON",IF(ISNUMBER('MiT Strom Pipeline'!Q63),'MiT Strom Pipeline'!Q63,0),"")</f>
        <v/>
      </c>
      <c r="H68" s="24" t="str">
        <f aca="false">IF('MiT Strom Pipeline'!R63="WON",IF(ISNUMBER('MiT Strom Pipeline'!O63),'MiT Strom Pipeline'!O63,0),"")</f>
        <v/>
      </c>
      <c r="I68" s="22" t="str">
        <f aca="false">IF('MiT Strom Pipeline'!R63="WON",'MiT Strom Pipeline'!R63,"")</f>
        <v/>
      </c>
      <c r="J68" s="22" t="str">
        <f aca="false">IF('MiT Strom Pipeline'!R63="WON",'MiT Strom Pipeline'!S63,"")</f>
        <v/>
      </c>
      <c r="K68" s="23" t="str">
        <f aca="false">IF('MiT Strom Pipeline'!R63="WON",IF(LEN('MiT Strom Pipeline'!V63)&gt;0,LEFT('MiT Strom Pipeline'!V63,55),""),"")</f>
        <v/>
      </c>
    </row>
    <row r="69" customFormat="false" ht="15.75" hidden="false" customHeight="true" outlineLevel="0" collapsed="false">
      <c r="A69" s="19" t="str">
        <f aca="false">IF('MiT Strom Pipeline'!R64="WON",IF(ISNUMBER('MiT Strom Pipeline'!A64),'MiT Strom Pipeline'!A64,""),"")</f>
        <v/>
      </c>
      <c r="B69" s="20" t="str">
        <f aca="false">IF('MiT Strom Pipeline'!R64="WON",'MiT Strom Pipeline'!B64,"")</f>
        <v/>
      </c>
      <c r="C69" s="19" t="str">
        <f aca="false">IF('MiT Strom Pipeline'!R64="WON",'MiT Strom Pipeline'!C64,"")</f>
        <v/>
      </c>
      <c r="D69" s="20" t="str">
        <f aca="false">IF('MiT Strom Pipeline'!R64="WON",'MiT Strom Pipeline'!D64,"")</f>
        <v/>
      </c>
      <c r="E69" s="20" t="str">
        <f aca="false">IF('MiT Strom Pipeline'!R64="WON",'MiT Strom Pipeline'!E64,"")</f>
        <v/>
      </c>
      <c r="F69" s="21" t="str">
        <f aca="false">IF('MiT Strom Pipeline'!R64="WON",IF(ISNUMBER('MiT Strom Pipeline'!I64),'MiT Strom Pipeline'!I64,0),"")</f>
        <v/>
      </c>
      <c r="G69" s="21" t="str">
        <f aca="false">IF('MiT Strom Pipeline'!R64="WON",IF(ISNUMBER('MiT Strom Pipeline'!Q64),'MiT Strom Pipeline'!Q64,0),"")</f>
        <v/>
      </c>
      <c r="H69" s="21" t="str">
        <f aca="false">IF('MiT Strom Pipeline'!R64="WON",IF(ISNUMBER('MiT Strom Pipeline'!O64),'MiT Strom Pipeline'!O64,0),"")</f>
        <v/>
      </c>
      <c r="I69" s="19" t="str">
        <f aca="false">IF('MiT Strom Pipeline'!R64="WON",'MiT Strom Pipeline'!R64,"")</f>
        <v/>
      </c>
      <c r="J69" s="19" t="str">
        <f aca="false">IF('MiT Strom Pipeline'!R64="WON",'MiT Strom Pipeline'!S64,"")</f>
        <v/>
      </c>
      <c r="K69" s="20" t="str">
        <f aca="false">IF('MiT Strom Pipeline'!R64="WON",IF(LEN('MiT Strom Pipeline'!V64)&gt;0,LEFT('MiT Strom Pipeline'!V64,55),""),"")</f>
        <v/>
      </c>
    </row>
    <row r="70" customFormat="false" ht="15.75" hidden="false" customHeight="true" outlineLevel="0" collapsed="false">
      <c r="A70" s="22" t="str">
        <f aca="false">IF('MiT Strom Pipeline'!R65="WON",IF(ISNUMBER('MiT Strom Pipeline'!A65),'MiT Strom Pipeline'!A65,""),"")</f>
        <v/>
      </c>
      <c r="B70" s="23" t="str">
        <f aca="false">IF('MiT Strom Pipeline'!R65="WON",'MiT Strom Pipeline'!B65,"")</f>
        <v/>
      </c>
      <c r="C70" s="22" t="str">
        <f aca="false">IF('MiT Strom Pipeline'!R65="WON",'MiT Strom Pipeline'!C65,"")</f>
        <v/>
      </c>
      <c r="D70" s="23" t="str">
        <f aca="false">IF('MiT Strom Pipeline'!R65="WON",'MiT Strom Pipeline'!D65,"")</f>
        <v/>
      </c>
      <c r="E70" s="23" t="str">
        <f aca="false">IF('MiT Strom Pipeline'!R65="WON",'MiT Strom Pipeline'!E65,"")</f>
        <v/>
      </c>
      <c r="F70" s="24" t="str">
        <f aca="false">IF('MiT Strom Pipeline'!R65="WON",IF(ISNUMBER('MiT Strom Pipeline'!I65),'MiT Strom Pipeline'!I65,0),"")</f>
        <v/>
      </c>
      <c r="G70" s="24" t="str">
        <f aca="false">IF('MiT Strom Pipeline'!R65="WON",IF(ISNUMBER('MiT Strom Pipeline'!Q65),'MiT Strom Pipeline'!Q65,0),"")</f>
        <v/>
      </c>
      <c r="H70" s="24" t="str">
        <f aca="false">IF('MiT Strom Pipeline'!R65="WON",IF(ISNUMBER('MiT Strom Pipeline'!O65),'MiT Strom Pipeline'!O65,0),"")</f>
        <v/>
      </c>
      <c r="I70" s="22" t="str">
        <f aca="false">IF('MiT Strom Pipeline'!R65="WON",'MiT Strom Pipeline'!R65,"")</f>
        <v/>
      </c>
      <c r="J70" s="22" t="str">
        <f aca="false">IF('MiT Strom Pipeline'!R65="WON",'MiT Strom Pipeline'!S65,"")</f>
        <v/>
      </c>
      <c r="K70" s="23" t="str">
        <f aca="false">IF('MiT Strom Pipeline'!R65="WON",IF(LEN('MiT Strom Pipeline'!V65)&gt;0,LEFT('MiT Strom Pipeline'!V65,55),""),"")</f>
        <v/>
      </c>
    </row>
    <row r="71" customFormat="false" ht="21.75" hidden="false" customHeight="true" outlineLevel="0" collapsed="false">
      <c r="A71" s="26" t="str">
        <f aca="false">IF('MiT Strom Pipeline'!R66="WON",IF(ISNUMBER('MiT Strom Pipeline'!A66),'MiT Strom Pipeline'!A66,""),"")</f>
        <v/>
      </c>
      <c r="B71" s="27" t="str">
        <f aca="false">IF('MiT Strom Pipeline'!R66="WON",'MiT Strom Pipeline'!B66,"")</f>
        <v/>
      </c>
      <c r="C71" s="27"/>
      <c r="D71" s="27"/>
      <c r="E71" s="27"/>
      <c r="F71" s="28" t="str">
        <f aca="false">IF('MiT Strom Pipeline'!R66="WON",IF(ISNUMBER('MiT Strom Pipeline'!I66),'MiT Strom Pipeline'!I66,0),"")</f>
        <v/>
      </c>
      <c r="G71" s="26" t="str">
        <f aca="false">IF('MiT Strom Pipeline'!R66="WON",IF(ISNUMBER('MiT Strom Pipeline'!Q66),'MiT Strom Pipeline'!Q66,0),"")</f>
        <v/>
      </c>
      <c r="H71" s="26" t="str">
        <f aca="false">IF('MiT Strom Pipeline'!R66="WON",IF(ISNUMBER('MiT Strom Pipeline'!O66),'MiT Strom Pipeline'!O66,0),"")</f>
        <v/>
      </c>
      <c r="I71" s="26" t="str">
        <f aca="false">IF('MiT Strom Pipeline'!R66="WON",'MiT Strom Pipeline'!R66,"")</f>
        <v/>
      </c>
      <c r="J71" s="26" t="str">
        <f aca="false">IF('MiT Strom Pipeline'!R66="WON",'MiT Strom Pipeline'!S66,"")</f>
        <v/>
      </c>
      <c r="K71" s="26" t="str">
        <f aca="false">IF('MiT Strom Pipeline'!R66="WON",IF(LEN('MiT Strom Pipeline'!V66)&gt;0,LEFT('MiT Strom Pipeline'!V66,55),""),"")</f>
        <v/>
      </c>
    </row>
    <row r="72" customFormat="false" ht="3.75" hidden="false" customHeight="true" outlineLevel="0" collapsed="false">
      <c r="A72" s="1" t="str">
        <f aca="false">IF('MiT Strom Pipeline'!R67="WON",IF(ISNUMBER('MiT Strom Pipeline'!A67),'MiT Strom Pipeline'!A67,""),"")</f>
        <v/>
      </c>
      <c r="B72" s="1" t="str">
        <f aca="false">IF('MiT Strom Pipeline'!R67="WON",'MiT Strom Pipeline'!B67,"")</f>
        <v/>
      </c>
      <c r="C72" s="1" t="str">
        <f aca="false">IF('MiT Strom Pipeline'!R67="WON",'MiT Strom Pipeline'!C67,"")</f>
        <v/>
      </c>
      <c r="D72" s="1" t="str">
        <f aca="false">IF('MiT Strom Pipeline'!R67="WON",'MiT Strom Pipeline'!D67,"")</f>
        <v/>
      </c>
      <c r="E72" s="1" t="str">
        <f aca="false">IF('MiT Strom Pipeline'!R67="WON",'MiT Strom Pipeline'!E67,"")</f>
        <v/>
      </c>
      <c r="F72" s="1" t="str">
        <f aca="false">IF('MiT Strom Pipeline'!R67="WON",IF(ISNUMBER('MiT Strom Pipeline'!I67),'MiT Strom Pipeline'!I67,0),"")</f>
        <v/>
      </c>
      <c r="G72" s="1" t="str">
        <f aca="false">IF('MiT Strom Pipeline'!R67="WON",IF(ISNUMBER('MiT Strom Pipeline'!Q67),'MiT Strom Pipeline'!Q67,0),"")</f>
        <v/>
      </c>
      <c r="H72" s="1" t="str">
        <f aca="false">IF('MiT Strom Pipeline'!R67="WON",IF(ISNUMBER('MiT Strom Pipeline'!O67),'MiT Strom Pipeline'!O67,0),"")</f>
        <v/>
      </c>
      <c r="I72" s="1" t="str">
        <f aca="false">IF('MiT Strom Pipeline'!R67="WON",'MiT Strom Pipeline'!R67,"")</f>
        <v/>
      </c>
      <c r="J72" s="1" t="str">
        <f aca="false">IF('MiT Strom Pipeline'!R67="WON",'MiT Strom Pipeline'!S67,"")</f>
        <v/>
      </c>
      <c r="K72" s="1" t="str">
        <f aca="false">IF('MiT Strom Pipeline'!R67="WON",IF(LEN('MiT Strom Pipeline'!V67)&gt;0,LEFT('MiT Strom Pipeline'!V67,55),""),"")</f>
        <v/>
      </c>
    </row>
    <row r="73" customFormat="false" ht="24" hidden="false" customHeight="true" outlineLevel="0" collapsed="false">
      <c r="A73" s="29" t="s">
        <v>17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</row>
    <row r="74" customFormat="false" ht="19.5" hidden="false" customHeight="true" outlineLevel="0" collapsed="false">
      <c r="A74" s="16" t="s">
        <v>6</v>
      </c>
      <c r="B74" s="17" t="s">
        <v>7</v>
      </c>
      <c r="C74" s="16" t="s">
        <v>8</v>
      </c>
      <c r="D74" s="17" t="s">
        <v>9</v>
      </c>
      <c r="E74" s="17" t="s">
        <v>10</v>
      </c>
      <c r="F74" s="18" t="s">
        <v>11</v>
      </c>
      <c r="G74" s="18" t="s">
        <v>12</v>
      </c>
      <c r="H74" s="18" t="s">
        <v>13</v>
      </c>
      <c r="I74" s="16" t="s">
        <v>14</v>
      </c>
      <c r="J74" s="16" t="s">
        <v>15</v>
      </c>
      <c r="K74" s="17" t="s">
        <v>16</v>
      </c>
    </row>
    <row r="75" customFormat="false" ht="15.75" hidden="false" customHeight="true" outlineLevel="0" collapsed="false">
      <c r="A75" s="30" t="str">
        <f aca="false">IF(('MiT Strom Pipeline'!R6="offered")+('MiT Strom Pipeline'!R6="to be offered")+('MiT Strom Pipeline'!R6="on hold")&gt;0,IF(ISNUMBER('MiT Strom Pipeline'!A6),'MiT Strom Pipeline'!A6,""),"")</f>
        <v/>
      </c>
      <c r="B75" s="31" t="str">
        <f aca="false">IF(('MiT Strom Pipeline'!R6="offered")+('MiT Strom Pipeline'!R6="to be offered")+('MiT Strom Pipeline'!R6="on hold")&gt;0,'MiT Strom Pipeline'!B6,"")</f>
        <v/>
      </c>
      <c r="C75" s="30" t="str">
        <f aca="false">IF(('MiT Strom Pipeline'!R6="offered")+('MiT Strom Pipeline'!R6="to be offered")+('MiT Strom Pipeline'!R6="on hold")&gt;0,'MiT Strom Pipeline'!C6,"")</f>
        <v/>
      </c>
      <c r="D75" s="31" t="str">
        <f aca="false">IF(('MiT Strom Pipeline'!R6="offered")+('MiT Strom Pipeline'!R6="to be offered")+('MiT Strom Pipeline'!R6="on hold")&gt;0,'MiT Strom Pipeline'!D6,"")</f>
        <v/>
      </c>
      <c r="E75" s="31" t="str">
        <f aca="false">IF(('MiT Strom Pipeline'!R6="offered")+('MiT Strom Pipeline'!R6="to be offered")+('MiT Strom Pipeline'!R6="on hold")&gt;0,'MiT Strom Pipeline'!E6,"")</f>
        <v/>
      </c>
      <c r="F75" s="32" t="str">
        <f aca="false">IF(('MiT Strom Pipeline'!R6="offered")+('MiT Strom Pipeline'!R6="to be offered")+('MiT Strom Pipeline'!R6="on hold")&gt;0,IF(ISNUMBER('MiT Strom Pipeline'!I6),'MiT Strom Pipeline'!I6,0),"")</f>
        <v/>
      </c>
      <c r="G75" s="32" t="str">
        <f aca="false">IF(('MiT Strom Pipeline'!R6="offered")+('MiT Strom Pipeline'!R6="to be offered")+('MiT Strom Pipeline'!R6="on hold")&gt;0,IF(ISNUMBER('MiT Strom Pipeline'!Q6),'MiT Strom Pipeline'!Q6,0),"")</f>
        <v/>
      </c>
      <c r="H75" s="32" t="str">
        <f aca="false">IF(('MiT Strom Pipeline'!R6="offered")+('MiT Strom Pipeline'!R6="to be offered")+('MiT Strom Pipeline'!R6="on hold")&gt;0,IF(ISNUMBER('MiT Strom Pipeline'!O6),'MiT Strom Pipeline'!O6,0),"")</f>
        <v/>
      </c>
      <c r="I75" s="30" t="str">
        <f aca="false">IF(('MiT Strom Pipeline'!R6="offered")+('MiT Strom Pipeline'!R6="to be offered")+('MiT Strom Pipeline'!R6="on hold")&gt;0,'MiT Strom Pipeline'!R6,"")</f>
        <v/>
      </c>
      <c r="J75" s="30" t="str">
        <f aca="false">IF(('MiT Strom Pipeline'!R6="offered")+('MiT Strom Pipeline'!R6="to be offered")+('MiT Strom Pipeline'!R6="on hold")&gt;0,'MiT Strom Pipeline'!S6,"")</f>
        <v/>
      </c>
      <c r="K75" s="31" t="str">
        <f aca="false">IF(('MiT Strom Pipeline'!R6="offered")+('MiT Strom Pipeline'!R6="to be offered")+('MiT Strom Pipeline'!R6="on hold")&gt;0,IF(LEN('MiT Strom Pipeline'!V6)&gt;0,LEFT('MiT Strom Pipeline'!V6,55),""),"")</f>
        <v/>
      </c>
    </row>
    <row r="76" customFormat="false" ht="15.75" hidden="false" customHeight="true" outlineLevel="0" collapsed="false">
      <c r="A76" s="22" t="str">
        <f aca="false">IF(('MiT Strom Pipeline'!R7="offered")+('MiT Strom Pipeline'!R7="to be offered")+('MiT Strom Pipeline'!R7="on hold")&gt;0,IF(ISNUMBER('MiT Strom Pipeline'!A7),'MiT Strom Pipeline'!A7,""),"")</f>
        <v/>
      </c>
      <c r="B76" s="23" t="str">
        <f aca="false">IF(('MiT Strom Pipeline'!R7="offered")+('MiT Strom Pipeline'!R7="to be offered")+('MiT Strom Pipeline'!R7="on hold")&gt;0,'MiT Strom Pipeline'!B7,"")</f>
        <v/>
      </c>
      <c r="C76" s="22" t="str">
        <f aca="false">IF(('MiT Strom Pipeline'!R7="offered")+('MiT Strom Pipeline'!R7="to be offered")+('MiT Strom Pipeline'!R7="on hold")&gt;0,'MiT Strom Pipeline'!C7,"")</f>
        <v/>
      </c>
      <c r="D76" s="23" t="str">
        <f aca="false">IF(('MiT Strom Pipeline'!R7="offered")+('MiT Strom Pipeline'!R7="to be offered")+('MiT Strom Pipeline'!R7="on hold")&gt;0,'MiT Strom Pipeline'!D7,"")</f>
        <v/>
      </c>
      <c r="E76" s="23" t="str">
        <f aca="false">IF(('MiT Strom Pipeline'!R7="offered")+('MiT Strom Pipeline'!R7="to be offered")+('MiT Strom Pipeline'!R7="on hold")&gt;0,'MiT Strom Pipeline'!E7,"")</f>
        <v/>
      </c>
      <c r="F76" s="24" t="str">
        <f aca="false">IF(('MiT Strom Pipeline'!R7="offered")+('MiT Strom Pipeline'!R7="to be offered")+('MiT Strom Pipeline'!R7="on hold")&gt;0,IF(ISNUMBER('MiT Strom Pipeline'!I7),'MiT Strom Pipeline'!I7,0),"")</f>
        <v/>
      </c>
      <c r="G76" s="24" t="str">
        <f aca="false">IF(('MiT Strom Pipeline'!R7="offered")+('MiT Strom Pipeline'!R7="to be offered")+('MiT Strom Pipeline'!R7="on hold")&gt;0,IF(ISNUMBER('MiT Strom Pipeline'!Q7),'MiT Strom Pipeline'!Q7,0),"")</f>
        <v/>
      </c>
      <c r="H76" s="24" t="str">
        <f aca="false">IF(('MiT Strom Pipeline'!R7="offered")+('MiT Strom Pipeline'!R7="to be offered")+('MiT Strom Pipeline'!R7="on hold")&gt;0,IF(ISNUMBER('MiT Strom Pipeline'!O7),'MiT Strom Pipeline'!O7,0),"")</f>
        <v/>
      </c>
      <c r="I76" s="22" t="str">
        <f aca="false">IF(('MiT Strom Pipeline'!R7="offered")+('MiT Strom Pipeline'!R7="to be offered")+('MiT Strom Pipeline'!R7="on hold")&gt;0,'MiT Strom Pipeline'!R7,"")</f>
        <v/>
      </c>
      <c r="J76" s="22" t="str">
        <f aca="false">IF(('MiT Strom Pipeline'!R7="offered")+('MiT Strom Pipeline'!R7="to be offered")+('MiT Strom Pipeline'!R7="on hold")&gt;0,'MiT Strom Pipeline'!S7,"")</f>
        <v/>
      </c>
      <c r="K76" s="23" t="str">
        <f aca="false">IF(('MiT Strom Pipeline'!R7="offered")+('MiT Strom Pipeline'!R7="to be offered")+('MiT Strom Pipeline'!R7="on hold")&gt;0,IF(LEN('MiT Strom Pipeline'!V7)&gt;0,LEFT('MiT Strom Pipeline'!V7,55),""),"")</f>
        <v/>
      </c>
    </row>
    <row r="77" customFormat="false" ht="15.75" hidden="false" customHeight="true" outlineLevel="0" collapsed="false">
      <c r="A77" s="30" t="str">
        <f aca="false">IF(('MiT Strom Pipeline'!R8="offered")+('MiT Strom Pipeline'!R8="to be offered")+('MiT Strom Pipeline'!R8="on hold")&gt;0,IF(ISNUMBER('MiT Strom Pipeline'!A8),'MiT Strom Pipeline'!A8,""),"")</f>
        <v/>
      </c>
      <c r="B77" s="31" t="str">
        <f aca="false">IF(('MiT Strom Pipeline'!R8="offered")+('MiT Strom Pipeline'!R8="to be offered")+('MiT Strom Pipeline'!R8="on hold")&gt;0,'MiT Strom Pipeline'!B8,"")</f>
        <v/>
      </c>
      <c r="C77" s="30" t="str">
        <f aca="false">IF(('MiT Strom Pipeline'!R8="offered")+('MiT Strom Pipeline'!R8="to be offered")+('MiT Strom Pipeline'!R8="on hold")&gt;0,'MiT Strom Pipeline'!C8,"")</f>
        <v/>
      </c>
      <c r="D77" s="31" t="str">
        <f aca="false">IF(('MiT Strom Pipeline'!R8="offered")+('MiT Strom Pipeline'!R8="to be offered")+('MiT Strom Pipeline'!R8="on hold")&gt;0,'MiT Strom Pipeline'!D8,"")</f>
        <v/>
      </c>
      <c r="E77" s="31" t="str">
        <f aca="false">IF(('MiT Strom Pipeline'!R8="offered")+('MiT Strom Pipeline'!R8="to be offered")+('MiT Strom Pipeline'!R8="on hold")&gt;0,'MiT Strom Pipeline'!E8,"")</f>
        <v/>
      </c>
      <c r="F77" s="32" t="str">
        <f aca="false">IF(('MiT Strom Pipeline'!R8="offered")+('MiT Strom Pipeline'!R8="to be offered")+('MiT Strom Pipeline'!R8="on hold")&gt;0,IF(ISNUMBER('MiT Strom Pipeline'!I8),'MiT Strom Pipeline'!I8,0),"")</f>
        <v/>
      </c>
      <c r="G77" s="32" t="str">
        <f aca="false">IF(('MiT Strom Pipeline'!R8="offered")+('MiT Strom Pipeline'!R8="to be offered")+('MiT Strom Pipeline'!R8="on hold")&gt;0,IF(ISNUMBER('MiT Strom Pipeline'!Q8),'MiT Strom Pipeline'!Q8,0),"")</f>
        <v/>
      </c>
      <c r="H77" s="32" t="str">
        <f aca="false">IF(('MiT Strom Pipeline'!R8="offered")+('MiT Strom Pipeline'!R8="to be offered")+('MiT Strom Pipeline'!R8="on hold")&gt;0,IF(ISNUMBER('MiT Strom Pipeline'!O8),'MiT Strom Pipeline'!O8,0),"")</f>
        <v/>
      </c>
      <c r="I77" s="30" t="str">
        <f aca="false">IF(('MiT Strom Pipeline'!R8="offered")+('MiT Strom Pipeline'!R8="to be offered")+('MiT Strom Pipeline'!R8="on hold")&gt;0,'MiT Strom Pipeline'!R8,"")</f>
        <v/>
      </c>
      <c r="J77" s="30" t="str">
        <f aca="false">IF(('MiT Strom Pipeline'!R8="offered")+('MiT Strom Pipeline'!R8="to be offered")+('MiT Strom Pipeline'!R8="on hold")&gt;0,'MiT Strom Pipeline'!S8,"")</f>
        <v/>
      </c>
      <c r="K77" s="31" t="str">
        <f aca="false">IF(('MiT Strom Pipeline'!R8="offered")+('MiT Strom Pipeline'!R8="to be offered")+('MiT Strom Pipeline'!R8="on hold")&gt;0,IF(LEN('MiT Strom Pipeline'!V8)&gt;0,LEFT('MiT Strom Pipeline'!V8,55),""),"")</f>
        <v/>
      </c>
    </row>
    <row r="78" customFormat="false" ht="15.75" hidden="false" customHeight="true" outlineLevel="0" collapsed="false">
      <c r="A78" s="22" t="n">
        <f aca="false">IF(('MiT Strom Pipeline'!R9="offered")+('MiT Strom Pipeline'!R9="to be offered")+('MiT Strom Pipeline'!R9="on hold")&gt;0,IF(ISNUMBER('MiT Strom Pipeline'!A9),'MiT Strom Pipeline'!A9,""),"")</f>
        <v>4</v>
      </c>
      <c r="B78" s="23" t="str">
        <f aca="false">IF(('MiT Strom Pipeline'!R9="offered")+('MiT Strom Pipeline'!R9="to be offered")+('MiT Strom Pipeline'!R9="on hold")&gt;0,'MiT Strom Pipeline'!B9,"")</f>
        <v>Stagelight – OpenAir Frauenfeld</v>
      </c>
      <c r="C78" s="22" t="str">
        <f aca="false">IF(('MiT Strom Pipeline'!R9="offered")+('MiT Strom Pipeline'!R9="to be offered")+('MiT Strom Pipeline'!R9="on hold")&gt;0,'MiT Strom Pipeline'!C9,"")</f>
        <v>TG</v>
      </c>
      <c r="D78" s="23" t="str">
        <f aca="false">IF(('MiT Strom Pipeline'!R9="offered")+('MiT Strom Pipeline'!R9="to be offered")+('MiT Strom Pipeline'!R9="on hold")&gt;0,'MiT Strom Pipeline'!D9,"")</f>
        <v>Events &amp; Kultur</v>
      </c>
      <c r="E78" s="23" t="str">
        <f aca="false">IF(('MiT Strom Pipeline'!R9="offered")+('MiT Strom Pipeline'!R9="to be offered")+('MiT Strom Pipeline'!R9="on hold")&gt;0,'MiT Strom Pipeline'!E9,"")</f>
        <v>~500 kVA Generator</v>
      </c>
      <c r="F78" s="24" t="n">
        <f aca="false">IF(('MiT Strom Pipeline'!R9="offered")+('MiT Strom Pipeline'!R9="to be offered")+('MiT Strom Pipeline'!R9="on hold")&gt;0,IF(ISNUMBER('MiT Strom Pipeline'!I9),'MiT Strom Pipeline'!I9,0),"")</f>
        <v>150000</v>
      </c>
      <c r="G78" s="24" t="n">
        <f aca="false">IF(('MiT Strom Pipeline'!R9="offered")+('MiT Strom Pipeline'!R9="to be offered")+('MiT Strom Pipeline'!R9="on hold")&gt;0,IF(ISNUMBER('MiT Strom Pipeline'!Q9),'MiT Strom Pipeline'!Q9,0),"")</f>
        <v>1350</v>
      </c>
      <c r="H78" s="24" t="n">
        <f aca="false">IF(('MiT Strom Pipeline'!R9="offered")+('MiT Strom Pipeline'!R9="to be offered")+('MiT Strom Pipeline'!R9="on hold")&gt;0,IF(ISNUMBER('MiT Strom Pipeline'!O9),'MiT Strom Pipeline'!O9,0),"")</f>
        <v>39500</v>
      </c>
      <c r="I78" s="22" t="str">
        <f aca="false">IF(('MiT Strom Pipeline'!R9="offered")+('MiT Strom Pipeline'!R9="to be offered")+('MiT Strom Pipeline'!R9="on hold")&gt;0,'MiT Strom Pipeline'!R9,"")</f>
        <v>offered</v>
      </c>
      <c r="J78" s="22" t="str">
        <f aca="false">IF(('MiT Strom Pipeline'!R9="offered")+('MiT Strom Pipeline'!R9="to be offered")+('MiT Strom Pipeline'!R9="on hold")&gt;0,'MiT Strom Pipeline'!S9,"")</f>
        <v>90%</v>
      </c>
      <c r="K78" s="23" t="str">
        <f aca="false">IF(('MiT Strom Pipeline'!R9="offered")+('MiT Strom Pipeline'!R9="to be offered")+('MiT Strom Pipeline'!R9="on hold")&gt;0,IF(LEN('MiT Strom Pipeline'!V9)&gt;0,LEFT('MiT Strom Pipeline'!V9,55),""),"")</f>
        <v>Follow-up + Vertragsverhandlung initiieren</v>
      </c>
    </row>
    <row r="79" customFormat="false" ht="15.75" hidden="false" customHeight="true" outlineLevel="0" collapsed="false">
      <c r="A79" s="30" t="n">
        <f aca="false">IF(('MiT Strom Pipeline'!R10="offered")+('MiT Strom Pipeline'!R10="to be offered")+('MiT Strom Pipeline'!R10="on hold")&gt;0,IF(ISNUMBER('MiT Strom Pipeline'!A10),'MiT Strom Pipeline'!A10,""),"")</f>
        <v>6</v>
      </c>
      <c r="B79" s="31" t="str">
        <f aca="false">IF(('MiT Strom Pipeline'!R10="offered")+('MiT Strom Pipeline'!R10="to be offered")+('MiT Strom Pipeline'!R10="on hold")&gt;0,'MiT Strom Pipeline'!B10,"")</f>
        <v>Wincasa Solothurn</v>
      </c>
      <c r="C79" s="30" t="str">
        <f aca="false">IF(('MiT Strom Pipeline'!R10="offered")+('MiT Strom Pipeline'!R10="to be offered")+('MiT Strom Pipeline'!R10="on hold")&gt;0,'MiT Strom Pipeline'!C10,"")</f>
        <v>SO</v>
      </c>
      <c r="D79" s="31" t="str">
        <f aca="false">IF(('MiT Strom Pipeline'!R10="offered")+('MiT Strom Pipeline'!R10="to be offered")+('MiT Strom Pipeline'!R10="on hold")&gt;0,'MiT Strom Pipeline'!D10,"")</f>
        <v>Immobilien / FM</v>
      </c>
      <c r="E79" s="31" t="str">
        <f aca="false">IF(('MiT Strom Pipeline'!R10="offered")+('MiT Strom Pipeline'!R10="to be offered")+('MiT Strom Pipeline'!R10="on hold")&gt;0,'MiT Strom Pipeline'!E10,"")</f>
        <v>BESS 1 MWh</v>
      </c>
      <c r="F79" s="32" t="n">
        <f aca="false">IF(('MiT Strom Pipeline'!R10="offered")+('MiT Strom Pipeline'!R10="to be offered")+('MiT Strom Pipeline'!R10="on hold")&gt;0,IF(ISNUMBER('MiT Strom Pipeline'!I10),'MiT Strom Pipeline'!I10,0),"")</f>
        <v>390000</v>
      </c>
      <c r="G79" s="32" t="n">
        <f aca="false">IF(('MiT Strom Pipeline'!R10="offered")+('MiT Strom Pipeline'!R10="to be offered")+('MiT Strom Pipeline'!R10="on hold")&gt;0,IF(ISNUMBER('MiT Strom Pipeline'!Q10),'MiT Strom Pipeline'!Q10,0),"")</f>
        <v>1950</v>
      </c>
      <c r="H79" s="32" t="n">
        <f aca="false">IF(('MiT Strom Pipeline'!R10="offered")+('MiT Strom Pipeline'!R10="to be offered")+('MiT Strom Pipeline'!R10="on hold")&gt;0,IF(ISNUMBER('MiT Strom Pipeline'!O10),'MiT Strom Pipeline'!O10,0),"")</f>
        <v>118000</v>
      </c>
      <c r="I79" s="30" t="str">
        <f aca="false">IF(('MiT Strom Pipeline'!R10="offered")+('MiT Strom Pipeline'!R10="to be offered")+('MiT Strom Pipeline'!R10="on hold")&gt;0,'MiT Strom Pipeline'!R10,"")</f>
        <v>on hold</v>
      </c>
      <c r="J79" s="30" t="str">
        <f aca="false">IF(('MiT Strom Pipeline'!R10="offered")+('MiT Strom Pipeline'!R10="to be offered")+('MiT Strom Pipeline'!R10="on hold")&gt;0,'MiT Strom Pipeline'!S10,"")</f>
        <v>50%</v>
      </c>
      <c r="K79" s="31" t="str">
        <f aca="false">IF(('MiT Strom Pipeline'!R10="offered")+('MiT Strom Pipeline'!R10="to be offered")+('MiT Strom Pipeline'!R10="on hold")&gt;0,IF(LEN('MiT Strom Pipeline'!V10)&gt;0,LEFT('MiT Strom Pipeline'!V10,55),""),"")</f>
        <v>Entscheider-Meeting anfordern, Businesscase Energie-ROI</v>
      </c>
    </row>
    <row r="80" customFormat="false" ht="15.75" hidden="false" customHeight="true" outlineLevel="0" collapsed="false">
      <c r="A80" s="22" t="str">
        <f aca="false">IF(('MiT Strom Pipeline'!R11="offered")+('MiT Strom Pipeline'!R11="to be offered")+('MiT Strom Pipeline'!R11="on hold")&gt;0,IF(ISNUMBER('MiT Strom Pipeline'!A11),'MiT Strom Pipeline'!A11,""),"")</f>
        <v/>
      </c>
      <c r="B80" s="23" t="str">
        <f aca="false">IF(('MiT Strom Pipeline'!R11="offered")+('MiT Strom Pipeline'!R11="to be offered")+('MiT Strom Pipeline'!R11="on hold")&gt;0,'MiT Strom Pipeline'!B11,"")</f>
        <v/>
      </c>
      <c r="C80" s="22" t="str">
        <f aca="false">IF(('MiT Strom Pipeline'!R11="offered")+('MiT Strom Pipeline'!R11="to be offered")+('MiT Strom Pipeline'!R11="on hold")&gt;0,'MiT Strom Pipeline'!C11,"")</f>
        <v/>
      </c>
      <c r="D80" s="23" t="str">
        <f aca="false">IF(('MiT Strom Pipeline'!R11="offered")+('MiT Strom Pipeline'!R11="to be offered")+('MiT Strom Pipeline'!R11="on hold")&gt;0,'MiT Strom Pipeline'!D11,"")</f>
        <v/>
      </c>
      <c r="E80" s="23" t="str">
        <f aca="false">IF(('MiT Strom Pipeline'!R11="offered")+('MiT Strom Pipeline'!R11="to be offered")+('MiT Strom Pipeline'!R11="on hold")&gt;0,'MiT Strom Pipeline'!E11,"")</f>
        <v/>
      </c>
      <c r="F80" s="24" t="str">
        <f aca="false">IF(('MiT Strom Pipeline'!R11="offered")+('MiT Strom Pipeline'!R11="to be offered")+('MiT Strom Pipeline'!R11="on hold")&gt;0,IF(ISNUMBER('MiT Strom Pipeline'!I11),'MiT Strom Pipeline'!I11,0),"")</f>
        <v/>
      </c>
      <c r="G80" s="24" t="str">
        <f aca="false">IF(('MiT Strom Pipeline'!R11="offered")+('MiT Strom Pipeline'!R11="to be offered")+('MiT Strom Pipeline'!R11="on hold")&gt;0,IF(ISNUMBER('MiT Strom Pipeline'!Q11),'MiT Strom Pipeline'!Q11,0),"")</f>
        <v/>
      </c>
      <c r="H80" s="24" t="str">
        <f aca="false">IF(('MiT Strom Pipeline'!R11="offered")+('MiT Strom Pipeline'!R11="to be offered")+('MiT Strom Pipeline'!R11="on hold")&gt;0,IF(ISNUMBER('MiT Strom Pipeline'!O11),'MiT Strom Pipeline'!O11,0),"")</f>
        <v/>
      </c>
      <c r="I80" s="22" t="str">
        <f aca="false">IF(('MiT Strom Pipeline'!R11="offered")+('MiT Strom Pipeline'!R11="to be offered")+('MiT Strom Pipeline'!R11="on hold")&gt;0,'MiT Strom Pipeline'!R11,"")</f>
        <v/>
      </c>
      <c r="J80" s="22" t="str">
        <f aca="false">IF(('MiT Strom Pipeline'!R11="offered")+('MiT Strom Pipeline'!R11="to be offered")+('MiT Strom Pipeline'!R11="on hold")&gt;0,'MiT Strom Pipeline'!S11,"")</f>
        <v/>
      </c>
      <c r="K80" s="23" t="str">
        <f aca="false">IF(('MiT Strom Pipeline'!R11="offered")+('MiT Strom Pipeline'!R11="to be offered")+('MiT Strom Pipeline'!R11="on hold")&gt;0,IF(LEN('MiT Strom Pipeline'!V11)&gt;0,LEFT('MiT Strom Pipeline'!V11,55),""),"")</f>
        <v/>
      </c>
    </row>
    <row r="81" customFormat="false" ht="15.75" hidden="false" customHeight="true" outlineLevel="0" collapsed="false">
      <c r="A81" s="30" t="str">
        <f aca="false">IF(('MiT Strom Pipeline'!R12="offered")+('MiT Strom Pipeline'!R12="to be offered")+('MiT Strom Pipeline'!R12="on hold")&gt;0,IF(ISNUMBER('MiT Strom Pipeline'!A12),'MiT Strom Pipeline'!A12,""),"")</f>
        <v/>
      </c>
      <c r="B81" s="31" t="str">
        <f aca="false">IF(('MiT Strom Pipeline'!R12="offered")+('MiT Strom Pipeline'!R12="to be offered")+('MiT Strom Pipeline'!R12="on hold")&gt;0,'MiT Strom Pipeline'!B12,"")</f>
        <v/>
      </c>
      <c r="C81" s="30" t="str">
        <f aca="false">IF(('MiT Strom Pipeline'!R12="offered")+('MiT Strom Pipeline'!R12="to be offered")+('MiT Strom Pipeline'!R12="on hold")&gt;0,'MiT Strom Pipeline'!C12,"")</f>
        <v/>
      </c>
      <c r="D81" s="31" t="str">
        <f aca="false">IF(('MiT Strom Pipeline'!R12="offered")+('MiT Strom Pipeline'!R12="to be offered")+('MiT Strom Pipeline'!R12="on hold")&gt;0,'MiT Strom Pipeline'!D12,"")</f>
        <v/>
      </c>
      <c r="E81" s="31" t="str">
        <f aca="false">IF(('MiT Strom Pipeline'!R12="offered")+('MiT Strom Pipeline'!R12="to be offered")+('MiT Strom Pipeline'!R12="on hold")&gt;0,'MiT Strom Pipeline'!E12,"")</f>
        <v/>
      </c>
      <c r="F81" s="32" t="str">
        <f aca="false">IF(('MiT Strom Pipeline'!R12="offered")+('MiT Strom Pipeline'!R12="to be offered")+('MiT Strom Pipeline'!R12="on hold")&gt;0,IF(ISNUMBER('MiT Strom Pipeline'!I12),'MiT Strom Pipeline'!I12,0),"")</f>
        <v/>
      </c>
      <c r="G81" s="32" t="str">
        <f aca="false">IF(('MiT Strom Pipeline'!R12="offered")+('MiT Strom Pipeline'!R12="to be offered")+('MiT Strom Pipeline'!R12="on hold")&gt;0,IF(ISNUMBER('MiT Strom Pipeline'!Q12),'MiT Strom Pipeline'!Q12,0),"")</f>
        <v/>
      </c>
      <c r="H81" s="32" t="str">
        <f aca="false">IF(('MiT Strom Pipeline'!R12="offered")+('MiT Strom Pipeline'!R12="to be offered")+('MiT Strom Pipeline'!R12="on hold")&gt;0,IF(ISNUMBER('MiT Strom Pipeline'!O12),'MiT Strom Pipeline'!O12,0),"")</f>
        <v/>
      </c>
      <c r="I81" s="30" t="str">
        <f aca="false">IF(('MiT Strom Pipeline'!R12="offered")+('MiT Strom Pipeline'!R12="to be offered")+('MiT Strom Pipeline'!R12="on hold")&gt;0,'MiT Strom Pipeline'!R12,"")</f>
        <v/>
      </c>
      <c r="J81" s="30" t="str">
        <f aca="false">IF(('MiT Strom Pipeline'!R12="offered")+('MiT Strom Pipeline'!R12="to be offered")+('MiT Strom Pipeline'!R12="on hold")&gt;0,'MiT Strom Pipeline'!S12,"")</f>
        <v/>
      </c>
      <c r="K81" s="31" t="str">
        <f aca="false">IF(('MiT Strom Pipeline'!R12="offered")+('MiT Strom Pipeline'!R12="to be offered")+('MiT Strom Pipeline'!R12="on hold")&gt;0,IF(LEN('MiT Strom Pipeline'!V12)&gt;0,LEFT('MiT Strom Pipeline'!V12,55),""),"")</f>
        <v/>
      </c>
    </row>
    <row r="82" customFormat="false" ht="15.75" hidden="false" customHeight="true" outlineLevel="0" collapsed="false">
      <c r="A82" s="22" t="str">
        <f aca="false">IF(('MiT Strom Pipeline'!R13="offered")+('MiT Strom Pipeline'!R13="to be offered")+('MiT Strom Pipeline'!R13="on hold")&gt;0,IF(ISNUMBER('MiT Strom Pipeline'!A13),'MiT Strom Pipeline'!A13,""),"")</f>
        <v/>
      </c>
      <c r="B82" s="23" t="str">
        <f aca="false">IF(('MiT Strom Pipeline'!R13="offered")+('MiT Strom Pipeline'!R13="to be offered")+('MiT Strom Pipeline'!R13="on hold")&gt;0,'MiT Strom Pipeline'!B13,"")</f>
        <v/>
      </c>
      <c r="C82" s="22" t="str">
        <f aca="false">IF(('MiT Strom Pipeline'!R13="offered")+('MiT Strom Pipeline'!R13="to be offered")+('MiT Strom Pipeline'!R13="on hold")&gt;0,'MiT Strom Pipeline'!C13,"")</f>
        <v/>
      </c>
      <c r="D82" s="23" t="str">
        <f aca="false">IF(('MiT Strom Pipeline'!R13="offered")+('MiT Strom Pipeline'!R13="to be offered")+('MiT Strom Pipeline'!R13="on hold")&gt;0,'MiT Strom Pipeline'!D13,"")</f>
        <v/>
      </c>
      <c r="E82" s="23" t="str">
        <f aca="false">IF(('MiT Strom Pipeline'!R13="offered")+('MiT Strom Pipeline'!R13="to be offered")+('MiT Strom Pipeline'!R13="on hold")&gt;0,'MiT Strom Pipeline'!E13,"")</f>
        <v/>
      </c>
      <c r="F82" s="24" t="str">
        <f aca="false">IF(('MiT Strom Pipeline'!R13="offered")+('MiT Strom Pipeline'!R13="to be offered")+('MiT Strom Pipeline'!R13="on hold")&gt;0,IF(ISNUMBER('MiT Strom Pipeline'!I13),'MiT Strom Pipeline'!I13,0),"")</f>
        <v/>
      </c>
      <c r="G82" s="24" t="str">
        <f aca="false">IF(('MiT Strom Pipeline'!R13="offered")+('MiT Strom Pipeline'!R13="to be offered")+('MiT Strom Pipeline'!R13="on hold")&gt;0,IF(ISNUMBER('MiT Strom Pipeline'!Q13),'MiT Strom Pipeline'!Q13,0),"")</f>
        <v/>
      </c>
      <c r="H82" s="24" t="str">
        <f aca="false">IF(('MiT Strom Pipeline'!R13="offered")+('MiT Strom Pipeline'!R13="to be offered")+('MiT Strom Pipeline'!R13="on hold")&gt;0,IF(ISNUMBER('MiT Strom Pipeline'!O13),'MiT Strom Pipeline'!O13,0),"")</f>
        <v/>
      </c>
      <c r="I82" s="22" t="str">
        <f aca="false">IF(('MiT Strom Pipeline'!R13="offered")+('MiT Strom Pipeline'!R13="to be offered")+('MiT Strom Pipeline'!R13="on hold")&gt;0,'MiT Strom Pipeline'!R13,"")</f>
        <v/>
      </c>
      <c r="J82" s="22" t="str">
        <f aca="false">IF(('MiT Strom Pipeline'!R13="offered")+('MiT Strom Pipeline'!R13="to be offered")+('MiT Strom Pipeline'!R13="on hold")&gt;0,'MiT Strom Pipeline'!S13,"")</f>
        <v/>
      </c>
      <c r="K82" s="23" t="str">
        <f aca="false">IF(('MiT Strom Pipeline'!R13="offered")+('MiT Strom Pipeline'!R13="to be offered")+('MiT Strom Pipeline'!R13="on hold")&gt;0,IF(LEN('MiT Strom Pipeline'!V13)&gt;0,LEFT('MiT Strom Pipeline'!V13,55),""),"")</f>
        <v/>
      </c>
    </row>
    <row r="83" customFormat="false" ht="15.75" hidden="false" customHeight="true" outlineLevel="0" collapsed="false">
      <c r="A83" s="30" t="str">
        <f aca="false">IF(('MiT Strom Pipeline'!R14="offered")+('MiT Strom Pipeline'!R14="to be offered")+('MiT Strom Pipeline'!R14="on hold")&gt;0,IF(ISNUMBER('MiT Strom Pipeline'!A14),'MiT Strom Pipeline'!A14,""),"")</f>
        <v/>
      </c>
      <c r="B83" s="31" t="str">
        <f aca="false">IF(('MiT Strom Pipeline'!R14="offered")+('MiT Strom Pipeline'!R14="to be offered")+('MiT Strom Pipeline'!R14="on hold")&gt;0,'MiT Strom Pipeline'!B14,"")</f>
        <v/>
      </c>
      <c r="C83" s="30" t="str">
        <f aca="false">IF(('MiT Strom Pipeline'!R14="offered")+('MiT Strom Pipeline'!R14="to be offered")+('MiT Strom Pipeline'!R14="on hold")&gt;0,'MiT Strom Pipeline'!C14,"")</f>
        <v/>
      </c>
      <c r="D83" s="31" t="str">
        <f aca="false">IF(('MiT Strom Pipeline'!R14="offered")+('MiT Strom Pipeline'!R14="to be offered")+('MiT Strom Pipeline'!R14="on hold")&gt;0,'MiT Strom Pipeline'!D14,"")</f>
        <v/>
      </c>
      <c r="E83" s="31" t="str">
        <f aca="false">IF(('MiT Strom Pipeline'!R14="offered")+('MiT Strom Pipeline'!R14="to be offered")+('MiT Strom Pipeline'!R14="on hold")&gt;0,'MiT Strom Pipeline'!E14,"")</f>
        <v/>
      </c>
      <c r="F83" s="32" t="str">
        <f aca="false">IF(('MiT Strom Pipeline'!R14="offered")+('MiT Strom Pipeline'!R14="to be offered")+('MiT Strom Pipeline'!R14="on hold")&gt;0,IF(ISNUMBER('MiT Strom Pipeline'!I14),'MiT Strom Pipeline'!I14,0),"")</f>
        <v/>
      </c>
      <c r="G83" s="32" t="str">
        <f aca="false">IF(('MiT Strom Pipeline'!R14="offered")+('MiT Strom Pipeline'!R14="to be offered")+('MiT Strom Pipeline'!R14="on hold")&gt;0,IF(ISNUMBER('MiT Strom Pipeline'!Q14),'MiT Strom Pipeline'!Q14,0),"")</f>
        <v/>
      </c>
      <c r="H83" s="32" t="str">
        <f aca="false">IF(('MiT Strom Pipeline'!R14="offered")+('MiT Strom Pipeline'!R14="to be offered")+('MiT Strom Pipeline'!R14="on hold")&gt;0,IF(ISNUMBER('MiT Strom Pipeline'!O14),'MiT Strom Pipeline'!O14,0),"")</f>
        <v/>
      </c>
      <c r="I83" s="30" t="str">
        <f aca="false">IF(('MiT Strom Pipeline'!R14="offered")+('MiT Strom Pipeline'!R14="to be offered")+('MiT Strom Pipeline'!R14="on hold")&gt;0,'MiT Strom Pipeline'!R14,"")</f>
        <v/>
      </c>
      <c r="J83" s="30" t="str">
        <f aca="false">IF(('MiT Strom Pipeline'!R14="offered")+('MiT Strom Pipeline'!R14="to be offered")+('MiT Strom Pipeline'!R14="on hold")&gt;0,'MiT Strom Pipeline'!S14,"")</f>
        <v/>
      </c>
      <c r="K83" s="31" t="str">
        <f aca="false">IF(('MiT Strom Pipeline'!R14="offered")+('MiT Strom Pipeline'!R14="to be offered")+('MiT Strom Pipeline'!R14="on hold")&gt;0,IF(LEN('MiT Strom Pipeline'!V14)&gt;0,LEFT('MiT Strom Pipeline'!V14,55),""),"")</f>
        <v/>
      </c>
    </row>
    <row r="84" customFormat="false" ht="15.75" hidden="false" customHeight="true" outlineLevel="0" collapsed="false">
      <c r="A84" s="22" t="str">
        <f aca="false">IF(('MiT Strom Pipeline'!R15="offered")+('MiT Strom Pipeline'!R15="to be offered")+('MiT Strom Pipeline'!R15="on hold")&gt;0,IF(ISNUMBER('MiT Strom Pipeline'!A15),'MiT Strom Pipeline'!A15,""),"")</f>
        <v/>
      </c>
      <c r="B84" s="23" t="str">
        <f aca="false">IF(('MiT Strom Pipeline'!R15="offered")+('MiT Strom Pipeline'!R15="to be offered")+('MiT Strom Pipeline'!R15="on hold")&gt;0,'MiT Strom Pipeline'!B15,"")</f>
        <v/>
      </c>
      <c r="C84" s="22" t="str">
        <f aca="false">IF(('MiT Strom Pipeline'!R15="offered")+('MiT Strom Pipeline'!R15="to be offered")+('MiT Strom Pipeline'!R15="on hold")&gt;0,'MiT Strom Pipeline'!C15,"")</f>
        <v/>
      </c>
      <c r="D84" s="23" t="str">
        <f aca="false">IF(('MiT Strom Pipeline'!R15="offered")+('MiT Strom Pipeline'!R15="to be offered")+('MiT Strom Pipeline'!R15="on hold")&gt;0,'MiT Strom Pipeline'!D15,"")</f>
        <v/>
      </c>
      <c r="E84" s="23" t="str">
        <f aca="false">IF(('MiT Strom Pipeline'!R15="offered")+('MiT Strom Pipeline'!R15="to be offered")+('MiT Strom Pipeline'!R15="on hold")&gt;0,'MiT Strom Pipeline'!E15,"")</f>
        <v/>
      </c>
      <c r="F84" s="24" t="str">
        <f aca="false">IF(('MiT Strom Pipeline'!R15="offered")+('MiT Strom Pipeline'!R15="to be offered")+('MiT Strom Pipeline'!R15="on hold")&gt;0,IF(ISNUMBER('MiT Strom Pipeline'!I15),'MiT Strom Pipeline'!I15,0),"")</f>
        <v/>
      </c>
      <c r="G84" s="24" t="str">
        <f aca="false">IF(('MiT Strom Pipeline'!R15="offered")+('MiT Strom Pipeline'!R15="to be offered")+('MiT Strom Pipeline'!R15="on hold")&gt;0,IF(ISNUMBER('MiT Strom Pipeline'!Q15),'MiT Strom Pipeline'!Q15,0),"")</f>
        <v/>
      </c>
      <c r="H84" s="24" t="str">
        <f aca="false">IF(('MiT Strom Pipeline'!R15="offered")+('MiT Strom Pipeline'!R15="to be offered")+('MiT Strom Pipeline'!R15="on hold")&gt;0,IF(ISNUMBER('MiT Strom Pipeline'!O15),'MiT Strom Pipeline'!O15,0),"")</f>
        <v/>
      </c>
      <c r="I84" s="22" t="str">
        <f aca="false">IF(('MiT Strom Pipeline'!R15="offered")+('MiT Strom Pipeline'!R15="to be offered")+('MiT Strom Pipeline'!R15="on hold")&gt;0,'MiT Strom Pipeline'!R15,"")</f>
        <v/>
      </c>
      <c r="J84" s="22" t="str">
        <f aca="false">IF(('MiT Strom Pipeline'!R15="offered")+('MiT Strom Pipeline'!R15="to be offered")+('MiT Strom Pipeline'!R15="on hold")&gt;0,'MiT Strom Pipeline'!S15,"")</f>
        <v/>
      </c>
      <c r="K84" s="23" t="str">
        <f aca="false">IF(('MiT Strom Pipeline'!R15="offered")+('MiT Strom Pipeline'!R15="to be offered")+('MiT Strom Pipeline'!R15="on hold")&gt;0,IF(LEN('MiT Strom Pipeline'!V15)&gt;0,LEFT('MiT Strom Pipeline'!V15,55),""),"")</f>
        <v/>
      </c>
    </row>
    <row r="85" customFormat="false" ht="15.75" hidden="false" customHeight="true" outlineLevel="0" collapsed="false">
      <c r="A85" s="30" t="str">
        <f aca="false">IF(('MiT Strom Pipeline'!R16="offered")+('MiT Strom Pipeline'!R16="to be offered")+('MiT Strom Pipeline'!R16="on hold")&gt;0,IF(ISNUMBER('MiT Strom Pipeline'!A16),'MiT Strom Pipeline'!A16,""),"")</f>
        <v/>
      </c>
      <c r="B85" s="31" t="str">
        <f aca="false">IF(('MiT Strom Pipeline'!R16="offered")+('MiT Strom Pipeline'!R16="to be offered")+('MiT Strom Pipeline'!R16="on hold")&gt;0,'MiT Strom Pipeline'!B16,"")</f>
        <v/>
      </c>
      <c r="C85" s="30" t="str">
        <f aca="false">IF(('MiT Strom Pipeline'!R16="offered")+('MiT Strom Pipeline'!R16="to be offered")+('MiT Strom Pipeline'!R16="on hold")&gt;0,'MiT Strom Pipeline'!C16,"")</f>
        <v/>
      </c>
      <c r="D85" s="31" t="str">
        <f aca="false">IF(('MiT Strom Pipeline'!R16="offered")+('MiT Strom Pipeline'!R16="to be offered")+('MiT Strom Pipeline'!R16="on hold")&gt;0,'MiT Strom Pipeline'!D16,"")</f>
        <v/>
      </c>
      <c r="E85" s="31" t="str">
        <f aca="false">IF(('MiT Strom Pipeline'!R16="offered")+('MiT Strom Pipeline'!R16="to be offered")+('MiT Strom Pipeline'!R16="on hold")&gt;0,'MiT Strom Pipeline'!E16,"")</f>
        <v/>
      </c>
      <c r="F85" s="32" t="str">
        <f aca="false">IF(('MiT Strom Pipeline'!R16="offered")+('MiT Strom Pipeline'!R16="to be offered")+('MiT Strom Pipeline'!R16="on hold")&gt;0,IF(ISNUMBER('MiT Strom Pipeline'!I16),'MiT Strom Pipeline'!I16,0),"")</f>
        <v/>
      </c>
      <c r="G85" s="32" t="str">
        <f aca="false">IF(('MiT Strom Pipeline'!R16="offered")+('MiT Strom Pipeline'!R16="to be offered")+('MiT Strom Pipeline'!R16="on hold")&gt;0,IF(ISNUMBER('MiT Strom Pipeline'!Q16),'MiT Strom Pipeline'!Q16,0),"")</f>
        <v/>
      </c>
      <c r="H85" s="32" t="str">
        <f aca="false">IF(('MiT Strom Pipeline'!R16="offered")+('MiT Strom Pipeline'!R16="to be offered")+('MiT Strom Pipeline'!R16="on hold")&gt;0,IF(ISNUMBER('MiT Strom Pipeline'!O16),'MiT Strom Pipeline'!O16,0),"")</f>
        <v/>
      </c>
      <c r="I85" s="30" t="str">
        <f aca="false">IF(('MiT Strom Pipeline'!R16="offered")+('MiT Strom Pipeline'!R16="to be offered")+('MiT Strom Pipeline'!R16="on hold")&gt;0,'MiT Strom Pipeline'!R16,"")</f>
        <v/>
      </c>
      <c r="J85" s="30" t="str">
        <f aca="false">IF(('MiT Strom Pipeline'!R16="offered")+('MiT Strom Pipeline'!R16="to be offered")+('MiT Strom Pipeline'!R16="on hold")&gt;0,'MiT Strom Pipeline'!S16,"")</f>
        <v/>
      </c>
      <c r="K85" s="31" t="str">
        <f aca="false">IF(('MiT Strom Pipeline'!R16="offered")+('MiT Strom Pipeline'!R16="to be offered")+('MiT Strom Pipeline'!R16="on hold")&gt;0,IF(LEN('MiT Strom Pipeline'!V16)&gt;0,LEFT('MiT Strom Pipeline'!V16,55),""),"")</f>
        <v/>
      </c>
    </row>
    <row r="86" customFormat="false" ht="15.75" hidden="false" customHeight="true" outlineLevel="0" collapsed="false">
      <c r="A86" s="22" t="n">
        <f aca="false">IF(('MiT Strom Pipeline'!R17="offered")+('MiT Strom Pipeline'!R17="to be offered")+('MiT Strom Pipeline'!R17="on hold")&gt;0,IF(ISNUMBER('MiT Strom Pipeline'!A17),'MiT Strom Pipeline'!A17,""),"")</f>
        <v>13</v>
      </c>
      <c r="B86" s="23" t="str">
        <f aca="false">IF(('MiT Strom Pipeline'!R17="offered")+('MiT Strom Pipeline'!R17="to be offered")+('MiT Strom Pipeline'!R17="on hold")&gt;0,'MiT Strom Pipeline'!B17,"")</f>
        <v>Proxima Fusion AG</v>
      </c>
      <c r="C86" s="22" t="str">
        <f aca="false">IF(('MiT Strom Pipeline'!R17="offered")+('MiT Strom Pipeline'!R17="to be offered")+('MiT Strom Pipeline'!R17="on hold")&gt;0,'MiT Strom Pipeline'!C17,"")</f>
        <v>ZH</v>
      </c>
      <c r="D86" s="23" t="str">
        <f aca="false">IF(('MiT Strom Pipeline'!R17="offered")+('MiT Strom Pipeline'!R17="to be offered")+('MiT Strom Pipeline'!R17="on hold")&gt;0,'MiT Strom Pipeline'!D17,"")</f>
        <v>Forschung / Hightech</v>
      </c>
      <c r="E86" s="23" t="str">
        <f aca="false">IF(('MiT Strom Pipeline'!R17="offered")+('MiT Strom Pipeline'!R17="to be offered")+('MiT Strom Pipeline'!R17="on hold")&gt;0,'MiT Strom Pipeline'!E17,"")</f>
        <v>BESS 1 MWh</v>
      </c>
      <c r="F86" s="24" t="n">
        <f aca="false">IF(('MiT Strom Pipeline'!R17="offered")+('MiT Strom Pipeline'!R17="to be offered")+('MiT Strom Pipeline'!R17="on hold")&gt;0,IF(ISNUMBER('MiT Strom Pipeline'!I17),'MiT Strom Pipeline'!I17,0),"")</f>
        <v>365003</v>
      </c>
      <c r="G86" s="24" t="n">
        <f aca="false">IF(('MiT Strom Pipeline'!R17="offered")+('MiT Strom Pipeline'!R17="to be offered")+('MiT Strom Pipeline'!R17="on hold")&gt;0,IF(ISNUMBER('MiT Strom Pipeline'!Q17),'MiT Strom Pipeline'!Q17,0),"")</f>
        <v>182501.5</v>
      </c>
      <c r="H86" s="24" t="n">
        <f aca="false">IF(('MiT Strom Pipeline'!R17="offered")+('MiT Strom Pipeline'!R17="to be offered")+('MiT Strom Pipeline'!R17="on hold")&gt;0,IF(ISNUMBER('MiT Strom Pipeline'!O17),'MiT Strom Pipeline'!O17,0),"")</f>
        <v>0</v>
      </c>
      <c r="I86" s="22" t="str">
        <f aca="false">IF(('MiT Strom Pipeline'!R17="offered")+('MiT Strom Pipeline'!R17="to be offered")+('MiT Strom Pipeline'!R17="on hold")&gt;0,'MiT Strom Pipeline'!R17,"")</f>
        <v>offered</v>
      </c>
      <c r="J86" s="22" t="n">
        <f aca="false">IF(('MiT Strom Pipeline'!R17="offered")+('MiT Strom Pipeline'!R17="to be offered")+('MiT Strom Pipeline'!R17="on hold")&gt;0,'MiT Strom Pipeline'!S17,"")</f>
        <v>50</v>
      </c>
      <c r="K86" s="23" t="str">
        <f aca="false">IF(('MiT Strom Pipeline'!R17="offered")+('MiT Strom Pipeline'!R17="to be offered")+('MiT Strom Pipeline'!R17="on hold")&gt;0,IF(LEN('MiT Strom Pipeline'!V17)&gt;0,LEFT('MiT Strom Pipeline'!V17,55),""),"")</f>
        <v>Technisches Gespräch – USV + PQ-Anforderungen klären, K</v>
      </c>
    </row>
    <row r="87" customFormat="false" ht="15.75" hidden="false" customHeight="true" outlineLevel="0" collapsed="false">
      <c r="A87" s="30" t="n">
        <f aca="false">IF(('MiT Strom Pipeline'!R18="offered")+('MiT Strom Pipeline'!R18="to be offered")+('MiT Strom Pipeline'!R18="on hold")&gt;0,IF(ISNUMBER('MiT Strom Pipeline'!A18),'MiT Strom Pipeline'!A18,""),"")</f>
        <v>14</v>
      </c>
      <c r="B87" s="31" t="str">
        <f aca="false">IF(('MiT Strom Pipeline'!R18="offered")+('MiT Strom Pipeline'!R18="to be offered")+('MiT Strom Pipeline'!R18="on hold")&gt;0,'MiT Strom Pipeline'!B18,"")</f>
        <v>Trafag AG</v>
      </c>
      <c r="C87" s="30" t="str">
        <f aca="false">IF(('MiT Strom Pipeline'!R18="offered")+('MiT Strom Pipeline'!R18="to be offered")+('MiT Strom Pipeline'!R18="on hold")&gt;0,'MiT Strom Pipeline'!C18,"")</f>
        <v>ZH</v>
      </c>
      <c r="D87" s="31" t="str">
        <f aca="false">IF(('MiT Strom Pipeline'!R18="offered")+('MiT Strom Pipeline'!R18="to be offered")+('MiT Strom Pipeline'!R18="on hold")&gt;0,'MiT Strom Pipeline'!D18,"")</f>
        <v>Industrie / Messtechnik</v>
      </c>
      <c r="E87" s="31" t="str">
        <f aca="false">IF(('MiT Strom Pipeline'!R18="offered")+('MiT Strom Pipeline'!R18="to be offered")+('MiT Strom Pipeline'!R18="on hold")&gt;0,'MiT Strom Pipeline'!E18,"")</f>
        <v>450 kVA Generator</v>
      </c>
      <c r="F87" s="32" t="n">
        <f aca="false">IF(('MiT Strom Pipeline'!R18="offered")+('MiT Strom Pipeline'!R18="to be offered")+('MiT Strom Pipeline'!R18="on hold")&gt;0,IF(ISNUMBER('MiT Strom Pipeline'!I18),'MiT Strom Pipeline'!I18,0),"")</f>
        <v>17300</v>
      </c>
      <c r="G87" s="32" t="n">
        <f aca="false">IF(('MiT Strom Pipeline'!R18="offered")+('MiT Strom Pipeline'!R18="to be offered")+('MiT Strom Pipeline'!R18="on hold")&gt;0,IF(ISNUMBER('MiT Strom Pipeline'!Q18),'MiT Strom Pipeline'!Q18,0),"")</f>
        <v>8650</v>
      </c>
      <c r="H87" s="32" t="n">
        <f aca="false">IF(('MiT Strom Pipeline'!R18="offered")+('MiT Strom Pipeline'!R18="to be offered")+('MiT Strom Pipeline'!R18="on hold")&gt;0,IF(ISNUMBER('MiT Strom Pipeline'!O18),'MiT Strom Pipeline'!O18,0),"")</f>
        <v>17300</v>
      </c>
      <c r="I87" s="30" t="str">
        <f aca="false">IF(('MiT Strom Pipeline'!R18="offered")+('MiT Strom Pipeline'!R18="to be offered")+('MiT Strom Pipeline'!R18="on hold")&gt;0,'MiT Strom Pipeline'!R18,"")</f>
        <v>offered</v>
      </c>
      <c r="J87" s="30" t="n">
        <f aca="false">IF(('MiT Strom Pipeline'!R18="offered")+('MiT Strom Pipeline'!R18="to be offered")+('MiT Strom Pipeline'!R18="on hold")&gt;0,'MiT Strom Pipeline'!S18,"")</f>
        <v>0.5</v>
      </c>
      <c r="K87" s="31" t="str">
        <f aca="false">IF(('MiT Strom Pipeline'!R18="offered")+('MiT Strom Pipeline'!R18="to be offered")+('MiT Strom Pipeline'!R18="on hold")&gt;0,IF(LEN('MiT Strom Pipeline'!V18)&gt;0,LEFT('MiT Strom Pipeline'!V18,55),""),"")</f>
        <v>Angebot vorbereiten – PQ-Argument für Messtechnik, Stef</v>
      </c>
    </row>
    <row r="88" customFormat="false" ht="15.75" hidden="false" customHeight="true" outlineLevel="0" collapsed="false">
      <c r="A88" s="22" t="n">
        <f aca="false">IF(('MiT Strom Pipeline'!R19="offered")+('MiT Strom Pipeline'!R19="to be offered")+('MiT Strom Pipeline'!R19="on hold")&gt;0,IF(ISNUMBER('MiT Strom Pipeline'!A19),'MiT Strom Pipeline'!A19,""),"")</f>
        <v>14</v>
      </c>
      <c r="B88" s="23" t="str">
        <f aca="false">IF(('MiT Strom Pipeline'!R19="offered")+('MiT Strom Pipeline'!R19="to be offered")+('MiT Strom Pipeline'!R19="on hold")&gt;0,'MiT Strom Pipeline'!B19,"")</f>
        <v>Trafag AG</v>
      </c>
      <c r="C88" s="22" t="str">
        <f aca="false">IF(('MiT Strom Pipeline'!R19="offered")+('MiT Strom Pipeline'!R19="to be offered")+('MiT Strom Pipeline'!R19="on hold")&gt;0,'MiT Strom Pipeline'!C19,"")</f>
        <v>ZH</v>
      </c>
      <c r="D88" s="23" t="str">
        <f aca="false">IF(('MiT Strom Pipeline'!R19="offered")+('MiT Strom Pipeline'!R19="to be offered")+('MiT Strom Pipeline'!R19="on hold")&gt;0,'MiT Strom Pipeline'!D19,"")</f>
        <v>Industrie / Messtechnik</v>
      </c>
      <c r="E88" s="23" t="str">
        <f aca="false">IF(('MiT Strom Pipeline'!R19="offered")+('MiT Strom Pipeline'!R19="to be offered")+('MiT Strom Pipeline'!R19="on hold")&gt;0,'MiT Strom Pipeline'!E19,"")</f>
        <v>BESS 500 kVA</v>
      </c>
      <c r="F88" s="24" t="n">
        <f aca="false">IF(('MiT Strom Pipeline'!R19="offered")+('MiT Strom Pipeline'!R19="to be offered")+('MiT Strom Pipeline'!R19="on hold")&gt;0,IF(ISNUMBER('MiT Strom Pipeline'!I19),'MiT Strom Pipeline'!I19,0),"")</f>
        <v>21025</v>
      </c>
      <c r="G88" s="24" t="n">
        <f aca="false">IF(('MiT Strom Pipeline'!R19="offered")+('MiT Strom Pipeline'!R19="to be offered")+('MiT Strom Pipeline'!R19="on hold")&gt;0,IF(ISNUMBER('MiT Strom Pipeline'!Q19),'MiT Strom Pipeline'!Q19,0),"")</f>
        <v>10512.5</v>
      </c>
      <c r="H88" s="24" t="n">
        <f aca="false">IF(('MiT Strom Pipeline'!R19="offered")+('MiT Strom Pipeline'!R19="to be offered")+('MiT Strom Pipeline'!R19="on hold")&gt;0,IF(ISNUMBER('MiT Strom Pipeline'!O19),'MiT Strom Pipeline'!O19,0),"")</f>
        <v>21025</v>
      </c>
      <c r="I88" s="22" t="str">
        <f aca="false">IF(('MiT Strom Pipeline'!R19="offered")+('MiT Strom Pipeline'!R19="to be offered")+('MiT Strom Pipeline'!R19="on hold")&gt;0,'MiT Strom Pipeline'!R19,"")</f>
        <v>offered</v>
      </c>
      <c r="J88" s="22" t="n">
        <f aca="false">IF(('MiT Strom Pipeline'!R19="offered")+('MiT Strom Pipeline'!R19="to be offered")+('MiT Strom Pipeline'!R19="on hold")&gt;0,'MiT Strom Pipeline'!S19,"")</f>
        <v>0.5</v>
      </c>
      <c r="K88" s="23" t="str">
        <f aca="false">IF(('MiT Strom Pipeline'!R19="offered")+('MiT Strom Pipeline'!R19="to be offered")+('MiT Strom Pipeline'!R19="on hold")&gt;0,IF(LEN('MiT Strom Pipeline'!V19)&gt;0,LEFT('MiT Strom Pipeline'!V19,55),""),"")</f>
        <v>Angebot vorbereiten – PQ-Argument für Messtechnik, Stef</v>
      </c>
    </row>
    <row r="89" customFormat="false" ht="15.75" hidden="false" customHeight="true" outlineLevel="0" collapsed="false">
      <c r="A89" s="30" t="str">
        <f aca="false">IF(('MiT Strom Pipeline'!R20="offered")+('MiT Strom Pipeline'!R20="to be offered")+('MiT Strom Pipeline'!R20="on hold")&gt;0,IF(ISNUMBER('MiT Strom Pipeline'!A20),'MiT Strom Pipeline'!A20,""),"")</f>
        <v/>
      </c>
      <c r="B89" s="31" t="str">
        <f aca="false">IF(('MiT Strom Pipeline'!R20="offered")+('MiT Strom Pipeline'!R20="to be offered")+('MiT Strom Pipeline'!R20="on hold")&gt;0,'MiT Strom Pipeline'!B20,"")</f>
        <v/>
      </c>
      <c r="C89" s="30" t="str">
        <f aca="false">IF(('MiT Strom Pipeline'!R20="offered")+('MiT Strom Pipeline'!R20="to be offered")+('MiT Strom Pipeline'!R20="on hold")&gt;0,'MiT Strom Pipeline'!C20,"")</f>
        <v/>
      </c>
      <c r="D89" s="31" t="str">
        <f aca="false">IF(('MiT Strom Pipeline'!R20="offered")+('MiT Strom Pipeline'!R20="to be offered")+('MiT Strom Pipeline'!R20="on hold")&gt;0,'MiT Strom Pipeline'!D20,"")</f>
        <v/>
      </c>
      <c r="E89" s="31" t="str">
        <f aca="false">IF(('MiT Strom Pipeline'!R20="offered")+('MiT Strom Pipeline'!R20="to be offered")+('MiT Strom Pipeline'!R20="on hold")&gt;0,'MiT Strom Pipeline'!E20,"")</f>
        <v/>
      </c>
      <c r="F89" s="32" t="str">
        <f aca="false">IF(('MiT Strom Pipeline'!R20="offered")+('MiT Strom Pipeline'!R20="to be offered")+('MiT Strom Pipeline'!R20="on hold")&gt;0,IF(ISNUMBER('MiT Strom Pipeline'!I20),'MiT Strom Pipeline'!I20,0),"")</f>
        <v/>
      </c>
      <c r="G89" s="32" t="str">
        <f aca="false">IF(('MiT Strom Pipeline'!R20="offered")+('MiT Strom Pipeline'!R20="to be offered")+('MiT Strom Pipeline'!R20="on hold")&gt;0,IF(ISNUMBER('MiT Strom Pipeline'!Q20),'MiT Strom Pipeline'!Q20,0),"")</f>
        <v/>
      </c>
      <c r="H89" s="32" t="str">
        <f aca="false">IF(('MiT Strom Pipeline'!R20="offered")+('MiT Strom Pipeline'!R20="to be offered")+('MiT Strom Pipeline'!R20="on hold")&gt;0,IF(ISNUMBER('MiT Strom Pipeline'!O20),'MiT Strom Pipeline'!O20,0),"")</f>
        <v/>
      </c>
      <c r="I89" s="30" t="str">
        <f aca="false">IF(('MiT Strom Pipeline'!R20="offered")+('MiT Strom Pipeline'!R20="to be offered")+('MiT Strom Pipeline'!R20="on hold")&gt;0,'MiT Strom Pipeline'!R20,"")</f>
        <v/>
      </c>
      <c r="J89" s="30" t="str">
        <f aca="false">IF(('MiT Strom Pipeline'!R20="offered")+('MiT Strom Pipeline'!R20="to be offered")+('MiT Strom Pipeline'!R20="on hold")&gt;0,'MiT Strom Pipeline'!S20,"")</f>
        <v/>
      </c>
      <c r="K89" s="31" t="str">
        <f aca="false">IF(('MiT Strom Pipeline'!R20="offered")+('MiT Strom Pipeline'!R20="to be offered")+('MiT Strom Pipeline'!R20="on hold")&gt;0,IF(LEN('MiT Strom Pipeline'!V20)&gt;0,LEFT('MiT Strom Pipeline'!V20,55),""),"")</f>
        <v/>
      </c>
    </row>
    <row r="90" customFormat="false" ht="15.75" hidden="false" customHeight="true" outlineLevel="0" collapsed="false">
      <c r="A90" s="22" t="str">
        <f aca="false">IF(('MiT Strom Pipeline'!R21="offered")+('MiT Strom Pipeline'!R21="to be offered")+('MiT Strom Pipeline'!R21="on hold")&gt;0,IF(ISNUMBER('MiT Strom Pipeline'!A21),'MiT Strom Pipeline'!A21,""),"")</f>
        <v/>
      </c>
      <c r="B90" s="23" t="str">
        <f aca="false">IF(('MiT Strom Pipeline'!R21="offered")+('MiT Strom Pipeline'!R21="to be offered")+('MiT Strom Pipeline'!R21="on hold")&gt;0,'MiT Strom Pipeline'!B21,"")</f>
        <v/>
      </c>
      <c r="C90" s="22" t="str">
        <f aca="false">IF(('MiT Strom Pipeline'!R21="offered")+('MiT Strom Pipeline'!R21="to be offered")+('MiT Strom Pipeline'!R21="on hold")&gt;0,'MiT Strom Pipeline'!C21,"")</f>
        <v/>
      </c>
      <c r="D90" s="23" t="str">
        <f aca="false">IF(('MiT Strom Pipeline'!R21="offered")+('MiT Strom Pipeline'!R21="to be offered")+('MiT Strom Pipeline'!R21="on hold")&gt;0,'MiT Strom Pipeline'!D21,"")</f>
        <v/>
      </c>
      <c r="E90" s="23" t="str">
        <f aca="false">IF(('MiT Strom Pipeline'!R21="offered")+('MiT Strom Pipeline'!R21="to be offered")+('MiT Strom Pipeline'!R21="on hold")&gt;0,'MiT Strom Pipeline'!E21,"")</f>
        <v/>
      </c>
      <c r="F90" s="24" t="str">
        <f aca="false">IF(('MiT Strom Pipeline'!R21="offered")+('MiT Strom Pipeline'!R21="to be offered")+('MiT Strom Pipeline'!R21="on hold")&gt;0,IF(ISNUMBER('MiT Strom Pipeline'!I21),'MiT Strom Pipeline'!I21,0),"")</f>
        <v/>
      </c>
      <c r="G90" s="24" t="str">
        <f aca="false">IF(('MiT Strom Pipeline'!R21="offered")+('MiT Strom Pipeline'!R21="to be offered")+('MiT Strom Pipeline'!R21="on hold")&gt;0,IF(ISNUMBER('MiT Strom Pipeline'!Q21),'MiT Strom Pipeline'!Q21,0),"")</f>
        <v/>
      </c>
      <c r="H90" s="24" t="str">
        <f aca="false">IF(('MiT Strom Pipeline'!R21="offered")+('MiT Strom Pipeline'!R21="to be offered")+('MiT Strom Pipeline'!R21="on hold")&gt;0,IF(ISNUMBER('MiT Strom Pipeline'!O21),'MiT Strom Pipeline'!O21,0),"")</f>
        <v/>
      </c>
      <c r="I90" s="22" t="str">
        <f aca="false">IF(('MiT Strom Pipeline'!R21="offered")+('MiT Strom Pipeline'!R21="to be offered")+('MiT Strom Pipeline'!R21="on hold")&gt;0,'MiT Strom Pipeline'!R21,"")</f>
        <v/>
      </c>
      <c r="J90" s="22" t="str">
        <f aca="false">IF(('MiT Strom Pipeline'!R21="offered")+('MiT Strom Pipeline'!R21="to be offered")+('MiT Strom Pipeline'!R21="on hold")&gt;0,'MiT Strom Pipeline'!S21,"")</f>
        <v/>
      </c>
      <c r="K90" s="23" t="str">
        <f aca="false">IF(('MiT Strom Pipeline'!R21="offered")+('MiT Strom Pipeline'!R21="to be offered")+('MiT Strom Pipeline'!R21="on hold")&gt;0,IF(LEN('MiT Strom Pipeline'!V21)&gt;0,LEFT('MiT Strom Pipeline'!V21,55),""),"")</f>
        <v/>
      </c>
    </row>
    <row r="91" customFormat="false" ht="15.75" hidden="false" customHeight="true" outlineLevel="0" collapsed="false">
      <c r="A91" s="30" t="str">
        <f aca="false">IF(('MiT Strom Pipeline'!R22="offered")+('MiT Strom Pipeline'!R22="to be offered")+('MiT Strom Pipeline'!R22="on hold")&gt;0,IF(ISNUMBER('MiT Strom Pipeline'!A22),'MiT Strom Pipeline'!A22,""),"")</f>
        <v/>
      </c>
      <c r="B91" s="31" t="str">
        <f aca="false">IF(('MiT Strom Pipeline'!R22="offered")+('MiT Strom Pipeline'!R22="to be offered")+('MiT Strom Pipeline'!R22="on hold")&gt;0,'MiT Strom Pipeline'!B22,"")</f>
        <v/>
      </c>
      <c r="C91" s="30" t="str">
        <f aca="false">IF(('MiT Strom Pipeline'!R22="offered")+('MiT Strom Pipeline'!R22="to be offered")+('MiT Strom Pipeline'!R22="on hold")&gt;0,'MiT Strom Pipeline'!C22,"")</f>
        <v/>
      </c>
      <c r="D91" s="31" t="str">
        <f aca="false">IF(('MiT Strom Pipeline'!R22="offered")+('MiT Strom Pipeline'!R22="to be offered")+('MiT Strom Pipeline'!R22="on hold")&gt;0,'MiT Strom Pipeline'!D22,"")</f>
        <v/>
      </c>
      <c r="E91" s="31" t="str">
        <f aca="false">IF(('MiT Strom Pipeline'!R22="offered")+('MiT Strom Pipeline'!R22="to be offered")+('MiT Strom Pipeline'!R22="on hold")&gt;0,'MiT Strom Pipeline'!E22,"")</f>
        <v/>
      </c>
      <c r="F91" s="32" t="str">
        <f aca="false">IF(('MiT Strom Pipeline'!R22="offered")+('MiT Strom Pipeline'!R22="to be offered")+('MiT Strom Pipeline'!R22="on hold")&gt;0,IF(ISNUMBER('MiT Strom Pipeline'!I22),'MiT Strom Pipeline'!I22,0),"")</f>
        <v/>
      </c>
      <c r="G91" s="32" t="str">
        <f aca="false">IF(('MiT Strom Pipeline'!R22="offered")+('MiT Strom Pipeline'!R22="to be offered")+('MiT Strom Pipeline'!R22="on hold")&gt;0,IF(ISNUMBER('MiT Strom Pipeline'!Q22),'MiT Strom Pipeline'!Q22,0),"")</f>
        <v/>
      </c>
      <c r="H91" s="32" t="str">
        <f aca="false">IF(('MiT Strom Pipeline'!R22="offered")+('MiT Strom Pipeline'!R22="to be offered")+('MiT Strom Pipeline'!R22="on hold")&gt;0,IF(ISNUMBER('MiT Strom Pipeline'!O22),'MiT Strom Pipeline'!O22,0),"")</f>
        <v/>
      </c>
      <c r="I91" s="30" t="str">
        <f aca="false">IF(('MiT Strom Pipeline'!R22="offered")+('MiT Strom Pipeline'!R22="to be offered")+('MiT Strom Pipeline'!R22="on hold")&gt;0,'MiT Strom Pipeline'!R22,"")</f>
        <v/>
      </c>
      <c r="J91" s="30" t="str">
        <f aca="false">IF(('MiT Strom Pipeline'!R22="offered")+('MiT Strom Pipeline'!R22="to be offered")+('MiT Strom Pipeline'!R22="on hold")&gt;0,'MiT Strom Pipeline'!S22,"")</f>
        <v/>
      </c>
      <c r="K91" s="31" t="str">
        <f aca="false">IF(('MiT Strom Pipeline'!R22="offered")+('MiT Strom Pipeline'!R22="to be offered")+('MiT Strom Pipeline'!R22="on hold")&gt;0,IF(LEN('MiT Strom Pipeline'!V22)&gt;0,LEFT('MiT Strom Pipeline'!V22,55),""),"")</f>
        <v/>
      </c>
    </row>
    <row r="92" customFormat="false" ht="15.75" hidden="false" customHeight="true" outlineLevel="0" collapsed="false">
      <c r="A92" s="22" t="str">
        <f aca="false">IF(('MiT Strom Pipeline'!R23="offered")+('MiT Strom Pipeline'!R23="to be offered")+('MiT Strom Pipeline'!R23="on hold")&gt;0,IF(ISNUMBER('MiT Strom Pipeline'!A23),'MiT Strom Pipeline'!A23,""),"")</f>
        <v/>
      </c>
      <c r="B92" s="23" t="str">
        <f aca="false">IF(('MiT Strom Pipeline'!R23="offered")+('MiT Strom Pipeline'!R23="to be offered")+('MiT Strom Pipeline'!R23="on hold")&gt;0,'MiT Strom Pipeline'!B23,"")</f>
        <v/>
      </c>
      <c r="C92" s="22" t="str">
        <f aca="false">IF(('MiT Strom Pipeline'!R23="offered")+('MiT Strom Pipeline'!R23="to be offered")+('MiT Strom Pipeline'!R23="on hold")&gt;0,'MiT Strom Pipeline'!C23,"")</f>
        <v/>
      </c>
      <c r="D92" s="23" t="str">
        <f aca="false">IF(('MiT Strom Pipeline'!R23="offered")+('MiT Strom Pipeline'!R23="to be offered")+('MiT Strom Pipeline'!R23="on hold")&gt;0,'MiT Strom Pipeline'!D23,"")</f>
        <v/>
      </c>
      <c r="E92" s="23" t="str">
        <f aca="false">IF(('MiT Strom Pipeline'!R23="offered")+('MiT Strom Pipeline'!R23="to be offered")+('MiT Strom Pipeline'!R23="on hold")&gt;0,'MiT Strom Pipeline'!E23,"")</f>
        <v/>
      </c>
      <c r="F92" s="24" t="str">
        <f aca="false">IF(('MiT Strom Pipeline'!R23="offered")+('MiT Strom Pipeline'!R23="to be offered")+('MiT Strom Pipeline'!R23="on hold")&gt;0,IF(ISNUMBER('MiT Strom Pipeline'!I23),'MiT Strom Pipeline'!I23,0),"")</f>
        <v/>
      </c>
      <c r="G92" s="24" t="str">
        <f aca="false">IF(('MiT Strom Pipeline'!R23="offered")+('MiT Strom Pipeline'!R23="to be offered")+('MiT Strom Pipeline'!R23="on hold")&gt;0,IF(ISNUMBER('MiT Strom Pipeline'!Q23),'MiT Strom Pipeline'!Q23,0),"")</f>
        <v/>
      </c>
      <c r="H92" s="24" t="str">
        <f aca="false">IF(('MiT Strom Pipeline'!R23="offered")+('MiT Strom Pipeline'!R23="to be offered")+('MiT Strom Pipeline'!R23="on hold")&gt;0,IF(ISNUMBER('MiT Strom Pipeline'!O23),'MiT Strom Pipeline'!O23,0),"")</f>
        <v/>
      </c>
      <c r="I92" s="22" t="str">
        <f aca="false">IF(('MiT Strom Pipeline'!R23="offered")+('MiT Strom Pipeline'!R23="to be offered")+('MiT Strom Pipeline'!R23="on hold")&gt;0,'MiT Strom Pipeline'!R23,"")</f>
        <v/>
      </c>
      <c r="J92" s="22" t="str">
        <f aca="false">IF(('MiT Strom Pipeline'!R23="offered")+('MiT Strom Pipeline'!R23="to be offered")+('MiT Strom Pipeline'!R23="on hold")&gt;0,'MiT Strom Pipeline'!S23,"")</f>
        <v/>
      </c>
      <c r="K92" s="23" t="str">
        <f aca="false">IF(('MiT Strom Pipeline'!R23="offered")+('MiT Strom Pipeline'!R23="to be offered")+('MiT Strom Pipeline'!R23="on hold")&gt;0,IF(LEN('MiT Strom Pipeline'!V23)&gt;0,LEFT('MiT Strom Pipeline'!V23,55),""),"")</f>
        <v/>
      </c>
    </row>
    <row r="93" customFormat="false" ht="15.75" hidden="false" customHeight="true" outlineLevel="0" collapsed="false">
      <c r="A93" s="30" t="str">
        <f aca="false">IF(('MiT Strom Pipeline'!R24="offered")+('MiT Strom Pipeline'!R24="to be offered")+('MiT Strom Pipeline'!R24="on hold")&gt;0,IF(ISNUMBER('MiT Strom Pipeline'!A24),'MiT Strom Pipeline'!A24,""),"")</f>
        <v/>
      </c>
      <c r="B93" s="31" t="str">
        <f aca="false">IF(('MiT Strom Pipeline'!R24="offered")+('MiT Strom Pipeline'!R24="to be offered")+('MiT Strom Pipeline'!R24="on hold")&gt;0,'MiT Strom Pipeline'!B24,"")</f>
        <v/>
      </c>
      <c r="C93" s="30" t="str">
        <f aca="false">IF(('MiT Strom Pipeline'!R24="offered")+('MiT Strom Pipeline'!R24="to be offered")+('MiT Strom Pipeline'!R24="on hold")&gt;0,'MiT Strom Pipeline'!C24,"")</f>
        <v/>
      </c>
      <c r="D93" s="31" t="str">
        <f aca="false">IF(('MiT Strom Pipeline'!R24="offered")+('MiT Strom Pipeline'!R24="to be offered")+('MiT Strom Pipeline'!R24="on hold")&gt;0,'MiT Strom Pipeline'!D24,"")</f>
        <v/>
      </c>
      <c r="E93" s="31" t="str">
        <f aca="false">IF(('MiT Strom Pipeline'!R24="offered")+('MiT Strom Pipeline'!R24="to be offered")+('MiT Strom Pipeline'!R24="on hold")&gt;0,'MiT Strom Pipeline'!E24,"")</f>
        <v/>
      </c>
      <c r="F93" s="32" t="str">
        <f aca="false">IF(('MiT Strom Pipeline'!R24="offered")+('MiT Strom Pipeline'!R24="to be offered")+('MiT Strom Pipeline'!R24="on hold")&gt;0,IF(ISNUMBER('MiT Strom Pipeline'!I24),'MiT Strom Pipeline'!I24,0),"")</f>
        <v/>
      </c>
      <c r="G93" s="32" t="str">
        <f aca="false">IF(('MiT Strom Pipeline'!R24="offered")+('MiT Strom Pipeline'!R24="to be offered")+('MiT Strom Pipeline'!R24="on hold")&gt;0,IF(ISNUMBER('MiT Strom Pipeline'!Q24),'MiT Strom Pipeline'!Q24,0),"")</f>
        <v/>
      </c>
      <c r="H93" s="32" t="str">
        <f aca="false">IF(('MiT Strom Pipeline'!R24="offered")+('MiT Strom Pipeline'!R24="to be offered")+('MiT Strom Pipeline'!R24="on hold")&gt;0,IF(ISNUMBER('MiT Strom Pipeline'!O24),'MiT Strom Pipeline'!O24,0),"")</f>
        <v/>
      </c>
      <c r="I93" s="30" t="str">
        <f aca="false">IF(('MiT Strom Pipeline'!R24="offered")+('MiT Strom Pipeline'!R24="to be offered")+('MiT Strom Pipeline'!R24="on hold")&gt;0,'MiT Strom Pipeline'!R24,"")</f>
        <v/>
      </c>
      <c r="J93" s="30" t="str">
        <f aca="false">IF(('MiT Strom Pipeline'!R24="offered")+('MiT Strom Pipeline'!R24="to be offered")+('MiT Strom Pipeline'!R24="on hold")&gt;0,'MiT Strom Pipeline'!S24,"")</f>
        <v/>
      </c>
      <c r="K93" s="31" t="str">
        <f aca="false">IF(('MiT Strom Pipeline'!R24="offered")+('MiT Strom Pipeline'!R24="to be offered")+('MiT Strom Pipeline'!R24="on hold")&gt;0,IF(LEN('MiT Strom Pipeline'!V24)&gt;0,LEFT('MiT Strom Pipeline'!V24,55),""),"")</f>
        <v/>
      </c>
    </row>
    <row r="94" customFormat="false" ht="15.75" hidden="false" customHeight="true" outlineLevel="0" collapsed="false">
      <c r="A94" s="22" t="str">
        <f aca="false">IF(('MiT Strom Pipeline'!R25="offered")+('MiT Strom Pipeline'!R25="to be offered")+('MiT Strom Pipeline'!R25="on hold")&gt;0,IF(ISNUMBER('MiT Strom Pipeline'!A25),'MiT Strom Pipeline'!A25,""),"")</f>
        <v/>
      </c>
      <c r="B94" s="23" t="str">
        <f aca="false">IF(('MiT Strom Pipeline'!R25="offered")+('MiT Strom Pipeline'!R25="to be offered")+('MiT Strom Pipeline'!R25="on hold")&gt;0,'MiT Strom Pipeline'!B25,"")</f>
        <v/>
      </c>
      <c r="C94" s="22" t="str">
        <f aca="false">IF(('MiT Strom Pipeline'!R25="offered")+('MiT Strom Pipeline'!R25="to be offered")+('MiT Strom Pipeline'!R25="on hold")&gt;0,'MiT Strom Pipeline'!C25,"")</f>
        <v/>
      </c>
      <c r="D94" s="23" t="str">
        <f aca="false">IF(('MiT Strom Pipeline'!R25="offered")+('MiT Strom Pipeline'!R25="to be offered")+('MiT Strom Pipeline'!R25="on hold")&gt;0,'MiT Strom Pipeline'!D25,"")</f>
        <v/>
      </c>
      <c r="E94" s="23" t="str">
        <f aca="false">IF(('MiT Strom Pipeline'!R25="offered")+('MiT Strom Pipeline'!R25="to be offered")+('MiT Strom Pipeline'!R25="on hold")&gt;0,'MiT Strom Pipeline'!E25,"")</f>
        <v/>
      </c>
      <c r="F94" s="24" t="str">
        <f aca="false">IF(('MiT Strom Pipeline'!R25="offered")+('MiT Strom Pipeline'!R25="to be offered")+('MiT Strom Pipeline'!R25="on hold")&gt;0,IF(ISNUMBER('MiT Strom Pipeline'!I25),'MiT Strom Pipeline'!I25,0),"")</f>
        <v/>
      </c>
      <c r="G94" s="24" t="str">
        <f aca="false">IF(('MiT Strom Pipeline'!R25="offered")+('MiT Strom Pipeline'!R25="to be offered")+('MiT Strom Pipeline'!R25="on hold")&gt;0,IF(ISNUMBER('MiT Strom Pipeline'!Q25),'MiT Strom Pipeline'!Q25,0),"")</f>
        <v/>
      </c>
      <c r="H94" s="24" t="str">
        <f aca="false">IF(('MiT Strom Pipeline'!R25="offered")+('MiT Strom Pipeline'!R25="to be offered")+('MiT Strom Pipeline'!R25="on hold")&gt;0,IF(ISNUMBER('MiT Strom Pipeline'!O25),'MiT Strom Pipeline'!O25,0),"")</f>
        <v/>
      </c>
      <c r="I94" s="22" t="str">
        <f aca="false">IF(('MiT Strom Pipeline'!R25="offered")+('MiT Strom Pipeline'!R25="to be offered")+('MiT Strom Pipeline'!R25="on hold")&gt;0,'MiT Strom Pipeline'!R25,"")</f>
        <v/>
      </c>
      <c r="J94" s="22" t="str">
        <f aca="false">IF(('MiT Strom Pipeline'!R25="offered")+('MiT Strom Pipeline'!R25="to be offered")+('MiT Strom Pipeline'!R25="on hold")&gt;0,'MiT Strom Pipeline'!S25,"")</f>
        <v/>
      </c>
      <c r="K94" s="23" t="str">
        <f aca="false">IF(('MiT Strom Pipeline'!R25="offered")+('MiT Strom Pipeline'!R25="to be offered")+('MiT Strom Pipeline'!R25="on hold")&gt;0,IF(LEN('MiT Strom Pipeline'!V25)&gt;0,LEFT('MiT Strom Pipeline'!V25,55),""),"")</f>
        <v/>
      </c>
    </row>
    <row r="95" customFormat="false" ht="15.75" hidden="false" customHeight="true" outlineLevel="0" collapsed="false">
      <c r="A95" s="30" t="str">
        <f aca="false">IF(('MiT Strom Pipeline'!R26="offered")+('MiT Strom Pipeline'!R26="to be offered")+('MiT Strom Pipeline'!R26="on hold")&gt;0,IF(ISNUMBER('MiT Strom Pipeline'!A26),'MiT Strom Pipeline'!A26,""),"")</f>
        <v/>
      </c>
      <c r="B95" s="31" t="str">
        <f aca="false">IF(('MiT Strom Pipeline'!R26="offered")+('MiT Strom Pipeline'!R26="to be offered")+('MiT Strom Pipeline'!R26="on hold")&gt;0,'MiT Strom Pipeline'!B26,"")</f>
        <v/>
      </c>
      <c r="C95" s="30" t="str">
        <f aca="false">IF(('MiT Strom Pipeline'!R26="offered")+('MiT Strom Pipeline'!R26="to be offered")+('MiT Strom Pipeline'!R26="on hold")&gt;0,'MiT Strom Pipeline'!C26,"")</f>
        <v/>
      </c>
      <c r="D95" s="31" t="str">
        <f aca="false">IF(('MiT Strom Pipeline'!R26="offered")+('MiT Strom Pipeline'!R26="to be offered")+('MiT Strom Pipeline'!R26="on hold")&gt;0,'MiT Strom Pipeline'!D26,"")</f>
        <v/>
      </c>
      <c r="E95" s="31" t="str">
        <f aca="false">IF(('MiT Strom Pipeline'!R26="offered")+('MiT Strom Pipeline'!R26="to be offered")+('MiT Strom Pipeline'!R26="on hold")&gt;0,'MiT Strom Pipeline'!E26,"")</f>
        <v/>
      </c>
      <c r="F95" s="32" t="str">
        <f aca="false">IF(('MiT Strom Pipeline'!R26="offered")+('MiT Strom Pipeline'!R26="to be offered")+('MiT Strom Pipeline'!R26="on hold")&gt;0,IF(ISNUMBER('MiT Strom Pipeline'!I26),'MiT Strom Pipeline'!I26,0),"")</f>
        <v/>
      </c>
      <c r="G95" s="32" t="str">
        <f aca="false">IF(('MiT Strom Pipeline'!R26="offered")+('MiT Strom Pipeline'!R26="to be offered")+('MiT Strom Pipeline'!R26="on hold")&gt;0,IF(ISNUMBER('MiT Strom Pipeline'!Q26),'MiT Strom Pipeline'!Q26,0),"")</f>
        <v/>
      </c>
      <c r="H95" s="32" t="str">
        <f aca="false">IF(('MiT Strom Pipeline'!R26="offered")+('MiT Strom Pipeline'!R26="to be offered")+('MiT Strom Pipeline'!R26="on hold")&gt;0,IF(ISNUMBER('MiT Strom Pipeline'!O26),'MiT Strom Pipeline'!O26,0),"")</f>
        <v/>
      </c>
      <c r="I95" s="30" t="str">
        <f aca="false">IF(('MiT Strom Pipeline'!R26="offered")+('MiT Strom Pipeline'!R26="to be offered")+('MiT Strom Pipeline'!R26="on hold")&gt;0,'MiT Strom Pipeline'!R26,"")</f>
        <v/>
      </c>
      <c r="J95" s="30" t="str">
        <f aca="false">IF(('MiT Strom Pipeline'!R26="offered")+('MiT Strom Pipeline'!R26="to be offered")+('MiT Strom Pipeline'!R26="on hold")&gt;0,'MiT Strom Pipeline'!S26,"")</f>
        <v/>
      </c>
      <c r="K95" s="31" t="str">
        <f aca="false">IF(('MiT Strom Pipeline'!R26="offered")+('MiT Strom Pipeline'!R26="to be offered")+('MiT Strom Pipeline'!R26="on hold")&gt;0,IF(LEN('MiT Strom Pipeline'!V26)&gt;0,LEFT('MiT Strom Pipeline'!V26,55),""),"")</f>
        <v/>
      </c>
    </row>
    <row r="96" customFormat="false" ht="15.75" hidden="false" customHeight="true" outlineLevel="0" collapsed="false">
      <c r="A96" s="22" t="str">
        <f aca="false">IF(('MiT Strom Pipeline'!R27="offered")+('MiT Strom Pipeline'!R27="to be offered")+('MiT Strom Pipeline'!R27="on hold")&gt;0,IF(ISNUMBER('MiT Strom Pipeline'!A27),'MiT Strom Pipeline'!A27,""),"")</f>
        <v/>
      </c>
      <c r="B96" s="23" t="str">
        <f aca="false">IF(('MiT Strom Pipeline'!R27="offered")+('MiT Strom Pipeline'!R27="to be offered")+('MiT Strom Pipeline'!R27="on hold")&gt;0,'MiT Strom Pipeline'!B27,"")</f>
        <v/>
      </c>
      <c r="C96" s="22" t="str">
        <f aca="false">IF(('MiT Strom Pipeline'!R27="offered")+('MiT Strom Pipeline'!R27="to be offered")+('MiT Strom Pipeline'!R27="on hold")&gt;0,'MiT Strom Pipeline'!C27,"")</f>
        <v/>
      </c>
      <c r="D96" s="23" t="str">
        <f aca="false">IF(('MiT Strom Pipeline'!R27="offered")+('MiT Strom Pipeline'!R27="to be offered")+('MiT Strom Pipeline'!R27="on hold")&gt;0,'MiT Strom Pipeline'!D27,"")</f>
        <v/>
      </c>
      <c r="E96" s="23" t="str">
        <f aca="false">IF(('MiT Strom Pipeline'!R27="offered")+('MiT Strom Pipeline'!R27="to be offered")+('MiT Strom Pipeline'!R27="on hold")&gt;0,'MiT Strom Pipeline'!E27,"")</f>
        <v/>
      </c>
      <c r="F96" s="24" t="str">
        <f aca="false">IF(('MiT Strom Pipeline'!R27="offered")+('MiT Strom Pipeline'!R27="to be offered")+('MiT Strom Pipeline'!R27="on hold")&gt;0,IF(ISNUMBER('MiT Strom Pipeline'!I27),'MiT Strom Pipeline'!I27,0),"")</f>
        <v/>
      </c>
      <c r="G96" s="24" t="str">
        <f aca="false">IF(('MiT Strom Pipeline'!R27="offered")+('MiT Strom Pipeline'!R27="to be offered")+('MiT Strom Pipeline'!R27="on hold")&gt;0,IF(ISNUMBER('MiT Strom Pipeline'!Q27),'MiT Strom Pipeline'!Q27,0),"")</f>
        <v/>
      </c>
      <c r="H96" s="24" t="str">
        <f aca="false">IF(('MiT Strom Pipeline'!R27="offered")+('MiT Strom Pipeline'!R27="to be offered")+('MiT Strom Pipeline'!R27="on hold")&gt;0,IF(ISNUMBER('MiT Strom Pipeline'!O27),'MiT Strom Pipeline'!O27,0),"")</f>
        <v/>
      </c>
      <c r="I96" s="22" t="str">
        <f aca="false">IF(('MiT Strom Pipeline'!R27="offered")+('MiT Strom Pipeline'!R27="to be offered")+('MiT Strom Pipeline'!R27="on hold")&gt;0,'MiT Strom Pipeline'!R27,"")</f>
        <v/>
      </c>
      <c r="J96" s="22" t="str">
        <f aca="false">IF(('MiT Strom Pipeline'!R27="offered")+('MiT Strom Pipeline'!R27="to be offered")+('MiT Strom Pipeline'!R27="on hold")&gt;0,'MiT Strom Pipeline'!S27,"")</f>
        <v/>
      </c>
      <c r="K96" s="23" t="str">
        <f aca="false">IF(('MiT Strom Pipeline'!R27="offered")+('MiT Strom Pipeline'!R27="to be offered")+('MiT Strom Pipeline'!R27="on hold")&gt;0,IF(LEN('MiT Strom Pipeline'!V27)&gt;0,LEFT('MiT Strom Pipeline'!V27,55),""),"")</f>
        <v/>
      </c>
    </row>
    <row r="97" customFormat="false" ht="15.75" hidden="false" customHeight="true" outlineLevel="0" collapsed="false">
      <c r="A97" s="30" t="n">
        <f aca="false">IF(('MiT Strom Pipeline'!R28="offered")+('MiT Strom Pipeline'!R28="to be offered")+('MiT Strom Pipeline'!R28="on hold")&gt;0,IF(ISNUMBER('MiT Strom Pipeline'!A28),'MiT Strom Pipeline'!A28,""),"")</f>
        <v>22</v>
      </c>
      <c r="B97" s="31" t="str">
        <f aca="false">IF(('MiT Strom Pipeline'!R28="offered")+('MiT Strom Pipeline'!R28="to be offered")+('MiT Strom Pipeline'!R28="on hold")&gt;0,'MiT Strom Pipeline'!B28,"")</f>
        <v>Coolworld Rentals</v>
      </c>
      <c r="C97" s="30" t="str">
        <f aca="false">IF(('MiT Strom Pipeline'!R28="offered")+('MiT Strom Pipeline'!R28="to be offered")+('MiT Strom Pipeline'!R28="on hold")&gt;0,'MiT Strom Pipeline'!C28,"")</f>
        <v>SH</v>
      </c>
      <c r="D97" s="31" t="str">
        <f aca="false">IF(('MiT Strom Pipeline'!R28="offered")+('MiT Strom Pipeline'!R28="to be offered")+('MiT Strom Pipeline'!R28="on hold")&gt;0,'MiT Strom Pipeline'!D28,"")</f>
        <v>Kühlung / Konkurrenz</v>
      </c>
      <c r="E97" s="31" t="str">
        <f aca="false">IF(('MiT Strom Pipeline'!R28="offered")+('MiT Strom Pipeline'!R28="to be offered")+('MiT Strom Pipeline'!R28="on hold")&gt;0,'MiT Strom Pipeline'!E28,"")</f>
        <v>400 kVA Generator</v>
      </c>
      <c r="F97" s="32" t="n">
        <f aca="false">IF(('MiT Strom Pipeline'!R28="offered")+('MiT Strom Pipeline'!R28="to be offered")+('MiT Strom Pipeline'!R28="on hold")&gt;0,IF(ISNUMBER('MiT Strom Pipeline'!I28),'MiT Strom Pipeline'!I28,0),"")</f>
        <v>0</v>
      </c>
      <c r="G97" s="32" t="n">
        <f aca="false">IF(('MiT Strom Pipeline'!R28="offered")+('MiT Strom Pipeline'!R28="to be offered")+('MiT Strom Pipeline'!R28="on hold")&gt;0,IF(ISNUMBER('MiT Strom Pipeline'!Q28),'MiT Strom Pipeline'!Q28,0),"")</f>
        <v>0</v>
      </c>
      <c r="H97" s="32" t="n">
        <f aca="false">IF(('MiT Strom Pipeline'!R28="offered")+('MiT Strom Pipeline'!R28="to be offered")+('MiT Strom Pipeline'!R28="on hold")&gt;0,IF(ISNUMBER('MiT Strom Pipeline'!O28),'MiT Strom Pipeline'!O28,0),"")</f>
        <v>0</v>
      </c>
      <c r="I97" s="30" t="str">
        <f aca="false">IF(('MiT Strom Pipeline'!R28="offered")+('MiT Strom Pipeline'!R28="to be offered")+('MiT Strom Pipeline'!R28="on hold")&gt;0,'MiT Strom Pipeline'!R28,"")</f>
        <v>offered</v>
      </c>
      <c r="J97" s="30" t="n">
        <f aca="false">IF(('MiT Strom Pipeline'!R28="offered")+('MiT Strom Pipeline'!R28="to be offered")+('MiT Strom Pipeline'!R28="on hold")&gt;0,'MiT Strom Pipeline'!S28,"")</f>
        <v>0.5</v>
      </c>
      <c r="K97" s="31" t="str">
        <f aca="false">IF(('MiT Strom Pipeline'!R28="offered")+('MiT Strom Pipeline'!R28="to be offered")+('MiT Strom Pipeline'!R28="on hold")&gt;0,IF(LEN('MiT Strom Pipeline'!V28)&gt;0,LEFT('MiT Strom Pipeline'!V28,55),""),"")</f>
        <v>Email Kontaktiert, Telefoniert</v>
      </c>
    </row>
    <row r="98" customFormat="false" ht="15.75" hidden="false" customHeight="true" outlineLevel="0" collapsed="false">
      <c r="A98" s="22" t="str">
        <f aca="false">IF(('MiT Strom Pipeline'!R29="offered")+('MiT Strom Pipeline'!R29="to be offered")+('MiT Strom Pipeline'!R29="on hold")&gt;0,IF(ISNUMBER('MiT Strom Pipeline'!A29),'MiT Strom Pipeline'!A29,""),"")</f>
        <v/>
      </c>
      <c r="B98" s="23" t="str">
        <f aca="false">IF(('MiT Strom Pipeline'!R29="offered")+('MiT Strom Pipeline'!R29="to be offered")+('MiT Strom Pipeline'!R29="on hold")&gt;0,'MiT Strom Pipeline'!B29,"")</f>
        <v/>
      </c>
      <c r="C98" s="22" t="str">
        <f aca="false">IF(('MiT Strom Pipeline'!R29="offered")+('MiT Strom Pipeline'!R29="to be offered")+('MiT Strom Pipeline'!R29="on hold")&gt;0,'MiT Strom Pipeline'!C29,"")</f>
        <v/>
      </c>
      <c r="D98" s="23" t="str">
        <f aca="false">IF(('MiT Strom Pipeline'!R29="offered")+('MiT Strom Pipeline'!R29="to be offered")+('MiT Strom Pipeline'!R29="on hold")&gt;0,'MiT Strom Pipeline'!D29,"")</f>
        <v/>
      </c>
      <c r="E98" s="23" t="str">
        <f aca="false">IF(('MiT Strom Pipeline'!R29="offered")+('MiT Strom Pipeline'!R29="to be offered")+('MiT Strom Pipeline'!R29="on hold")&gt;0,'MiT Strom Pipeline'!E29,"")</f>
        <v/>
      </c>
      <c r="F98" s="24" t="str">
        <f aca="false">IF(('MiT Strom Pipeline'!R29="offered")+('MiT Strom Pipeline'!R29="to be offered")+('MiT Strom Pipeline'!R29="on hold")&gt;0,IF(ISNUMBER('MiT Strom Pipeline'!I29),'MiT Strom Pipeline'!I29,0),"")</f>
        <v/>
      </c>
      <c r="G98" s="24" t="str">
        <f aca="false">IF(('MiT Strom Pipeline'!R29="offered")+('MiT Strom Pipeline'!R29="to be offered")+('MiT Strom Pipeline'!R29="on hold")&gt;0,IF(ISNUMBER('MiT Strom Pipeline'!Q29),'MiT Strom Pipeline'!Q29,0),"")</f>
        <v/>
      </c>
      <c r="H98" s="24" t="str">
        <f aca="false">IF(('MiT Strom Pipeline'!R29="offered")+('MiT Strom Pipeline'!R29="to be offered")+('MiT Strom Pipeline'!R29="on hold")&gt;0,IF(ISNUMBER('MiT Strom Pipeline'!O29),'MiT Strom Pipeline'!O29,0),"")</f>
        <v/>
      </c>
      <c r="I98" s="22" t="str">
        <f aca="false">IF(('MiT Strom Pipeline'!R29="offered")+('MiT Strom Pipeline'!R29="to be offered")+('MiT Strom Pipeline'!R29="on hold")&gt;0,'MiT Strom Pipeline'!R29,"")</f>
        <v/>
      </c>
      <c r="J98" s="22" t="str">
        <f aca="false">IF(('MiT Strom Pipeline'!R29="offered")+('MiT Strom Pipeline'!R29="to be offered")+('MiT Strom Pipeline'!R29="on hold")&gt;0,'MiT Strom Pipeline'!S29,"")</f>
        <v/>
      </c>
      <c r="K98" s="23" t="str">
        <f aca="false">IF(('MiT Strom Pipeline'!R29="offered")+('MiT Strom Pipeline'!R29="to be offered")+('MiT Strom Pipeline'!R29="on hold")&gt;0,IF(LEN('MiT Strom Pipeline'!V29)&gt;0,LEFT('MiT Strom Pipeline'!V29,55),""),"")</f>
        <v/>
      </c>
    </row>
    <row r="99" customFormat="false" ht="15.75" hidden="false" customHeight="true" outlineLevel="0" collapsed="false">
      <c r="A99" s="30" t="str">
        <f aca="false">IF(('MiT Strom Pipeline'!R30="offered")+('MiT Strom Pipeline'!R30="to be offered")+('MiT Strom Pipeline'!R30="on hold")&gt;0,IF(ISNUMBER('MiT Strom Pipeline'!A30),'MiT Strom Pipeline'!A30,""),"")</f>
        <v/>
      </c>
      <c r="B99" s="31" t="str">
        <f aca="false">IF(('MiT Strom Pipeline'!R30="offered")+('MiT Strom Pipeline'!R30="to be offered")+('MiT Strom Pipeline'!R30="on hold")&gt;0,'MiT Strom Pipeline'!B30,"")</f>
        <v/>
      </c>
      <c r="C99" s="30" t="str">
        <f aca="false">IF(('MiT Strom Pipeline'!R30="offered")+('MiT Strom Pipeline'!R30="to be offered")+('MiT Strom Pipeline'!R30="on hold")&gt;0,'MiT Strom Pipeline'!C30,"")</f>
        <v/>
      </c>
      <c r="D99" s="31" t="str">
        <f aca="false">IF(('MiT Strom Pipeline'!R30="offered")+('MiT Strom Pipeline'!R30="to be offered")+('MiT Strom Pipeline'!R30="on hold")&gt;0,'MiT Strom Pipeline'!D30,"")</f>
        <v/>
      </c>
      <c r="E99" s="31" t="str">
        <f aca="false">IF(('MiT Strom Pipeline'!R30="offered")+('MiT Strom Pipeline'!R30="to be offered")+('MiT Strom Pipeline'!R30="on hold")&gt;0,'MiT Strom Pipeline'!E30,"")</f>
        <v/>
      </c>
      <c r="F99" s="32" t="str">
        <f aca="false">IF(('MiT Strom Pipeline'!R30="offered")+('MiT Strom Pipeline'!R30="to be offered")+('MiT Strom Pipeline'!R30="on hold")&gt;0,IF(ISNUMBER('MiT Strom Pipeline'!I30),'MiT Strom Pipeline'!I30,0),"")</f>
        <v/>
      </c>
      <c r="G99" s="32" t="str">
        <f aca="false">IF(('MiT Strom Pipeline'!R30="offered")+('MiT Strom Pipeline'!R30="to be offered")+('MiT Strom Pipeline'!R30="on hold")&gt;0,IF(ISNUMBER('MiT Strom Pipeline'!Q30),'MiT Strom Pipeline'!Q30,0),"")</f>
        <v/>
      </c>
      <c r="H99" s="32" t="str">
        <f aca="false">IF(('MiT Strom Pipeline'!R30="offered")+('MiT Strom Pipeline'!R30="to be offered")+('MiT Strom Pipeline'!R30="on hold")&gt;0,IF(ISNUMBER('MiT Strom Pipeline'!O30),'MiT Strom Pipeline'!O30,0),"")</f>
        <v/>
      </c>
      <c r="I99" s="30" t="str">
        <f aca="false">IF(('MiT Strom Pipeline'!R30="offered")+('MiT Strom Pipeline'!R30="to be offered")+('MiT Strom Pipeline'!R30="on hold")&gt;0,'MiT Strom Pipeline'!R30,"")</f>
        <v/>
      </c>
      <c r="J99" s="30" t="str">
        <f aca="false">IF(('MiT Strom Pipeline'!R30="offered")+('MiT Strom Pipeline'!R30="to be offered")+('MiT Strom Pipeline'!R30="on hold")&gt;0,'MiT Strom Pipeline'!S30,"")</f>
        <v/>
      </c>
      <c r="K99" s="31" t="str">
        <f aca="false">IF(('MiT Strom Pipeline'!R30="offered")+('MiT Strom Pipeline'!R30="to be offered")+('MiT Strom Pipeline'!R30="on hold")&gt;0,IF(LEN('MiT Strom Pipeline'!V30)&gt;0,LEFT('MiT Strom Pipeline'!V30,55),""),"")</f>
        <v/>
      </c>
    </row>
    <row r="100" customFormat="false" ht="15.75" hidden="false" customHeight="true" outlineLevel="0" collapsed="false">
      <c r="A100" s="22" t="n">
        <f aca="false">IF(('MiT Strom Pipeline'!R31="offered")+('MiT Strom Pipeline'!R31="to be offered")+('MiT Strom Pipeline'!R31="on hold")&gt;0,IF(ISNUMBER('MiT Strom Pipeline'!A31),'MiT Strom Pipeline'!A31,""),"")</f>
        <v>25</v>
      </c>
      <c r="B100" s="23" t="str">
        <f aca="false">IF(('MiT Strom Pipeline'!R31="offered")+('MiT Strom Pipeline'!R31="to be offered")+('MiT Strom Pipeline'!R31="on hold")&gt;0,'MiT Strom Pipeline'!B31,"")</f>
        <v>Reto EKAG</v>
      </c>
      <c r="C100" s="22" t="str">
        <f aca="false">IF(('MiT Strom Pipeline'!R31="offered")+('MiT Strom Pipeline'!R31="to be offered")+('MiT Strom Pipeline'!R31="on hold")&gt;0,'MiT Strom Pipeline'!C31,"")</f>
        <v>AG</v>
      </c>
      <c r="D100" s="23" t="str">
        <f aca="false">IF(('MiT Strom Pipeline'!R31="offered")+('MiT Strom Pipeline'!R31="to be offered")+('MiT Strom Pipeline'!R31="on hold")&gt;0,'MiT Strom Pipeline'!D31,"")</f>
        <v>Elektroinstallation</v>
      </c>
      <c r="E100" s="23" t="str">
        <f aca="false">IF(('MiT Strom Pipeline'!R31="offered")+('MiT Strom Pipeline'!R31="to be offered")+('MiT Strom Pipeline'!R31="on hold")&gt;0,'MiT Strom Pipeline'!E31,"")</f>
        <v>Option A 2x 6000 kVA Lastbank, 2x Trafo 6300 kVA</v>
      </c>
      <c r="F100" s="24" t="n">
        <f aca="false">IF(('MiT Strom Pipeline'!R31="offered")+('MiT Strom Pipeline'!R31="to be offered")+('MiT Strom Pipeline'!R31="on hold")&gt;0,IF(ISNUMBER('MiT Strom Pipeline'!I31),'MiT Strom Pipeline'!I31,0),"")</f>
        <v>117860</v>
      </c>
      <c r="G100" s="24" t="n">
        <f aca="false">IF(('MiT Strom Pipeline'!R31="offered")+('MiT Strom Pipeline'!R31="to be offered")+('MiT Strom Pipeline'!R31="on hold")&gt;0,IF(ISNUMBER('MiT Strom Pipeline'!Q31),'MiT Strom Pipeline'!Q31,0),"")</f>
        <v>58930</v>
      </c>
      <c r="H100" s="24" t="n">
        <f aca="false">IF(('MiT Strom Pipeline'!R31="offered")+('MiT Strom Pipeline'!R31="to be offered")+('MiT Strom Pipeline'!R31="on hold")&gt;0,IF(ISNUMBER('MiT Strom Pipeline'!O31),'MiT Strom Pipeline'!O31,0),"")</f>
        <v>0</v>
      </c>
      <c r="I100" s="22" t="str">
        <f aca="false">IF(('MiT Strom Pipeline'!R31="offered")+('MiT Strom Pipeline'!R31="to be offered")+('MiT Strom Pipeline'!R31="on hold")&gt;0,'MiT Strom Pipeline'!R31,"")</f>
        <v>offered</v>
      </c>
      <c r="J100" s="22" t="n">
        <f aca="false">IF(('MiT Strom Pipeline'!R31="offered")+('MiT Strom Pipeline'!R31="to be offered")+('MiT Strom Pipeline'!R31="on hold")&gt;0,'MiT Strom Pipeline'!S31,"")</f>
        <v>0.5</v>
      </c>
      <c r="K100" s="25" t="str">
        <f aca="false">IF(('MiT Strom Pipeline'!R31="offered")+('MiT Strom Pipeline'!R31="to be offered")+('MiT Strom Pipeline'!R31="on hold")&gt;0,IF(LEN('MiT Strom Pipeline'!V31)&gt;0,LEFT('MiT Strom Pipeline'!V31,55),""),"")</f>
        <v>Kunde Telefon Kontaktiert und Vor Ort 
Besichtigung und</v>
      </c>
    </row>
    <row r="101" customFormat="false" ht="15.75" hidden="false" customHeight="true" outlineLevel="0" collapsed="false">
      <c r="A101" s="30" t="n">
        <f aca="false">IF(('MiT Strom Pipeline'!R32="offered")+('MiT Strom Pipeline'!R32="to be offered")+('MiT Strom Pipeline'!R32="on hold")&gt;0,IF(ISNUMBER('MiT Strom Pipeline'!A32),'MiT Strom Pipeline'!A32,""),"")</f>
        <v>25</v>
      </c>
      <c r="B101" s="31" t="str">
        <f aca="false">IF(('MiT Strom Pipeline'!R32="offered")+('MiT Strom Pipeline'!R32="to be offered")+('MiT Strom Pipeline'!R32="on hold")&gt;0,'MiT Strom Pipeline'!B32,"")</f>
        <v>Reto EKAG</v>
      </c>
      <c r="C101" s="30" t="str">
        <f aca="false">IF(('MiT Strom Pipeline'!R32="offered")+('MiT Strom Pipeline'!R32="to be offered")+('MiT Strom Pipeline'!R32="on hold")&gt;0,'MiT Strom Pipeline'!C32,"")</f>
        <v>AG</v>
      </c>
      <c r="D101" s="31" t="str">
        <f aca="false">IF(('MiT Strom Pipeline'!R32="offered")+('MiT Strom Pipeline'!R32="to be offered")+('MiT Strom Pipeline'!R32="on hold")&gt;0,'MiT Strom Pipeline'!D32,"")</f>
        <v>Elektroinstallation</v>
      </c>
      <c r="E101" s="31" t="str">
        <f aca="false">IF(('MiT Strom Pipeline'!R32="offered")+('MiT Strom Pipeline'!R32="to be offered")+('MiT Strom Pipeline'!R32="on hold")&gt;0,'MiT Strom Pipeline'!E32,"")</f>
        <v>Option B 1x 6 kVA Trafo, 1x 3000 kVA Trafo, 1x 6000 kVA Lastbank, 1x 3300 kVA Lastbank</v>
      </c>
      <c r="F101" s="32" t="n">
        <f aca="false">IF(('MiT Strom Pipeline'!R32="offered")+('MiT Strom Pipeline'!R32="to be offered")+('MiT Strom Pipeline'!R32="on hold")&gt;0,IF(ISNUMBER('MiT Strom Pipeline'!I32),'MiT Strom Pipeline'!I32,0),"")</f>
        <v>102800</v>
      </c>
      <c r="G101" s="32" t="n">
        <f aca="false">IF(('MiT Strom Pipeline'!R32="offered")+('MiT Strom Pipeline'!R32="to be offered")+('MiT Strom Pipeline'!R32="on hold")&gt;0,IF(ISNUMBER('MiT Strom Pipeline'!Q32),'MiT Strom Pipeline'!Q32,0),"")</f>
        <v>51400</v>
      </c>
      <c r="H101" s="32" t="n">
        <f aca="false">IF(('MiT Strom Pipeline'!R32="offered")+('MiT Strom Pipeline'!R32="to be offered")+('MiT Strom Pipeline'!R32="on hold")&gt;0,IF(ISNUMBER('MiT Strom Pipeline'!O32),'MiT Strom Pipeline'!O32,0),"")</f>
        <v>0</v>
      </c>
      <c r="I101" s="30" t="str">
        <f aca="false">IF(('MiT Strom Pipeline'!R32="offered")+('MiT Strom Pipeline'!R32="to be offered")+('MiT Strom Pipeline'!R32="on hold")&gt;0,'MiT Strom Pipeline'!R32,"")</f>
        <v>offered</v>
      </c>
      <c r="J101" s="30" t="n">
        <f aca="false">IF(('MiT Strom Pipeline'!R32="offered")+('MiT Strom Pipeline'!R32="to be offered")+('MiT Strom Pipeline'!R32="on hold")&gt;0,'MiT Strom Pipeline'!S32,"")</f>
        <v>0.5</v>
      </c>
      <c r="K101" s="33" t="str">
        <f aca="false">IF(('MiT Strom Pipeline'!R32="offered")+('MiT Strom Pipeline'!R32="to be offered")+('MiT Strom Pipeline'!R32="on hold")&gt;0,IF(LEN('MiT Strom Pipeline'!V32)&gt;0,LEFT('MiT Strom Pipeline'!V32,55),""),"")</f>
        <v>Kunde Telefon Kontaktiert und Vor Ort 
Besichtigung und</v>
      </c>
    </row>
    <row r="102" customFormat="false" ht="15.75" hidden="false" customHeight="true" outlineLevel="0" collapsed="false">
      <c r="A102" s="22" t="str">
        <f aca="false">IF(('MiT Strom Pipeline'!R33="offered")+('MiT Strom Pipeline'!R33="to be offered")+('MiT Strom Pipeline'!R33="on hold")&gt;0,IF(ISNUMBER('MiT Strom Pipeline'!A33),'MiT Strom Pipeline'!A33,""),"")</f>
        <v/>
      </c>
      <c r="B102" s="23" t="str">
        <f aca="false">IF(('MiT Strom Pipeline'!R33="offered")+('MiT Strom Pipeline'!R33="to be offered")+('MiT Strom Pipeline'!R33="on hold")&gt;0,'MiT Strom Pipeline'!B33,"")</f>
        <v/>
      </c>
      <c r="C102" s="22" t="str">
        <f aca="false">IF(('MiT Strom Pipeline'!R33="offered")+('MiT Strom Pipeline'!R33="to be offered")+('MiT Strom Pipeline'!R33="on hold")&gt;0,'MiT Strom Pipeline'!C33,"")</f>
        <v/>
      </c>
      <c r="D102" s="23" t="str">
        <f aca="false">IF(('MiT Strom Pipeline'!R33="offered")+('MiT Strom Pipeline'!R33="to be offered")+('MiT Strom Pipeline'!R33="on hold")&gt;0,'MiT Strom Pipeline'!D33,"")</f>
        <v/>
      </c>
      <c r="E102" s="23" t="str">
        <f aca="false">IF(('MiT Strom Pipeline'!R33="offered")+('MiT Strom Pipeline'!R33="to be offered")+('MiT Strom Pipeline'!R33="on hold")&gt;0,'MiT Strom Pipeline'!E33,"")</f>
        <v/>
      </c>
      <c r="F102" s="24" t="str">
        <f aca="false">IF(('MiT Strom Pipeline'!R33="offered")+('MiT Strom Pipeline'!R33="to be offered")+('MiT Strom Pipeline'!R33="on hold")&gt;0,IF(ISNUMBER('MiT Strom Pipeline'!I33),'MiT Strom Pipeline'!I33,0),"")</f>
        <v/>
      </c>
      <c r="G102" s="24" t="str">
        <f aca="false">IF(('MiT Strom Pipeline'!R33="offered")+('MiT Strom Pipeline'!R33="to be offered")+('MiT Strom Pipeline'!R33="on hold")&gt;0,IF(ISNUMBER('MiT Strom Pipeline'!Q33),'MiT Strom Pipeline'!Q33,0),"")</f>
        <v/>
      </c>
      <c r="H102" s="24" t="str">
        <f aca="false">IF(('MiT Strom Pipeline'!R33="offered")+('MiT Strom Pipeline'!R33="to be offered")+('MiT Strom Pipeline'!R33="on hold")&gt;0,IF(ISNUMBER('MiT Strom Pipeline'!O33),'MiT Strom Pipeline'!O33,0),"")</f>
        <v/>
      </c>
      <c r="I102" s="22" t="str">
        <f aca="false">IF(('MiT Strom Pipeline'!R33="offered")+('MiT Strom Pipeline'!R33="to be offered")+('MiT Strom Pipeline'!R33="on hold")&gt;0,'MiT Strom Pipeline'!R33,"")</f>
        <v/>
      </c>
      <c r="J102" s="22" t="str">
        <f aca="false">IF(('MiT Strom Pipeline'!R33="offered")+('MiT Strom Pipeline'!R33="to be offered")+('MiT Strom Pipeline'!R33="on hold")&gt;0,'MiT Strom Pipeline'!S33,"")</f>
        <v/>
      </c>
      <c r="K102" s="23" t="str">
        <f aca="false">IF(('MiT Strom Pipeline'!R33="offered")+('MiT Strom Pipeline'!R33="to be offered")+('MiT Strom Pipeline'!R33="on hold")&gt;0,IF(LEN('MiT Strom Pipeline'!V33)&gt;0,LEFT('MiT Strom Pipeline'!V33,55),""),"")</f>
        <v/>
      </c>
    </row>
    <row r="103" customFormat="false" ht="15.75" hidden="false" customHeight="true" outlineLevel="0" collapsed="false">
      <c r="A103" s="30" t="n">
        <f aca="false">IF(('MiT Strom Pipeline'!R34="offered")+('MiT Strom Pipeline'!R34="to be offered")+('MiT Strom Pipeline'!R34="on hold")&gt;0,IF(ISNUMBER('MiT Strom Pipeline'!A34),'MiT Strom Pipeline'!A34,""),"")</f>
        <v>27</v>
      </c>
      <c r="B103" s="31" t="str">
        <f aca="false">IF(('MiT Strom Pipeline'!R34="offered")+('MiT Strom Pipeline'!R34="to be offered")+('MiT Strom Pipeline'!R34="on hold")&gt;0,'MiT Strom Pipeline'!B34,"")</f>
        <v>Rimus &amp; Sstrada</v>
      </c>
      <c r="C103" s="30" t="str">
        <f aca="false">IF(('MiT Strom Pipeline'!R34="offered")+('MiT Strom Pipeline'!R34="to be offered")+('MiT Strom Pipeline'!R34="on hold")&gt;0,'MiT Strom Pipeline'!C34,"")</f>
        <v>SH</v>
      </c>
      <c r="D103" s="31" t="str">
        <f aca="false">IF(('MiT Strom Pipeline'!R34="offered")+('MiT Strom Pipeline'!R34="to be offered")+('MiT Strom Pipeline'!R34="on hold")&gt;0,'MiT Strom Pipeline'!D34,"")</f>
        <v>Industrie</v>
      </c>
      <c r="E103" s="31" t="str">
        <f aca="false">IF(('MiT Strom Pipeline'!R34="offered")+('MiT Strom Pipeline'!R34="to be offered")+('MiT Strom Pipeline'!R34="on hold")&gt;0,'MiT Strom Pipeline'!E34,"")</f>
        <v>500 kWh Small BESS</v>
      </c>
      <c r="F103" s="32" t="n">
        <f aca="false">IF(('MiT Strom Pipeline'!R34="offered")+('MiT Strom Pipeline'!R34="to be offered")+('MiT Strom Pipeline'!R34="on hold")&gt;0,IF(ISNUMBER('MiT Strom Pipeline'!I34),'MiT Strom Pipeline'!I34,0),"")</f>
        <v>425955</v>
      </c>
      <c r="G103" s="32" t="n">
        <f aca="false">IF(('MiT Strom Pipeline'!R34="offered")+('MiT Strom Pipeline'!R34="to be offered")+('MiT Strom Pipeline'!R34="on hold")&gt;0,IF(ISNUMBER('MiT Strom Pipeline'!Q34),'MiT Strom Pipeline'!Q34,0),"")</f>
        <v>212977.5</v>
      </c>
      <c r="H103" s="32" t="n">
        <f aca="false">IF(('MiT Strom Pipeline'!R34="offered")+('MiT Strom Pipeline'!R34="to be offered")+('MiT Strom Pipeline'!R34="on hold")&gt;0,IF(ISNUMBER('MiT Strom Pipeline'!O34),'MiT Strom Pipeline'!O34,0),"")</f>
        <v>0</v>
      </c>
      <c r="I103" s="30" t="str">
        <f aca="false">IF(('MiT Strom Pipeline'!R34="offered")+('MiT Strom Pipeline'!R34="to be offered")+('MiT Strom Pipeline'!R34="on hold")&gt;0,'MiT Strom Pipeline'!R34,"")</f>
        <v>offered</v>
      </c>
      <c r="J103" s="30" t="n">
        <f aca="false">IF(('MiT Strom Pipeline'!R34="offered")+('MiT Strom Pipeline'!R34="to be offered")+('MiT Strom Pipeline'!R34="on hold")&gt;0,'MiT Strom Pipeline'!S34,"")</f>
        <v>0.5</v>
      </c>
      <c r="K103" s="33" t="str">
        <f aca="false">IF(('MiT Strom Pipeline'!R34="offered")+('MiT Strom Pipeline'!R34="to be offered")+('MiT Strom Pipeline'!R34="on hold")&gt;0,IF(LEN('MiT Strom Pipeline'!V34)&gt;0,LEFT('MiT Strom Pipeline'!V34,55),""),"")</f>
        <v>Kunde Telefon Kontaktiert und Vor Ort 
Besichtigung und</v>
      </c>
    </row>
    <row r="104" customFormat="false" ht="15.75" hidden="false" customHeight="true" outlineLevel="0" collapsed="false">
      <c r="A104" s="22" t="n">
        <f aca="false">IF(('MiT Strom Pipeline'!R35="offered")+('MiT Strom Pipeline'!R35="to be offered")+('MiT Strom Pipeline'!R35="on hold")&gt;0,IF(ISNUMBER('MiT Strom Pipeline'!A35),'MiT Strom Pipeline'!A35,""),"")</f>
        <v>27</v>
      </c>
      <c r="B104" s="23" t="str">
        <f aca="false">IF(('MiT Strom Pipeline'!R35="offered")+('MiT Strom Pipeline'!R35="to be offered")+('MiT Strom Pipeline'!R35="on hold")&gt;0,'MiT Strom Pipeline'!B35,"")</f>
        <v>Rimus &amp; Sstrada</v>
      </c>
      <c r="C104" s="22" t="str">
        <f aca="false">IF(('MiT Strom Pipeline'!R35="offered")+('MiT Strom Pipeline'!R35="to be offered")+('MiT Strom Pipeline'!R35="on hold")&gt;0,'MiT Strom Pipeline'!C35,"")</f>
        <v>SH</v>
      </c>
      <c r="D104" s="23" t="str">
        <f aca="false">IF(('MiT Strom Pipeline'!R35="offered")+('MiT Strom Pipeline'!R35="to be offered")+('MiT Strom Pipeline'!R35="on hold")&gt;0,'MiT Strom Pipeline'!D35,"")</f>
        <v>Industrie</v>
      </c>
      <c r="E104" s="23" t="str">
        <f aca="false">IF(('MiT Strom Pipeline'!R35="offered")+('MiT Strom Pipeline'!R35="to be offered")+('MiT Strom Pipeline'!R35="on hold")&gt;0,'MiT Strom Pipeline'!E35,"")</f>
        <v>1 MWh Medium BESS</v>
      </c>
      <c r="F104" s="24" t="n">
        <f aca="false">IF(('MiT Strom Pipeline'!R35="offered")+('MiT Strom Pipeline'!R35="to be offered")+('MiT Strom Pipeline'!R35="on hold")&gt;0,IF(ISNUMBER('MiT Strom Pipeline'!I35),'MiT Strom Pipeline'!I35,0),"")</f>
        <v>891330</v>
      </c>
      <c r="G104" s="24" t="n">
        <f aca="false">IF(('MiT Strom Pipeline'!R35="offered")+('MiT Strom Pipeline'!R35="to be offered")+('MiT Strom Pipeline'!R35="on hold")&gt;0,IF(ISNUMBER('MiT Strom Pipeline'!Q35),'MiT Strom Pipeline'!Q35,0),"")</f>
        <v>445665</v>
      </c>
      <c r="H104" s="24" t="n">
        <f aca="false">IF(('MiT Strom Pipeline'!R35="offered")+('MiT Strom Pipeline'!R35="to be offered")+('MiT Strom Pipeline'!R35="on hold")&gt;0,IF(ISNUMBER('MiT Strom Pipeline'!O35),'MiT Strom Pipeline'!O35,0),"")</f>
        <v>0</v>
      </c>
      <c r="I104" s="22" t="str">
        <f aca="false">IF(('MiT Strom Pipeline'!R35="offered")+('MiT Strom Pipeline'!R35="to be offered")+('MiT Strom Pipeline'!R35="on hold")&gt;0,'MiT Strom Pipeline'!R35,"")</f>
        <v>offered</v>
      </c>
      <c r="J104" s="22" t="n">
        <f aca="false">IF(('MiT Strom Pipeline'!R35="offered")+('MiT Strom Pipeline'!R35="to be offered")+('MiT Strom Pipeline'!R35="on hold")&gt;0,'MiT Strom Pipeline'!S35,"")</f>
        <v>0.5</v>
      </c>
      <c r="K104" s="25" t="str">
        <f aca="false">IF(('MiT Strom Pipeline'!R35="offered")+('MiT Strom Pipeline'!R35="to be offered")+('MiT Strom Pipeline'!R35="on hold")&gt;0,IF(LEN('MiT Strom Pipeline'!V35)&gt;0,LEFT('MiT Strom Pipeline'!V35,55),""),"")</f>
        <v>Kunde Telefon Kontaktiert und Vor Ort 
Besichtigung und</v>
      </c>
    </row>
    <row r="105" customFormat="false" ht="15.75" hidden="false" customHeight="true" outlineLevel="0" collapsed="false">
      <c r="A105" s="30" t="n">
        <f aca="false">IF(('MiT Strom Pipeline'!R36="offered")+('MiT Strom Pipeline'!R36="to be offered")+('MiT Strom Pipeline'!R36="on hold")&gt;0,IF(ISNUMBER('MiT Strom Pipeline'!A36),'MiT Strom Pipeline'!A36,""),"")</f>
        <v>27</v>
      </c>
      <c r="B105" s="31" t="str">
        <f aca="false">IF(('MiT Strom Pipeline'!R36="offered")+('MiT Strom Pipeline'!R36="to be offered")+('MiT Strom Pipeline'!R36="on hold")&gt;0,'MiT Strom Pipeline'!B36,"")</f>
        <v>Rimus &amp; Sstrada</v>
      </c>
      <c r="C105" s="30" t="str">
        <f aca="false">IF(('MiT Strom Pipeline'!R36="offered")+('MiT Strom Pipeline'!R36="to be offered")+('MiT Strom Pipeline'!R36="on hold")&gt;0,'MiT Strom Pipeline'!C36,"")</f>
        <v>SH</v>
      </c>
      <c r="D105" s="31" t="str">
        <f aca="false">IF(('MiT Strom Pipeline'!R36="offered")+('MiT Strom Pipeline'!R36="to be offered")+('MiT Strom Pipeline'!R36="on hold")&gt;0,'MiT Strom Pipeline'!D36,"")</f>
        <v>Industrie</v>
      </c>
      <c r="E105" s="31" t="str">
        <f aca="false">IF(('MiT Strom Pipeline'!R36="offered")+('MiT Strom Pipeline'!R36="to be offered")+('MiT Strom Pipeline'!R36="on hold")&gt;0,'MiT Strom Pipeline'!E36,"")</f>
        <v>1,5 MWh Large BESS</v>
      </c>
      <c r="F105" s="32" t="n">
        <f aca="false">IF(('MiT Strom Pipeline'!R36="offered")+('MiT Strom Pipeline'!R36="to be offered")+('MiT Strom Pipeline'!R36="on hold")&gt;0,IF(ISNUMBER('MiT Strom Pipeline'!I36),'MiT Strom Pipeline'!I36,0),"")</f>
        <v>1307430</v>
      </c>
      <c r="G105" s="32" t="n">
        <f aca="false">IF(('MiT Strom Pipeline'!R36="offered")+('MiT Strom Pipeline'!R36="to be offered")+('MiT Strom Pipeline'!R36="on hold")&gt;0,IF(ISNUMBER('MiT Strom Pipeline'!Q36),'MiT Strom Pipeline'!Q36,0),"")</f>
        <v>653715</v>
      </c>
      <c r="H105" s="32" t="n">
        <f aca="false">IF(('MiT Strom Pipeline'!R36="offered")+('MiT Strom Pipeline'!R36="to be offered")+('MiT Strom Pipeline'!R36="on hold")&gt;0,IF(ISNUMBER('MiT Strom Pipeline'!O36),'MiT Strom Pipeline'!O36,0),"")</f>
        <v>0</v>
      </c>
      <c r="I105" s="30" t="str">
        <f aca="false">IF(('MiT Strom Pipeline'!R36="offered")+('MiT Strom Pipeline'!R36="to be offered")+('MiT Strom Pipeline'!R36="on hold")&gt;0,'MiT Strom Pipeline'!R36,"")</f>
        <v>offered</v>
      </c>
      <c r="J105" s="30" t="n">
        <f aca="false">IF(('MiT Strom Pipeline'!R36="offered")+('MiT Strom Pipeline'!R36="to be offered")+('MiT Strom Pipeline'!R36="on hold")&gt;0,'MiT Strom Pipeline'!S36,"")</f>
        <v>0.5</v>
      </c>
      <c r="K105" s="33" t="str">
        <f aca="false">IF(('MiT Strom Pipeline'!R36="offered")+('MiT Strom Pipeline'!R36="to be offered")+('MiT Strom Pipeline'!R36="on hold")&gt;0,IF(LEN('MiT Strom Pipeline'!V36)&gt;0,LEFT('MiT Strom Pipeline'!V36,55),""),"")</f>
        <v>Kunde Telefon Kontaktiert und Vor Ort 
Besichtigung und</v>
      </c>
    </row>
    <row r="106" customFormat="false" ht="15.75" hidden="false" customHeight="true" outlineLevel="0" collapsed="false">
      <c r="A106" s="22" t="n">
        <f aca="false">IF(('MiT Strom Pipeline'!R37="offered")+('MiT Strom Pipeline'!R37="to be offered")+('MiT Strom Pipeline'!R37="on hold")&gt;0,IF(ISNUMBER('MiT Strom Pipeline'!A37),'MiT Strom Pipeline'!A37,""),"")</f>
        <v>28</v>
      </c>
      <c r="B106" s="23" t="str">
        <f aca="false">IF(('MiT Strom Pipeline'!R37="offered")+('MiT Strom Pipeline'!R37="to be offered")+('MiT Strom Pipeline'!R37="on hold")&gt;0,'MiT Strom Pipeline'!B37,"")</f>
        <v>WEF</v>
      </c>
      <c r="C106" s="22" t="str">
        <f aca="false">IF(('MiT Strom Pipeline'!R37="offered")+('MiT Strom Pipeline'!R37="to be offered")+('MiT Strom Pipeline'!R37="on hold")&gt;0,'MiT Strom Pipeline'!C37,"")</f>
        <v>GR</v>
      </c>
      <c r="D106" s="23" t="str">
        <f aca="false">IF(('MiT Strom Pipeline'!R37="offered")+('MiT Strom Pipeline'!R37="to be offered")+('MiT Strom Pipeline'!R37="on hold")&gt;0,'MiT Strom Pipeline'!D37,"")</f>
        <v>Event</v>
      </c>
      <c r="E106" s="23" t="str">
        <f aca="false">IF(('MiT Strom Pipeline'!R37="offered")+('MiT Strom Pipeline'!R37="to be offered")+('MiT Strom Pipeline'!R37="on hold")&gt;0,'MiT Strom Pipeline'!E37,"")</f>
        <v>1500 kVA, 600 kVA, 450 kVA, 450 kVA</v>
      </c>
      <c r="F106" s="24" t="n">
        <f aca="false">IF(('MiT Strom Pipeline'!R37="offered")+('MiT Strom Pipeline'!R37="to be offered")+('MiT Strom Pipeline'!R37="on hold")&gt;0,IF(ISNUMBER('MiT Strom Pipeline'!I37),'MiT Strom Pipeline'!I37,0),"")</f>
        <v>77325.62</v>
      </c>
      <c r="G106" s="24" t="n">
        <f aca="false">IF(('MiT Strom Pipeline'!R37="offered")+('MiT Strom Pipeline'!R37="to be offered")+('MiT Strom Pipeline'!R37="on hold")&gt;0,IF(ISNUMBER('MiT Strom Pipeline'!Q37),'MiT Strom Pipeline'!Q37,0),"")</f>
        <v>38662.81</v>
      </c>
      <c r="H106" s="24" t="n">
        <f aca="false">IF(('MiT Strom Pipeline'!R37="offered")+('MiT Strom Pipeline'!R37="to be offered")+('MiT Strom Pipeline'!R37="on hold")&gt;0,IF(ISNUMBER('MiT Strom Pipeline'!O37),'MiT Strom Pipeline'!O37,0),"")</f>
        <v>0</v>
      </c>
      <c r="I106" s="22" t="str">
        <f aca="false">IF(('MiT Strom Pipeline'!R37="offered")+('MiT Strom Pipeline'!R37="to be offered")+('MiT Strom Pipeline'!R37="on hold")&gt;0,'MiT Strom Pipeline'!R37,"")</f>
        <v>offered</v>
      </c>
      <c r="J106" s="22" t="n">
        <f aca="false">IF(('MiT Strom Pipeline'!R37="offered")+('MiT Strom Pipeline'!R37="to be offered")+('MiT Strom Pipeline'!R37="on hold")&gt;0,'MiT Strom Pipeline'!S37,"")</f>
        <v>0.5</v>
      </c>
      <c r="K106" s="23" t="str">
        <f aca="false">IF(('MiT Strom Pipeline'!R37="offered")+('MiT Strom Pipeline'!R37="to be offered")+('MiT Strom Pipeline'!R37="on hold")&gt;0,IF(LEN('MiT Strom Pipeline'!V37)&gt;0,LEFT('MiT Strom Pipeline'!V37,55),""),"")</f>
        <v>Offerte erstellt, Stefan hat die Offerte bekommen</v>
      </c>
    </row>
    <row r="107" customFormat="false" ht="15.75" hidden="false" customHeight="true" outlineLevel="0" collapsed="false">
      <c r="A107" s="30" t="str">
        <f aca="false">IF(('MiT Strom Pipeline'!R38="offered")+('MiT Strom Pipeline'!R38="to be offered")+('MiT Strom Pipeline'!R38="on hold")&gt;0,IF(ISNUMBER('MiT Strom Pipeline'!A38),'MiT Strom Pipeline'!A38,""),"")</f>
        <v/>
      </c>
      <c r="B107" s="31" t="str">
        <f aca="false">IF(('MiT Strom Pipeline'!R38="offered")+('MiT Strom Pipeline'!R38="to be offered")+('MiT Strom Pipeline'!R38="on hold")&gt;0,'MiT Strom Pipeline'!B38,"")</f>
        <v/>
      </c>
      <c r="C107" s="30" t="str">
        <f aca="false">IF(('MiT Strom Pipeline'!R38="offered")+('MiT Strom Pipeline'!R38="to be offered")+('MiT Strom Pipeline'!R38="on hold")&gt;0,'MiT Strom Pipeline'!C38,"")</f>
        <v/>
      </c>
      <c r="D107" s="31" t="str">
        <f aca="false">IF(('MiT Strom Pipeline'!R38="offered")+('MiT Strom Pipeline'!R38="to be offered")+('MiT Strom Pipeline'!R38="on hold")&gt;0,'MiT Strom Pipeline'!D38,"")</f>
        <v/>
      </c>
      <c r="E107" s="31" t="str">
        <f aca="false">IF(('MiT Strom Pipeline'!R38="offered")+('MiT Strom Pipeline'!R38="to be offered")+('MiT Strom Pipeline'!R38="on hold")&gt;0,'MiT Strom Pipeline'!E38,"")</f>
        <v/>
      </c>
      <c r="F107" s="32" t="str">
        <f aca="false">IF(('MiT Strom Pipeline'!R38="offered")+('MiT Strom Pipeline'!R38="to be offered")+('MiT Strom Pipeline'!R38="on hold")&gt;0,IF(ISNUMBER('MiT Strom Pipeline'!I38),'MiT Strom Pipeline'!I38,0),"")</f>
        <v/>
      </c>
      <c r="G107" s="32" t="str">
        <f aca="false">IF(('MiT Strom Pipeline'!R38="offered")+('MiT Strom Pipeline'!R38="to be offered")+('MiT Strom Pipeline'!R38="on hold")&gt;0,IF(ISNUMBER('MiT Strom Pipeline'!Q38),'MiT Strom Pipeline'!Q38,0),"")</f>
        <v/>
      </c>
      <c r="H107" s="32" t="str">
        <f aca="false">IF(('MiT Strom Pipeline'!R38="offered")+('MiT Strom Pipeline'!R38="to be offered")+('MiT Strom Pipeline'!R38="on hold")&gt;0,IF(ISNUMBER('MiT Strom Pipeline'!O38),'MiT Strom Pipeline'!O38,0),"")</f>
        <v/>
      </c>
      <c r="I107" s="30" t="str">
        <f aca="false">IF(('MiT Strom Pipeline'!R38="offered")+('MiT Strom Pipeline'!R38="to be offered")+('MiT Strom Pipeline'!R38="on hold")&gt;0,'MiT Strom Pipeline'!R38,"")</f>
        <v/>
      </c>
      <c r="J107" s="30" t="str">
        <f aca="false">IF(('MiT Strom Pipeline'!R38="offered")+('MiT Strom Pipeline'!R38="to be offered")+('MiT Strom Pipeline'!R38="on hold")&gt;0,'MiT Strom Pipeline'!S38,"")</f>
        <v/>
      </c>
      <c r="K107" s="31" t="str">
        <f aca="false">IF(('MiT Strom Pipeline'!R38="offered")+('MiT Strom Pipeline'!R38="to be offered")+('MiT Strom Pipeline'!R38="on hold")&gt;0,IF(LEN('MiT Strom Pipeline'!V38)&gt;0,LEFT('MiT Strom Pipeline'!V38,55),""),"")</f>
        <v/>
      </c>
    </row>
    <row r="108" customFormat="false" ht="15.75" hidden="false" customHeight="true" outlineLevel="0" collapsed="false">
      <c r="A108" s="22" t="str">
        <f aca="false">IF(('MiT Strom Pipeline'!R39="offered")+('MiT Strom Pipeline'!R39="to be offered")+('MiT Strom Pipeline'!R39="on hold")&gt;0,IF(ISNUMBER('MiT Strom Pipeline'!A39),'MiT Strom Pipeline'!A39,""),"")</f>
        <v/>
      </c>
      <c r="B108" s="23" t="str">
        <f aca="false">IF(('MiT Strom Pipeline'!R39="offered")+('MiT Strom Pipeline'!R39="to be offered")+('MiT Strom Pipeline'!R39="on hold")&gt;0,'MiT Strom Pipeline'!B39,"")</f>
        <v/>
      </c>
      <c r="C108" s="22" t="str">
        <f aca="false">IF(('MiT Strom Pipeline'!R39="offered")+('MiT Strom Pipeline'!R39="to be offered")+('MiT Strom Pipeline'!R39="on hold")&gt;0,'MiT Strom Pipeline'!C39,"")</f>
        <v/>
      </c>
      <c r="D108" s="23" t="str">
        <f aca="false">IF(('MiT Strom Pipeline'!R39="offered")+('MiT Strom Pipeline'!R39="to be offered")+('MiT Strom Pipeline'!R39="on hold")&gt;0,'MiT Strom Pipeline'!D39,"")</f>
        <v/>
      </c>
      <c r="E108" s="23" t="str">
        <f aca="false">IF(('MiT Strom Pipeline'!R39="offered")+('MiT Strom Pipeline'!R39="to be offered")+('MiT Strom Pipeline'!R39="on hold")&gt;0,'MiT Strom Pipeline'!E39,"")</f>
        <v/>
      </c>
      <c r="F108" s="24" t="str">
        <f aca="false">IF(('MiT Strom Pipeline'!R39="offered")+('MiT Strom Pipeline'!R39="to be offered")+('MiT Strom Pipeline'!R39="on hold")&gt;0,IF(ISNUMBER('MiT Strom Pipeline'!I39),'MiT Strom Pipeline'!I39,0),"")</f>
        <v/>
      </c>
      <c r="G108" s="24" t="str">
        <f aca="false">IF(('MiT Strom Pipeline'!R39="offered")+('MiT Strom Pipeline'!R39="to be offered")+('MiT Strom Pipeline'!R39="on hold")&gt;0,IF(ISNUMBER('MiT Strom Pipeline'!Q39),'MiT Strom Pipeline'!Q39,0),"")</f>
        <v/>
      </c>
      <c r="H108" s="24" t="str">
        <f aca="false">IF(('MiT Strom Pipeline'!R39="offered")+('MiT Strom Pipeline'!R39="to be offered")+('MiT Strom Pipeline'!R39="on hold")&gt;0,IF(ISNUMBER('MiT Strom Pipeline'!O39),'MiT Strom Pipeline'!O39,0),"")</f>
        <v/>
      </c>
      <c r="I108" s="22" t="str">
        <f aca="false">IF(('MiT Strom Pipeline'!R39="offered")+('MiT Strom Pipeline'!R39="to be offered")+('MiT Strom Pipeline'!R39="on hold")&gt;0,'MiT Strom Pipeline'!R39,"")</f>
        <v/>
      </c>
      <c r="J108" s="22" t="str">
        <f aca="false">IF(('MiT Strom Pipeline'!R39="offered")+('MiT Strom Pipeline'!R39="to be offered")+('MiT Strom Pipeline'!R39="on hold")&gt;0,'MiT Strom Pipeline'!S39,"")</f>
        <v/>
      </c>
      <c r="K108" s="23" t="str">
        <f aca="false">IF(('MiT Strom Pipeline'!R39="offered")+('MiT Strom Pipeline'!R39="to be offered")+('MiT Strom Pipeline'!R39="on hold")&gt;0,IF(LEN('MiT Strom Pipeline'!V39)&gt;0,LEFT('MiT Strom Pipeline'!V39,55),""),"")</f>
        <v/>
      </c>
    </row>
    <row r="109" customFormat="false" ht="15.75" hidden="false" customHeight="true" outlineLevel="0" collapsed="false">
      <c r="A109" s="30" t="str">
        <f aca="false">IF(('MiT Strom Pipeline'!R40="offered")+('MiT Strom Pipeline'!R40="to be offered")+('MiT Strom Pipeline'!R40="on hold")&gt;0,IF(ISNUMBER('MiT Strom Pipeline'!A40),'MiT Strom Pipeline'!A40,""),"")</f>
        <v/>
      </c>
      <c r="B109" s="31" t="str">
        <f aca="false">IF(('MiT Strom Pipeline'!R40="offered")+('MiT Strom Pipeline'!R40="to be offered")+('MiT Strom Pipeline'!R40="on hold")&gt;0,'MiT Strom Pipeline'!B40,"")</f>
        <v/>
      </c>
      <c r="C109" s="30" t="str">
        <f aca="false">IF(('MiT Strom Pipeline'!R40="offered")+('MiT Strom Pipeline'!R40="to be offered")+('MiT Strom Pipeline'!R40="on hold")&gt;0,'MiT Strom Pipeline'!C40,"")</f>
        <v/>
      </c>
      <c r="D109" s="31" t="str">
        <f aca="false">IF(('MiT Strom Pipeline'!R40="offered")+('MiT Strom Pipeline'!R40="to be offered")+('MiT Strom Pipeline'!R40="on hold")&gt;0,'MiT Strom Pipeline'!D40,"")</f>
        <v/>
      </c>
      <c r="E109" s="31" t="str">
        <f aca="false">IF(('MiT Strom Pipeline'!R40="offered")+('MiT Strom Pipeline'!R40="to be offered")+('MiT Strom Pipeline'!R40="on hold")&gt;0,'MiT Strom Pipeline'!E40,"")</f>
        <v/>
      </c>
      <c r="F109" s="32" t="str">
        <f aca="false">IF(('MiT Strom Pipeline'!R40="offered")+('MiT Strom Pipeline'!R40="to be offered")+('MiT Strom Pipeline'!R40="on hold")&gt;0,IF(ISNUMBER('MiT Strom Pipeline'!I40),'MiT Strom Pipeline'!I40,0),"")</f>
        <v/>
      </c>
      <c r="G109" s="32" t="str">
        <f aca="false">IF(('MiT Strom Pipeline'!R40="offered")+('MiT Strom Pipeline'!R40="to be offered")+('MiT Strom Pipeline'!R40="on hold")&gt;0,IF(ISNUMBER('MiT Strom Pipeline'!Q40),'MiT Strom Pipeline'!Q40,0),"")</f>
        <v/>
      </c>
      <c r="H109" s="32" t="str">
        <f aca="false">IF(('MiT Strom Pipeline'!R40="offered")+('MiT Strom Pipeline'!R40="to be offered")+('MiT Strom Pipeline'!R40="on hold")&gt;0,IF(ISNUMBER('MiT Strom Pipeline'!O40),'MiT Strom Pipeline'!O40,0),"")</f>
        <v/>
      </c>
      <c r="I109" s="30" t="str">
        <f aca="false">IF(('MiT Strom Pipeline'!R40="offered")+('MiT Strom Pipeline'!R40="to be offered")+('MiT Strom Pipeline'!R40="on hold")&gt;0,'MiT Strom Pipeline'!R40,"")</f>
        <v/>
      </c>
      <c r="J109" s="30" t="str">
        <f aca="false">IF(('MiT Strom Pipeline'!R40="offered")+('MiT Strom Pipeline'!R40="to be offered")+('MiT Strom Pipeline'!R40="on hold")&gt;0,'MiT Strom Pipeline'!S40,"")</f>
        <v/>
      </c>
      <c r="K109" s="31" t="str">
        <f aca="false">IF(('MiT Strom Pipeline'!R40="offered")+('MiT Strom Pipeline'!R40="to be offered")+('MiT Strom Pipeline'!R40="on hold")&gt;0,IF(LEN('MiT Strom Pipeline'!V40)&gt;0,LEFT('MiT Strom Pipeline'!V40,55),""),"")</f>
        <v/>
      </c>
    </row>
    <row r="110" customFormat="false" ht="15.75" hidden="false" customHeight="true" outlineLevel="0" collapsed="false">
      <c r="A110" s="22" t="str">
        <f aca="false">IF(('MiT Strom Pipeline'!R41="offered")+('MiT Strom Pipeline'!R41="to be offered")+('MiT Strom Pipeline'!R41="on hold")&gt;0,IF(ISNUMBER('MiT Strom Pipeline'!A41),'MiT Strom Pipeline'!A41,""),"")</f>
        <v/>
      </c>
      <c r="B110" s="23" t="str">
        <f aca="false">IF(('MiT Strom Pipeline'!R41="offered")+('MiT Strom Pipeline'!R41="to be offered")+('MiT Strom Pipeline'!R41="on hold")&gt;0,'MiT Strom Pipeline'!B41,"")</f>
        <v/>
      </c>
      <c r="C110" s="22" t="str">
        <f aca="false">IF(('MiT Strom Pipeline'!R41="offered")+('MiT Strom Pipeline'!R41="to be offered")+('MiT Strom Pipeline'!R41="on hold")&gt;0,'MiT Strom Pipeline'!C41,"")</f>
        <v/>
      </c>
      <c r="D110" s="23" t="str">
        <f aca="false">IF(('MiT Strom Pipeline'!R41="offered")+('MiT Strom Pipeline'!R41="to be offered")+('MiT Strom Pipeline'!R41="on hold")&gt;0,'MiT Strom Pipeline'!D41,"")</f>
        <v/>
      </c>
      <c r="E110" s="23" t="str">
        <f aca="false">IF(('MiT Strom Pipeline'!R41="offered")+('MiT Strom Pipeline'!R41="to be offered")+('MiT Strom Pipeline'!R41="on hold")&gt;0,'MiT Strom Pipeline'!E41,"")</f>
        <v/>
      </c>
      <c r="F110" s="24" t="str">
        <f aca="false">IF(('MiT Strom Pipeline'!R41="offered")+('MiT Strom Pipeline'!R41="to be offered")+('MiT Strom Pipeline'!R41="on hold")&gt;0,IF(ISNUMBER('MiT Strom Pipeline'!I41),'MiT Strom Pipeline'!I41,0),"")</f>
        <v/>
      </c>
      <c r="G110" s="24" t="str">
        <f aca="false">IF(('MiT Strom Pipeline'!R41="offered")+('MiT Strom Pipeline'!R41="to be offered")+('MiT Strom Pipeline'!R41="on hold")&gt;0,IF(ISNUMBER('MiT Strom Pipeline'!Q41),'MiT Strom Pipeline'!Q41,0),"")</f>
        <v/>
      </c>
      <c r="H110" s="24" t="str">
        <f aca="false">IF(('MiT Strom Pipeline'!R41="offered")+('MiT Strom Pipeline'!R41="to be offered")+('MiT Strom Pipeline'!R41="on hold")&gt;0,IF(ISNUMBER('MiT Strom Pipeline'!O41),'MiT Strom Pipeline'!O41,0),"")</f>
        <v/>
      </c>
      <c r="I110" s="22" t="str">
        <f aca="false">IF(('MiT Strom Pipeline'!R41="offered")+('MiT Strom Pipeline'!R41="to be offered")+('MiT Strom Pipeline'!R41="on hold")&gt;0,'MiT Strom Pipeline'!R41,"")</f>
        <v/>
      </c>
      <c r="J110" s="22" t="str">
        <f aca="false">IF(('MiT Strom Pipeline'!R41="offered")+('MiT Strom Pipeline'!R41="to be offered")+('MiT Strom Pipeline'!R41="on hold")&gt;0,'MiT Strom Pipeline'!S41,"")</f>
        <v/>
      </c>
      <c r="K110" s="23" t="str">
        <f aca="false">IF(('MiT Strom Pipeline'!R41="offered")+('MiT Strom Pipeline'!R41="to be offered")+('MiT Strom Pipeline'!R41="on hold")&gt;0,IF(LEN('MiT Strom Pipeline'!V41)&gt;0,LEFT('MiT Strom Pipeline'!V41,55),""),"")</f>
        <v/>
      </c>
    </row>
    <row r="111" customFormat="false" ht="15.75" hidden="false" customHeight="true" outlineLevel="0" collapsed="false">
      <c r="A111" s="30" t="str">
        <f aca="false">IF(('MiT Strom Pipeline'!R42="offered")+('MiT Strom Pipeline'!R42="to be offered")+('MiT Strom Pipeline'!R42="on hold")&gt;0,IF(ISNUMBER('MiT Strom Pipeline'!A42),'MiT Strom Pipeline'!A42,""),"")</f>
        <v/>
      </c>
      <c r="B111" s="31" t="str">
        <f aca="false">IF(('MiT Strom Pipeline'!R42="offered")+('MiT Strom Pipeline'!R42="to be offered")+('MiT Strom Pipeline'!R42="on hold")&gt;0,'MiT Strom Pipeline'!B42,"")</f>
        <v/>
      </c>
      <c r="C111" s="30" t="str">
        <f aca="false">IF(('MiT Strom Pipeline'!R42="offered")+('MiT Strom Pipeline'!R42="to be offered")+('MiT Strom Pipeline'!R42="on hold")&gt;0,'MiT Strom Pipeline'!C42,"")</f>
        <v/>
      </c>
      <c r="D111" s="31" t="str">
        <f aca="false">IF(('MiT Strom Pipeline'!R42="offered")+('MiT Strom Pipeline'!R42="to be offered")+('MiT Strom Pipeline'!R42="on hold")&gt;0,'MiT Strom Pipeline'!D42,"")</f>
        <v/>
      </c>
      <c r="E111" s="31" t="str">
        <f aca="false">IF(('MiT Strom Pipeline'!R42="offered")+('MiT Strom Pipeline'!R42="to be offered")+('MiT Strom Pipeline'!R42="on hold")&gt;0,'MiT Strom Pipeline'!E42,"")</f>
        <v/>
      </c>
      <c r="F111" s="32" t="str">
        <f aca="false">IF(('MiT Strom Pipeline'!R42="offered")+('MiT Strom Pipeline'!R42="to be offered")+('MiT Strom Pipeline'!R42="on hold")&gt;0,IF(ISNUMBER('MiT Strom Pipeline'!I42),'MiT Strom Pipeline'!I42,0),"")</f>
        <v/>
      </c>
      <c r="G111" s="32" t="str">
        <f aca="false">IF(('MiT Strom Pipeline'!R42="offered")+('MiT Strom Pipeline'!R42="to be offered")+('MiT Strom Pipeline'!R42="on hold")&gt;0,IF(ISNUMBER('MiT Strom Pipeline'!Q42),'MiT Strom Pipeline'!Q42,0),"")</f>
        <v/>
      </c>
      <c r="H111" s="32" t="str">
        <f aca="false">IF(('MiT Strom Pipeline'!R42="offered")+('MiT Strom Pipeline'!R42="to be offered")+('MiT Strom Pipeline'!R42="on hold")&gt;0,IF(ISNUMBER('MiT Strom Pipeline'!O42),'MiT Strom Pipeline'!O42,0),"")</f>
        <v/>
      </c>
      <c r="I111" s="30" t="str">
        <f aca="false">IF(('MiT Strom Pipeline'!R42="offered")+('MiT Strom Pipeline'!R42="to be offered")+('MiT Strom Pipeline'!R42="on hold")&gt;0,'MiT Strom Pipeline'!R42,"")</f>
        <v/>
      </c>
      <c r="J111" s="30" t="str">
        <f aca="false">IF(('MiT Strom Pipeline'!R42="offered")+('MiT Strom Pipeline'!R42="to be offered")+('MiT Strom Pipeline'!R42="on hold")&gt;0,'MiT Strom Pipeline'!S42,"")</f>
        <v/>
      </c>
      <c r="K111" s="31" t="str">
        <f aca="false">IF(('MiT Strom Pipeline'!R42="offered")+('MiT Strom Pipeline'!R42="to be offered")+('MiT Strom Pipeline'!R42="on hold")&gt;0,IF(LEN('MiT Strom Pipeline'!V42)&gt;0,LEFT('MiT Strom Pipeline'!V42,55),""),"")</f>
        <v/>
      </c>
    </row>
    <row r="112" customFormat="false" ht="15.75" hidden="false" customHeight="true" outlineLevel="0" collapsed="false">
      <c r="A112" s="22" t="str">
        <f aca="false">IF(('MiT Strom Pipeline'!R43="offered")+('MiT Strom Pipeline'!R43="to be offered")+('MiT Strom Pipeline'!R43="on hold")&gt;0,IF(ISNUMBER('MiT Strom Pipeline'!A43),'MiT Strom Pipeline'!A43,""),"")</f>
        <v/>
      </c>
      <c r="B112" s="23" t="str">
        <f aca="false">IF(('MiT Strom Pipeline'!R43="offered")+('MiT Strom Pipeline'!R43="to be offered")+('MiT Strom Pipeline'!R43="on hold")&gt;0,'MiT Strom Pipeline'!B43,"")</f>
        <v/>
      </c>
      <c r="C112" s="22" t="str">
        <f aca="false">IF(('MiT Strom Pipeline'!R43="offered")+('MiT Strom Pipeline'!R43="to be offered")+('MiT Strom Pipeline'!R43="on hold")&gt;0,'MiT Strom Pipeline'!C43,"")</f>
        <v/>
      </c>
      <c r="D112" s="23" t="str">
        <f aca="false">IF(('MiT Strom Pipeline'!R43="offered")+('MiT Strom Pipeline'!R43="to be offered")+('MiT Strom Pipeline'!R43="on hold")&gt;0,'MiT Strom Pipeline'!D43,"")</f>
        <v/>
      </c>
      <c r="E112" s="23" t="str">
        <f aca="false">IF(('MiT Strom Pipeline'!R43="offered")+('MiT Strom Pipeline'!R43="to be offered")+('MiT Strom Pipeline'!R43="on hold")&gt;0,'MiT Strom Pipeline'!E43,"")</f>
        <v/>
      </c>
      <c r="F112" s="24" t="str">
        <f aca="false">IF(('MiT Strom Pipeline'!R43="offered")+('MiT Strom Pipeline'!R43="to be offered")+('MiT Strom Pipeline'!R43="on hold")&gt;0,IF(ISNUMBER('MiT Strom Pipeline'!I43),'MiT Strom Pipeline'!I43,0),"")</f>
        <v/>
      </c>
      <c r="G112" s="24" t="str">
        <f aca="false">IF(('MiT Strom Pipeline'!R43="offered")+('MiT Strom Pipeline'!R43="to be offered")+('MiT Strom Pipeline'!R43="on hold")&gt;0,IF(ISNUMBER('MiT Strom Pipeline'!Q43),'MiT Strom Pipeline'!Q43,0),"")</f>
        <v/>
      </c>
      <c r="H112" s="24" t="str">
        <f aca="false">IF(('MiT Strom Pipeline'!R43="offered")+('MiT Strom Pipeline'!R43="to be offered")+('MiT Strom Pipeline'!R43="on hold")&gt;0,IF(ISNUMBER('MiT Strom Pipeline'!O43),'MiT Strom Pipeline'!O43,0),"")</f>
        <v/>
      </c>
      <c r="I112" s="22" t="str">
        <f aca="false">IF(('MiT Strom Pipeline'!R43="offered")+('MiT Strom Pipeline'!R43="to be offered")+('MiT Strom Pipeline'!R43="on hold")&gt;0,'MiT Strom Pipeline'!R43,"")</f>
        <v/>
      </c>
      <c r="J112" s="22" t="str">
        <f aca="false">IF(('MiT Strom Pipeline'!R43="offered")+('MiT Strom Pipeline'!R43="to be offered")+('MiT Strom Pipeline'!R43="on hold")&gt;0,'MiT Strom Pipeline'!S43,"")</f>
        <v/>
      </c>
      <c r="K112" s="23" t="str">
        <f aca="false">IF(('MiT Strom Pipeline'!R43="offered")+('MiT Strom Pipeline'!R43="to be offered")+('MiT Strom Pipeline'!R43="on hold")&gt;0,IF(LEN('MiT Strom Pipeline'!V43)&gt;0,LEFT('MiT Strom Pipeline'!V43,55),""),"")</f>
        <v/>
      </c>
    </row>
    <row r="113" customFormat="false" ht="15.75" hidden="false" customHeight="true" outlineLevel="0" collapsed="false">
      <c r="A113" s="30" t="str">
        <f aca="false">IF(('MiT Strom Pipeline'!R44="offered")+('MiT Strom Pipeline'!R44="to be offered")+('MiT Strom Pipeline'!R44="on hold")&gt;0,IF(ISNUMBER('MiT Strom Pipeline'!A44),'MiT Strom Pipeline'!A44,""),"")</f>
        <v/>
      </c>
      <c r="B113" s="31" t="str">
        <f aca="false">IF(('MiT Strom Pipeline'!R44="offered")+('MiT Strom Pipeline'!R44="to be offered")+('MiT Strom Pipeline'!R44="on hold")&gt;0,'MiT Strom Pipeline'!B44,"")</f>
        <v/>
      </c>
      <c r="C113" s="30" t="str">
        <f aca="false">IF(('MiT Strom Pipeline'!R44="offered")+('MiT Strom Pipeline'!R44="to be offered")+('MiT Strom Pipeline'!R44="on hold")&gt;0,'MiT Strom Pipeline'!C44,"")</f>
        <v/>
      </c>
      <c r="D113" s="31" t="str">
        <f aca="false">IF(('MiT Strom Pipeline'!R44="offered")+('MiT Strom Pipeline'!R44="to be offered")+('MiT Strom Pipeline'!R44="on hold")&gt;0,'MiT Strom Pipeline'!D44,"")</f>
        <v/>
      </c>
      <c r="E113" s="31" t="str">
        <f aca="false">IF(('MiT Strom Pipeline'!R44="offered")+('MiT Strom Pipeline'!R44="to be offered")+('MiT Strom Pipeline'!R44="on hold")&gt;0,'MiT Strom Pipeline'!E44,"")</f>
        <v/>
      </c>
      <c r="F113" s="32" t="str">
        <f aca="false">IF(('MiT Strom Pipeline'!R44="offered")+('MiT Strom Pipeline'!R44="to be offered")+('MiT Strom Pipeline'!R44="on hold")&gt;0,IF(ISNUMBER('MiT Strom Pipeline'!I44),'MiT Strom Pipeline'!I44,0),"")</f>
        <v/>
      </c>
      <c r="G113" s="32" t="str">
        <f aca="false">IF(('MiT Strom Pipeline'!R44="offered")+('MiT Strom Pipeline'!R44="to be offered")+('MiT Strom Pipeline'!R44="on hold")&gt;0,IF(ISNUMBER('MiT Strom Pipeline'!Q44),'MiT Strom Pipeline'!Q44,0),"")</f>
        <v/>
      </c>
      <c r="H113" s="32" t="str">
        <f aca="false">IF(('MiT Strom Pipeline'!R44="offered")+('MiT Strom Pipeline'!R44="to be offered")+('MiT Strom Pipeline'!R44="on hold")&gt;0,IF(ISNUMBER('MiT Strom Pipeline'!O44),'MiT Strom Pipeline'!O44,0),"")</f>
        <v/>
      </c>
      <c r="I113" s="30" t="str">
        <f aca="false">IF(('MiT Strom Pipeline'!R44="offered")+('MiT Strom Pipeline'!R44="to be offered")+('MiT Strom Pipeline'!R44="on hold")&gt;0,'MiT Strom Pipeline'!R44,"")</f>
        <v/>
      </c>
      <c r="J113" s="30" t="str">
        <f aca="false">IF(('MiT Strom Pipeline'!R44="offered")+('MiT Strom Pipeline'!R44="to be offered")+('MiT Strom Pipeline'!R44="on hold")&gt;0,'MiT Strom Pipeline'!S44,"")</f>
        <v/>
      </c>
      <c r="K113" s="31" t="str">
        <f aca="false">IF(('MiT Strom Pipeline'!R44="offered")+('MiT Strom Pipeline'!R44="to be offered")+('MiT Strom Pipeline'!R44="on hold")&gt;0,IF(LEN('MiT Strom Pipeline'!V44)&gt;0,LEFT('MiT Strom Pipeline'!V44,55),""),"")</f>
        <v/>
      </c>
    </row>
    <row r="114" customFormat="false" ht="15.75" hidden="false" customHeight="true" outlineLevel="0" collapsed="false">
      <c r="A114" s="22" t="str">
        <f aca="false">IF(('MiT Strom Pipeline'!R45="offered")+('MiT Strom Pipeline'!R45="to be offered")+('MiT Strom Pipeline'!R45="on hold")&gt;0,IF(ISNUMBER('MiT Strom Pipeline'!A45),'MiT Strom Pipeline'!A45,""),"")</f>
        <v/>
      </c>
      <c r="B114" s="23" t="str">
        <f aca="false">IF(('MiT Strom Pipeline'!R45="offered")+('MiT Strom Pipeline'!R45="to be offered")+('MiT Strom Pipeline'!R45="on hold")&gt;0,'MiT Strom Pipeline'!B45,"")</f>
        <v/>
      </c>
      <c r="C114" s="22" t="str">
        <f aca="false">IF(('MiT Strom Pipeline'!R45="offered")+('MiT Strom Pipeline'!R45="to be offered")+('MiT Strom Pipeline'!R45="on hold")&gt;0,'MiT Strom Pipeline'!C45,"")</f>
        <v/>
      </c>
      <c r="D114" s="23" t="str">
        <f aca="false">IF(('MiT Strom Pipeline'!R45="offered")+('MiT Strom Pipeline'!R45="to be offered")+('MiT Strom Pipeline'!R45="on hold")&gt;0,'MiT Strom Pipeline'!D45,"")</f>
        <v/>
      </c>
      <c r="E114" s="23" t="str">
        <f aca="false">IF(('MiT Strom Pipeline'!R45="offered")+('MiT Strom Pipeline'!R45="to be offered")+('MiT Strom Pipeline'!R45="on hold")&gt;0,'MiT Strom Pipeline'!E45,"")</f>
        <v/>
      </c>
      <c r="F114" s="24" t="str">
        <f aca="false">IF(('MiT Strom Pipeline'!R45="offered")+('MiT Strom Pipeline'!R45="to be offered")+('MiT Strom Pipeline'!R45="on hold")&gt;0,IF(ISNUMBER('MiT Strom Pipeline'!I45),'MiT Strom Pipeline'!I45,0),"")</f>
        <v/>
      </c>
      <c r="G114" s="24" t="str">
        <f aca="false">IF(('MiT Strom Pipeline'!R45="offered")+('MiT Strom Pipeline'!R45="to be offered")+('MiT Strom Pipeline'!R45="on hold")&gt;0,IF(ISNUMBER('MiT Strom Pipeline'!Q45),'MiT Strom Pipeline'!Q45,0),"")</f>
        <v/>
      </c>
      <c r="H114" s="24" t="str">
        <f aca="false">IF(('MiT Strom Pipeline'!R45="offered")+('MiT Strom Pipeline'!R45="to be offered")+('MiT Strom Pipeline'!R45="on hold")&gt;0,IF(ISNUMBER('MiT Strom Pipeline'!O45),'MiT Strom Pipeline'!O45,0),"")</f>
        <v/>
      </c>
      <c r="I114" s="22" t="str">
        <f aca="false">IF(('MiT Strom Pipeline'!R45="offered")+('MiT Strom Pipeline'!R45="to be offered")+('MiT Strom Pipeline'!R45="on hold")&gt;0,'MiT Strom Pipeline'!R45,"")</f>
        <v/>
      </c>
      <c r="J114" s="22" t="str">
        <f aca="false">IF(('MiT Strom Pipeline'!R45="offered")+('MiT Strom Pipeline'!R45="to be offered")+('MiT Strom Pipeline'!R45="on hold")&gt;0,'MiT Strom Pipeline'!S45,"")</f>
        <v/>
      </c>
      <c r="K114" s="23" t="str">
        <f aca="false">IF(('MiT Strom Pipeline'!R45="offered")+('MiT Strom Pipeline'!R45="to be offered")+('MiT Strom Pipeline'!R45="on hold")&gt;0,IF(LEN('MiT Strom Pipeline'!V45)&gt;0,LEFT('MiT Strom Pipeline'!V45,55),""),"")</f>
        <v/>
      </c>
    </row>
    <row r="115" customFormat="false" ht="15.75" hidden="false" customHeight="true" outlineLevel="0" collapsed="false">
      <c r="A115" s="30" t="str">
        <f aca="false">IF(('MiT Strom Pipeline'!R46="offered")+('MiT Strom Pipeline'!R46="to be offered")+('MiT Strom Pipeline'!R46="on hold")&gt;0,IF(ISNUMBER('MiT Strom Pipeline'!A46),'MiT Strom Pipeline'!A46,""),"")</f>
        <v/>
      </c>
      <c r="B115" s="31" t="str">
        <f aca="false">IF(('MiT Strom Pipeline'!R46="offered")+('MiT Strom Pipeline'!R46="to be offered")+('MiT Strom Pipeline'!R46="on hold")&gt;0,'MiT Strom Pipeline'!B46,"")</f>
        <v/>
      </c>
      <c r="C115" s="30" t="str">
        <f aca="false">IF(('MiT Strom Pipeline'!R46="offered")+('MiT Strom Pipeline'!R46="to be offered")+('MiT Strom Pipeline'!R46="on hold")&gt;0,'MiT Strom Pipeline'!C46,"")</f>
        <v/>
      </c>
      <c r="D115" s="31" t="str">
        <f aca="false">IF(('MiT Strom Pipeline'!R46="offered")+('MiT Strom Pipeline'!R46="to be offered")+('MiT Strom Pipeline'!R46="on hold")&gt;0,'MiT Strom Pipeline'!D46,"")</f>
        <v/>
      </c>
      <c r="E115" s="31" t="str">
        <f aca="false">IF(('MiT Strom Pipeline'!R46="offered")+('MiT Strom Pipeline'!R46="to be offered")+('MiT Strom Pipeline'!R46="on hold")&gt;0,'MiT Strom Pipeline'!E46,"")</f>
        <v/>
      </c>
      <c r="F115" s="32" t="str">
        <f aca="false">IF(('MiT Strom Pipeline'!R46="offered")+('MiT Strom Pipeline'!R46="to be offered")+('MiT Strom Pipeline'!R46="on hold")&gt;0,IF(ISNUMBER('MiT Strom Pipeline'!I46),'MiT Strom Pipeline'!I46,0),"")</f>
        <v/>
      </c>
      <c r="G115" s="32" t="str">
        <f aca="false">IF(('MiT Strom Pipeline'!R46="offered")+('MiT Strom Pipeline'!R46="to be offered")+('MiT Strom Pipeline'!R46="on hold")&gt;0,IF(ISNUMBER('MiT Strom Pipeline'!Q46),'MiT Strom Pipeline'!Q46,0),"")</f>
        <v/>
      </c>
      <c r="H115" s="32" t="str">
        <f aca="false">IF(('MiT Strom Pipeline'!R46="offered")+('MiT Strom Pipeline'!R46="to be offered")+('MiT Strom Pipeline'!R46="on hold")&gt;0,IF(ISNUMBER('MiT Strom Pipeline'!O46),'MiT Strom Pipeline'!O46,0),"")</f>
        <v/>
      </c>
      <c r="I115" s="30" t="str">
        <f aca="false">IF(('MiT Strom Pipeline'!R46="offered")+('MiT Strom Pipeline'!R46="to be offered")+('MiT Strom Pipeline'!R46="on hold")&gt;0,'MiT Strom Pipeline'!R46,"")</f>
        <v/>
      </c>
      <c r="J115" s="30" t="str">
        <f aca="false">IF(('MiT Strom Pipeline'!R46="offered")+('MiT Strom Pipeline'!R46="to be offered")+('MiT Strom Pipeline'!R46="on hold")&gt;0,'MiT Strom Pipeline'!S46,"")</f>
        <v/>
      </c>
      <c r="K115" s="31" t="str">
        <f aca="false">IF(('MiT Strom Pipeline'!R46="offered")+('MiT Strom Pipeline'!R46="to be offered")+('MiT Strom Pipeline'!R46="on hold")&gt;0,IF(LEN('MiT Strom Pipeline'!V46)&gt;0,LEFT('MiT Strom Pipeline'!V46,55),""),"")</f>
        <v/>
      </c>
    </row>
    <row r="116" customFormat="false" ht="15.75" hidden="false" customHeight="true" outlineLevel="0" collapsed="false">
      <c r="A116" s="22" t="str">
        <f aca="false">IF(('MiT Strom Pipeline'!R47="offered")+('MiT Strom Pipeline'!R47="to be offered")+('MiT Strom Pipeline'!R47="on hold")&gt;0,IF(ISNUMBER('MiT Strom Pipeline'!A47),'MiT Strom Pipeline'!A47,""),"")</f>
        <v/>
      </c>
      <c r="B116" s="23" t="str">
        <f aca="false">IF(('MiT Strom Pipeline'!R47="offered")+('MiT Strom Pipeline'!R47="to be offered")+('MiT Strom Pipeline'!R47="on hold")&gt;0,'MiT Strom Pipeline'!B47,"")</f>
        <v/>
      </c>
      <c r="C116" s="22" t="str">
        <f aca="false">IF(('MiT Strom Pipeline'!R47="offered")+('MiT Strom Pipeline'!R47="to be offered")+('MiT Strom Pipeline'!R47="on hold")&gt;0,'MiT Strom Pipeline'!C47,"")</f>
        <v/>
      </c>
      <c r="D116" s="23" t="str">
        <f aca="false">IF(('MiT Strom Pipeline'!R47="offered")+('MiT Strom Pipeline'!R47="to be offered")+('MiT Strom Pipeline'!R47="on hold")&gt;0,'MiT Strom Pipeline'!D47,"")</f>
        <v/>
      </c>
      <c r="E116" s="23" t="str">
        <f aca="false">IF(('MiT Strom Pipeline'!R47="offered")+('MiT Strom Pipeline'!R47="to be offered")+('MiT Strom Pipeline'!R47="on hold")&gt;0,'MiT Strom Pipeline'!E47,"")</f>
        <v/>
      </c>
      <c r="F116" s="24" t="str">
        <f aca="false">IF(('MiT Strom Pipeline'!R47="offered")+('MiT Strom Pipeline'!R47="to be offered")+('MiT Strom Pipeline'!R47="on hold")&gt;0,IF(ISNUMBER('MiT Strom Pipeline'!I47),'MiT Strom Pipeline'!I47,0),"")</f>
        <v/>
      </c>
      <c r="G116" s="24" t="str">
        <f aca="false">IF(('MiT Strom Pipeline'!R47="offered")+('MiT Strom Pipeline'!R47="to be offered")+('MiT Strom Pipeline'!R47="on hold")&gt;0,IF(ISNUMBER('MiT Strom Pipeline'!Q47),'MiT Strom Pipeline'!Q47,0),"")</f>
        <v/>
      </c>
      <c r="H116" s="24" t="str">
        <f aca="false">IF(('MiT Strom Pipeline'!R47="offered")+('MiT Strom Pipeline'!R47="to be offered")+('MiT Strom Pipeline'!R47="on hold")&gt;0,IF(ISNUMBER('MiT Strom Pipeline'!O47),'MiT Strom Pipeline'!O47,0),"")</f>
        <v/>
      </c>
      <c r="I116" s="22" t="str">
        <f aca="false">IF(('MiT Strom Pipeline'!R47="offered")+('MiT Strom Pipeline'!R47="to be offered")+('MiT Strom Pipeline'!R47="on hold")&gt;0,'MiT Strom Pipeline'!R47,"")</f>
        <v/>
      </c>
      <c r="J116" s="22" t="str">
        <f aca="false">IF(('MiT Strom Pipeline'!R47="offered")+('MiT Strom Pipeline'!R47="to be offered")+('MiT Strom Pipeline'!R47="on hold")&gt;0,'MiT Strom Pipeline'!S47,"")</f>
        <v/>
      </c>
      <c r="K116" s="23" t="str">
        <f aca="false">IF(('MiT Strom Pipeline'!R47="offered")+('MiT Strom Pipeline'!R47="to be offered")+('MiT Strom Pipeline'!R47="on hold")&gt;0,IF(LEN('MiT Strom Pipeline'!V47)&gt;0,LEFT('MiT Strom Pipeline'!V47,55),""),"")</f>
        <v/>
      </c>
    </row>
    <row r="117" customFormat="false" ht="15.75" hidden="false" customHeight="true" outlineLevel="0" collapsed="false">
      <c r="A117" s="30" t="str">
        <f aca="false">IF(('MiT Strom Pipeline'!R48="offered")+('MiT Strom Pipeline'!R48="to be offered")+('MiT Strom Pipeline'!R48="on hold")&gt;0,IF(ISNUMBER('MiT Strom Pipeline'!A48),'MiT Strom Pipeline'!A48,""),"")</f>
        <v/>
      </c>
      <c r="B117" s="31" t="str">
        <f aca="false">IF(('MiT Strom Pipeline'!R48="offered")+('MiT Strom Pipeline'!R48="to be offered")+('MiT Strom Pipeline'!R48="on hold")&gt;0,'MiT Strom Pipeline'!B48,"")</f>
        <v/>
      </c>
      <c r="C117" s="30" t="str">
        <f aca="false">IF(('MiT Strom Pipeline'!R48="offered")+('MiT Strom Pipeline'!R48="to be offered")+('MiT Strom Pipeline'!R48="on hold")&gt;0,'MiT Strom Pipeline'!C48,"")</f>
        <v/>
      </c>
      <c r="D117" s="31" t="str">
        <f aca="false">IF(('MiT Strom Pipeline'!R48="offered")+('MiT Strom Pipeline'!R48="to be offered")+('MiT Strom Pipeline'!R48="on hold")&gt;0,'MiT Strom Pipeline'!D48,"")</f>
        <v/>
      </c>
      <c r="E117" s="31" t="str">
        <f aca="false">IF(('MiT Strom Pipeline'!R48="offered")+('MiT Strom Pipeline'!R48="to be offered")+('MiT Strom Pipeline'!R48="on hold")&gt;0,'MiT Strom Pipeline'!E48,"")</f>
        <v/>
      </c>
      <c r="F117" s="32" t="str">
        <f aca="false">IF(('MiT Strom Pipeline'!R48="offered")+('MiT Strom Pipeline'!R48="to be offered")+('MiT Strom Pipeline'!R48="on hold")&gt;0,IF(ISNUMBER('MiT Strom Pipeline'!I48),'MiT Strom Pipeline'!I48,0),"")</f>
        <v/>
      </c>
      <c r="G117" s="32" t="str">
        <f aca="false">IF(('MiT Strom Pipeline'!R48="offered")+('MiT Strom Pipeline'!R48="to be offered")+('MiT Strom Pipeline'!R48="on hold")&gt;0,IF(ISNUMBER('MiT Strom Pipeline'!Q48),'MiT Strom Pipeline'!Q48,0),"")</f>
        <v/>
      </c>
      <c r="H117" s="32" t="str">
        <f aca="false">IF(('MiT Strom Pipeline'!R48="offered")+('MiT Strom Pipeline'!R48="to be offered")+('MiT Strom Pipeline'!R48="on hold")&gt;0,IF(ISNUMBER('MiT Strom Pipeline'!O48),'MiT Strom Pipeline'!O48,0),"")</f>
        <v/>
      </c>
      <c r="I117" s="30" t="str">
        <f aca="false">IF(('MiT Strom Pipeline'!R48="offered")+('MiT Strom Pipeline'!R48="to be offered")+('MiT Strom Pipeline'!R48="on hold")&gt;0,'MiT Strom Pipeline'!R48,"")</f>
        <v/>
      </c>
      <c r="J117" s="30" t="str">
        <f aca="false">IF(('MiT Strom Pipeline'!R48="offered")+('MiT Strom Pipeline'!R48="to be offered")+('MiT Strom Pipeline'!R48="on hold")&gt;0,'MiT Strom Pipeline'!S48,"")</f>
        <v/>
      </c>
      <c r="K117" s="31" t="str">
        <f aca="false">IF(('MiT Strom Pipeline'!R48="offered")+('MiT Strom Pipeline'!R48="to be offered")+('MiT Strom Pipeline'!R48="on hold")&gt;0,IF(LEN('MiT Strom Pipeline'!V48)&gt;0,LEFT('MiT Strom Pipeline'!V48,55),""),"")</f>
        <v/>
      </c>
    </row>
    <row r="118" customFormat="false" ht="15.75" hidden="false" customHeight="true" outlineLevel="0" collapsed="false">
      <c r="A118" s="22" t="str">
        <f aca="false">IF(('MiT Strom Pipeline'!R49="offered")+('MiT Strom Pipeline'!R49="to be offered")+('MiT Strom Pipeline'!R49="on hold")&gt;0,IF(ISNUMBER('MiT Strom Pipeline'!A49),'MiT Strom Pipeline'!A49,""),"")</f>
        <v/>
      </c>
      <c r="B118" s="23" t="str">
        <f aca="false">IF(('MiT Strom Pipeline'!R49="offered")+('MiT Strom Pipeline'!R49="to be offered")+('MiT Strom Pipeline'!R49="on hold")&gt;0,'MiT Strom Pipeline'!B49,"")</f>
        <v/>
      </c>
      <c r="C118" s="22" t="str">
        <f aca="false">IF(('MiT Strom Pipeline'!R49="offered")+('MiT Strom Pipeline'!R49="to be offered")+('MiT Strom Pipeline'!R49="on hold")&gt;0,'MiT Strom Pipeline'!C49,"")</f>
        <v/>
      </c>
      <c r="D118" s="23" t="str">
        <f aca="false">IF(('MiT Strom Pipeline'!R49="offered")+('MiT Strom Pipeline'!R49="to be offered")+('MiT Strom Pipeline'!R49="on hold")&gt;0,'MiT Strom Pipeline'!D49,"")</f>
        <v/>
      </c>
      <c r="E118" s="23" t="str">
        <f aca="false">IF(('MiT Strom Pipeline'!R49="offered")+('MiT Strom Pipeline'!R49="to be offered")+('MiT Strom Pipeline'!R49="on hold")&gt;0,'MiT Strom Pipeline'!E49,"")</f>
        <v/>
      </c>
      <c r="F118" s="24" t="str">
        <f aca="false">IF(('MiT Strom Pipeline'!R49="offered")+('MiT Strom Pipeline'!R49="to be offered")+('MiT Strom Pipeline'!R49="on hold")&gt;0,IF(ISNUMBER('MiT Strom Pipeline'!I49),'MiT Strom Pipeline'!I49,0),"")</f>
        <v/>
      </c>
      <c r="G118" s="24" t="str">
        <f aca="false">IF(('MiT Strom Pipeline'!R49="offered")+('MiT Strom Pipeline'!R49="to be offered")+('MiT Strom Pipeline'!R49="on hold")&gt;0,IF(ISNUMBER('MiT Strom Pipeline'!Q49),'MiT Strom Pipeline'!Q49,0),"")</f>
        <v/>
      </c>
      <c r="H118" s="24" t="str">
        <f aca="false">IF(('MiT Strom Pipeline'!R49="offered")+('MiT Strom Pipeline'!R49="to be offered")+('MiT Strom Pipeline'!R49="on hold")&gt;0,IF(ISNUMBER('MiT Strom Pipeline'!O49),'MiT Strom Pipeline'!O49,0),"")</f>
        <v/>
      </c>
      <c r="I118" s="22" t="str">
        <f aca="false">IF(('MiT Strom Pipeline'!R49="offered")+('MiT Strom Pipeline'!R49="to be offered")+('MiT Strom Pipeline'!R49="on hold")&gt;0,'MiT Strom Pipeline'!R49,"")</f>
        <v/>
      </c>
      <c r="J118" s="22" t="str">
        <f aca="false">IF(('MiT Strom Pipeline'!R49="offered")+('MiT Strom Pipeline'!R49="to be offered")+('MiT Strom Pipeline'!R49="on hold")&gt;0,'MiT Strom Pipeline'!S49,"")</f>
        <v/>
      </c>
      <c r="K118" s="23" t="str">
        <f aca="false">IF(('MiT Strom Pipeline'!R49="offered")+('MiT Strom Pipeline'!R49="to be offered")+('MiT Strom Pipeline'!R49="on hold")&gt;0,IF(LEN('MiT Strom Pipeline'!V49)&gt;0,LEFT('MiT Strom Pipeline'!V49,55),""),"")</f>
        <v/>
      </c>
    </row>
    <row r="119" customFormat="false" ht="15.75" hidden="false" customHeight="true" outlineLevel="0" collapsed="false">
      <c r="A119" s="30" t="str">
        <f aca="false">IF(('MiT Strom Pipeline'!R50="offered")+('MiT Strom Pipeline'!R50="to be offered")+('MiT Strom Pipeline'!R50="on hold")&gt;0,IF(ISNUMBER('MiT Strom Pipeline'!A50),'MiT Strom Pipeline'!A50,""),"")</f>
        <v/>
      </c>
      <c r="B119" s="31" t="str">
        <f aca="false">IF(('MiT Strom Pipeline'!R50="offered")+('MiT Strom Pipeline'!R50="to be offered")+('MiT Strom Pipeline'!R50="on hold")&gt;0,'MiT Strom Pipeline'!B50,"")</f>
        <v/>
      </c>
      <c r="C119" s="30" t="str">
        <f aca="false">IF(('MiT Strom Pipeline'!R50="offered")+('MiT Strom Pipeline'!R50="to be offered")+('MiT Strom Pipeline'!R50="on hold")&gt;0,'MiT Strom Pipeline'!C50,"")</f>
        <v/>
      </c>
      <c r="D119" s="31" t="str">
        <f aca="false">IF(('MiT Strom Pipeline'!R50="offered")+('MiT Strom Pipeline'!R50="to be offered")+('MiT Strom Pipeline'!R50="on hold")&gt;0,'MiT Strom Pipeline'!D50,"")</f>
        <v/>
      </c>
      <c r="E119" s="31" t="str">
        <f aca="false">IF(('MiT Strom Pipeline'!R50="offered")+('MiT Strom Pipeline'!R50="to be offered")+('MiT Strom Pipeline'!R50="on hold")&gt;0,'MiT Strom Pipeline'!E50,"")</f>
        <v/>
      </c>
      <c r="F119" s="32" t="str">
        <f aca="false">IF(('MiT Strom Pipeline'!R50="offered")+('MiT Strom Pipeline'!R50="to be offered")+('MiT Strom Pipeline'!R50="on hold")&gt;0,IF(ISNUMBER('MiT Strom Pipeline'!I50),'MiT Strom Pipeline'!I50,0),"")</f>
        <v/>
      </c>
      <c r="G119" s="32" t="str">
        <f aca="false">IF(('MiT Strom Pipeline'!R50="offered")+('MiT Strom Pipeline'!R50="to be offered")+('MiT Strom Pipeline'!R50="on hold")&gt;0,IF(ISNUMBER('MiT Strom Pipeline'!Q50),'MiT Strom Pipeline'!Q50,0),"")</f>
        <v/>
      </c>
      <c r="H119" s="32" t="str">
        <f aca="false">IF(('MiT Strom Pipeline'!R50="offered")+('MiT Strom Pipeline'!R50="to be offered")+('MiT Strom Pipeline'!R50="on hold")&gt;0,IF(ISNUMBER('MiT Strom Pipeline'!O50),'MiT Strom Pipeline'!O50,0),"")</f>
        <v/>
      </c>
      <c r="I119" s="30" t="str">
        <f aca="false">IF(('MiT Strom Pipeline'!R50="offered")+('MiT Strom Pipeline'!R50="to be offered")+('MiT Strom Pipeline'!R50="on hold")&gt;0,'MiT Strom Pipeline'!R50,"")</f>
        <v/>
      </c>
      <c r="J119" s="30" t="str">
        <f aca="false">IF(('MiT Strom Pipeline'!R50="offered")+('MiT Strom Pipeline'!R50="to be offered")+('MiT Strom Pipeline'!R50="on hold")&gt;0,'MiT Strom Pipeline'!S50,"")</f>
        <v/>
      </c>
      <c r="K119" s="31" t="str">
        <f aca="false">IF(('MiT Strom Pipeline'!R50="offered")+('MiT Strom Pipeline'!R50="to be offered")+('MiT Strom Pipeline'!R50="on hold")&gt;0,IF(LEN('MiT Strom Pipeline'!V50)&gt;0,LEFT('MiT Strom Pipeline'!V50,55),""),"")</f>
        <v/>
      </c>
    </row>
    <row r="120" customFormat="false" ht="15.75" hidden="false" customHeight="true" outlineLevel="0" collapsed="false">
      <c r="A120" s="22" t="str">
        <f aca="false">IF(('MiT Strom Pipeline'!R51="offered")+('MiT Strom Pipeline'!R51="to be offered")+('MiT Strom Pipeline'!R51="on hold")&gt;0,IF(ISNUMBER('MiT Strom Pipeline'!A51),'MiT Strom Pipeline'!A51,""),"")</f>
        <v/>
      </c>
      <c r="B120" s="23" t="str">
        <f aca="false">IF(('MiT Strom Pipeline'!R51="offered")+('MiT Strom Pipeline'!R51="to be offered")+('MiT Strom Pipeline'!R51="on hold")&gt;0,'MiT Strom Pipeline'!B51,"")</f>
        <v/>
      </c>
      <c r="C120" s="22" t="str">
        <f aca="false">IF(('MiT Strom Pipeline'!R51="offered")+('MiT Strom Pipeline'!R51="to be offered")+('MiT Strom Pipeline'!R51="on hold")&gt;0,'MiT Strom Pipeline'!C51,"")</f>
        <v/>
      </c>
      <c r="D120" s="23" t="str">
        <f aca="false">IF(('MiT Strom Pipeline'!R51="offered")+('MiT Strom Pipeline'!R51="to be offered")+('MiT Strom Pipeline'!R51="on hold")&gt;0,'MiT Strom Pipeline'!D51,"")</f>
        <v/>
      </c>
      <c r="E120" s="23" t="str">
        <f aca="false">IF(('MiT Strom Pipeline'!R51="offered")+('MiT Strom Pipeline'!R51="to be offered")+('MiT Strom Pipeline'!R51="on hold")&gt;0,'MiT Strom Pipeline'!E51,"")</f>
        <v/>
      </c>
      <c r="F120" s="24" t="str">
        <f aca="false">IF(('MiT Strom Pipeline'!R51="offered")+('MiT Strom Pipeline'!R51="to be offered")+('MiT Strom Pipeline'!R51="on hold")&gt;0,IF(ISNUMBER('MiT Strom Pipeline'!I51),'MiT Strom Pipeline'!I51,0),"")</f>
        <v/>
      </c>
      <c r="G120" s="24" t="str">
        <f aca="false">IF(('MiT Strom Pipeline'!R51="offered")+('MiT Strom Pipeline'!R51="to be offered")+('MiT Strom Pipeline'!R51="on hold")&gt;0,IF(ISNUMBER('MiT Strom Pipeline'!Q51),'MiT Strom Pipeline'!Q51,0),"")</f>
        <v/>
      </c>
      <c r="H120" s="24" t="str">
        <f aca="false">IF(('MiT Strom Pipeline'!R51="offered")+('MiT Strom Pipeline'!R51="to be offered")+('MiT Strom Pipeline'!R51="on hold")&gt;0,IF(ISNUMBER('MiT Strom Pipeline'!O51),'MiT Strom Pipeline'!O51,0),"")</f>
        <v/>
      </c>
      <c r="I120" s="22" t="str">
        <f aca="false">IF(('MiT Strom Pipeline'!R51="offered")+('MiT Strom Pipeline'!R51="to be offered")+('MiT Strom Pipeline'!R51="on hold")&gt;0,'MiT Strom Pipeline'!R51,"")</f>
        <v/>
      </c>
      <c r="J120" s="22" t="str">
        <f aca="false">IF(('MiT Strom Pipeline'!R51="offered")+('MiT Strom Pipeline'!R51="to be offered")+('MiT Strom Pipeline'!R51="on hold")&gt;0,'MiT Strom Pipeline'!S51,"")</f>
        <v/>
      </c>
      <c r="K120" s="23" t="str">
        <f aca="false">IF(('MiT Strom Pipeline'!R51="offered")+('MiT Strom Pipeline'!R51="to be offered")+('MiT Strom Pipeline'!R51="on hold")&gt;0,IF(LEN('MiT Strom Pipeline'!V51)&gt;0,LEFT('MiT Strom Pipeline'!V51,55),""),"")</f>
        <v/>
      </c>
    </row>
    <row r="121" customFormat="false" ht="15.75" hidden="false" customHeight="true" outlineLevel="0" collapsed="false">
      <c r="A121" s="30" t="str">
        <f aca="false">IF(('MiT Strom Pipeline'!R52="offered")+('MiT Strom Pipeline'!R52="to be offered")+('MiT Strom Pipeline'!R52="on hold")&gt;0,IF(ISNUMBER('MiT Strom Pipeline'!A52),'MiT Strom Pipeline'!A52,""),"")</f>
        <v/>
      </c>
      <c r="B121" s="31" t="str">
        <f aca="false">IF(('MiT Strom Pipeline'!R52="offered")+('MiT Strom Pipeline'!R52="to be offered")+('MiT Strom Pipeline'!R52="on hold")&gt;0,'MiT Strom Pipeline'!B52,"")</f>
        <v/>
      </c>
      <c r="C121" s="30" t="str">
        <f aca="false">IF(('MiT Strom Pipeline'!R52="offered")+('MiT Strom Pipeline'!R52="to be offered")+('MiT Strom Pipeline'!R52="on hold")&gt;0,'MiT Strom Pipeline'!C52,"")</f>
        <v/>
      </c>
      <c r="D121" s="31" t="str">
        <f aca="false">IF(('MiT Strom Pipeline'!R52="offered")+('MiT Strom Pipeline'!R52="to be offered")+('MiT Strom Pipeline'!R52="on hold")&gt;0,'MiT Strom Pipeline'!D52,"")</f>
        <v/>
      </c>
      <c r="E121" s="31" t="str">
        <f aca="false">IF(('MiT Strom Pipeline'!R52="offered")+('MiT Strom Pipeline'!R52="to be offered")+('MiT Strom Pipeline'!R52="on hold")&gt;0,'MiT Strom Pipeline'!E52,"")</f>
        <v/>
      </c>
      <c r="F121" s="32" t="str">
        <f aca="false">IF(('MiT Strom Pipeline'!R52="offered")+('MiT Strom Pipeline'!R52="to be offered")+('MiT Strom Pipeline'!R52="on hold")&gt;0,IF(ISNUMBER('MiT Strom Pipeline'!I52),'MiT Strom Pipeline'!I52,0),"")</f>
        <v/>
      </c>
      <c r="G121" s="32" t="str">
        <f aca="false">IF(('MiT Strom Pipeline'!R52="offered")+('MiT Strom Pipeline'!R52="to be offered")+('MiT Strom Pipeline'!R52="on hold")&gt;0,IF(ISNUMBER('MiT Strom Pipeline'!Q52),'MiT Strom Pipeline'!Q52,0),"")</f>
        <v/>
      </c>
      <c r="H121" s="32" t="str">
        <f aca="false">IF(('MiT Strom Pipeline'!R52="offered")+('MiT Strom Pipeline'!R52="to be offered")+('MiT Strom Pipeline'!R52="on hold")&gt;0,IF(ISNUMBER('MiT Strom Pipeline'!O52),'MiT Strom Pipeline'!O52,0),"")</f>
        <v/>
      </c>
      <c r="I121" s="30" t="str">
        <f aca="false">IF(('MiT Strom Pipeline'!R52="offered")+('MiT Strom Pipeline'!R52="to be offered")+('MiT Strom Pipeline'!R52="on hold")&gt;0,'MiT Strom Pipeline'!R52,"")</f>
        <v/>
      </c>
      <c r="J121" s="30" t="str">
        <f aca="false">IF(('MiT Strom Pipeline'!R52="offered")+('MiT Strom Pipeline'!R52="to be offered")+('MiT Strom Pipeline'!R52="on hold")&gt;0,'MiT Strom Pipeline'!S52,"")</f>
        <v/>
      </c>
      <c r="K121" s="31" t="str">
        <f aca="false">IF(('MiT Strom Pipeline'!R52="offered")+('MiT Strom Pipeline'!R52="to be offered")+('MiT Strom Pipeline'!R52="on hold")&gt;0,IF(LEN('MiT Strom Pipeline'!V52)&gt;0,LEFT('MiT Strom Pipeline'!V52,55),""),"")</f>
        <v/>
      </c>
    </row>
    <row r="122" customFormat="false" ht="15.75" hidden="false" customHeight="true" outlineLevel="0" collapsed="false">
      <c r="A122" s="22" t="str">
        <f aca="false">IF(('MiT Strom Pipeline'!R53="offered")+('MiT Strom Pipeline'!R53="to be offered")+('MiT Strom Pipeline'!R53="on hold")&gt;0,IF(ISNUMBER('MiT Strom Pipeline'!A53),'MiT Strom Pipeline'!A53,""),"")</f>
        <v/>
      </c>
      <c r="B122" s="23" t="str">
        <f aca="false">IF(('MiT Strom Pipeline'!R53="offered")+('MiT Strom Pipeline'!R53="to be offered")+('MiT Strom Pipeline'!R53="on hold")&gt;0,'MiT Strom Pipeline'!B53,"")</f>
        <v/>
      </c>
      <c r="C122" s="22" t="str">
        <f aca="false">IF(('MiT Strom Pipeline'!R53="offered")+('MiT Strom Pipeline'!R53="to be offered")+('MiT Strom Pipeline'!R53="on hold")&gt;0,'MiT Strom Pipeline'!C53,"")</f>
        <v/>
      </c>
      <c r="D122" s="23" t="str">
        <f aca="false">IF(('MiT Strom Pipeline'!R53="offered")+('MiT Strom Pipeline'!R53="to be offered")+('MiT Strom Pipeline'!R53="on hold")&gt;0,'MiT Strom Pipeline'!D53,"")</f>
        <v/>
      </c>
      <c r="E122" s="23" t="str">
        <f aca="false">IF(('MiT Strom Pipeline'!R53="offered")+('MiT Strom Pipeline'!R53="to be offered")+('MiT Strom Pipeline'!R53="on hold")&gt;0,'MiT Strom Pipeline'!E53,"")</f>
        <v/>
      </c>
      <c r="F122" s="24" t="str">
        <f aca="false">IF(('MiT Strom Pipeline'!R53="offered")+('MiT Strom Pipeline'!R53="to be offered")+('MiT Strom Pipeline'!R53="on hold")&gt;0,IF(ISNUMBER('MiT Strom Pipeline'!I53),'MiT Strom Pipeline'!I53,0),"")</f>
        <v/>
      </c>
      <c r="G122" s="24" t="str">
        <f aca="false">IF(('MiT Strom Pipeline'!R53="offered")+('MiT Strom Pipeline'!R53="to be offered")+('MiT Strom Pipeline'!R53="on hold")&gt;0,IF(ISNUMBER('MiT Strom Pipeline'!Q53),'MiT Strom Pipeline'!Q53,0),"")</f>
        <v/>
      </c>
      <c r="H122" s="24" t="str">
        <f aca="false">IF(('MiT Strom Pipeline'!R53="offered")+('MiT Strom Pipeline'!R53="to be offered")+('MiT Strom Pipeline'!R53="on hold")&gt;0,IF(ISNUMBER('MiT Strom Pipeline'!O53),'MiT Strom Pipeline'!O53,0),"")</f>
        <v/>
      </c>
      <c r="I122" s="22" t="str">
        <f aca="false">IF(('MiT Strom Pipeline'!R53="offered")+('MiT Strom Pipeline'!R53="to be offered")+('MiT Strom Pipeline'!R53="on hold")&gt;0,'MiT Strom Pipeline'!R53,"")</f>
        <v/>
      </c>
      <c r="J122" s="22" t="str">
        <f aca="false">IF(('MiT Strom Pipeline'!R53="offered")+('MiT Strom Pipeline'!R53="to be offered")+('MiT Strom Pipeline'!R53="on hold")&gt;0,'MiT Strom Pipeline'!S53,"")</f>
        <v/>
      </c>
      <c r="K122" s="23" t="str">
        <f aca="false">IF(('MiT Strom Pipeline'!R53="offered")+('MiT Strom Pipeline'!R53="to be offered")+('MiT Strom Pipeline'!R53="on hold")&gt;0,IF(LEN('MiT Strom Pipeline'!V53)&gt;0,LEFT('MiT Strom Pipeline'!V53,55),""),"")</f>
        <v/>
      </c>
    </row>
    <row r="123" customFormat="false" ht="15.75" hidden="false" customHeight="true" outlineLevel="0" collapsed="false">
      <c r="A123" s="30" t="str">
        <f aca="false">IF(('MiT Strom Pipeline'!R54="offered")+('MiT Strom Pipeline'!R54="to be offered")+('MiT Strom Pipeline'!R54="on hold")&gt;0,IF(ISNUMBER('MiT Strom Pipeline'!A54),'MiT Strom Pipeline'!A54,""),"")</f>
        <v/>
      </c>
      <c r="B123" s="31" t="str">
        <f aca="false">IF(('MiT Strom Pipeline'!R54="offered")+('MiT Strom Pipeline'!R54="to be offered")+('MiT Strom Pipeline'!R54="on hold")&gt;0,'MiT Strom Pipeline'!B54,"")</f>
        <v/>
      </c>
      <c r="C123" s="30" t="str">
        <f aca="false">IF(('MiT Strom Pipeline'!R54="offered")+('MiT Strom Pipeline'!R54="to be offered")+('MiT Strom Pipeline'!R54="on hold")&gt;0,'MiT Strom Pipeline'!C54,"")</f>
        <v/>
      </c>
      <c r="D123" s="31" t="str">
        <f aca="false">IF(('MiT Strom Pipeline'!R54="offered")+('MiT Strom Pipeline'!R54="to be offered")+('MiT Strom Pipeline'!R54="on hold")&gt;0,'MiT Strom Pipeline'!D54,"")</f>
        <v/>
      </c>
      <c r="E123" s="31" t="str">
        <f aca="false">IF(('MiT Strom Pipeline'!R54="offered")+('MiT Strom Pipeline'!R54="to be offered")+('MiT Strom Pipeline'!R54="on hold")&gt;0,'MiT Strom Pipeline'!E54,"")</f>
        <v/>
      </c>
      <c r="F123" s="32" t="str">
        <f aca="false">IF(('MiT Strom Pipeline'!R54="offered")+('MiT Strom Pipeline'!R54="to be offered")+('MiT Strom Pipeline'!R54="on hold")&gt;0,IF(ISNUMBER('MiT Strom Pipeline'!I54),'MiT Strom Pipeline'!I54,0),"")</f>
        <v/>
      </c>
      <c r="G123" s="32" t="str">
        <f aca="false">IF(('MiT Strom Pipeline'!R54="offered")+('MiT Strom Pipeline'!R54="to be offered")+('MiT Strom Pipeline'!R54="on hold")&gt;0,IF(ISNUMBER('MiT Strom Pipeline'!Q54),'MiT Strom Pipeline'!Q54,0),"")</f>
        <v/>
      </c>
      <c r="H123" s="32" t="str">
        <f aca="false">IF(('MiT Strom Pipeline'!R54="offered")+('MiT Strom Pipeline'!R54="to be offered")+('MiT Strom Pipeline'!R54="on hold")&gt;0,IF(ISNUMBER('MiT Strom Pipeline'!O54),'MiT Strom Pipeline'!O54,0),"")</f>
        <v/>
      </c>
      <c r="I123" s="30" t="str">
        <f aca="false">IF(('MiT Strom Pipeline'!R54="offered")+('MiT Strom Pipeline'!R54="to be offered")+('MiT Strom Pipeline'!R54="on hold")&gt;0,'MiT Strom Pipeline'!R54,"")</f>
        <v/>
      </c>
      <c r="J123" s="30" t="str">
        <f aca="false">IF(('MiT Strom Pipeline'!R54="offered")+('MiT Strom Pipeline'!R54="to be offered")+('MiT Strom Pipeline'!R54="on hold")&gt;0,'MiT Strom Pipeline'!S54,"")</f>
        <v/>
      </c>
      <c r="K123" s="31" t="str">
        <f aca="false">IF(('MiT Strom Pipeline'!R54="offered")+('MiT Strom Pipeline'!R54="to be offered")+('MiT Strom Pipeline'!R54="on hold")&gt;0,IF(LEN('MiT Strom Pipeline'!V54)&gt;0,LEFT('MiT Strom Pipeline'!V54,55),""),"")</f>
        <v/>
      </c>
    </row>
    <row r="124" customFormat="false" ht="15.75" hidden="false" customHeight="true" outlineLevel="0" collapsed="false">
      <c r="A124" s="22" t="str">
        <f aca="false">IF(('MiT Strom Pipeline'!R55="offered")+('MiT Strom Pipeline'!R55="to be offered")+('MiT Strom Pipeline'!R55="on hold")&gt;0,IF(ISNUMBER('MiT Strom Pipeline'!A55),'MiT Strom Pipeline'!A55,""),"")</f>
        <v/>
      </c>
      <c r="B124" s="23" t="str">
        <f aca="false">IF(('MiT Strom Pipeline'!R55="offered")+('MiT Strom Pipeline'!R55="to be offered")+('MiT Strom Pipeline'!R55="on hold")&gt;0,'MiT Strom Pipeline'!B55,"")</f>
        <v/>
      </c>
      <c r="C124" s="22" t="str">
        <f aca="false">IF(('MiT Strom Pipeline'!R55="offered")+('MiT Strom Pipeline'!R55="to be offered")+('MiT Strom Pipeline'!R55="on hold")&gt;0,'MiT Strom Pipeline'!C55,"")</f>
        <v/>
      </c>
      <c r="D124" s="23" t="str">
        <f aca="false">IF(('MiT Strom Pipeline'!R55="offered")+('MiT Strom Pipeline'!R55="to be offered")+('MiT Strom Pipeline'!R55="on hold")&gt;0,'MiT Strom Pipeline'!D55,"")</f>
        <v/>
      </c>
      <c r="E124" s="23" t="str">
        <f aca="false">IF(('MiT Strom Pipeline'!R55="offered")+('MiT Strom Pipeline'!R55="to be offered")+('MiT Strom Pipeline'!R55="on hold")&gt;0,'MiT Strom Pipeline'!E55,"")</f>
        <v/>
      </c>
      <c r="F124" s="24" t="str">
        <f aca="false">IF(('MiT Strom Pipeline'!R55="offered")+('MiT Strom Pipeline'!R55="to be offered")+('MiT Strom Pipeline'!R55="on hold")&gt;0,IF(ISNUMBER('MiT Strom Pipeline'!I55),'MiT Strom Pipeline'!I55,0),"")</f>
        <v/>
      </c>
      <c r="G124" s="24" t="str">
        <f aca="false">IF(('MiT Strom Pipeline'!R55="offered")+('MiT Strom Pipeline'!R55="to be offered")+('MiT Strom Pipeline'!R55="on hold")&gt;0,IF(ISNUMBER('MiT Strom Pipeline'!Q55),'MiT Strom Pipeline'!Q55,0),"")</f>
        <v/>
      </c>
      <c r="H124" s="24" t="str">
        <f aca="false">IF(('MiT Strom Pipeline'!R55="offered")+('MiT Strom Pipeline'!R55="to be offered")+('MiT Strom Pipeline'!R55="on hold")&gt;0,IF(ISNUMBER('MiT Strom Pipeline'!O55),'MiT Strom Pipeline'!O55,0),"")</f>
        <v/>
      </c>
      <c r="I124" s="22" t="str">
        <f aca="false">IF(('MiT Strom Pipeline'!R55="offered")+('MiT Strom Pipeline'!R55="to be offered")+('MiT Strom Pipeline'!R55="on hold")&gt;0,'MiT Strom Pipeline'!R55,"")</f>
        <v/>
      </c>
      <c r="J124" s="22" t="str">
        <f aca="false">IF(('MiT Strom Pipeline'!R55="offered")+('MiT Strom Pipeline'!R55="to be offered")+('MiT Strom Pipeline'!R55="on hold")&gt;0,'MiT Strom Pipeline'!S55,"")</f>
        <v/>
      </c>
      <c r="K124" s="23" t="str">
        <f aca="false">IF(('MiT Strom Pipeline'!R55="offered")+('MiT Strom Pipeline'!R55="to be offered")+('MiT Strom Pipeline'!R55="on hold")&gt;0,IF(LEN('MiT Strom Pipeline'!V55)&gt;0,LEFT('MiT Strom Pipeline'!V55,55),""),"")</f>
        <v/>
      </c>
    </row>
    <row r="125" customFormat="false" ht="15.75" hidden="false" customHeight="true" outlineLevel="0" collapsed="false">
      <c r="A125" s="30" t="str">
        <f aca="false">IF(('MiT Strom Pipeline'!R56="offered")+('MiT Strom Pipeline'!R56="to be offered")+('MiT Strom Pipeline'!R56="on hold")&gt;0,IF(ISNUMBER('MiT Strom Pipeline'!A56),'MiT Strom Pipeline'!A56,""),"")</f>
        <v/>
      </c>
      <c r="B125" s="31" t="str">
        <f aca="false">IF(('MiT Strom Pipeline'!R56="offered")+('MiT Strom Pipeline'!R56="to be offered")+('MiT Strom Pipeline'!R56="on hold")&gt;0,'MiT Strom Pipeline'!B56,"")</f>
        <v/>
      </c>
      <c r="C125" s="30" t="str">
        <f aca="false">IF(('MiT Strom Pipeline'!R56="offered")+('MiT Strom Pipeline'!R56="to be offered")+('MiT Strom Pipeline'!R56="on hold")&gt;0,'MiT Strom Pipeline'!C56,"")</f>
        <v/>
      </c>
      <c r="D125" s="31" t="str">
        <f aca="false">IF(('MiT Strom Pipeline'!R56="offered")+('MiT Strom Pipeline'!R56="to be offered")+('MiT Strom Pipeline'!R56="on hold")&gt;0,'MiT Strom Pipeline'!D56,"")</f>
        <v/>
      </c>
      <c r="E125" s="31" t="str">
        <f aca="false">IF(('MiT Strom Pipeline'!R56="offered")+('MiT Strom Pipeline'!R56="to be offered")+('MiT Strom Pipeline'!R56="on hold")&gt;0,'MiT Strom Pipeline'!E56,"")</f>
        <v/>
      </c>
      <c r="F125" s="32" t="str">
        <f aca="false">IF(('MiT Strom Pipeline'!R56="offered")+('MiT Strom Pipeline'!R56="to be offered")+('MiT Strom Pipeline'!R56="on hold")&gt;0,IF(ISNUMBER('MiT Strom Pipeline'!I56),'MiT Strom Pipeline'!I56,0),"")</f>
        <v/>
      </c>
      <c r="G125" s="32" t="str">
        <f aca="false">IF(('MiT Strom Pipeline'!R56="offered")+('MiT Strom Pipeline'!R56="to be offered")+('MiT Strom Pipeline'!R56="on hold")&gt;0,IF(ISNUMBER('MiT Strom Pipeline'!Q56),'MiT Strom Pipeline'!Q56,0),"")</f>
        <v/>
      </c>
      <c r="H125" s="32" t="str">
        <f aca="false">IF(('MiT Strom Pipeline'!R56="offered")+('MiT Strom Pipeline'!R56="to be offered")+('MiT Strom Pipeline'!R56="on hold")&gt;0,IF(ISNUMBER('MiT Strom Pipeline'!O56),'MiT Strom Pipeline'!O56,0),"")</f>
        <v/>
      </c>
      <c r="I125" s="30" t="str">
        <f aca="false">IF(('MiT Strom Pipeline'!R56="offered")+('MiT Strom Pipeline'!R56="to be offered")+('MiT Strom Pipeline'!R56="on hold")&gt;0,'MiT Strom Pipeline'!R56,"")</f>
        <v/>
      </c>
      <c r="J125" s="30" t="str">
        <f aca="false">IF(('MiT Strom Pipeline'!R56="offered")+('MiT Strom Pipeline'!R56="to be offered")+('MiT Strom Pipeline'!R56="on hold")&gt;0,'MiT Strom Pipeline'!S56,"")</f>
        <v/>
      </c>
      <c r="K125" s="31" t="str">
        <f aca="false">IF(('MiT Strom Pipeline'!R56="offered")+('MiT Strom Pipeline'!R56="to be offered")+('MiT Strom Pipeline'!R56="on hold")&gt;0,IF(LEN('MiT Strom Pipeline'!V56)&gt;0,LEFT('MiT Strom Pipeline'!V56,55),""),"")</f>
        <v/>
      </c>
    </row>
    <row r="126" customFormat="false" ht="15.75" hidden="false" customHeight="true" outlineLevel="0" collapsed="false">
      <c r="A126" s="22" t="str">
        <f aca="false">IF(('MiT Strom Pipeline'!R57="offered")+('MiT Strom Pipeline'!R57="to be offered")+('MiT Strom Pipeline'!R57="on hold")&gt;0,IF(ISNUMBER('MiT Strom Pipeline'!A57),'MiT Strom Pipeline'!A57,""),"")</f>
        <v/>
      </c>
      <c r="B126" s="23" t="str">
        <f aca="false">IF(('MiT Strom Pipeline'!R57="offered")+('MiT Strom Pipeline'!R57="to be offered")+('MiT Strom Pipeline'!R57="on hold")&gt;0,'MiT Strom Pipeline'!B57,"")</f>
        <v/>
      </c>
      <c r="C126" s="22" t="str">
        <f aca="false">IF(('MiT Strom Pipeline'!R57="offered")+('MiT Strom Pipeline'!R57="to be offered")+('MiT Strom Pipeline'!R57="on hold")&gt;0,'MiT Strom Pipeline'!C57,"")</f>
        <v/>
      </c>
      <c r="D126" s="23" t="str">
        <f aca="false">IF(('MiT Strom Pipeline'!R57="offered")+('MiT Strom Pipeline'!R57="to be offered")+('MiT Strom Pipeline'!R57="on hold")&gt;0,'MiT Strom Pipeline'!D57,"")</f>
        <v/>
      </c>
      <c r="E126" s="23" t="str">
        <f aca="false">IF(('MiT Strom Pipeline'!R57="offered")+('MiT Strom Pipeline'!R57="to be offered")+('MiT Strom Pipeline'!R57="on hold")&gt;0,'MiT Strom Pipeline'!E57,"")</f>
        <v/>
      </c>
      <c r="F126" s="24" t="str">
        <f aca="false">IF(('MiT Strom Pipeline'!R57="offered")+('MiT Strom Pipeline'!R57="to be offered")+('MiT Strom Pipeline'!R57="on hold")&gt;0,IF(ISNUMBER('MiT Strom Pipeline'!I57),'MiT Strom Pipeline'!I57,0),"")</f>
        <v/>
      </c>
      <c r="G126" s="24" t="str">
        <f aca="false">IF(('MiT Strom Pipeline'!R57="offered")+('MiT Strom Pipeline'!R57="to be offered")+('MiT Strom Pipeline'!R57="on hold")&gt;0,IF(ISNUMBER('MiT Strom Pipeline'!Q57),'MiT Strom Pipeline'!Q57,0),"")</f>
        <v/>
      </c>
      <c r="H126" s="24" t="str">
        <f aca="false">IF(('MiT Strom Pipeline'!R57="offered")+('MiT Strom Pipeline'!R57="to be offered")+('MiT Strom Pipeline'!R57="on hold")&gt;0,IF(ISNUMBER('MiT Strom Pipeline'!O57),'MiT Strom Pipeline'!O57,0),"")</f>
        <v/>
      </c>
      <c r="I126" s="22" t="str">
        <f aca="false">IF(('MiT Strom Pipeline'!R57="offered")+('MiT Strom Pipeline'!R57="to be offered")+('MiT Strom Pipeline'!R57="on hold")&gt;0,'MiT Strom Pipeline'!R57,"")</f>
        <v/>
      </c>
      <c r="J126" s="22" t="str">
        <f aca="false">IF(('MiT Strom Pipeline'!R57="offered")+('MiT Strom Pipeline'!R57="to be offered")+('MiT Strom Pipeline'!R57="on hold")&gt;0,'MiT Strom Pipeline'!S57,"")</f>
        <v/>
      </c>
      <c r="K126" s="23" t="str">
        <f aca="false">IF(('MiT Strom Pipeline'!R57="offered")+('MiT Strom Pipeline'!R57="to be offered")+('MiT Strom Pipeline'!R57="on hold")&gt;0,IF(LEN('MiT Strom Pipeline'!V57)&gt;0,LEFT('MiT Strom Pipeline'!V57,55),""),"")</f>
        <v/>
      </c>
    </row>
    <row r="127" customFormat="false" ht="15.75" hidden="false" customHeight="true" outlineLevel="0" collapsed="false">
      <c r="A127" s="30" t="str">
        <f aca="false">IF(('MiT Strom Pipeline'!R58="offered")+('MiT Strom Pipeline'!R58="to be offered")+('MiT Strom Pipeline'!R58="on hold")&gt;0,IF(ISNUMBER('MiT Strom Pipeline'!A58),'MiT Strom Pipeline'!A58,""),"")</f>
        <v/>
      </c>
      <c r="B127" s="31" t="str">
        <f aca="false">IF(('MiT Strom Pipeline'!R58="offered")+('MiT Strom Pipeline'!R58="to be offered")+('MiT Strom Pipeline'!R58="on hold")&gt;0,'MiT Strom Pipeline'!B58,"")</f>
        <v/>
      </c>
      <c r="C127" s="30" t="str">
        <f aca="false">IF(('MiT Strom Pipeline'!R58="offered")+('MiT Strom Pipeline'!R58="to be offered")+('MiT Strom Pipeline'!R58="on hold")&gt;0,'MiT Strom Pipeline'!C58,"")</f>
        <v/>
      </c>
      <c r="D127" s="31" t="str">
        <f aca="false">IF(('MiT Strom Pipeline'!R58="offered")+('MiT Strom Pipeline'!R58="to be offered")+('MiT Strom Pipeline'!R58="on hold")&gt;0,'MiT Strom Pipeline'!D58,"")</f>
        <v/>
      </c>
      <c r="E127" s="31" t="str">
        <f aca="false">IF(('MiT Strom Pipeline'!R58="offered")+('MiT Strom Pipeline'!R58="to be offered")+('MiT Strom Pipeline'!R58="on hold")&gt;0,'MiT Strom Pipeline'!E58,"")</f>
        <v/>
      </c>
      <c r="F127" s="32" t="str">
        <f aca="false">IF(('MiT Strom Pipeline'!R58="offered")+('MiT Strom Pipeline'!R58="to be offered")+('MiT Strom Pipeline'!R58="on hold")&gt;0,IF(ISNUMBER('MiT Strom Pipeline'!I58),'MiT Strom Pipeline'!I58,0),"")</f>
        <v/>
      </c>
      <c r="G127" s="32" t="str">
        <f aca="false">IF(('MiT Strom Pipeline'!R58="offered")+('MiT Strom Pipeline'!R58="to be offered")+('MiT Strom Pipeline'!R58="on hold")&gt;0,IF(ISNUMBER('MiT Strom Pipeline'!Q58),'MiT Strom Pipeline'!Q58,0),"")</f>
        <v/>
      </c>
      <c r="H127" s="32" t="str">
        <f aca="false">IF(('MiT Strom Pipeline'!R58="offered")+('MiT Strom Pipeline'!R58="to be offered")+('MiT Strom Pipeline'!R58="on hold")&gt;0,IF(ISNUMBER('MiT Strom Pipeline'!O58),'MiT Strom Pipeline'!O58,0),"")</f>
        <v/>
      </c>
      <c r="I127" s="30" t="str">
        <f aca="false">IF(('MiT Strom Pipeline'!R58="offered")+('MiT Strom Pipeline'!R58="to be offered")+('MiT Strom Pipeline'!R58="on hold")&gt;0,'MiT Strom Pipeline'!R58,"")</f>
        <v/>
      </c>
      <c r="J127" s="30" t="str">
        <f aca="false">IF(('MiT Strom Pipeline'!R58="offered")+('MiT Strom Pipeline'!R58="to be offered")+('MiT Strom Pipeline'!R58="on hold")&gt;0,'MiT Strom Pipeline'!S58,"")</f>
        <v/>
      </c>
      <c r="K127" s="31" t="str">
        <f aca="false">IF(('MiT Strom Pipeline'!R58="offered")+('MiT Strom Pipeline'!R58="to be offered")+('MiT Strom Pipeline'!R58="on hold")&gt;0,IF(LEN('MiT Strom Pipeline'!V58)&gt;0,LEFT('MiT Strom Pipeline'!V58,55),""),"")</f>
        <v/>
      </c>
    </row>
    <row r="128" customFormat="false" ht="15.75" hidden="false" customHeight="true" outlineLevel="0" collapsed="false">
      <c r="A128" s="22" t="str">
        <f aca="false">IF(('MiT Strom Pipeline'!R59="offered")+('MiT Strom Pipeline'!R59="to be offered")+('MiT Strom Pipeline'!R59="on hold")&gt;0,IF(ISNUMBER('MiT Strom Pipeline'!A59),'MiT Strom Pipeline'!A59,""),"")</f>
        <v/>
      </c>
      <c r="B128" s="23" t="str">
        <f aca="false">IF(('MiT Strom Pipeline'!R59="offered")+('MiT Strom Pipeline'!R59="to be offered")+('MiT Strom Pipeline'!R59="on hold")&gt;0,'MiT Strom Pipeline'!B59,"")</f>
        <v/>
      </c>
      <c r="C128" s="22" t="str">
        <f aca="false">IF(('MiT Strom Pipeline'!R59="offered")+('MiT Strom Pipeline'!R59="to be offered")+('MiT Strom Pipeline'!R59="on hold")&gt;0,'MiT Strom Pipeline'!C59,"")</f>
        <v/>
      </c>
      <c r="D128" s="23" t="str">
        <f aca="false">IF(('MiT Strom Pipeline'!R59="offered")+('MiT Strom Pipeline'!R59="to be offered")+('MiT Strom Pipeline'!R59="on hold")&gt;0,'MiT Strom Pipeline'!D59,"")</f>
        <v/>
      </c>
      <c r="E128" s="23" t="str">
        <f aca="false">IF(('MiT Strom Pipeline'!R59="offered")+('MiT Strom Pipeline'!R59="to be offered")+('MiT Strom Pipeline'!R59="on hold")&gt;0,'MiT Strom Pipeline'!E59,"")</f>
        <v/>
      </c>
      <c r="F128" s="24" t="str">
        <f aca="false">IF(('MiT Strom Pipeline'!R59="offered")+('MiT Strom Pipeline'!R59="to be offered")+('MiT Strom Pipeline'!R59="on hold")&gt;0,IF(ISNUMBER('MiT Strom Pipeline'!I59),'MiT Strom Pipeline'!I59,0),"")</f>
        <v/>
      </c>
      <c r="G128" s="24" t="str">
        <f aca="false">IF(('MiT Strom Pipeline'!R59="offered")+('MiT Strom Pipeline'!R59="to be offered")+('MiT Strom Pipeline'!R59="on hold")&gt;0,IF(ISNUMBER('MiT Strom Pipeline'!Q59),'MiT Strom Pipeline'!Q59,0),"")</f>
        <v/>
      </c>
      <c r="H128" s="24" t="str">
        <f aca="false">IF(('MiT Strom Pipeline'!R59="offered")+('MiT Strom Pipeline'!R59="to be offered")+('MiT Strom Pipeline'!R59="on hold")&gt;0,IF(ISNUMBER('MiT Strom Pipeline'!O59),'MiT Strom Pipeline'!O59,0),"")</f>
        <v/>
      </c>
      <c r="I128" s="22" t="str">
        <f aca="false">IF(('MiT Strom Pipeline'!R59="offered")+('MiT Strom Pipeline'!R59="to be offered")+('MiT Strom Pipeline'!R59="on hold")&gt;0,'MiT Strom Pipeline'!R59,"")</f>
        <v/>
      </c>
      <c r="J128" s="22" t="str">
        <f aca="false">IF(('MiT Strom Pipeline'!R59="offered")+('MiT Strom Pipeline'!R59="to be offered")+('MiT Strom Pipeline'!R59="on hold")&gt;0,'MiT Strom Pipeline'!S59,"")</f>
        <v/>
      </c>
      <c r="K128" s="23" t="str">
        <f aca="false">IF(('MiT Strom Pipeline'!R59="offered")+('MiT Strom Pipeline'!R59="to be offered")+('MiT Strom Pipeline'!R59="on hold")&gt;0,IF(LEN('MiT Strom Pipeline'!V59)&gt;0,LEFT('MiT Strom Pipeline'!V59,55),""),"")</f>
        <v/>
      </c>
    </row>
    <row r="129" customFormat="false" ht="15.75" hidden="false" customHeight="true" outlineLevel="0" collapsed="false">
      <c r="A129" s="30" t="str">
        <f aca="false">IF(('MiT Strom Pipeline'!R60="offered")+('MiT Strom Pipeline'!R60="to be offered")+('MiT Strom Pipeline'!R60="on hold")&gt;0,IF(ISNUMBER('MiT Strom Pipeline'!A60),'MiT Strom Pipeline'!A60,""),"")</f>
        <v/>
      </c>
      <c r="B129" s="31" t="str">
        <f aca="false">IF(('MiT Strom Pipeline'!R60="offered")+('MiT Strom Pipeline'!R60="to be offered")+('MiT Strom Pipeline'!R60="on hold")&gt;0,'MiT Strom Pipeline'!B60,"")</f>
        <v/>
      </c>
      <c r="C129" s="30" t="str">
        <f aca="false">IF(('MiT Strom Pipeline'!R60="offered")+('MiT Strom Pipeline'!R60="to be offered")+('MiT Strom Pipeline'!R60="on hold")&gt;0,'MiT Strom Pipeline'!C60,"")</f>
        <v/>
      </c>
      <c r="D129" s="31" t="str">
        <f aca="false">IF(('MiT Strom Pipeline'!R60="offered")+('MiT Strom Pipeline'!R60="to be offered")+('MiT Strom Pipeline'!R60="on hold")&gt;0,'MiT Strom Pipeline'!D60,"")</f>
        <v/>
      </c>
      <c r="E129" s="31" t="str">
        <f aca="false">IF(('MiT Strom Pipeline'!R60="offered")+('MiT Strom Pipeline'!R60="to be offered")+('MiT Strom Pipeline'!R60="on hold")&gt;0,'MiT Strom Pipeline'!E60,"")</f>
        <v/>
      </c>
      <c r="F129" s="32" t="str">
        <f aca="false">IF(('MiT Strom Pipeline'!R60="offered")+('MiT Strom Pipeline'!R60="to be offered")+('MiT Strom Pipeline'!R60="on hold")&gt;0,IF(ISNUMBER('MiT Strom Pipeline'!I60),'MiT Strom Pipeline'!I60,0),"")</f>
        <v/>
      </c>
      <c r="G129" s="32" t="str">
        <f aca="false">IF(('MiT Strom Pipeline'!R60="offered")+('MiT Strom Pipeline'!R60="to be offered")+('MiT Strom Pipeline'!R60="on hold")&gt;0,IF(ISNUMBER('MiT Strom Pipeline'!Q60),'MiT Strom Pipeline'!Q60,0),"")</f>
        <v/>
      </c>
      <c r="H129" s="32" t="str">
        <f aca="false">IF(('MiT Strom Pipeline'!R60="offered")+('MiT Strom Pipeline'!R60="to be offered")+('MiT Strom Pipeline'!R60="on hold")&gt;0,IF(ISNUMBER('MiT Strom Pipeline'!O60),'MiT Strom Pipeline'!O60,0),"")</f>
        <v/>
      </c>
      <c r="I129" s="30" t="str">
        <f aca="false">IF(('MiT Strom Pipeline'!R60="offered")+('MiT Strom Pipeline'!R60="to be offered")+('MiT Strom Pipeline'!R60="on hold")&gt;0,'MiT Strom Pipeline'!R60,"")</f>
        <v/>
      </c>
      <c r="J129" s="30" t="str">
        <f aca="false">IF(('MiT Strom Pipeline'!R60="offered")+('MiT Strom Pipeline'!R60="to be offered")+('MiT Strom Pipeline'!R60="on hold")&gt;0,'MiT Strom Pipeline'!S60,"")</f>
        <v/>
      </c>
      <c r="K129" s="31" t="str">
        <f aca="false">IF(('MiT Strom Pipeline'!R60="offered")+('MiT Strom Pipeline'!R60="to be offered")+('MiT Strom Pipeline'!R60="on hold")&gt;0,IF(LEN('MiT Strom Pipeline'!V60)&gt;0,LEFT('MiT Strom Pipeline'!V60,55),""),"")</f>
        <v/>
      </c>
    </row>
    <row r="130" customFormat="false" ht="15.75" hidden="false" customHeight="true" outlineLevel="0" collapsed="false">
      <c r="A130" s="22" t="str">
        <f aca="false">IF(('MiT Strom Pipeline'!R61="offered")+('MiT Strom Pipeline'!R61="to be offered")+('MiT Strom Pipeline'!R61="on hold")&gt;0,IF(ISNUMBER('MiT Strom Pipeline'!A61),'MiT Strom Pipeline'!A61,""),"")</f>
        <v/>
      </c>
      <c r="B130" s="23" t="str">
        <f aca="false">IF(('MiT Strom Pipeline'!R61="offered")+('MiT Strom Pipeline'!R61="to be offered")+('MiT Strom Pipeline'!R61="on hold")&gt;0,'MiT Strom Pipeline'!B61,"")</f>
        <v/>
      </c>
      <c r="C130" s="22" t="str">
        <f aca="false">IF(('MiT Strom Pipeline'!R61="offered")+('MiT Strom Pipeline'!R61="to be offered")+('MiT Strom Pipeline'!R61="on hold")&gt;0,'MiT Strom Pipeline'!C61,"")</f>
        <v/>
      </c>
      <c r="D130" s="23" t="str">
        <f aca="false">IF(('MiT Strom Pipeline'!R61="offered")+('MiT Strom Pipeline'!R61="to be offered")+('MiT Strom Pipeline'!R61="on hold")&gt;0,'MiT Strom Pipeline'!D61,"")</f>
        <v/>
      </c>
      <c r="E130" s="23" t="str">
        <f aca="false">IF(('MiT Strom Pipeline'!R61="offered")+('MiT Strom Pipeline'!R61="to be offered")+('MiT Strom Pipeline'!R61="on hold")&gt;0,'MiT Strom Pipeline'!E61,"")</f>
        <v/>
      </c>
      <c r="F130" s="24" t="str">
        <f aca="false">IF(('MiT Strom Pipeline'!R61="offered")+('MiT Strom Pipeline'!R61="to be offered")+('MiT Strom Pipeline'!R61="on hold")&gt;0,IF(ISNUMBER('MiT Strom Pipeline'!I61),'MiT Strom Pipeline'!I61,0),"")</f>
        <v/>
      </c>
      <c r="G130" s="24" t="str">
        <f aca="false">IF(('MiT Strom Pipeline'!R61="offered")+('MiT Strom Pipeline'!R61="to be offered")+('MiT Strom Pipeline'!R61="on hold")&gt;0,IF(ISNUMBER('MiT Strom Pipeline'!Q61),'MiT Strom Pipeline'!Q61,0),"")</f>
        <v/>
      </c>
      <c r="H130" s="24" t="str">
        <f aca="false">IF(('MiT Strom Pipeline'!R61="offered")+('MiT Strom Pipeline'!R61="to be offered")+('MiT Strom Pipeline'!R61="on hold")&gt;0,IF(ISNUMBER('MiT Strom Pipeline'!O61),'MiT Strom Pipeline'!O61,0),"")</f>
        <v/>
      </c>
      <c r="I130" s="22" t="str">
        <f aca="false">IF(('MiT Strom Pipeline'!R61="offered")+('MiT Strom Pipeline'!R61="to be offered")+('MiT Strom Pipeline'!R61="on hold")&gt;0,'MiT Strom Pipeline'!R61,"")</f>
        <v/>
      </c>
      <c r="J130" s="22" t="str">
        <f aca="false">IF(('MiT Strom Pipeline'!R61="offered")+('MiT Strom Pipeline'!R61="to be offered")+('MiT Strom Pipeline'!R61="on hold")&gt;0,'MiT Strom Pipeline'!S61,"")</f>
        <v/>
      </c>
      <c r="K130" s="23" t="str">
        <f aca="false">IF(('MiT Strom Pipeline'!R61="offered")+('MiT Strom Pipeline'!R61="to be offered")+('MiT Strom Pipeline'!R61="on hold")&gt;0,IF(LEN('MiT Strom Pipeline'!V61)&gt;0,LEFT('MiT Strom Pipeline'!V61,55),""),"")</f>
        <v/>
      </c>
    </row>
    <row r="131" customFormat="false" ht="15.75" hidden="false" customHeight="true" outlineLevel="0" collapsed="false">
      <c r="A131" s="30" t="str">
        <f aca="false">IF(('MiT Strom Pipeline'!R62="offered")+('MiT Strom Pipeline'!R62="to be offered")+('MiT Strom Pipeline'!R62="on hold")&gt;0,IF(ISNUMBER('MiT Strom Pipeline'!A62),'MiT Strom Pipeline'!A62,""),"")</f>
        <v/>
      </c>
      <c r="B131" s="31" t="str">
        <f aca="false">IF(('MiT Strom Pipeline'!R62="offered")+('MiT Strom Pipeline'!R62="to be offered")+('MiT Strom Pipeline'!R62="on hold")&gt;0,'MiT Strom Pipeline'!B62,"")</f>
        <v/>
      </c>
      <c r="C131" s="30" t="str">
        <f aca="false">IF(('MiT Strom Pipeline'!R62="offered")+('MiT Strom Pipeline'!R62="to be offered")+('MiT Strom Pipeline'!R62="on hold")&gt;0,'MiT Strom Pipeline'!C62,"")</f>
        <v/>
      </c>
      <c r="D131" s="31" t="str">
        <f aca="false">IF(('MiT Strom Pipeline'!R62="offered")+('MiT Strom Pipeline'!R62="to be offered")+('MiT Strom Pipeline'!R62="on hold")&gt;0,'MiT Strom Pipeline'!D62,"")</f>
        <v/>
      </c>
      <c r="E131" s="31" t="str">
        <f aca="false">IF(('MiT Strom Pipeline'!R62="offered")+('MiT Strom Pipeline'!R62="to be offered")+('MiT Strom Pipeline'!R62="on hold")&gt;0,'MiT Strom Pipeline'!E62,"")</f>
        <v/>
      </c>
      <c r="F131" s="32" t="str">
        <f aca="false">IF(('MiT Strom Pipeline'!R62="offered")+('MiT Strom Pipeline'!R62="to be offered")+('MiT Strom Pipeline'!R62="on hold")&gt;0,IF(ISNUMBER('MiT Strom Pipeline'!I62),'MiT Strom Pipeline'!I62,0),"")</f>
        <v/>
      </c>
      <c r="G131" s="32" t="str">
        <f aca="false">IF(('MiT Strom Pipeline'!R62="offered")+('MiT Strom Pipeline'!R62="to be offered")+('MiT Strom Pipeline'!R62="on hold")&gt;0,IF(ISNUMBER('MiT Strom Pipeline'!Q62),'MiT Strom Pipeline'!Q62,0),"")</f>
        <v/>
      </c>
      <c r="H131" s="32" t="str">
        <f aca="false">IF(('MiT Strom Pipeline'!R62="offered")+('MiT Strom Pipeline'!R62="to be offered")+('MiT Strom Pipeline'!R62="on hold")&gt;0,IF(ISNUMBER('MiT Strom Pipeline'!O62),'MiT Strom Pipeline'!O62,0),"")</f>
        <v/>
      </c>
      <c r="I131" s="30" t="str">
        <f aca="false">IF(('MiT Strom Pipeline'!R62="offered")+('MiT Strom Pipeline'!R62="to be offered")+('MiT Strom Pipeline'!R62="on hold")&gt;0,'MiT Strom Pipeline'!R62,"")</f>
        <v/>
      </c>
      <c r="J131" s="30" t="str">
        <f aca="false">IF(('MiT Strom Pipeline'!R62="offered")+('MiT Strom Pipeline'!R62="to be offered")+('MiT Strom Pipeline'!R62="on hold")&gt;0,'MiT Strom Pipeline'!S62,"")</f>
        <v/>
      </c>
      <c r="K131" s="31" t="str">
        <f aca="false">IF(('MiT Strom Pipeline'!R62="offered")+('MiT Strom Pipeline'!R62="to be offered")+('MiT Strom Pipeline'!R62="on hold")&gt;0,IF(LEN('MiT Strom Pipeline'!V62)&gt;0,LEFT('MiT Strom Pipeline'!V62,55),""),"")</f>
        <v/>
      </c>
    </row>
    <row r="132" customFormat="false" ht="15.75" hidden="false" customHeight="true" outlineLevel="0" collapsed="false">
      <c r="A132" s="22" t="str">
        <f aca="false">IF(('MiT Strom Pipeline'!R63="offered")+('MiT Strom Pipeline'!R63="to be offered")+('MiT Strom Pipeline'!R63="on hold")&gt;0,IF(ISNUMBER('MiT Strom Pipeline'!A63),'MiT Strom Pipeline'!A63,""),"")</f>
        <v/>
      </c>
      <c r="B132" s="23" t="str">
        <f aca="false">IF(('MiT Strom Pipeline'!R63="offered")+('MiT Strom Pipeline'!R63="to be offered")+('MiT Strom Pipeline'!R63="on hold")&gt;0,'MiT Strom Pipeline'!B63,"")</f>
        <v/>
      </c>
      <c r="C132" s="22" t="str">
        <f aca="false">IF(('MiT Strom Pipeline'!R63="offered")+('MiT Strom Pipeline'!R63="to be offered")+('MiT Strom Pipeline'!R63="on hold")&gt;0,'MiT Strom Pipeline'!C63,"")</f>
        <v/>
      </c>
      <c r="D132" s="23" t="str">
        <f aca="false">IF(('MiT Strom Pipeline'!R63="offered")+('MiT Strom Pipeline'!R63="to be offered")+('MiT Strom Pipeline'!R63="on hold")&gt;0,'MiT Strom Pipeline'!D63,"")</f>
        <v/>
      </c>
      <c r="E132" s="23" t="str">
        <f aca="false">IF(('MiT Strom Pipeline'!R63="offered")+('MiT Strom Pipeline'!R63="to be offered")+('MiT Strom Pipeline'!R63="on hold")&gt;0,'MiT Strom Pipeline'!E63,"")</f>
        <v/>
      </c>
      <c r="F132" s="24" t="str">
        <f aca="false">IF(('MiT Strom Pipeline'!R63="offered")+('MiT Strom Pipeline'!R63="to be offered")+('MiT Strom Pipeline'!R63="on hold")&gt;0,IF(ISNUMBER('MiT Strom Pipeline'!I63),'MiT Strom Pipeline'!I63,0),"")</f>
        <v/>
      </c>
      <c r="G132" s="24" t="str">
        <f aca="false">IF(('MiT Strom Pipeline'!R63="offered")+('MiT Strom Pipeline'!R63="to be offered")+('MiT Strom Pipeline'!R63="on hold")&gt;0,IF(ISNUMBER('MiT Strom Pipeline'!Q63),'MiT Strom Pipeline'!Q63,0),"")</f>
        <v/>
      </c>
      <c r="H132" s="24" t="str">
        <f aca="false">IF(('MiT Strom Pipeline'!R63="offered")+('MiT Strom Pipeline'!R63="to be offered")+('MiT Strom Pipeline'!R63="on hold")&gt;0,IF(ISNUMBER('MiT Strom Pipeline'!O63),'MiT Strom Pipeline'!O63,0),"")</f>
        <v/>
      </c>
      <c r="I132" s="22" t="str">
        <f aca="false">IF(('MiT Strom Pipeline'!R63="offered")+('MiT Strom Pipeline'!R63="to be offered")+('MiT Strom Pipeline'!R63="on hold")&gt;0,'MiT Strom Pipeline'!R63,"")</f>
        <v/>
      </c>
      <c r="J132" s="22" t="str">
        <f aca="false">IF(('MiT Strom Pipeline'!R63="offered")+('MiT Strom Pipeline'!R63="to be offered")+('MiT Strom Pipeline'!R63="on hold")&gt;0,'MiT Strom Pipeline'!S63,"")</f>
        <v/>
      </c>
      <c r="K132" s="23" t="str">
        <f aca="false">IF(('MiT Strom Pipeline'!R63="offered")+('MiT Strom Pipeline'!R63="to be offered")+('MiT Strom Pipeline'!R63="on hold")&gt;0,IF(LEN('MiT Strom Pipeline'!V63)&gt;0,LEFT('MiT Strom Pipeline'!V63,55),""),"")</f>
        <v/>
      </c>
    </row>
    <row r="133" customFormat="false" ht="15.75" hidden="false" customHeight="true" outlineLevel="0" collapsed="false">
      <c r="A133" s="30" t="str">
        <f aca="false">IF(('MiT Strom Pipeline'!R64="offered")+('MiT Strom Pipeline'!R64="to be offered")+('MiT Strom Pipeline'!R64="on hold")&gt;0,IF(ISNUMBER('MiT Strom Pipeline'!A64),'MiT Strom Pipeline'!A64,""),"")</f>
        <v/>
      </c>
      <c r="B133" s="31" t="str">
        <f aca="false">IF(('MiT Strom Pipeline'!R64="offered")+('MiT Strom Pipeline'!R64="to be offered")+('MiT Strom Pipeline'!R64="on hold")&gt;0,'MiT Strom Pipeline'!B64,"")</f>
        <v/>
      </c>
      <c r="C133" s="30" t="str">
        <f aca="false">IF(('MiT Strom Pipeline'!R64="offered")+('MiT Strom Pipeline'!R64="to be offered")+('MiT Strom Pipeline'!R64="on hold")&gt;0,'MiT Strom Pipeline'!C64,"")</f>
        <v/>
      </c>
      <c r="D133" s="31" t="str">
        <f aca="false">IF(('MiT Strom Pipeline'!R64="offered")+('MiT Strom Pipeline'!R64="to be offered")+('MiT Strom Pipeline'!R64="on hold")&gt;0,'MiT Strom Pipeline'!D64,"")</f>
        <v/>
      </c>
      <c r="E133" s="31" t="str">
        <f aca="false">IF(('MiT Strom Pipeline'!R64="offered")+('MiT Strom Pipeline'!R64="to be offered")+('MiT Strom Pipeline'!R64="on hold")&gt;0,'MiT Strom Pipeline'!E64,"")</f>
        <v/>
      </c>
      <c r="F133" s="32" t="str">
        <f aca="false">IF(('MiT Strom Pipeline'!R64="offered")+('MiT Strom Pipeline'!R64="to be offered")+('MiT Strom Pipeline'!R64="on hold")&gt;0,IF(ISNUMBER('MiT Strom Pipeline'!I64),'MiT Strom Pipeline'!I64,0),"")</f>
        <v/>
      </c>
      <c r="G133" s="32" t="str">
        <f aca="false">IF(('MiT Strom Pipeline'!R64="offered")+('MiT Strom Pipeline'!R64="to be offered")+('MiT Strom Pipeline'!R64="on hold")&gt;0,IF(ISNUMBER('MiT Strom Pipeline'!Q64),'MiT Strom Pipeline'!Q64,0),"")</f>
        <v/>
      </c>
      <c r="H133" s="32" t="str">
        <f aca="false">IF(('MiT Strom Pipeline'!R64="offered")+('MiT Strom Pipeline'!R64="to be offered")+('MiT Strom Pipeline'!R64="on hold")&gt;0,IF(ISNUMBER('MiT Strom Pipeline'!O64),'MiT Strom Pipeline'!O64,0),"")</f>
        <v/>
      </c>
      <c r="I133" s="30" t="str">
        <f aca="false">IF(('MiT Strom Pipeline'!R64="offered")+('MiT Strom Pipeline'!R64="to be offered")+('MiT Strom Pipeline'!R64="on hold")&gt;0,'MiT Strom Pipeline'!R64,"")</f>
        <v/>
      </c>
      <c r="J133" s="30" t="str">
        <f aca="false">IF(('MiT Strom Pipeline'!R64="offered")+('MiT Strom Pipeline'!R64="to be offered")+('MiT Strom Pipeline'!R64="on hold")&gt;0,'MiT Strom Pipeline'!S64,"")</f>
        <v/>
      </c>
      <c r="K133" s="31" t="str">
        <f aca="false">IF(('MiT Strom Pipeline'!R64="offered")+('MiT Strom Pipeline'!R64="to be offered")+('MiT Strom Pipeline'!R64="on hold")&gt;0,IF(LEN('MiT Strom Pipeline'!V64)&gt;0,LEFT('MiT Strom Pipeline'!V64,55),""),"")</f>
        <v/>
      </c>
    </row>
    <row r="134" customFormat="false" ht="15.75" hidden="false" customHeight="true" outlineLevel="0" collapsed="false">
      <c r="A134" s="22" t="str">
        <f aca="false">IF(('MiT Strom Pipeline'!R65="offered")+('MiT Strom Pipeline'!R65="to be offered")+('MiT Strom Pipeline'!R65="on hold")&gt;0,IF(ISNUMBER('MiT Strom Pipeline'!A65),'MiT Strom Pipeline'!A65,""),"")</f>
        <v/>
      </c>
      <c r="B134" s="23" t="str">
        <f aca="false">IF(('MiT Strom Pipeline'!R65="offered")+('MiT Strom Pipeline'!R65="to be offered")+('MiT Strom Pipeline'!R65="on hold")&gt;0,'MiT Strom Pipeline'!B65,"")</f>
        <v/>
      </c>
      <c r="C134" s="22" t="str">
        <f aca="false">IF(('MiT Strom Pipeline'!R65="offered")+('MiT Strom Pipeline'!R65="to be offered")+('MiT Strom Pipeline'!R65="on hold")&gt;0,'MiT Strom Pipeline'!C65,"")</f>
        <v/>
      </c>
      <c r="D134" s="23" t="str">
        <f aca="false">IF(('MiT Strom Pipeline'!R65="offered")+('MiT Strom Pipeline'!R65="to be offered")+('MiT Strom Pipeline'!R65="on hold")&gt;0,'MiT Strom Pipeline'!D65,"")</f>
        <v/>
      </c>
      <c r="E134" s="23" t="str">
        <f aca="false">IF(('MiT Strom Pipeline'!R65="offered")+('MiT Strom Pipeline'!R65="to be offered")+('MiT Strom Pipeline'!R65="on hold")&gt;0,'MiT Strom Pipeline'!E65,"")</f>
        <v/>
      </c>
      <c r="F134" s="24" t="str">
        <f aca="false">IF(('MiT Strom Pipeline'!R65="offered")+('MiT Strom Pipeline'!R65="to be offered")+('MiT Strom Pipeline'!R65="on hold")&gt;0,IF(ISNUMBER('MiT Strom Pipeline'!I65),'MiT Strom Pipeline'!I65,0),"")</f>
        <v/>
      </c>
      <c r="G134" s="24" t="str">
        <f aca="false">IF(('MiT Strom Pipeline'!R65="offered")+('MiT Strom Pipeline'!R65="to be offered")+('MiT Strom Pipeline'!R65="on hold")&gt;0,IF(ISNUMBER('MiT Strom Pipeline'!Q65),'MiT Strom Pipeline'!Q65,0),"")</f>
        <v/>
      </c>
      <c r="H134" s="24" t="str">
        <f aca="false">IF(('MiT Strom Pipeline'!R65="offered")+('MiT Strom Pipeline'!R65="to be offered")+('MiT Strom Pipeline'!R65="on hold")&gt;0,IF(ISNUMBER('MiT Strom Pipeline'!O65),'MiT Strom Pipeline'!O65,0),"")</f>
        <v/>
      </c>
      <c r="I134" s="22" t="str">
        <f aca="false">IF(('MiT Strom Pipeline'!R65="offered")+('MiT Strom Pipeline'!R65="to be offered")+('MiT Strom Pipeline'!R65="on hold")&gt;0,'MiT Strom Pipeline'!R65,"")</f>
        <v/>
      </c>
      <c r="J134" s="22" t="str">
        <f aca="false">IF(('MiT Strom Pipeline'!R65="offered")+('MiT Strom Pipeline'!R65="to be offered")+('MiT Strom Pipeline'!R65="on hold")&gt;0,'MiT Strom Pipeline'!S65,"")</f>
        <v/>
      </c>
      <c r="K134" s="23" t="str">
        <f aca="false">IF(('MiT Strom Pipeline'!R65="offered")+('MiT Strom Pipeline'!R65="to be offered")+('MiT Strom Pipeline'!R65="on hold")&gt;0,IF(LEN('MiT Strom Pipeline'!V65)&gt;0,LEFT('MiT Strom Pipeline'!V65,55),""),"")</f>
        <v/>
      </c>
    </row>
    <row r="135" customFormat="false" ht="21.75" hidden="false" customHeight="true" outlineLevel="0" collapsed="false">
      <c r="A135" s="34" t="str">
        <f aca="false">IF(('MiT Strom Pipeline'!R66="offered")+('MiT Strom Pipeline'!R66="to be offered")+('MiT Strom Pipeline'!R66="on hold")&gt;0,IF(ISNUMBER('MiT Strom Pipeline'!A66),'MiT Strom Pipeline'!A66,""),"")</f>
        <v/>
      </c>
      <c r="B135" s="35" t="str">
        <f aca="false">IF(('MiT Strom Pipeline'!R66="offered")+('MiT Strom Pipeline'!R66="to be offered")+('MiT Strom Pipeline'!R66="on hold")&gt;0,'MiT Strom Pipeline'!B66,"")</f>
        <v/>
      </c>
      <c r="C135" s="35"/>
      <c r="D135" s="35"/>
      <c r="E135" s="35"/>
      <c r="F135" s="36" t="str">
        <f aca="false">IF(('MiT Strom Pipeline'!R66="offered")+('MiT Strom Pipeline'!R66="to be offered")+('MiT Strom Pipeline'!R66="on hold")&gt;0,IF(ISNUMBER('MiT Strom Pipeline'!I66),'MiT Strom Pipeline'!I66,0),"")</f>
        <v/>
      </c>
      <c r="G135" s="34" t="str">
        <f aca="false">IF(('MiT Strom Pipeline'!R66="offered")+('MiT Strom Pipeline'!R66="to be offered")+('MiT Strom Pipeline'!R66="on hold")&gt;0,IF(ISNUMBER('MiT Strom Pipeline'!Q66),'MiT Strom Pipeline'!Q66,0),"")</f>
        <v/>
      </c>
      <c r="H135" s="34" t="str">
        <f aca="false">IF(('MiT Strom Pipeline'!R66="offered")+('MiT Strom Pipeline'!R66="to be offered")+('MiT Strom Pipeline'!R66="on hold")&gt;0,IF(ISNUMBER('MiT Strom Pipeline'!O66),'MiT Strom Pipeline'!O66,0),"")</f>
        <v/>
      </c>
      <c r="I135" s="34" t="str">
        <f aca="false">IF(('MiT Strom Pipeline'!R66="offered")+('MiT Strom Pipeline'!R66="to be offered")+('MiT Strom Pipeline'!R66="on hold")&gt;0,'MiT Strom Pipeline'!R66,"")</f>
        <v/>
      </c>
      <c r="J135" s="34" t="str">
        <f aca="false">IF(('MiT Strom Pipeline'!R66="offered")+('MiT Strom Pipeline'!R66="to be offered")+('MiT Strom Pipeline'!R66="on hold")&gt;0,'MiT Strom Pipeline'!S66,"")</f>
        <v/>
      </c>
      <c r="K135" s="34" t="str">
        <f aca="false">IF(('MiT Strom Pipeline'!R66="offered")+('MiT Strom Pipeline'!R66="to be offered")+('MiT Strom Pipeline'!R66="on hold")&gt;0,IF(LEN('MiT Strom Pipeline'!V66)&gt;0,LEFT('MiT Strom Pipeline'!V66,55),""),"")</f>
        <v/>
      </c>
    </row>
    <row r="136" customFormat="false" ht="3.75" hidden="false" customHeight="true" outlineLevel="0" collapsed="false">
      <c r="A136" s="1" t="str">
        <f aca="false">IF(('MiT Strom Pipeline'!R67="offered")+('MiT Strom Pipeline'!R67="to be offered")+('MiT Strom Pipeline'!R67="on hold")&gt;0,IF(ISNUMBER('MiT Strom Pipeline'!A67),'MiT Strom Pipeline'!A67,""),"")</f>
        <v/>
      </c>
      <c r="B136" s="1" t="str">
        <f aca="false">IF(('MiT Strom Pipeline'!R67="offered")+('MiT Strom Pipeline'!R67="to be offered")+('MiT Strom Pipeline'!R67="on hold")&gt;0,'MiT Strom Pipeline'!B67,"")</f>
        <v/>
      </c>
      <c r="C136" s="1" t="str">
        <f aca="false">IF(('MiT Strom Pipeline'!R67="offered")+('MiT Strom Pipeline'!R67="to be offered")+('MiT Strom Pipeline'!R67="on hold")&gt;0,'MiT Strom Pipeline'!C67,"")</f>
        <v/>
      </c>
      <c r="D136" s="1" t="str">
        <f aca="false">IF(('MiT Strom Pipeline'!R67="offered")+('MiT Strom Pipeline'!R67="to be offered")+('MiT Strom Pipeline'!R67="on hold")&gt;0,'MiT Strom Pipeline'!D67,"")</f>
        <v/>
      </c>
      <c r="E136" s="1" t="str">
        <f aca="false">IF(('MiT Strom Pipeline'!R67="offered")+('MiT Strom Pipeline'!R67="to be offered")+('MiT Strom Pipeline'!R67="on hold")&gt;0,'MiT Strom Pipeline'!E67,"")</f>
        <v/>
      </c>
      <c r="F136" s="1" t="str">
        <f aca="false">IF(('MiT Strom Pipeline'!R67="offered")+('MiT Strom Pipeline'!R67="to be offered")+('MiT Strom Pipeline'!R67="on hold")&gt;0,IF(ISNUMBER('MiT Strom Pipeline'!I67),'MiT Strom Pipeline'!I67,0),"")</f>
        <v/>
      </c>
      <c r="G136" s="1" t="str">
        <f aca="false">IF(('MiT Strom Pipeline'!R67="offered")+('MiT Strom Pipeline'!R67="to be offered")+('MiT Strom Pipeline'!R67="on hold")&gt;0,IF(ISNUMBER('MiT Strom Pipeline'!Q67),'MiT Strom Pipeline'!Q67,0),"")</f>
        <v/>
      </c>
      <c r="H136" s="1" t="str">
        <f aca="false">IF(('MiT Strom Pipeline'!R67="offered")+('MiT Strom Pipeline'!R67="to be offered")+('MiT Strom Pipeline'!R67="on hold")&gt;0,IF(ISNUMBER('MiT Strom Pipeline'!O67),'MiT Strom Pipeline'!O67,0),"")</f>
        <v/>
      </c>
      <c r="I136" s="1" t="str">
        <f aca="false">IF(('MiT Strom Pipeline'!R67="offered")+('MiT Strom Pipeline'!R67="to be offered")+('MiT Strom Pipeline'!R67="on hold")&gt;0,'MiT Strom Pipeline'!R67,"")</f>
        <v/>
      </c>
      <c r="J136" s="1" t="str">
        <f aca="false">IF(('MiT Strom Pipeline'!R67="offered")+('MiT Strom Pipeline'!R67="to be offered")+('MiT Strom Pipeline'!R67="on hold")&gt;0,'MiT Strom Pipeline'!S67,"")</f>
        <v/>
      </c>
      <c r="K136" s="1" t="str">
        <f aca="false">IF(('MiT Strom Pipeline'!R67="offered")+('MiT Strom Pipeline'!R67="to be offered")+('MiT Strom Pipeline'!R67="on hold")&gt;0,IF(LEN('MiT Strom Pipeline'!V67)&gt;0,LEFT('MiT Strom Pipeline'!V67,55),""),"")</f>
        <v/>
      </c>
    </row>
    <row r="137" customFormat="false" ht="24" hidden="false" customHeight="true" outlineLevel="0" collapsed="false">
      <c r="A137" s="37" t="s">
        <v>18</v>
      </c>
      <c r="B137" s="37"/>
      <c r="C137" s="37"/>
      <c r="D137" s="37"/>
      <c r="E137" s="37"/>
      <c r="F137" s="37"/>
      <c r="G137" s="37"/>
      <c r="H137" s="37"/>
      <c r="I137" s="37"/>
      <c r="J137" s="37"/>
      <c r="K137" s="37"/>
    </row>
    <row r="138" customFormat="false" ht="19.5" hidden="false" customHeight="true" outlineLevel="0" collapsed="false">
      <c r="A138" s="16" t="s">
        <v>6</v>
      </c>
      <c r="B138" s="17" t="s">
        <v>7</v>
      </c>
      <c r="C138" s="16" t="s">
        <v>8</v>
      </c>
      <c r="D138" s="17" t="s">
        <v>9</v>
      </c>
      <c r="E138" s="17" t="s">
        <v>10</v>
      </c>
      <c r="F138" s="18" t="s">
        <v>11</v>
      </c>
      <c r="G138" s="18" t="s">
        <v>12</v>
      </c>
      <c r="H138" s="18" t="s">
        <v>13</v>
      </c>
      <c r="I138" s="16" t="s">
        <v>14</v>
      </c>
      <c r="J138" s="16" t="s">
        <v>15</v>
      </c>
      <c r="K138" s="17" t="s">
        <v>16</v>
      </c>
    </row>
    <row r="139" customFormat="false" ht="15.75" hidden="false" customHeight="true" outlineLevel="0" collapsed="false">
      <c r="A139" s="38" t="str">
        <f aca="false">IF(('MiT Strom Pipeline'!R6="follow-up")+('MiT Strom Pipeline'!R6="Evaluation")+('MiT Strom Pipeline'!R6="tbd")+('MiT Strom Pipeline'!R6="In evaluation")&gt;0,IF(ISNUMBER('MiT Strom Pipeline'!A6),'MiT Strom Pipeline'!A6,""),"")</f>
        <v/>
      </c>
      <c r="B139" s="39" t="str">
        <f aca="false">IF(('MiT Strom Pipeline'!R6="follow-up")+('MiT Strom Pipeline'!R6="Evaluation")+('MiT Strom Pipeline'!R6="tbd")+('MiT Strom Pipeline'!R6="In evaluation")&gt;0,'MiT Strom Pipeline'!B6,"")</f>
        <v/>
      </c>
      <c r="C139" s="38" t="str">
        <f aca="false">IF(('MiT Strom Pipeline'!R6="follow-up")+('MiT Strom Pipeline'!R6="Evaluation")+('MiT Strom Pipeline'!R6="tbd")+('MiT Strom Pipeline'!R6="In evaluation")&gt;0,'MiT Strom Pipeline'!C6,"")</f>
        <v/>
      </c>
      <c r="D139" s="39" t="str">
        <f aca="false">IF(('MiT Strom Pipeline'!R6="follow-up")+('MiT Strom Pipeline'!R6="Evaluation")+('MiT Strom Pipeline'!R6="tbd")+('MiT Strom Pipeline'!R6="In evaluation")&gt;0,'MiT Strom Pipeline'!D6,"")</f>
        <v/>
      </c>
      <c r="E139" s="39" t="str">
        <f aca="false">IF(('MiT Strom Pipeline'!R6="follow-up")+('MiT Strom Pipeline'!R6="Evaluation")+('MiT Strom Pipeline'!R6="tbd")+('MiT Strom Pipeline'!R6="In evaluation")&gt;0,'MiT Strom Pipeline'!E6,"")</f>
        <v/>
      </c>
      <c r="F139" s="40" t="str">
        <f aca="false">IF(('MiT Strom Pipeline'!R6="follow-up")+('MiT Strom Pipeline'!R6="Evaluation")+('MiT Strom Pipeline'!R6="tbd")+('MiT Strom Pipeline'!R6="In evaluation")&gt;0,IF(ISNUMBER('MiT Strom Pipeline'!I6),'MiT Strom Pipeline'!I6,0),"")</f>
        <v/>
      </c>
      <c r="G139" s="40" t="str">
        <f aca="false">IF(('MiT Strom Pipeline'!R6="follow-up")+('MiT Strom Pipeline'!R6="Evaluation")+('MiT Strom Pipeline'!R6="tbd")+('MiT Strom Pipeline'!R6="In evaluation")&gt;0,IF(ISNUMBER('MiT Strom Pipeline'!Q6),'MiT Strom Pipeline'!Q6,0),"")</f>
        <v/>
      </c>
      <c r="H139" s="40" t="str">
        <f aca="false">IF(('MiT Strom Pipeline'!R6="follow-up")+('MiT Strom Pipeline'!R6="Evaluation")+('MiT Strom Pipeline'!R6="tbd")+('MiT Strom Pipeline'!R6="In evaluation")&gt;0,IF(ISNUMBER('MiT Strom Pipeline'!O6),'MiT Strom Pipeline'!O6,0),"")</f>
        <v/>
      </c>
      <c r="I139" s="38" t="str">
        <f aca="false">IF(('MiT Strom Pipeline'!R6="follow-up")+('MiT Strom Pipeline'!R6="Evaluation")+('MiT Strom Pipeline'!R6="tbd")+('MiT Strom Pipeline'!R6="In evaluation")&gt;0,'MiT Strom Pipeline'!R6,"")</f>
        <v/>
      </c>
      <c r="J139" s="38" t="str">
        <f aca="false">IF(('MiT Strom Pipeline'!R6="follow-up")+('MiT Strom Pipeline'!R6="Evaluation")+('MiT Strom Pipeline'!R6="tbd")+('MiT Strom Pipeline'!R6="In evaluation")&gt;0,'MiT Strom Pipeline'!S6,"")</f>
        <v/>
      </c>
      <c r="K139" s="39" t="str">
        <f aca="false">IF(('MiT Strom Pipeline'!R6="follow-up")+('MiT Strom Pipeline'!R6="Evaluation")+('MiT Strom Pipeline'!R6="tbd")+('MiT Strom Pipeline'!R6="In evaluation")&gt;0,IF(LEN('MiT Strom Pipeline'!V6)&gt;0,LEFT('MiT Strom Pipeline'!V6,55),""),"")</f>
        <v/>
      </c>
    </row>
    <row r="140" customFormat="false" ht="15.75" hidden="false" customHeight="true" outlineLevel="0" collapsed="false">
      <c r="A140" s="22" t="str">
        <f aca="false">IF(('MiT Strom Pipeline'!R7="follow-up")+('MiT Strom Pipeline'!R7="Evaluation")+('MiT Strom Pipeline'!R7="tbd")+('MiT Strom Pipeline'!R7="In evaluation")&gt;0,IF(ISNUMBER('MiT Strom Pipeline'!A7),'MiT Strom Pipeline'!A7,""),"")</f>
        <v/>
      </c>
      <c r="B140" s="23" t="str">
        <f aca="false">IF(('MiT Strom Pipeline'!R7="follow-up")+('MiT Strom Pipeline'!R7="Evaluation")+('MiT Strom Pipeline'!R7="tbd")+('MiT Strom Pipeline'!R7="In evaluation")&gt;0,'MiT Strom Pipeline'!B7,"")</f>
        <v/>
      </c>
      <c r="C140" s="22" t="str">
        <f aca="false">IF(('MiT Strom Pipeline'!R7="follow-up")+('MiT Strom Pipeline'!R7="Evaluation")+('MiT Strom Pipeline'!R7="tbd")+('MiT Strom Pipeline'!R7="In evaluation")&gt;0,'MiT Strom Pipeline'!C7,"")</f>
        <v/>
      </c>
      <c r="D140" s="23" t="str">
        <f aca="false">IF(('MiT Strom Pipeline'!R7="follow-up")+('MiT Strom Pipeline'!R7="Evaluation")+('MiT Strom Pipeline'!R7="tbd")+('MiT Strom Pipeline'!R7="In evaluation")&gt;0,'MiT Strom Pipeline'!D7,"")</f>
        <v/>
      </c>
      <c r="E140" s="23" t="str">
        <f aca="false">IF(('MiT Strom Pipeline'!R7="follow-up")+('MiT Strom Pipeline'!R7="Evaluation")+('MiT Strom Pipeline'!R7="tbd")+('MiT Strom Pipeline'!R7="In evaluation")&gt;0,'MiT Strom Pipeline'!E7,"")</f>
        <v/>
      </c>
      <c r="F140" s="24" t="str">
        <f aca="false">IF(('MiT Strom Pipeline'!R7="follow-up")+('MiT Strom Pipeline'!R7="Evaluation")+('MiT Strom Pipeline'!R7="tbd")+('MiT Strom Pipeline'!R7="In evaluation")&gt;0,IF(ISNUMBER('MiT Strom Pipeline'!I7),'MiT Strom Pipeline'!I7,0),"")</f>
        <v/>
      </c>
      <c r="G140" s="24" t="str">
        <f aca="false">IF(('MiT Strom Pipeline'!R7="follow-up")+('MiT Strom Pipeline'!R7="Evaluation")+('MiT Strom Pipeline'!R7="tbd")+('MiT Strom Pipeline'!R7="In evaluation")&gt;0,IF(ISNUMBER('MiT Strom Pipeline'!Q7),'MiT Strom Pipeline'!Q7,0),"")</f>
        <v/>
      </c>
      <c r="H140" s="24" t="str">
        <f aca="false">IF(('MiT Strom Pipeline'!R7="follow-up")+('MiT Strom Pipeline'!R7="Evaluation")+('MiT Strom Pipeline'!R7="tbd")+('MiT Strom Pipeline'!R7="In evaluation")&gt;0,IF(ISNUMBER('MiT Strom Pipeline'!O7),'MiT Strom Pipeline'!O7,0),"")</f>
        <v/>
      </c>
      <c r="I140" s="22" t="str">
        <f aca="false">IF(('MiT Strom Pipeline'!R7="follow-up")+('MiT Strom Pipeline'!R7="Evaluation")+('MiT Strom Pipeline'!R7="tbd")+('MiT Strom Pipeline'!R7="In evaluation")&gt;0,'MiT Strom Pipeline'!R7,"")</f>
        <v/>
      </c>
      <c r="J140" s="22" t="str">
        <f aca="false">IF(('MiT Strom Pipeline'!R7="follow-up")+('MiT Strom Pipeline'!R7="Evaluation")+('MiT Strom Pipeline'!R7="tbd")+('MiT Strom Pipeline'!R7="In evaluation")&gt;0,'MiT Strom Pipeline'!S7,"")</f>
        <v/>
      </c>
      <c r="K140" s="23" t="str">
        <f aca="false">IF(('MiT Strom Pipeline'!R7="follow-up")+('MiT Strom Pipeline'!R7="Evaluation")+('MiT Strom Pipeline'!R7="tbd")+('MiT Strom Pipeline'!R7="In evaluation")&gt;0,IF(LEN('MiT Strom Pipeline'!V7)&gt;0,LEFT('MiT Strom Pipeline'!V7,55),""),"")</f>
        <v/>
      </c>
    </row>
    <row r="141" customFormat="false" ht="15.75" hidden="false" customHeight="true" outlineLevel="0" collapsed="false">
      <c r="A141" s="38" t="str">
        <f aca="false">IF(('MiT Strom Pipeline'!R8="follow-up")+('MiT Strom Pipeline'!R8="Evaluation")+('MiT Strom Pipeline'!R8="tbd")+('MiT Strom Pipeline'!R8="In evaluation")&gt;0,IF(ISNUMBER('MiT Strom Pipeline'!A8),'MiT Strom Pipeline'!A8,""),"")</f>
        <v/>
      </c>
      <c r="B141" s="39" t="str">
        <f aca="false">IF(('MiT Strom Pipeline'!R8="follow-up")+('MiT Strom Pipeline'!R8="Evaluation")+('MiT Strom Pipeline'!R8="tbd")+('MiT Strom Pipeline'!R8="In evaluation")&gt;0,'MiT Strom Pipeline'!B8,"")</f>
        <v/>
      </c>
      <c r="C141" s="38" t="str">
        <f aca="false">IF(('MiT Strom Pipeline'!R8="follow-up")+('MiT Strom Pipeline'!R8="Evaluation")+('MiT Strom Pipeline'!R8="tbd")+('MiT Strom Pipeline'!R8="In evaluation")&gt;0,'MiT Strom Pipeline'!C8,"")</f>
        <v/>
      </c>
      <c r="D141" s="39" t="str">
        <f aca="false">IF(('MiT Strom Pipeline'!R8="follow-up")+('MiT Strom Pipeline'!R8="Evaluation")+('MiT Strom Pipeline'!R8="tbd")+('MiT Strom Pipeline'!R8="In evaluation")&gt;0,'MiT Strom Pipeline'!D8,"")</f>
        <v/>
      </c>
      <c r="E141" s="39" t="str">
        <f aca="false">IF(('MiT Strom Pipeline'!R8="follow-up")+('MiT Strom Pipeline'!R8="Evaluation")+('MiT Strom Pipeline'!R8="tbd")+('MiT Strom Pipeline'!R8="In evaluation")&gt;0,'MiT Strom Pipeline'!E8,"")</f>
        <v/>
      </c>
      <c r="F141" s="40" t="str">
        <f aca="false">IF(('MiT Strom Pipeline'!R8="follow-up")+('MiT Strom Pipeline'!R8="Evaluation")+('MiT Strom Pipeline'!R8="tbd")+('MiT Strom Pipeline'!R8="In evaluation")&gt;0,IF(ISNUMBER('MiT Strom Pipeline'!I8),'MiT Strom Pipeline'!I8,0),"")</f>
        <v/>
      </c>
      <c r="G141" s="40" t="str">
        <f aca="false">IF(('MiT Strom Pipeline'!R8="follow-up")+('MiT Strom Pipeline'!R8="Evaluation")+('MiT Strom Pipeline'!R8="tbd")+('MiT Strom Pipeline'!R8="In evaluation")&gt;0,IF(ISNUMBER('MiT Strom Pipeline'!Q8),'MiT Strom Pipeline'!Q8,0),"")</f>
        <v/>
      </c>
      <c r="H141" s="40" t="str">
        <f aca="false">IF(('MiT Strom Pipeline'!R8="follow-up")+('MiT Strom Pipeline'!R8="Evaluation")+('MiT Strom Pipeline'!R8="tbd")+('MiT Strom Pipeline'!R8="In evaluation")&gt;0,IF(ISNUMBER('MiT Strom Pipeline'!O8),'MiT Strom Pipeline'!O8,0),"")</f>
        <v/>
      </c>
      <c r="I141" s="38" t="str">
        <f aca="false">IF(('MiT Strom Pipeline'!R8="follow-up")+('MiT Strom Pipeline'!R8="Evaluation")+('MiT Strom Pipeline'!R8="tbd")+('MiT Strom Pipeline'!R8="In evaluation")&gt;0,'MiT Strom Pipeline'!R8,"")</f>
        <v/>
      </c>
      <c r="J141" s="38" t="str">
        <f aca="false">IF(('MiT Strom Pipeline'!R8="follow-up")+('MiT Strom Pipeline'!R8="Evaluation")+('MiT Strom Pipeline'!R8="tbd")+('MiT Strom Pipeline'!R8="In evaluation")&gt;0,'MiT Strom Pipeline'!S8,"")</f>
        <v/>
      </c>
      <c r="K141" s="39" t="str">
        <f aca="false">IF(('MiT Strom Pipeline'!R8="follow-up")+('MiT Strom Pipeline'!R8="Evaluation")+('MiT Strom Pipeline'!R8="tbd")+('MiT Strom Pipeline'!R8="In evaluation")&gt;0,IF(LEN('MiT Strom Pipeline'!V8)&gt;0,LEFT('MiT Strom Pipeline'!V8,55),""),"")</f>
        <v/>
      </c>
    </row>
    <row r="142" customFormat="false" ht="15.75" hidden="false" customHeight="true" outlineLevel="0" collapsed="false">
      <c r="A142" s="22" t="str">
        <f aca="false">IF(('MiT Strom Pipeline'!R9="follow-up")+('MiT Strom Pipeline'!R9="Evaluation")+('MiT Strom Pipeline'!R9="tbd")+('MiT Strom Pipeline'!R9="In evaluation")&gt;0,IF(ISNUMBER('MiT Strom Pipeline'!A9),'MiT Strom Pipeline'!A9,""),"")</f>
        <v/>
      </c>
      <c r="B142" s="23" t="str">
        <f aca="false">IF(('MiT Strom Pipeline'!R9="follow-up")+('MiT Strom Pipeline'!R9="Evaluation")+('MiT Strom Pipeline'!R9="tbd")+('MiT Strom Pipeline'!R9="In evaluation")&gt;0,'MiT Strom Pipeline'!B9,"")</f>
        <v/>
      </c>
      <c r="C142" s="22" t="str">
        <f aca="false">IF(('MiT Strom Pipeline'!R9="follow-up")+('MiT Strom Pipeline'!R9="Evaluation")+('MiT Strom Pipeline'!R9="tbd")+('MiT Strom Pipeline'!R9="In evaluation")&gt;0,'MiT Strom Pipeline'!C9,"")</f>
        <v/>
      </c>
      <c r="D142" s="23" t="str">
        <f aca="false">IF(('MiT Strom Pipeline'!R9="follow-up")+('MiT Strom Pipeline'!R9="Evaluation")+('MiT Strom Pipeline'!R9="tbd")+('MiT Strom Pipeline'!R9="In evaluation")&gt;0,'MiT Strom Pipeline'!D9,"")</f>
        <v/>
      </c>
      <c r="E142" s="23" t="str">
        <f aca="false">IF(('MiT Strom Pipeline'!R9="follow-up")+('MiT Strom Pipeline'!R9="Evaluation")+('MiT Strom Pipeline'!R9="tbd")+('MiT Strom Pipeline'!R9="In evaluation")&gt;0,'MiT Strom Pipeline'!E9,"")</f>
        <v/>
      </c>
      <c r="F142" s="24" t="str">
        <f aca="false">IF(('MiT Strom Pipeline'!R9="follow-up")+('MiT Strom Pipeline'!R9="Evaluation")+('MiT Strom Pipeline'!R9="tbd")+('MiT Strom Pipeline'!R9="In evaluation")&gt;0,IF(ISNUMBER('MiT Strom Pipeline'!I9),'MiT Strom Pipeline'!I9,0),"")</f>
        <v/>
      </c>
      <c r="G142" s="24" t="str">
        <f aca="false">IF(('MiT Strom Pipeline'!R9="follow-up")+('MiT Strom Pipeline'!R9="Evaluation")+('MiT Strom Pipeline'!R9="tbd")+('MiT Strom Pipeline'!R9="In evaluation")&gt;0,IF(ISNUMBER('MiT Strom Pipeline'!Q9),'MiT Strom Pipeline'!Q9,0),"")</f>
        <v/>
      </c>
      <c r="H142" s="24" t="str">
        <f aca="false">IF(('MiT Strom Pipeline'!R9="follow-up")+('MiT Strom Pipeline'!R9="Evaluation")+('MiT Strom Pipeline'!R9="tbd")+('MiT Strom Pipeline'!R9="In evaluation")&gt;0,IF(ISNUMBER('MiT Strom Pipeline'!O9),'MiT Strom Pipeline'!O9,0),"")</f>
        <v/>
      </c>
      <c r="I142" s="22" t="str">
        <f aca="false">IF(('MiT Strom Pipeline'!R9="follow-up")+('MiT Strom Pipeline'!R9="Evaluation")+('MiT Strom Pipeline'!R9="tbd")+('MiT Strom Pipeline'!R9="In evaluation")&gt;0,'MiT Strom Pipeline'!R9,"")</f>
        <v/>
      </c>
      <c r="J142" s="22" t="str">
        <f aca="false">IF(('MiT Strom Pipeline'!R9="follow-up")+('MiT Strom Pipeline'!R9="Evaluation")+('MiT Strom Pipeline'!R9="tbd")+('MiT Strom Pipeline'!R9="In evaluation")&gt;0,'MiT Strom Pipeline'!S9,"")</f>
        <v/>
      </c>
      <c r="K142" s="23" t="str">
        <f aca="false">IF(('MiT Strom Pipeline'!R9="follow-up")+('MiT Strom Pipeline'!R9="Evaluation")+('MiT Strom Pipeline'!R9="tbd")+('MiT Strom Pipeline'!R9="In evaluation")&gt;0,IF(LEN('MiT Strom Pipeline'!V9)&gt;0,LEFT('MiT Strom Pipeline'!V9,55),""),"")</f>
        <v/>
      </c>
    </row>
    <row r="143" customFormat="false" ht="15.75" hidden="false" customHeight="true" outlineLevel="0" collapsed="false">
      <c r="A143" s="38" t="str">
        <f aca="false">IF(('MiT Strom Pipeline'!R10="follow-up")+('MiT Strom Pipeline'!R10="Evaluation")+('MiT Strom Pipeline'!R10="tbd")+('MiT Strom Pipeline'!R10="In evaluation")&gt;0,IF(ISNUMBER('MiT Strom Pipeline'!A10),'MiT Strom Pipeline'!A10,""),"")</f>
        <v/>
      </c>
      <c r="B143" s="39" t="str">
        <f aca="false">IF(('MiT Strom Pipeline'!R10="follow-up")+('MiT Strom Pipeline'!R10="Evaluation")+('MiT Strom Pipeline'!R10="tbd")+('MiT Strom Pipeline'!R10="In evaluation")&gt;0,'MiT Strom Pipeline'!B10,"")</f>
        <v/>
      </c>
      <c r="C143" s="38" t="str">
        <f aca="false">IF(('MiT Strom Pipeline'!R10="follow-up")+('MiT Strom Pipeline'!R10="Evaluation")+('MiT Strom Pipeline'!R10="tbd")+('MiT Strom Pipeline'!R10="In evaluation")&gt;0,'MiT Strom Pipeline'!C10,"")</f>
        <v/>
      </c>
      <c r="D143" s="39" t="str">
        <f aca="false">IF(('MiT Strom Pipeline'!R10="follow-up")+('MiT Strom Pipeline'!R10="Evaluation")+('MiT Strom Pipeline'!R10="tbd")+('MiT Strom Pipeline'!R10="In evaluation")&gt;0,'MiT Strom Pipeline'!D10,"")</f>
        <v/>
      </c>
      <c r="E143" s="39" t="str">
        <f aca="false">IF(('MiT Strom Pipeline'!R10="follow-up")+('MiT Strom Pipeline'!R10="Evaluation")+('MiT Strom Pipeline'!R10="tbd")+('MiT Strom Pipeline'!R10="In evaluation")&gt;0,'MiT Strom Pipeline'!E10,"")</f>
        <v/>
      </c>
      <c r="F143" s="40" t="str">
        <f aca="false">IF(('MiT Strom Pipeline'!R10="follow-up")+('MiT Strom Pipeline'!R10="Evaluation")+('MiT Strom Pipeline'!R10="tbd")+('MiT Strom Pipeline'!R10="In evaluation")&gt;0,IF(ISNUMBER('MiT Strom Pipeline'!I10),'MiT Strom Pipeline'!I10,0),"")</f>
        <v/>
      </c>
      <c r="G143" s="40" t="str">
        <f aca="false">IF(('MiT Strom Pipeline'!R10="follow-up")+('MiT Strom Pipeline'!R10="Evaluation")+('MiT Strom Pipeline'!R10="tbd")+('MiT Strom Pipeline'!R10="In evaluation")&gt;0,IF(ISNUMBER('MiT Strom Pipeline'!Q10),'MiT Strom Pipeline'!Q10,0),"")</f>
        <v/>
      </c>
      <c r="H143" s="40" t="str">
        <f aca="false">IF(('MiT Strom Pipeline'!R10="follow-up")+('MiT Strom Pipeline'!R10="Evaluation")+('MiT Strom Pipeline'!R10="tbd")+('MiT Strom Pipeline'!R10="In evaluation")&gt;0,IF(ISNUMBER('MiT Strom Pipeline'!O10),'MiT Strom Pipeline'!O10,0),"")</f>
        <v/>
      </c>
      <c r="I143" s="38" t="str">
        <f aca="false">IF(('MiT Strom Pipeline'!R10="follow-up")+('MiT Strom Pipeline'!R10="Evaluation")+('MiT Strom Pipeline'!R10="tbd")+('MiT Strom Pipeline'!R10="In evaluation")&gt;0,'MiT Strom Pipeline'!R10,"")</f>
        <v/>
      </c>
      <c r="J143" s="38" t="str">
        <f aca="false">IF(('MiT Strom Pipeline'!R10="follow-up")+('MiT Strom Pipeline'!R10="Evaluation")+('MiT Strom Pipeline'!R10="tbd")+('MiT Strom Pipeline'!R10="In evaluation")&gt;0,'MiT Strom Pipeline'!S10,"")</f>
        <v/>
      </c>
      <c r="K143" s="39" t="str">
        <f aca="false">IF(('MiT Strom Pipeline'!R10="follow-up")+('MiT Strom Pipeline'!R10="Evaluation")+('MiT Strom Pipeline'!R10="tbd")+('MiT Strom Pipeline'!R10="In evaluation")&gt;0,IF(LEN('MiT Strom Pipeline'!V10)&gt;0,LEFT('MiT Strom Pipeline'!V10,55),""),"")</f>
        <v/>
      </c>
    </row>
    <row r="144" customFormat="false" ht="15.75" hidden="false" customHeight="true" outlineLevel="0" collapsed="false">
      <c r="A144" s="22" t="str">
        <f aca="false">IF(('MiT Strom Pipeline'!R11="follow-up")+('MiT Strom Pipeline'!R11="Evaluation")+('MiT Strom Pipeline'!R11="tbd")+('MiT Strom Pipeline'!R11="In evaluation")&gt;0,IF(ISNUMBER('MiT Strom Pipeline'!A11),'MiT Strom Pipeline'!A11,""),"")</f>
        <v/>
      </c>
      <c r="B144" s="23" t="str">
        <f aca="false">IF(('MiT Strom Pipeline'!R11="follow-up")+('MiT Strom Pipeline'!R11="Evaluation")+('MiT Strom Pipeline'!R11="tbd")+('MiT Strom Pipeline'!R11="In evaluation")&gt;0,'MiT Strom Pipeline'!B11,"")</f>
        <v/>
      </c>
      <c r="C144" s="22" t="str">
        <f aca="false">IF(('MiT Strom Pipeline'!R11="follow-up")+('MiT Strom Pipeline'!R11="Evaluation")+('MiT Strom Pipeline'!R11="tbd")+('MiT Strom Pipeline'!R11="In evaluation")&gt;0,'MiT Strom Pipeline'!C11,"")</f>
        <v/>
      </c>
      <c r="D144" s="23" t="str">
        <f aca="false">IF(('MiT Strom Pipeline'!R11="follow-up")+('MiT Strom Pipeline'!R11="Evaluation")+('MiT Strom Pipeline'!R11="tbd")+('MiT Strom Pipeline'!R11="In evaluation")&gt;0,'MiT Strom Pipeline'!D11,"")</f>
        <v/>
      </c>
      <c r="E144" s="23" t="str">
        <f aca="false">IF(('MiT Strom Pipeline'!R11="follow-up")+('MiT Strom Pipeline'!R11="Evaluation")+('MiT Strom Pipeline'!R11="tbd")+('MiT Strom Pipeline'!R11="In evaluation")&gt;0,'MiT Strom Pipeline'!E11,"")</f>
        <v/>
      </c>
      <c r="F144" s="24" t="str">
        <f aca="false">IF(('MiT Strom Pipeline'!R11="follow-up")+('MiT Strom Pipeline'!R11="Evaluation")+('MiT Strom Pipeline'!R11="tbd")+('MiT Strom Pipeline'!R11="In evaluation")&gt;0,IF(ISNUMBER('MiT Strom Pipeline'!I11),'MiT Strom Pipeline'!I11,0),"")</f>
        <v/>
      </c>
      <c r="G144" s="24" t="str">
        <f aca="false">IF(('MiT Strom Pipeline'!R11="follow-up")+('MiT Strom Pipeline'!R11="Evaluation")+('MiT Strom Pipeline'!R11="tbd")+('MiT Strom Pipeline'!R11="In evaluation")&gt;0,IF(ISNUMBER('MiT Strom Pipeline'!Q11),'MiT Strom Pipeline'!Q11,0),"")</f>
        <v/>
      </c>
      <c r="H144" s="24" t="str">
        <f aca="false">IF(('MiT Strom Pipeline'!R11="follow-up")+('MiT Strom Pipeline'!R11="Evaluation")+('MiT Strom Pipeline'!R11="tbd")+('MiT Strom Pipeline'!R11="In evaluation")&gt;0,IF(ISNUMBER('MiT Strom Pipeline'!O11),'MiT Strom Pipeline'!O11,0),"")</f>
        <v/>
      </c>
      <c r="I144" s="22" t="str">
        <f aca="false">IF(('MiT Strom Pipeline'!R11="follow-up")+('MiT Strom Pipeline'!R11="Evaluation")+('MiT Strom Pipeline'!R11="tbd")+('MiT Strom Pipeline'!R11="In evaluation")&gt;0,'MiT Strom Pipeline'!R11,"")</f>
        <v/>
      </c>
      <c r="J144" s="22" t="str">
        <f aca="false">IF(('MiT Strom Pipeline'!R11="follow-up")+('MiT Strom Pipeline'!R11="Evaluation")+('MiT Strom Pipeline'!R11="tbd")+('MiT Strom Pipeline'!R11="In evaluation")&gt;0,'MiT Strom Pipeline'!S11,"")</f>
        <v/>
      </c>
      <c r="K144" s="23" t="str">
        <f aca="false">IF(('MiT Strom Pipeline'!R11="follow-up")+('MiT Strom Pipeline'!R11="Evaluation")+('MiT Strom Pipeline'!R11="tbd")+('MiT Strom Pipeline'!R11="In evaluation")&gt;0,IF(LEN('MiT Strom Pipeline'!V11)&gt;0,LEFT('MiT Strom Pipeline'!V11,55),""),"")</f>
        <v/>
      </c>
    </row>
    <row r="145" customFormat="false" ht="15.75" hidden="false" customHeight="true" outlineLevel="0" collapsed="false">
      <c r="A145" s="38" t="n">
        <f aca="false">IF(('MiT Strom Pipeline'!R12="follow-up")+('MiT Strom Pipeline'!R12="Evaluation")+('MiT Strom Pipeline'!R12="tbd")+('MiT Strom Pipeline'!R12="In evaluation")&gt;0,IF(ISNUMBER('MiT Strom Pipeline'!A12),'MiT Strom Pipeline'!A12,""),"")</f>
        <v>8</v>
      </c>
      <c r="B145" s="39" t="str">
        <f aca="false">IF(('MiT Strom Pipeline'!R12="follow-up")+('MiT Strom Pipeline'!R12="Evaluation")+('MiT Strom Pipeline'!R12="tbd")+('MiT Strom Pipeline'!R12="In evaluation")&gt;0,'MiT Strom Pipeline'!B12,"")</f>
        <v>Sade CGTH (Schweiz)</v>
      </c>
      <c r="C145" s="38" t="str">
        <f aca="false">IF(('MiT Strom Pipeline'!R12="follow-up")+('MiT Strom Pipeline'!R12="Evaluation")+('MiT Strom Pipeline'!R12="tbd")+('MiT Strom Pipeline'!R12="In evaluation")&gt;0,'MiT Strom Pipeline'!C12,"")</f>
        <v>GE</v>
      </c>
      <c r="D145" s="39" t="str">
        <f aca="false">IF(('MiT Strom Pipeline'!R12="follow-up")+('MiT Strom Pipeline'!R12="Evaluation")+('MiT Strom Pipeline'!R12="tbd")+('MiT Strom Pipeline'!R12="In evaluation")&gt;0,'MiT Strom Pipeline'!D12,"")</f>
        <v>Infrastruktur / Bau</v>
      </c>
      <c r="E145" s="39" t="str">
        <f aca="false">IF(('MiT Strom Pipeline'!R12="follow-up")+('MiT Strom Pipeline'!R12="Evaluation")+('MiT Strom Pipeline'!R12="tbd")+('MiT Strom Pipeline'!R12="In evaluation")&gt;0,'MiT Strom Pipeline'!E12,"")</f>
        <v>750 kVA Generator</v>
      </c>
      <c r="F145" s="40" t="n">
        <f aca="false">IF(('MiT Strom Pipeline'!R12="follow-up")+('MiT Strom Pipeline'!R12="Evaluation")+('MiT Strom Pipeline'!R12="tbd")+('MiT Strom Pipeline'!R12="In evaluation")&gt;0,IF(ISNUMBER('MiT Strom Pipeline'!I12),'MiT Strom Pipeline'!I12,0),"")</f>
        <v>38885</v>
      </c>
      <c r="G145" s="40" t="n">
        <f aca="false">IF(('MiT Strom Pipeline'!R12="follow-up")+('MiT Strom Pipeline'!R12="Evaluation")+('MiT Strom Pipeline'!R12="tbd")+('MiT Strom Pipeline'!R12="In evaluation")&gt;0,IF(ISNUMBER('MiT Strom Pipeline'!Q12),'MiT Strom Pipeline'!Q12,0),"")</f>
        <v>19442.5</v>
      </c>
      <c r="H145" s="40" t="n">
        <f aca="false">IF(('MiT Strom Pipeline'!R12="follow-up")+('MiT Strom Pipeline'!R12="Evaluation")+('MiT Strom Pipeline'!R12="tbd")+('MiT Strom Pipeline'!R12="In evaluation")&gt;0,IF(ISNUMBER('MiT Strom Pipeline'!O12),'MiT Strom Pipeline'!O12,0),"")</f>
        <v>7085</v>
      </c>
      <c r="I145" s="38" t="str">
        <f aca="false">IF(('MiT Strom Pipeline'!R12="follow-up")+('MiT Strom Pipeline'!R12="Evaluation")+('MiT Strom Pipeline'!R12="tbd")+('MiT Strom Pipeline'!R12="In evaluation")&gt;0,'MiT Strom Pipeline'!R12,"")</f>
        <v>follow-up</v>
      </c>
      <c r="J145" s="38" t="n">
        <f aca="false">IF(('MiT Strom Pipeline'!R12="follow-up")+('MiT Strom Pipeline'!R12="Evaluation")+('MiT Strom Pipeline'!R12="tbd")+('MiT Strom Pipeline'!R12="In evaluation")&gt;0,'MiT Strom Pipeline'!S12,"")</f>
        <v>50</v>
      </c>
      <c r="K145" s="39" t="str">
        <f aca="false">IF(('MiT Strom Pipeline'!R12="follow-up")+('MiT Strom Pipeline'!R12="Evaluation")+('MiT Strom Pipeline'!R12="tbd")+('MiT Strom Pipeline'!R12="In evaluation")&gt;0,IF(LEN('MiT Strom Pipeline'!V12)&gt;0,LEFT('MiT Strom Pipeline'!V12,55),""),"")</f>
        <v>Auftragsbestätigung anfordern – Entscheid steht bevor</v>
      </c>
    </row>
    <row r="146" customFormat="false" ht="15.75" hidden="false" customHeight="true" outlineLevel="0" collapsed="false">
      <c r="A146" s="22" t="n">
        <f aca="false">IF(('MiT Strom Pipeline'!R13="follow-up")+('MiT Strom Pipeline'!R13="Evaluation")+('MiT Strom Pipeline'!R13="tbd")+('MiT Strom Pipeline'!R13="In evaluation")&gt;0,IF(ISNUMBER('MiT Strom Pipeline'!A13),'MiT Strom Pipeline'!A13,""),"")</f>
        <v>9</v>
      </c>
      <c r="B146" s="23" t="str">
        <f aca="false">IF(('MiT Strom Pipeline'!R13="follow-up")+('MiT Strom Pipeline'!R13="Evaluation")+('MiT Strom Pipeline'!R13="tbd")+('MiT Strom Pipeline'!R13="In evaluation")&gt;0,'MiT Strom Pipeline'!B13,"")</f>
        <v>Badermetaux Sàrl (Schweiz)</v>
      </c>
      <c r="C146" s="22" t="str">
        <f aca="false">IF(('MiT Strom Pipeline'!R13="follow-up")+('MiT Strom Pipeline'!R13="Evaluation")+('MiT Strom Pipeline'!R13="tbd")+('MiT Strom Pipeline'!R13="In evaluation")&gt;0,'MiT Strom Pipeline'!C13,"")</f>
        <v>ZH</v>
      </c>
      <c r="D146" s="23" t="str">
        <f aca="false">IF(('MiT Strom Pipeline'!R13="follow-up")+('MiT Strom Pipeline'!R13="Evaluation")+('MiT Strom Pipeline'!R13="tbd")+('MiT Strom Pipeline'!R13="In evaluation")&gt;0,'MiT Strom Pipeline'!D13,"")</f>
        <v>Industrie / Metall</v>
      </c>
      <c r="E146" s="23" t="str">
        <f aca="false">IF(('MiT Strom Pipeline'!R13="follow-up")+('MiT Strom Pipeline'!R13="Evaluation")+('MiT Strom Pipeline'!R13="tbd")+('MiT Strom Pipeline'!R13="In evaluation")&gt;0,'MiT Strom Pipeline'!E13,"")</f>
        <v>600 kVA Langzeitmiete</v>
      </c>
      <c r="F146" s="24" t="n">
        <f aca="false">IF(('MiT Strom Pipeline'!R13="follow-up")+('MiT Strom Pipeline'!R13="Evaluation")+('MiT Strom Pipeline'!R13="tbd")+('MiT Strom Pipeline'!R13="In evaluation")&gt;0,IF(ISNUMBER('MiT Strom Pipeline'!I13),'MiT Strom Pipeline'!I13,0),"")</f>
        <v>500000</v>
      </c>
      <c r="G146" s="24" t="n">
        <f aca="false">IF(('MiT Strom Pipeline'!R13="follow-up")+('MiT Strom Pipeline'!R13="Evaluation")+('MiT Strom Pipeline'!R13="tbd")+('MiT Strom Pipeline'!R13="In evaluation")&gt;0,IF(ISNUMBER('MiT Strom Pipeline'!Q13),'MiT Strom Pipeline'!Q13,0),"")</f>
        <v>50000</v>
      </c>
      <c r="H146" s="24" t="n">
        <f aca="false">IF(('MiT Strom Pipeline'!R13="follow-up")+('MiT Strom Pipeline'!R13="Evaluation")+('MiT Strom Pipeline'!R13="tbd")+('MiT Strom Pipeline'!R13="In evaluation")&gt;0,IF(ISNUMBER('MiT Strom Pipeline'!O13),'MiT Strom Pipeline'!O13,0),"")</f>
        <v>130000</v>
      </c>
      <c r="I146" s="22" t="str">
        <f aca="false">IF(('MiT Strom Pipeline'!R13="follow-up")+('MiT Strom Pipeline'!R13="Evaluation")+('MiT Strom Pipeline'!R13="tbd")+('MiT Strom Pipeline'!R13="In evaluation")&gt;0,'MiT Strom Pipeline'!R13,"")</f>
        <v>follow-up</v>
      </c>
      <c r="J146" s="22" t="n">
        <f aca="false">IF(('MiT Strom Pipeline'!R13="follow-up")+('MiT Strom Pipeline'!R13="Evaluation")+('MiT Strom Pipeline'!R13="tbd")+('MiT Strom Pipeline'!R13="In evaluation")&gt;0,'MiT Strom Pipeline'!S13,"")</f>
        <v>10</v>
      </c>
      <c r="K146" s="23" t="str">
        <f aca="false">IF(('MiT Strom Pipeline'!R13="follow-up")+('MiT Strom Pipeline'!R13="Evaluation")+('MiT Strom Pipeline'!R13="tbd")+('MiT Strom Pipeline'!R13="In evaluation")&gt;0,IF(LEN('MiT Strom Pipeline'!V13)&gt;0,LEFT('MiT Strom Pipeline'!V13,55),""),"")</f>
        <v>PQ-Analyse + Langzeitkonzept vorlegen</v>
      </c>
    </row>
    <row r="147" customFormat="false" ht="15.75" hidden="false" customHeight="true" outlineLevel="0" collapsed="false">
      <c r="A147" s="38" t="n">
        <f aca="false">IF(('MiT Strom Pipeline'!R14="follow-up")+('MiT Strom Pipeline'!R14="Evaluation")+('MiT Strom Pipeline'!R14="tbd")+('MiT Strom Pipeline'!R14="In evaluation")&gt;0,IF(ISNUMBER('MiT Strom Pipeline'!A14),'MiT Strom Pipeline'!A14,""),"")</f>
        <v>10</v>
      </c>
      <c r="B147" s="39" t="str">
        <f aca="false">IF(('MiT Strom Pipeline'!R14="follow-up")+('MiT Strom Pipeline'!R14="Evaluation")+('MiT Strom Pipeline'!R14="tbd")+('MiT Strom Pipeline'!R14="In evaluation")&gt;0,'MiT Strom Pipeline'!B14,"")</f>
        <v>Murg Flums Energie</v>
      </c>
      <c r="C147" s="38" t="str">
        <f aca="false">IF(('MiT Strom Pipeline'!R14="follow-up")+('MiT Strom Pipeline'!R14="Evaluation")+('MiT Strom Pipeline'!R14="tbd")+('MiT Strom Pipeline'!R14="In evaluation")&gt;0,'MiT Strom Pipeline'!C14,"")</f>
        <v>SG</v>
      </c>
      <c r="D147" s="39" t="str">
        <f aca="false">IF(('MiT Strom Pipeline'!R14="follow-up")+('MiT Strom Pipeline'!R14="Evaluation")+('MiT Strom Pipeline'!R14="tbd")+('MiT Strom Pipeline'!R14="In evaluation")&gt;0,'MiT Strom Pipeline'!D14,"")</f>
        <v>EVU / Energie</v>
      </c>
      <c r="E147" s="39" t="str">
        <f aca="false">IF(('MiT Strom Pipeline'!R14="follow-up")+('MiT Strom Pipeline'!R14="Evaluation")+('MiT Strom Pipeline'!R14="tbd")+('MiT Strom Pipeline'!R14="In evaluation")&gt;0,'MiT Strom Pipeline'!E14,"")</f>
        <v>250 kVA Generator</v>
      </c>
      <c r="F147" s="40" t="n">
        <f aca="false">IF(('MiT Strom Pipeline'!R14="follow-up")+('MiT Strom Pipeline'!R14="Evaluation")+('MiT Strom Pipeline'!R14="tbd")+('MiT Strom Pipeline'!R14="In evaluation")&gt;0,IF(ISNUMBER('MiT Strom Pipeline'!I14),'MiT Strom Pipeline'!I14,0),"")</f>
        <v>96658.69</v>
      </c>
      <c r="G147" s="40" t="n">
        <f aca="false">IF(('MiT Strom Pipeline'!R14="follow-up")+('MiT Strom Pipeline'!R14="Evaluation")+('MiT Strom Pipeline'!R14="tbd")+('MiT Strom Pipeline'!R14="In evaluation")&gt;0,IF(ISNUMBER('MiT Strom Pipeline'!Q14),'MiT Strom Pipeline'!Q14,0),"")</f>
        <v>48329.345</v>
      </c>
      <c r="H147" s="40" t="n">
        <f aca="false">IF(('MiT Strom Pipeline'!R14="follow-up")+('MiT Strom Pipeline'!R14="Evaluation")+('MiT Strom Pipeline'!R14="tbd")+('MiT Strom Pipeline'!R14="In evaluation")&gt;0,IF(ISNUMBER('MiT Strom Pipeline'!O14),'MiT Strom Pipeline'!O14,0),"")</f>
        <v>0</v>
      </c>
      <c r="I147" s="38" t="str">
        <f aca="false">IF(('MiT Strom Pipeline'!R14="follow-up")+('MiT Strom Pipeline'!R14="Evaluation")+('MiT Strom Pipeline'!R14="tbd")+('MiT Strom Pipeline'!R14="In evaluation")&gt;0,'MiT Strom Pipeline'!R14,"")</f>
        <v>follow-up</v>
      </c>
      <c r="J147" s="38" t="n">
        <f aca="false">IF(('MiT Strom Pipeline'!R14="follow-up")+('MiT Strom Pipeline'!R14="Evaluation")+('MiT Strom Pipeline'!R14="tbd")+('MiT Strom Pipeline'!R14="In evaluation")&gt;0,'MiT Strom Pipeline'!S14,"")</f>
        <v>0.5</v>
      </c>
      <c r="K147" s="39" t="str">
        <f aca="false">IF(('MiT Strom Pipeline'!R14="follow-up")+('MiT Strom Pipeline'!R14="Evaluation")+('MiT Strom Pipeline'!R14="tbd")+('MiT Strom Pipeline'!R14="In evaluation")&gt;0,IF(LEN('MiT Strom Pipeline'!V14)&gt;0,LEFT('MiT Strom Pipeline'!V14,55),""),"")</f>
        <v>Bedarfsanalyse, NEA-Konzept vorschlagen, Termin vor Ort</v>
      </c>
    </row>
    <row r="148" customFormat="false" ht="15.75" hidden="false" customHeight="true" outlineLevel="0" collapsed="false">
      <c r="A148" s="22" t="n">
        <f aca="false">IF(('MiT Strom Pipeline'!R15="follow-up")+('MiT Strom Pipeline'!R15="Evaluation")+('MiT Strom Pipeline'!R15="tbd")+('MiT Strom Pipeline'!R15="In evaluation")&gt;0,IF(ISNUMBER('MiT Strom Pipeline'!A15),'MiT Strom Pipeline'!A15,""),"")</f>
        <v>11</v>
      </c>
      <c r="B148" s="23" t="str">
        <f aca="false">IF(('MiT Strom Pipeline'!R15="follow-up")+('MiT Strom Pipeline'!R15="Evaluation")+('MiT Strom Pipeline'!R15="tbd")+('MiT Strom Pipeline'!R15="In evaluation")&gt;0,'MiT Strom Pipeline'!B15,"")</f>
        <v>Burkhalter Technics AG</v>
      </c>
      <c r="C148" s="22" t="str">
        <f aca="false">IF(('MiT Strom Pipeline'!R15="follow-up")+('MiT Strom Pipeline'!R15="Evaluation")+('MiT Strom Pipeline'!R15="tbd")+('MiT Strom Pipeline'!R15="In evaluation")&gt;0,'MiT Strom Pipeline'!C15,"")</f>
        <v>ZH</v>
      </c>
      <c r="D148" s="23" t="str">
        <f aca="false">IF(('MiT Strom Pipeline'!R15="follow-up")+('MiT Strom Pipeline'!R15="Evaluation")+('MiT Strom Pipeline'!R15="tbd")+('MiT Strom Pipeline'!R15="In evaluation")&gt;0,'MiT Strom Pipeline'!D15,"")</f>
        <v>Elektroinstallation</v>
      </c>
      <c r="E148" s="23" t="str">
        <f aca="false">IF(('MiT Strom Pipeline'!R15="follow-up")+('MiT Strom Pipeline'!R15="Evaluation")+('MiT Strom Pipeline'!R15="tbd")+('MiT Strom Pipeline'!R15="In evaluation")&gt;0,'MiT Strom Pipeline'!E15,"")</f>
        <v>150 kVA Generator</v>
      </c>
      <c r="F148" s="24" t="n">
        <f aca="false">IF(('MiT Strom Pipeline'!R15="follow-up")+('MiT Strom Pipeline'!R15="Evaluation")+('MiT Strom Pipeline'!R15="tbd")+('MiT Strom Pipeline'!R15="In evaluation")&gt;0,IF(ISNUMBER('MiT Strom Pipeline'!I15),'MiT Strom Pipeline'!I15,0),"")</f>
        <v>0</v>
      </c>
      <c r="G148" s="24" t="n">
        <f aca="false">IF(('MiT Strom Pipeline'!R15="follow-up")+('MiT Strom Pipeline'!R15="Evaluation")+('MiT Strom Pipeline'!R15="tbd")+('MiT Strom Pipeline'!R15="In evaluation")&gt;0,IF(ISNUMBER('MiT Strom Pipeline'!Q15),'MiT Strom Pipeline'!Q15,0),"")</f>
        <v>0</v>
      </c>
      <c r="H148" s="24" t="n">
        <f aca="false">IF(('MiT Strom Pipeline'!R15="follow-up")+('MiT Strom Pipeline'!R15="Evaluation")+('MiT Strom Pipeline'!R15="tbd")+('MiT Strom Pipeline'!R15="In evaluation")&gt;0,IF(ISNUMBER('MiT Strom Pipeline'!O15),'MiT Strom Pipeline'!O15,0),"")</f>
        <v>0</v>
      </c>
      <c r="I148" s="22" t="str">
        <f aca="false">IF(('MiT Strom Pipeline'!R15="follow-up")+('MiT Strom Pipeline'!R15="Evaluation")+('MiT Strom Pipeline'!R15="tbd")+('MiT Strom Pipeline'!R15="In evaluation")&gt;0,'MiT Strom Pipeline'!R15,"")</f>
        <v>Evaluation</v>
      </c>
      <c r="J148" s="22" t="str">
        <f aca="false">IF(('MiT Strom Pipeline'!R15="follow-up")+('MiT Strom Pipeline'!R15="Evaluation")+('MiT Strom Pipeline'!R15="tbd")+('MiT Strom Pipeline'!R15="In evaluation")&gt;0,'MiT Strom Pipeline'!S15,"")</f>
        <v>40%</v>
      </c>
      <c r="K148" s="23" t="str">
        <f aca="false">IF(('MiT Strom Pipeline'!R15="follow-up")+('MiT Strom Pipeline'!R15="Evaluation")+('MiT Strom Pipeline'!R15="tbd")+('MiT Strom Pipeline'!R15="In evaluation")&gt;0,IF(LEN('MiT Strom Pipeline'!V15)&gt;0,LEFT('MiT Strom Pipeline'!V15,55),""),"")</f>
        <v>Angebot finalisieren – CBM-Beziehung nutzen, Abrufberei</v>
      </c>
    </row>
    <row r="149" customFormat="false" ht="15.75" hidden="false" customHeight="true" outlineLevel="0" collapsed="false">
      <c r="A149" s="38" t="n">
        <f aca="false">IF(('MiT Strom Pipeline'!R16="follow-up")+('MiT Strom Pipeline'!R16="Evaluation")+('MiT Strom Pipeline'!R16="tbd")+('MiT Strom Pipeline'!R16="In evaluation")&gt;0,IF(ISNUMBER('MiT Strom Pipeline'!A16),'MiT Strom Pipeline'!A16,""),"")</f>
        <v>12</v>
      </c>
      <c r="B149" s="39" t="str">
        <f aca="false">IF(('MiT Strom Pipeline'!R16="follow-up")+('MiT Strom Pipeline'!R16="Evaluation")+('MiT Strom Pipeline'!R16="tbd")+('MiT Strom Pipeline'!R16="In evaluation")&gt;0,'MiT Strom Pipeline'!B16,"")</f>
        <v>Show-Concept.ch AG</v>
      </c>
      <c r="C149" s="38" t="str">
        <f aca="false">IF(('MiT Strom Pipeline'!R16="follow-up")+('MiT Strom Pipeline'!R16="Evaluation")+('MiT Strom Pipeline'!R16="tbd")+('MiT Strom Pipeline'!R16="In evaluation")&gt;0,'MiT Strom Pipeline'!C16,"")</f>
        <v>ZH</v>
      </c>
      <c r="D149" s="39" t="str">
        <f aca="false">IF(('MiT Strom Pipeline'!R16="follow-up")+('MiT Strom Pipeline'!R16="Evaluation")+('MiT Strom Pipeline'!R16="tbd")+('MiT Strom Pipeline'!R16="In evaluation")&gt;0,'MiT Strom Pipeline'!D16,"")</f>
        <v>Events / Medien</v>
      </c>
      <c r="E149" s="39" t="str">
        <f aca="false">IF(('MiT Strom Pipeline'!R16="follow-up")+('MiT Strom Pipeline'!R16="Evaluation")+('MiT Strom Pipeline'!R16="tbd")+('MiT Strom Pipeline'!R16="In evaluation")&gt;0,'MiT Strom Pipeline'!E16,"")</f>
        <v>200 kW Lastbank</v>
      </c>
      <c r="F149" s="40" t="n">
        <f aca="false">IF(('MiT Strom Pipeline'!R16="follow-up")+('MiT Strom Pipeline'!R16="Evaluation")+('MiT Strom Pipeline'!R16="tbd")+('MiT Strom Pipeline'!R16="In evaluation")&gt;0,IF(ISNUMBER('MiT Strom Pipeline'!I16),'MiT Strom Pipeline'!I16,0),"")</f>
        <v>0</v>
      </c>
      <c r="G149" s="40" t="n">
        <f aca="false">IF(('MiT Strom Pipeline'!R16="follow-up")+('MiT Strom Pipeline'!R16="Evaluation")+('MiT Strom Pipeline'!R16="tbd")+('MiT Strom Pipeline'!R16="In evaluation")&gt;0,IF(ISNUMBER('MiT Strom Pipeline'!Q16),'MiT Strom Pipeline'!Q16,0),"")</f>
        <v>0</v>
      </c>
      <c r="H149" s="40" t="n">
        <f aca="false">IF(('MiT Strom Pipeline'!R16="follow-up")+('MiT Strom Pipeline'!R16="Evaluation")+('MiT Strom Pipeline'!R16="tbd")+('MiT Strom Pipeline'!R16="In evaluation")&gt;0,IF(ISNUMBER('MiT Strom Pipeline'!O16),'MiT Strom Pipeline'!O16,0),"")</f>
        <v>0</v>
      </c>
      <c r="I149" s="38" t="str">
        <f aca="false">IF(('MiT Strom Pipeline'!R16="follow-up")+('MiT Strom Pipeline'!R16="Evaluation")+('MiT Strom Pipeline'!R16="tbd")+('MiT Strom Pipeline'!R16="In evaluation")&gt;0,'MiT Strom Pipeline'!R16,"")</f>
        <v>Evaluation</v>
      </c>
      <c r="J149" s="38" t="str">
        <f aca="false">IF(('MiT Strom Pipeline'!R16="follow-up")+('MiT Strom Pipeline'!R16="Evaluation")+('MiT Strom Pipeline'!R16="tbd")+('MiT Strom Pipeline'!R16="In evaluation")&gt;0,'MiT Strom Pipeline'!S16,"")</f>
        <v>35%</v>
      </c>
      <c r="K149" s="39" t="str">
        <f aca="false">IF(('MiT Strom Pipeline'!R16="follow-up")+('MiT Strom Pipeline'!R16="Evaluation")+('MiT Strom Pipeline'!R16="tbd")+('MiT Strom Pipeline'!R16="In evaluation")&gt;0,IF(LEN('MiT Strom Pipeline'!V16)&gt;0,LEFT('MiT Strom Pipeline'!V16,55),""),"")</f>
        <v>Use-Case klären – Lastbank oder Generator?</v>
      </c>
    </row>
    <row r="150" customFormat="false" ht="15.75" hidden="false" customHeight="true" outlineLevel="0" collapsed="false">
      <c r="A150" s="22" t="str">
        <f aca="false">IF(('MiT Strom Pipeline'!R17="follow-up")+('MiT Strom Pipeline'!R17="Evaluation")+('MiT Strom Pipeline'!R17="tbd")+('MiT Strom Pipeline'!R17="In evaluation")&gt;0,IF(ISNUMBER('MiT Strom Pipeline'!A17),'MiT Strom Pipeline'!A17,""),"")</f>
        <v/>
      </c>
      <c r="B150" s="23" t="str">
        <f aca="false">IF(('MiT Strom Pipeline'!R17="follow-up")+('MiT Strom Pipeline'!R17="Evaluation")+('MiT Strom Pipeline'!R17="tbd")+('MiT Strom Pipeline'!R17="In evaluation")&gt;0,'MiT Strom Pipeline'!B17,"")</f>
        <v/>
      </c>
      <c r="C150" s="22" t="str">
        <f aca="false">IF(('MiT Strom Pipeline'!R17="follow-up")+('MiT Strom Pipeline'!R17="Evaluation")+('MiT Strom Pipeline'!R17="tbd")+('MiT Strom Pipeline'!R17="In evaluation")&gt;0,'MiT Strom Pipeline'!C17,"")</f>
        <v/>
      </c>
      <c r="D150" s="23" t="str">
        <f aca="false">IF(('MiT Strom Pipeline'!R17="follow-up")+('MiT Strom Pipeline'!R17="Evaluation")+('MiT Strom Pipeline'!R17="tbd")+('MiT Strom Pipeline'!R17="In evaluation")&gt;0,'MiT Strom Pipeline'!D17,"")</f>
        <v/>
      </c>
      <c r="E150" s="23" t="str">
        <f aca="false">IF(('MiT Strom Pipeline'!R17="follow-up")+('MiT Strom Pipeline'!R17="Evaluation")+('MiT Strom Pipeline'!R17="tbd")+('MiT Strom Pipeline'!R17="In evaluation")&gt;0,'MiT Strom Pipeline'!E17,"")</f>
        <v/>
      </c>
      <c r="F150" s="24" t="str">
        <f aca="false">IF(('MiT Strom Pipeline'!R17="follow-up")+('MiT Strom Pipeline'!R17="Evaluation")+('MiT Strom Pipeline'!R17="tbd")+('MiT Strom Pipeline'!R17="In evaluation")&gt;0,IF(ISNUMBER('MiT Strom Pipeline'!I17),'MiT Strom Pipeline'!I17,0),"")</f>
        <v/>
      </c>
      <c r="G150" s="24" t="str">
        <f aca="false">IF(('MiT Strom Pipeline'!R17="follow-up")+('MiT Strom Pipeline'!R17="Evaluation")+('MiT Strom Pipeline'!R17="tbd")+('MiT Strom Pipeline'!R17="In evaluation")&gt;0,IF(ISNUMBER('MiT Strom Pipeline'!Q17),'MiT Strom Pipeline'!Q17,0),"")</f>
        <v/>
      </c>
      <c r="H150" s="24" t="str">
        <f aca="false">IF(('MiT Strom Pipeline'!R17="follow-up")+('MiT Strom Pipeline'!R17="Evaluation")+('MiT Strom Pipeline'!R17="tbd")+('MiT Strom Pipeline'!R17="In evaluation")&gt;0,IF(ISNUMBER('MiT Strom Pipeline'!O17),'MiT Strom Pipeline'!O17,0),"")</f>
        <v/>
      </c>
      <c r="I150" s="22" t="str">
        <f aca="false">IF(('MiT Strom Pipeline'!R17="follow-up")+('MiT Strom Pipeline'!R17="Evaluation")+('MiT Strom Pipeline'!R17="tbd")+('MiT Strom Pipeline'!R17="In evaluation")&gt;0,'MiT Strom Pipeline'!R17,"")</f>
        <v/>
      </c>
      <c r="J150" s="22" t="str">
        <f aca="false">IF(('MiT Strom Pipeline'!R17="follow-up")+('MiT Strom Pipeline'!R17="Evaluation")+('MiT Strom Pipeline'!R17="tbd")+('MiT Strom Pipeline'!R17="In evaluation")&gt;0,'MiT Strom Pipeline'!S17,"")</f>
        <v/>
      </c>
      <c r="K150" s="23" t="str">
        <f aca="false">IF(('MiT Strom Pipeline'!R17="follow-up")+('MiT Strom Pipeline'!R17="Evaluation")+('MiT Strom Pipeline'!R17="tbd")+('MiT Strom Pipeline'!R17="In evaluation")&gt;0,IF(LEN('MiT Strom Pipeline'!V17)&gt;0,LEFT('MiT Strom Pipeline'!V17,55),""),"")</f>
        <v/>
      </c>
    </row>
    <row r="151" customFormat="false" ht="15.75" hidden="false" customHeight="true" outlineLevel="0" collapsed="false">
      <c r="A151" s="38" t="str">
        <f aca="false">IF(('MiT Strom Pipeline'!R18="follow-up")+('MiT Strom Pipeline'!R18="Evaluation")+('MiT Strom Pipeline'!R18="tbd")+('MiT Strom Pipeline'!R18="In evaluation")&gt;0,IF(ISNUMBER('MiT Strom Pipeline'!A18),'MiT Strom Pipeline'!A18,""),"")</f>
        <v/>
      </c>
      <c r="B151" s="39" t="str">
        <f aca="false">IF(('MiT Strom Pipeline'!R18="follow-up")+('MiT Strom Pipeline'!R18="Evaluation")+('MiT Strom Pipeline'!R18="tbd")+('MiT Strom Pipeline'!R18="In evaluation")&gt;0,'MiT Strom Pipeline'!B18,"")</f>
        <v/>
      </c>
      <c r="C151" s="38" t="str">
        <f aca="false">IF(('MiT Strom Pipeline'!R18="follow-up")+('MiT Strom Pipeline'!R18="Evaluation")+('MiT Strom Pipeline'!R18="tbd")+('MiT Strom Pipeline'!R18="In evaluation")&gt;0,'MiT Strom Pipeline'!C18,"")</f>
        <v/>
      </c>
      <c r="D151" s="39" t="str">
        <f aca="false">IF(('MiT Strom Pipeline'!R18="follow-up")+('MiT Strom Pipeline'!R18="Evaluation")+('MiT Strom Pipeline'!R18="tbd")+('MiT Strom Pipeline'!R18="In evaluation")&gt;0,'MiT Strom Pipeline'!D18,"")</f>
        <v/>
      </c>
      <c r="E151" s="39" t="str">
        <f aca="false">IF(('MiT Strom Pipeline'!R18="follow-up")+('MiT Strom Pipeline'!R18="Evaluation")+('MiT Strom Pipeline'!R18="tbd")+('MiT Strom Pipeline'!R18="In evaluation")&gt;0,'MiT Strom Pipeline'!E18,"")</f>
        <v/>
      </c>
      <c r="F151" s="40" t="str">
        <f aca="false">IF(('MiT Strom Pipeline'!R18="follow-up")+('MiT Strom Pipeline'!R18="Evaluation")+('MiT Strom Pipeline'!R18="tbd")+('MiT Strom Pipeline'!R18="In evaluation")&gt;0,IF(ISNUMBER('MiT Strom Pipeline'!I18),'MiT Strom Pipeline'!I18,0),"")</f>
        <v/>
      </c>
      <c r="G151" s="40" t="str">
        <f aca="false">IF(('MiT Strom Pipeline'!R18="follow-up")+('MiT Strom Pipeline'!R18="Evaluation")+('MiT Strom Pipeline'!R18="tbd")+('MiT Strom Pipeline'!R18="In evaluation")&gt;0,IF(ISNUMBER('MiT Strom Pipeline'!Q18),'MiT Strom Pipeline'!Q18,0),"")</f>
        <v/>
      </c>
      <c r="H151" s="40" t="str">
        <f aca="false">IF(('MiT Strom Pipeline'!R18="follow-up")+('MiT Strom Pipeline'!R18="Evaluation")+('MiT Strom Pipeline'!R18="tbd")+('MiT Strom Pipeline'!R18="In evaluation")&gt;0,IF(ISNUMBER('MiT Strom Pipeline'!O18),'MiT Strom Pipeline'!O18,0),"")</f>
        <v/>
      </c>
      <c r="I151" s="38" t="str">
        <f aca="false">IF(('MiT Strom Pipeline'!R18="follow-up")+('MiT Strom Pipeline'!R18="Evaluation")+('MiT Strom Pipeline'!R18="tbd")+('MiT Strom Pipeline'!R18="In evaluation")&gt;0,'MiT Strom Pipeline'!R18,"")</f>
        <v/>
      </c>
      <c r="J151" s="38" t="str">
        <f aca="false">IF(('MiT Strom Pipeline'!R18="follow-up")+('MiT Strom Pipeline'!R18="Evaluation")+('MiT Strom Pipeline'!R18="tbd")+('MiT Strom Pipeline'!R18="In evaluation")&gt;0,'MiT Strom Pipeline'!S18,"")</f>
        <v/>
      </c>
      <c r="K151" s="39" t="str">
        <f aca="false">IF(('MiT Strom Pipeline'!R18="follow-up")+('MiT Strom Pipeline'!R18="Evaluation")+('MiT Strom Pipeline'!R18="tbd")+('MiT Strom Pipeline'!R18="In evaluation")&gt;0,IF(LEN('MiT Strom Pipeline'!V18)&gt;0,LEFT('MiT Strom Pipeline'!V18,55),""),"")</f>
        <v/>
      </c>
    </row>
    <row r="152" customFormat="false" ht="15.75" hidden="false" customHeight="true" outlineLevel="0" collapsed="false">
      <c r="A152" s="22" t="str">
        <f aca="false">IF(('MiT Strom Pipeline'!R19="follow-up")+('MiT Strom Pipeline'!R19="Evaluation")+('MiT Strom Pipeline'!R19="tbd")+('MiT Strom Pipeline'!R19="In evaluation")&gt;0,IF(ISNUMBER('MiT Strom Pipeline'!A19),'MiT Strom Pipeline'!A19,""),"")</f>
        <v/>
      </c>
      <c r="B152" s="23" t="str">
        <f aca="false">IF(('MiT Strom Pipeline'!R19="follow-up")+('MiT Strom Pipeline'!R19="Evaluation")+('MiT Strom Pipeline'!R19="tbd")+('MiT Strom Pipeline'!R19="In evaluation")&gt;0,'MiT Strom Pipeline'!B19,"")</f>
        <v/>
      </c>
      <c r="C152" s="22" t="str">
        <f aca="false">IF(('MiT Strom Pipeline'!R19="follow-up")+('MiT Strom Pipeline'!R19="Evaluation")+('MiT Strom Pipeline'!R19="tbd")+('MiT Strom Pipeline'!R19="In evaluation")&gt;0,'MiT Strom Pipeline'!C19,"")</f>
        <v/>
      </c>
      <c r="D152" s="23" t="str">
        <f aca="false">IF(('MiT Strom Pipeline'!R19="follow-up")+('MiT Strom Pipeline'!R19="Evaluation")+('MiT Strom Pipeline'!R19="tbd")+('MiT Strom Pipeline'!R19="In evaluation")&gt;0,'MiT Strom Pipeline'!D19,"")</f>
        <v/>
      </c>
      <c r="E152" s="23" t="str">
        <f aca="false">IF(('MiT Strom Pipeline'!R19="follow-up")+('MiT Strom Pipeline'!R19="Evaluation")+('MiT Strom Pipeline'!R19="tbd")+('MiT Strom Pipeline'!R19="In evaluation")&gt;0,'MiT Strom Pipeline'!E19,"")</f>
        <v/>
      </c>
      <c r="F152" s="24" t="str">
        <f aca="false">IF(('MiT Strom Pipeline'!R19="follow-up")+('MiT Strom Pipeline'!R19="Evaluation")+('MiT Strom Pipeline'!R19="tbd")+('MiT Strom Pipeline'!R19="In evaluation")&gt;0,IF(ISNUMBER('MiT Strom Pipeline'!I19),'MiT Strom Pipeline'!I19,0),"")</f>
        <v/>
      </c>
      <c r="G152" s="24" t="str">
        <f aca="false">IF(('MiT Strom Pipeline'!R19="follow-up")+('MiT Strom Pipeline'!R19="Evaluation")+('MiT Strom Pipeline'!R19="tbd")+('MiT Strom Pipeline'!R19="In evaluation")&gt;0,IF(ISNUMBER('MiT Strom Pipeline'!Q19),'MiT Strom Pipeline'!Q19,0),"")</f>
        <v/>
      </c>
      <c r="H152" s="24" t="str">
        <f aca="false">IF(('MiT Strom Pipeline'!R19="follow-up")+('MiT Strom Pipeline'!R19="Evaluation")+('MiT Strom Pipeline'!R19="tbd")+('MiT Strom Pipeline'!R19="In evaluation")&gt;0,IF(ISNUMBER('MiT Strom Pipeline'!O19),'MiT Strom Pipeline'!O19,0),"")</f>
        <v/>
      </c>
      <c r="I152" s="22" t="str">
        <f aca="false">IF(('MiT Strom Pipeline'!R19="follow-up")+('MiT Strom Pipeline'!R19="Evaluation")+('MiT Strom Pipeline'!R19="tbd")+('MiT Strom Pipeline'!R19="In evaluation")&gt;0,'MiT Strom Pipeline'!R19,"")</f>
        <v/>
      </c>
      <c r="J152" s="22" t="str">
        <f aca="false">IF(('MiT Strom Pipeline'!R19="follow-up")+('MiT Strom Pipeline'!R19="Evaluation")+('MiT Strom Pipeline'!R19="tbd")+('MiT Strom Pipeline'!R19="In evaluation")&gt;0,'MiT Strom Pipeline'!S19,"")</f>
        <v/>
      </c>
      <c r="K152" s="23" t="str">
        <f aca="false">IF(('MiT Strom Pipeline'!R19="follow-up")+('MiT Strom Pipeline'!R19="Evaluation")+('MiT Strom Pipeline'!R19="tbd")+('MiT Strom Pipeline'!R19="In evaluation")&gt;0,IF(LEN('MiT Strom Pipeline'!V19)&gt;0,LEFT('MiT Strom Pipeline'!V19,55),""),"")</f>
        <v/>
      </c>
    </row>
    <row r="153" customFormat="false" ht="15.75" hidden="false" customHeight="true" outlineLevel="0" collapsed="false">
      <c r="A153" s="38" t="n">
        <f aca="false">IF(('MiT Strom Pipeline'!R20="follow-up")+('MiT Strom Pipeline'!R20="Evaluation")+('MiT Strom Pipeline'!R20="tbd")+('MiT Strom Pipeline'!R20="In evaluation")&gt;0,IF(ISNUMBER('MiT Strom Pipeline'!A20),'MiT Strom Pipeline'!A20,""),"")</f>
        <v>14</v>
      </c>
      <c r="B153" s="39" t="str">
        <f aca="false">IF(('MiT Strom Pipeline'!R20="follow-up")+('MiT Strom Pipeline'!R20="Evaluation")+('MiT Strom Pipeline'!R20="tbd")+('MiT Strom Pipeline'!R20="In evaluation")&gt;0,'MiT Strom Pipeline'!B20,"")</f>
        <v>Trafag AG</v>
      </c>
      <c r="C153" s="38" t="str">
        <f aca="false">IF(('MiT Strom Pipeline'!R20="follow-up")+('MiT Strom Pipeline'!R20="Evaluation")+('MiT Strom Pipeline'!R20="tbd")+('MiT Strom Pipeline'!R20="In evaluation")&gt;0,'MiT Strom Pipeline'!C20,"")</f>
        <v>ZH</v>
      </c>
      <c r="D153" s="39" t="str">
        <f aca="false">IF(('MiT Strom Pipeline'!R20="follow-up")+('MiT Strom Pipeline'!R20="Evaluation")+('MiT Strom Pipeline'!R20="tbd")+('MiT Strom Pipeline'!R20="In evaluation")&gt;0,'MiT Strom Pipeline'!D20,"")</f>
        <v>Industrie / Messtechnik</v>
      </c>
      <c r="E153" s="39" t="str">
        <f aca="false">IF(('MiT Strom Pipeline'!R20="follow-up")+('MiT Strom Pipeline'!R20="Evaluation")+('MiT Strom Pipeline'!R20="tbd")+('MiT Strom Pipeline'!R20="In evaluation")&gt;0,'MiT Strom Pipeline'!E20,"")</f>
        <v>Kombi 450 kVA Generator / BESS 500 kVA</v>
      </c>
      <c r="F153" s="40" t="n">
        <f aca="false">IF(('MiT Strom Pipeline'!R20="follow-up")+('MiT Strom Pipeline'!R20="Evaluation")+('MiT Strom Pipeline'!R20="tbd")+('MiT Strom Pipeline'!R20="In evaluation")&gt;0,IF(ISNUMBER('MiT Strom Pipeline'!I20),'MiT Strom Pipeline'!I20,0),"")</f>
        <v>37444</v>
      </c>
      <c r="G153" s="40" t="n">
        <f aca="false">IF(('MiT Strom Pipeline'!R20="follow-up")+('MiT Strom Pipeline'!R20="Evaluation")+('MiT Strom Pipeline'!R20="tbd")+('MiT Strom Pipeline'!R20="In evaluation")&gt;0,IF(ISNUMBER('MiT Strom Pipeline'!Q20),'MiT Strom Pipeline'!Q20,0),"")</f>
        <v>18722</v>
      </c>
      <c r="H153" s="40" t="n">
        <f aca="false">IF(('MiT Strom Pipeline'!R20="follow-up")+('MiT Strom Pipeline'!R20="Evaluation")+('MiT Strom Pipeline'!R20="tbd")+('MiT Strom Pipeline'!R20="In evaluation")&gt;0,IF(ISNUMBER('MiT Strom Pipeline'!O20),'MiT Strom Pipeline'!O20,0),"")</f>
        <v>37444</v>
      </c>
      <c r="I153" s="38" t="str">
        <f aca="false">IF(('MiT Strom Pipeline'!R20="follow-up")+('MiT Strom Pipeline'!R20="Evaluation")+('MiT Strom Pipeline'!R20="tbd")+('MiT Strom Pipeline'!R20="In evaluation")&gt;0,'MiT Strom Pipeline'!R20,"")</f>
        <v>Evaluation</v>
      </c>
      <c r="J153" s="38" t="n">
        <f aca="false">IF(('MiT Strom Pipeline'!R20="follow-up")+('MiT Strom Pipeline'!R20="Evaluation")+('MiT Strom Pipeline'!R20="tbd")+('MiT Strom Pipeline'!R20="In evaluation")&gt;0,'MiT Strom Pipeline'!S20,"")</f>
        <v>0.5</v>
      </c>
      <c r="K153" s="39" t="str">
        <f aca="false">IF(('MiT Strom Pipeline'!R20="follow-up")+('MiT Strom Pipeline'!R20="Evaluation")+('MiT Strom Pipeline'!R20="tbd")+('MiT Strom Pipeline'!R20="In evaluation")&gt;0,IF(LEN('MiT Strom Pipeline'!V20)&gt;0,LEFT('MiT Strom Pipeline'!V20,55),""),"")</f>
        <v>Angebot vorbereiten – PQ-Argument für Messtechnik, Stef</v>
      </c>
    </row>
    <row r="154" customFormat="false" ht="15.75" hidden="false" customHeight="true" outlineLevel="0" collapsed="false">
      <c r="A154" s="22" t="n">
        <f aca="false">IF(('MiT Strom Pipeline'!R21="follow-up")+('MiT Strom Pipeline'!R21="Evaluation")+('MiT Strom Pipeline'!R21="tbd")+('MiT Strom Pipeline'!R21="In evaluation")&gt;0,IF(ISNUMBER('MiT Strom Pipeline'!A21),'MiT Strom Pipeline'!A21,""),"")</f>
        <v>15</v>
      </c>
      <c r="B154" s="23" t="str">
        <f aca="false">IF(('MiT Strom Pipeline'!R21="follow-up")+('MiT Strom Pipeline'!R21="Evaluation")+('MiT Strom Pipeline'!R21="tbd")+('MiT Strom Pipeline'!R21="In evaluation")&gt;0,'MiT Strom Pipeline'!B21,"")</f>
        <v>Gotthard Base Tunnel</v>
      </c>
      <c r="C154" s="22" t="str">
        <f aca="false">IF(('MiT Strom Pipeline'!R21="follow-up")+('MiT Strom Pipeline'!R21="Evaluation")+('MiT Strom Pipeline'!R21="tbd")+('MiT Strom Pipeline'!R21="In evaluation")&gt;0,'MiT Strom Pipeline'!C21,"")</f>
        <v>UR</v>
      </c>
      <c r="D154" s="23" t="str">
        <f aca="false">IF(('MiT Strom Pipeline'!R21="follow-up")+('MiT Strom Pipeline'!R21="Evaluation")+('MiT Strom Pipeline'!R21="tbd")+('MiT Strom Pipeline'!R21="In evaluation")&gt;0,'MiT Strom Pipeline'!D21,"")</f>
        <v>Infrastruktur / Bahn</v>
      </c>
      <c r="E154" s="23" t="str">
        <f aca="false">IF(('MiT Strom Pipeline'!R21="follow-up")+('MiT Strom Pipeline'!R21="Evaluation")+('MiT Strom Pipeline'!R21="tbd")+('MiT Strom Pipeline'!R21="In evaluation")&gt;0,'MiT Strom Pipeline'!E21,"")</f>
        <v>Grossanlage tbd</v>
      </c>
      <c r="F154" s="24" t="n">
        <f aca="false">IF(('MiT Strom Pipeline'!R21="follow-up")+('MiT Strom Pipeline'!R21="Evaluation")+('MiT Strom Pipeline'!R21="tbd")+('MiT Strom Pipeline'!R21="In evaluation")&gt;0,IF(ISNUMBER('MiT Strom Pipeline'!I21),'MiT Strom Pipeline'!I21,0),"")</f>
        <v>0</v>
      </c>
      <c r="G154" s="24" t="n">
        <f aca="false">IF(('MiT Strom Pipeline'!R21="follow-up")+('MiT Strom Pipeline'!R21="Evaluation")+('MiT Strom Pipeline'!R21="tbd")+('MiT Strom Pipeline'!R21="In evaluation")&gt;0,IF(ISNUMBER('MiT Strom Pipeline'!Q21),'MiT Strom Pipeline'!Q21,0),"")</f>
        <v>0</v>
      </c>
      <c r="H154" s="24" t="n">
        <f aca="false">IF(('MiT Strom Pipeline'!R21="follow-up")+('MiT Strom Pipeline'!R21="Evaluation")+('MiT Strom Pipeline'!R21="tbd")+('MiT Strom Pipeline'!R21="In evaluation")&gt;0,IF(ISNUMBER('MiT Strom Pipeline'!O21),'MiT Strom Pipeline'!O21,0),"")</f>
        <v>0</v>
      </c>
      <c r="I154" s="22" t="str">
        <f aca="false">IF(('MiT Strom Pipeline'!R21="follow-up")+('MiT Strom Pipeline'!R21="Evaluation")+('MiT Strom Pipeline'!R21="tbd")+('MiT Strom Pipeline'!R21="In evaluation")&gt;0,'MiT Strom Pipeline'!R21,"")</f>
        <v>In evaluation</v>
      </c>
      <c r="J154" s="22" t="str">
        <f aca="false">IF(('MiT Strom Pipeline'!R21="follow-up")+('MiT Strom Pipeline'!R21="Evaluation")+('MiT Strom Pipeline'!R21="tbd")+('MiT Strom Pipeline'!R21="In evaluation")&gt;0,'MiT Strom Pipeline'!S21,"")</f>
        <v>20%</v>
      </c>
      <c r="K154" s="23" t="str">
        <f aca="false">IF(('MiT Strom Pipeline'!R21="follow-up")+('MiT Strom Pipeline'!R21="Evaluation")+('MiT Strom Pipeline'!R21="tbd")+('MiT Strom Pipeline'!R21="In evaluation")&gt;0,IF(LEN('MiT Strom Pipeline'!V21)&gt;0,LEFT('MiT Strom Pipeline'!V21,55),""),"")</f>
        <v>Stakeholder identifizieren – AlpTransit/SBB kontaktiere</v>
      </c>
    </row>
    <row r="155" customFormat="false" ht="15.75" hidden="false" customHeight="true" outlineLevel="0" collapsed="false">
      <c r="A155" s="38" t="n">
        <f aca="false">IF(('MiT Strom Pipeline'!R22="follow-up")+('MiT Strom Pipeline'!R22="Evaluation")+('MiT Strom Pipeline'!R22="tbd")+('MiT Strom Pipeline'!R22="In evaluation")&gt;0,IF(ISNUMBER('MiT Strom Pipeline'!A22),'MiT Strom Pipeline'!A22,""),"")</f>
        <v>16</v>
      </c>
      <c r="B155" s="39" t="str">
        <f aca="false">IF(('MiT Strom Pipeline'!R22="follow-up")+('MiT Strom Pipeline'!R22="Evaluation")+('MiT Strom Pipeline'!R22="tbd")+('MiT Strom Pipeline'!R22="In evaluation")&gt;0,'MiT Strom Pipeline'!B22,"")</f>
        <v>Etavis Gossenbacher AG</v>
      </c>
      <c r="C155" s="38" t="str">
        <f aca="false">IF(('MiT Strom Pipeline'!R22="follow-up")+('MiT Strom Pipeline'!R22="Evaluation")+('MiT Strom Pipeline'!R22="tbd")+('MiT Strom Pipeline'!R22="In evaluation")&gt;0,'MiT Strom Pipeline'!C22,"")</f>
        <v>ZH</v>
      </c>
      <c r="D155" s="39" t="str">
        <f aca="false">IF(('MiT Strom Pipeline'!R22="follow-up")+('MiT Strom Pipeline'!R22="Evaluation")+('MiT Strom Pipeline'!R22="tbd")+('MiT Strom Pipeline'!R22="In evaluation")&gt;0,'MiT Strom Pipeline'!D22,"")</f>
        <v>Elektroinstallation</v>
      </c>
      <c r="E155" s="39" t="str">
        <f aca="false">IF(('MiT Strom Pipeline'!R22="follow-up")+('MiT Strom Pipeline'!R22="Evaluation")+('MiT Strom Pipeline'!R22="tbd")+('MiT Strom Pipeline'!R22="In evaluation")&gt;0,'MiT Strom Pipeline'!E22,"")</f>
        <v>30 kVA USV/Generator</v>
      </c>
      <c r="F155" s="40" t="n">
        <f aca="false">IF(('MiT Strom Pipeline'!R22="follow-up")+('MiT Strom Pipeline'!R22="Evaluation")+('MiT Strom Pipeline'!R22="tbd")+('MiT Strom Pipeline'!R22="In evaluation")&gt;0,IF(ISNUMBER('MiT Strom Pipeline'!I22),'MiT Strom Pipeline'!I22,0),"")</f>
        <v>0</v>
      </c>
      <c r="G155" s="40" t="n">
        <f aca="false">IF(('MiT Strom Pipeline'!R22="follow-up")+('MiT Strom Pipeline'!R22="Evaluation")+('MiT Strom Pipeline'!R22="tbd")+('MiT Strom Pipeline'!R22="In evaluation")&gt;0,IF(ISNUMBER('MiT Strom Pipeline'!Q22),'MiT Strom Pipeline'!Q22,0),"")</f>
        <v>0</v>
      </c>
      <c r="H155" s="40" t="n">
        <f aca="false">IF(('MiT Strom Pipeline'!R22="follow-up")+('MiT Strom Pipeline'!R22="Evaluation")+('MiT Strom Pipeline'!R22="tbd")+('MiT Strom Pipeline'!R22="In evaluation")&gt;0,IF(ISNUMBER('MiT Strom Pipeline'!O22),'MiT Strom Pipeline'!O22,0),"")</f>
        <v>0</v>
      </c>
      <c r="I155" s="38" t="str">
        <f aca="false">IF(('MiT Strom Pipeline'!R22="follow-up")+('MiT Strom Pipeline'!R22="Evaluation")+('MiT Strom Pipeline'!R22="tbd")+('MiT Strom Pipeline'!R22="In evaluation")&gt;0,'MiT Strom Pipeline'!R22,"")</f>
        <v>tbd</v>
      </c>
      <c r="J155" s="38" t="str">
        <f aca="false">IF(('MiT Strom Pipeline'!R22="follow-up")+('MiT Strom Pipeline'!R22="Evaluation")+('MiT Strom Pipeline'!R22="tbd")+('MiT Strom Pipeline'!R22="In evaluation")&gt;0,'MiT Strom Pipeline'!S22,"")</f>
        <v>30%</v>
      </c>
      <c r="K155" s="39" t="str">
        <f aca="false">IF(('MiT Strom Pipeline'!R22="follow-up")+('MiT Strom Pipeline'!R22="Evaluation")+('MiT Strom Pipeline'!R22="tbd")+('MiT Strom Pipeline'!R22="In evaluation")&gt;0,IF(LEN('MiT Strom Pipeline'!V22)&gt;0,LEFT('MiT Strom Pipeline'!V22,55),""),"")</f>
        <v>Erstkontakt vertiefen – Bedarf qualifizieren</v>
      </c>
    </row>
    <row r="156" customFormat="false" ht="15.75" hidden="false" customHeight="true" outlineLevel="0" collapsed="false">
      <c r="A156" s="22" t="n">
        <f aca="false">IF(('MiT Strom Pipeline'!R23="follow-up")+('MiT Strom Pipeline'!R23="Evaluation")+('MiT Strom Pipeline'!R23="tbd")+('MiT Strom Pipeline'!R23="In evaluation")&gt;0,IF(ISNUMBER('MiT Strom Pipeline'!A23),'MiT Strom Pipeline'!A23,""),"")</f>
        <v>17</v>
      </c>
      <c r="B156" s="23" t="str">
        <f aca="false">IF(('MiT Strom Pipeline'!R23="follow-up")+('MiT Strom Pipeline'!R23="Evaluation")+('MiT Strom Pipeline'!R23="tbd")+('MiT Strom Pipeline'!R23="In evaluation")&gt;0,'MiT Strom Pipeline'!B23,"")</f>
        <v>MAS ETH Architektur</v>
      </c>
      <c r="C156" s="22" t="str">
        <f aca="false">IF(('MiT Strom Pipeline'!R23="follow-up")+('MiT Strom Pipeline'!R23="Evaluation")+('MiT Strom Pipeline'!R23="tbd")+('MiT Strom Pipeline'!R23="In evaluation")&gt;0,'MiT Strom Pipeline'!C23,"")</f>
        <v>ZH</v>
      </c>
      <c r="D156" s="23" t="str">
        <f aca="false">IF(('MiT Strom Pipeline'!R23="follow-up")+('MiT Strom Pipeline'!R23="Evaluation")+('MiT Strom Pipeline'!R23="tbd")+('MiT Strom Pipeline'!R23="In evaluation")&gt;0,'MiT Strom Pipeline'!D23,"")</f>
        <v>Bildung / Forschung</v>
      </c>
      <c r="E156" s="23" t="str">
        <f aca="false">IF(('MiT Strom Pipeline'!R23="follow-up")+('MiT Strom Pipeline'!R23="Evaluation")+('MiT Strom Pipeline'!R23="tbd")+('MiT Strom Pipeline'!R23="In evaluation")&gt;0,'MiT Strom Pipeline'!E23,"")</f>
        <v>tbd</v>
      </c>
      <c r="F156" s="24" t="n">
        <f aca="false">IF(('MiT Strom Pipeline'!R23="follow-up")+('MiT Strom Pipeline'!R23="Evaluation")+('MiT Strom Pipeline'!R23="tbd")+('MiT Strom Pipeline'!R23="In evaluation")&gt;0,IF(ISNUMBER('MiT Strom Pipeline'!I23),'MiT Strom Pipeline'!I23,0),"")</f>
        <v>0</v>
      </c>
      <c r="G156" s="24" t="n">
        <f aca="false">IF(('MiT Strom Pipeline'!R23="follow-up")+('MiT Strom Pipeline'!R23="Evaluation")+('MiT Strom Pipeline'!R23="tbd")+('MiT Strom Pipeline'!R23="In evaluation")&gt;0,IF(ISNUMBER('MiT Strom Pipeline'!Q23),'MiT Strom Pipeline'!Q23,0),"")</f>
        <v>0</v>
      </c>
      <c r="H156" s="24" t="n">
        <f aca="false">IF(('MiT Strom Pipeline'!R23="follow-up")+('MiT Strom Pipeline'!R23="Evaluation")+('MiT Strom Pipeline'!R23="tbd")+('MiT Strom Pipeline'!R23="In evaluation")&gt;0,IF(ISNUMBER('MiT Strom Pipeline'!O23),'MiT Strom Pipeline'!O23,0),"")</f>
        <v>0</v>
      </c>
      <c r="I156" s="22" t="str">
        <f aca="false">IF(('MiT Strom Pipeline'!R23="follow-up")+('MiT Strom Pipeline'!R23="Evaluation")+('MiT Strom Pipeline'!R23="tbd")+('MiT Strom Pipeline'!R23="In evaluation")&gt;0,'MiT Strom Pipeline'!R23,"")</f>
        <v>tbd</v>
      </c>
      <c r="J156" s="22" t="str">
        <f aca="false">IF(('MiT Strom Pipeline'!R23="follow-up")+('MiT Strom Pipeline'!R23="Evaluation")+('MiT Strom Pipeline'!R23="tbd")+('MiT Strom Pipeline'!R23="In evaluation")&gt;0,'MiT Strom Pipeline'!S23,"")</f>
        <v>20%</v>
      </c>
      <c r="K156" s="23" t="str">
        <f aca="false">IF(('MiT Strom Pipeline'!R23="follow-up")+('MiT Strom Pipeline'!R23="Evaluation")+('MiT Strom Pipeline'!R23="tbd")+('MiT Strom Pipeline'!R23="In evaluation")&gt;0,IF(LEN('MiT Strom Pipeline'!V23)&gt;0,LEFT('MiT Strom Pipeline'!V23,55),""),"")</f>
        <v>Bedarf qualifizieren oder disqualifizieren</v>
      </c>
    </row>
    <row r="157" customFormat="false" ht="15.75" hidden="false" customHeight="true" outlineLevel="0" collapsed="false">
      <c r="A157" s="38" t="n">
        <f aca="false">IF(('MiT Strom Pipeline'!R24="follow-up")+('MiT Strom Pipeline'!R24="Evaluation")+('MiT Strom Pipeline'!R24="tbd")+('MiT Strom Pipeline'!R24="In evaluation")&gt;0,IF(ISNUMBER('MiT Strom Pipeline'!A24),'MiT Strom Pipeline'!A24,""),"")</f>
        <v>18</v>
      </c>
      <c r="B157" s="39" t="str">
        <f aca="false">IF(('MiT Strom Pipeline'!R24="follow-up")+('MiT Strom Pipeline'!R24="Evaluation")+('MiT Strom Pipeline'!R24="tbd")+('MiT Strom Pipeline'!R24="In evaluation")&gt;0,'MiT Strom Pipeline'!B24,"")</f>
        <v>FIP ISA</v>
      </c>
      <c r="C157" s="38" t="str">
        <f aca="false">IF(('MiT Strom Pipeline'!R24="follow-up")+('MiT Strom Pipeline'!R24="Evaluation")+('MiT Strom Pipeline'!R24="tbd")+('MiT Strom Pipeline'!R24="In evaluation")&gt;0,'MiT Strom Pipeline'!C24,"")</f>
        <v>tbd</v>
      </c>
      <c r="D157" s="39" t="str">
        <f aca="false">IF(('MiT Strom Pipeline'!R24="follow-up")+('MiT Strom Pipeline'!R24="Evaluation")+('MiT Strom Pipeline'!R24="tbd")+('MiT Strom Pipeline'!R24="In evaluation")&gt;0,'MiT Strom Pipeline'!D24,"")</f>
        <v>tbd</v>
      </c>
      <c r="E157" s="39" t="str">
        <f aca="false">IF(('MiT Strom Pipeline'!R24="follow-up")+('MiT Strom Pipeline'!R24="Evaluation")+('MiT Strom Pipeline'!R24="tbd")+('MiT Strom Pipeline'!R24="In evaluation")&gt;0,'MiT Strom Pipeline'!E24,"")</f>
        <v>tbd</v>
      </c>
      <c r="F157" s="40" t="n">
        <f aca="false">IF(('MiT Strom Pipeline'!R24="follow-up")+('MiT Strom Pipeline'!R24="Evaluation")+('MiT Strom Pipeline'!R24="tbd")+('MiT Strom Pipeline'!R24="In evaluation")&gt;0,IF(ISNUMBER('MiT Strom Pipeline'!I24),'MiT Strom Pipeline'!I24,0),"")</f>
        <v>0</v>
      </c>
      <c r="G157" s="40" t="n">
        <f aca="false">IF(('MiT Strom Pipeline'!R24="follow-up")+('MiT Strom Pipeline'!R24="Evaluation")+('MiT Strom Pipeline'!R24="tbd")+('MiT Strom Pipeline'!R24="In evaluation")&gt;0,IF(ISNUMBER('MiT Strom Pipeline'!Q24),'MiT Strom Pipeline'!Q24,0),"")</f>
        <v>0</v>
      </c>
      <c r="H157" s="40" t="n">
        <f aca="false">IF(('MiT Strom Pipeline'!R24="follow-up")+('MiT Strom Pipeline'!R24="Evaluation")+('MiT Strom Pipeline'!R24="tbd")+('MiT Strom Pipeline'!R24="In evaluation")&gt;0,IF(ISNUMBER('MiT Strom Pipeline'!O24),'MiT Strom Pipeline'!O24,0),"")</f>
        <v>0</v>
      </c>
      <c r="I157" s="38" t="str">
        <f aca="false">IF(('MiT Strom Pipeline'!R24="follow-up")+('MiT Strom Pipeline'!R24="Evaluation")+('MiT Strom Pipeline'!R24="tbd")+('MiT Strom Pipeline'!R24="In evaluation")&gt;0,'MiT Strom Pipeline'!R24,"")</f>
        <v>tbd</v>
      </c>
      <c r="J157" s="38" t="str">
        <f aca="false">IF(('MiT Strom Pipeline'!R24="follow-up")+('MiT Strom Pipeline'!R24="Evaluation")+('MiT Strom Pipeline'!R24="tbd")+('MiT Strom Pipeline'!R24="In evaluation")&gt;0,'MiT Strom Pipeline'!S24,"")</f>
        <v>20%</v>
      </c>
      <c r="K157" s="39" t="str">
        <f aca="false">IF(('MiT Strom Pipeline'!R24="follow-up")+('MiT Strom Pipeline'!R24="Evaluation")+('MiT Strom Pipeline'!R24="tbd")+('MiT Strom Pipeline'!R24="In evaluation")&gt;0,IF(LEN('MiT Strom Pipeline'!V24)&gt;0,LEFT('MiT Strom Pipeline'!V24,55),""),"")</f>
        <v>Recherche + Erstkontakt – Firma und Bedarf verstehen</v>
      </c>
    </row>
    <row r="158" customFormat="false" ht="15.75" hidden="false" customHeight="true" outlineLevel="0" collapsed="false">
      <c r="A158" s="22" t="str">
        <f aca="false">IF(('MiT Strom Pipeline'!R25="follow-up")+('MiT Strom Pipeline'!R25="Evaluation")+('MiT Strom Pipeline'!R25="tbd")+('MiT Strom Pipeline'!R25="In evaluation")&gt;0,IF(ISNUMBER('MiT Strom Pipeline'!A25),'MiT Strom Pipeline'!A25,""),"")</f>
        <v/>
      </c>
      <c r="B158" s="23" t="str">
        <f aca="false">IF(('MiT Strom Pipeline'!R25="follow-up")+('MiT Strom Pipeline'!R25="Evaluation")+('MiT Strom Pipeline'!R25="tbd")+('MiT Strom Pipeline'!R25="In evaluation")&gt;0,'MiT Strom Pipeline'!B25,"")</f>
        <v/>
      </c>
      <c r="C158" s="22" t="str">
        <f aca="false">IF(('MiT Strom Pipeline'!R25="follow-up")+('MiT Strom Pipeline'!R25="Evaluation")+('MiT Strom Pipeline'!R25="tbd")+('MiT Strom Pipeline'!R25="In evaluation")&gt;0,'MiT Strom Pipeline'!C25,"")</f>
        <v/>
      </c>
      <c r="D158" s="23" t="str">
        <f aca="false">IF(('MiT Strom Pipeline'!R25="follow-up")+('MiT Strom Pipeline'!R25="Evaluation")+('MiT Strom Pipeline'!R25="tbd")+('MiT Strom Pipeline'!R25="In evaluation")&gt;0,'MiT Strom Pipeline'!D25,"")</f>
        <v/>
      </c>
      <c r="E158" s="23" t="str">
        <f aca="false">IF(('MiT Strom Pipeline'!R25="follow-up")+('MiT Strom Pipeline'!R25="Evaluation")+('MiT Strom Pipeline'!R25="tbd")+('MiT Strom Pipeline'!R25="In evaluation")&gt;0,'MiT Strom Pipeline'!E25,"")</f>
        <v/>
      </c>
      <c r="F158" s="24" t="str">
        <f aca="false">IF(('MiT Strom Pipeline'!R25="follow-up")+('MiT Strom Pipeline'!R25="Evaluation")+('MiT Strom Pipeline'!R25="tbd")+('MiT Strom Pipeline'!R25="In evaluation")&gt;0,IF(ISNUMBER('MiT Strom Pipeline'!I25),'MiT Strom Pipeline'!I25,0),"")</f>
        <v/>
      </c>
      <c r="G158" s="24" t="str">
        <f aca="false">IF(('MiT Strom Pipeline'!R25="follow-up")+('MiT Strom Pipeline'!R25="Evaluation")+('MiT Strom Pipeline'!R25="tbd")+('MiT Strom Pipeline'!R25="In evaluation")&gt;0,IF(ISNUMBER('MiT Strom Pipeline'!Q25),'MiT Strom Pipeline'!Q25,0),"")</f>
        <v/>
      </c>
      <c r="H158" s="24" t="str">
        <f aca="false">IF(('MiT Strom Pipeline'!R25="follow-up")+('MiT Strom Pipeline'!R25="Evaluation")+('MiT Strom Pipeline'!R25="tbd")+('MiT Strom Pipeline'!R25="In evaluation")&gt;0,IF(ISNUMBER('MiT Strom Pipeline'!O25),'MiT Strom Pipeline'!O25,0),"")</f>
        <v/>
      </c>
      <c r="I158" s="22" t="str">
        <f aca="false">IF(('MiT Strom Pipeline'!R25="follow-up")+('MiT Strom Pipeline'!R25="Evaluation")+('MiT Strom Pipeline'!R25="tbd")+('MiT Strom Pipeline'!R25="In evaluation")&gt;0,'MiT Strom Pipeline'!R25,"")</f>
        <v/>
      </c>
      <c r="J158" s="22" t="str">
        <f aca="false">IF(('MiT Strom Pipeline'!R25="follow-up")+('MiT Strom Pipeline'!R25="Evaluation")+('MiT Strom Pipeline'!R25="tbd")+('MiT Strom Pipeline'!R25="In evaluation")&gt;0,'MiT Strom Pipeline'!S25,"")</f>
        <v/>
      </c>
      <c r="K158" s="23" t="str">
        <f aca="false">IF(('MiT Strom Pipeline'!R25="follow-up")+('MiT Strom Pipeline'!R25="Evaluation")+('MiT Strom Pipeline'!R25="tbd")+('MiT Strom Pipeline'!R25="In evaluation")&gt;0,IF(LEN('MiT Strom Pipeline'!V25)&gt;0,LEFT('MiT Strom Pipeline'!V25,55),""),"")</f>
        <v/>
      </c>
    </row>
    <row r="159" customFormat="false" ht="15.75" hidden="false" customHeight="true" outlineLevel="0" collapsed="false">
      <c r="A159" s="38" t="str">
        <f aca="false">IF(('MiT Strom Pipeline'!R26="follow-up")+('MiT Strom Pipeline'!R26="Evaluation")+('MiT Strom Pipeline'!R26="tbd")+('MiT Strom Pipeline'!R26="In evaluation")&gt;0,IF(ISNUMBER('MiT Strom Pipeline'!A26),'MiT Strom Pipeline'!A26,""),"")</f>
        <v/>
      </c>
      <c r="B159" s="39" t="str">
        <f aca="false">IF(('MiT Strom Pipeline'!R26="follow-up")+('MiT Strom Pipeline'!R26="Evaluation")+('MiT Strom Pipeline'!R26="tbd")+('MiT Strom Pipeline'!R26="In evaluation")&gt;0,'MiT Strom Pipeline'!B26,"")</f>
        <v/>
      </c>
      <c r="C159" s="38" t="str">
        <f aca="false">IF(('MiT Strom Pipeline'!R26="follow-up")+('MiT Strom Pipeline'!R26="Evaluation")+('MiT Strom Pipeline'!R26="tbd")+('MiT Strom Pipeline'!R26="In evaluation")&gt;0,'MiT Strom Pipeline'!C26,"")</f>
        <v/>
      </c>
      <c r="D159" s="39" t="str">
        <f aca="false">IF(('MiT Strom Pipeline'!R26="follow-up")+('MiT Strom Pipeline'!R26="Evaluation")+('MiT Strom Pipeline'!R26="tbd")+('MiT Strom Pipeline'!R26="In evaluation")&gt;0,'MiT Strom Pipeline'!D26,"")</f>
        <v/>
      </c>
      <c r="E159" s="39" t="str">
        <f aca="false">IF(('MiT Strom Pipeline'!R26="follow-up")+('MiT Strom Pipeline'!R26="Evaluation")+('MiT Strom Pipeline'!R26="tbd")+('MiT Strom Pipeline'!R26="In evaluation")&gt;0,'MiT Strom Pipeline'!E26,"")</f>
        <v/>
      </c>
      <c r="F159" s="40" t="str">
        <f aca="false">IF(('MiT Strom Pipeline'!R26="follow-up")+('MiT Strom Pipeline'!R26="Evaluation")+('MiT Strom Pipeline'!R26="tbd")+('MiT Strom Pipeline'!R26="In evaluation")&gt;0,IF(ISNUMBER('MiT Strom Pipeline'!I26),'MiT Strom Pipeline'!I26,0),"")</f>
        <v/>
      </c>
      <c r="G159" s="40" t="str">
        <f aca="false">IF(('MiT Strom Pipeline'!R26="follow-up")+('MiT Strom Pipeline'!R26="Evaluation")+('MiT Strom Pipeline'!R26="tbd")+('MiT Strom Pipeline'!R26="In evaluation")&gt;0,IF(ISNUMBER('MiT Strom Pipeline'!Q26),'MiT Strom Pipeline'!Q26,0),"")</f>
        <v/>
      </c>
      <c r="H159" s="40" t="str">
        <f aca="false">IF(('MiT Strom Pipeline'!R26="follow-up")+('MiT Strom Pipeline'!R26="Evaluation")+('MiT Strom Pipeline'!R26="tbd")+('MiT Strom Pipeline'!R26="In evaluation")&gt;0,IF(ISNUMBER('MiT Strom Pipeline'!O26),'MiT Strom Pipeline'!O26,0),"")</f>
        <v/>
      </c>
      <c r="I159" s="38" t="str">
        <f aca="false">IF(('MiT Strom Pipeline'!R26="follow-up")+('MiT Strom Pipeline'!R26="Evaluation")+('MiT Strom Pipeline'!R26="tbd")+('MiT Strom Pipeline'!R26="In evaluation")&gt;0,'MiT Strom Pipeline'!R26,"")</f>
        <v/>
      </c>
      <c r="J159" s="38" t="str">
        <f aca="false">IF(('MiT Strom Pipeline'!R26="follow-up")+('MiT Strom Pipeline'!R26="Evaluation")+('MiT Strom Pipeline'!R26="tbd")+('MiT Strom Pipeline'!R26="In evaluation")&gt;0,'MiT Strom Pipeline'!S26,"")</f>
        <v/>
      </c>
      <c r="K159" s="39" t="str">
        <f aca="false">IF(('MiT Strom Pipeline'!R26="follow-up")+('MiT Strom Pipeline'!R26="Evaluation")+('MiT Strom Pipeline'!R26="tbd")+('MiT Strom Pipeline'!R26="In evaluation")&gt;0,IF(LEN('MiT Strom Pipeline'!V26)&gt;0,LEFT('MiT Strom Pipeline'!V26,55),""),"")</f>
        <v/>
      </c>
    </row>
    <row r="160" customFormat="false" ht="15.75" hidden="false" customHeight="true" outlineLevel="0" collapsed="false">
      <c r="A160" s="22" t="str">
        <f aca="false">IF(('MiT Strom Pipeline'!R27="follow-up")+('MiT Strom Pipeline'!R27="Evaluation")+('MiT Strom Pipeline'!R27="tbd")+('MiT Strom Pipeline'!R27="In evaluation")&gt;0,IF(ISNUMBER('MiT Strom Pipeline'!A27),'MiT Strom Pipeline'!A27,""),"")</f>
        <v/>
      </c>
      <c r="B160" s="23" t="str">
        <f aca="false">IF(('MiT Strom Pipeline'!R27="follow-up")+('MiT Strom Pipeline'!R27="Evaluation")+('MiT Strom Pipeline'!R27="tbd")+('MiT Strom Pipeline'!R27="In evaluation")&gt;0,'MiT Strom Pipeline'!B27,"")</f>
        <v/>
      </c>
      <c r="C160" s="22" t="str">
        <f aca="false">IF(('MiT Strom Pipeline'!R27="follow-up")+('MiT Strom Pipeline'!R27="Evaluation")+('MiT Strom Pipeline'!R27="tbd")+('MiT Strom Pipeline'!R27="In evaluation")&gt;0,'MiT Strom Pipeline'!C27,"")</f>
        <v/>
      </c>
      <c r="D160" s="23" t="str">
        <f aca="false">IF(('MiT Strom Pipeline'!R27="follow-up")+('MiT Strom Pipeline'!R27="Evaluation")+('MiT Strom Pipeline'!R27="tbd")+('MiT Strom Pipeline'!R27="In evaluation")&gt;0,'MiT Strom Pipeline'!D27,"")</f>
        <v/>
      </c>
      <c r="E160" s="23" t="str">
        <f aca="false">IF(('MiT Strom Pipeline'!R27="follow-up")+('MiT Strom Pipeline'!R27="Evaluation")+('MiT Strom Pipeline'!R27="tbd")+('MiT Strom Pipeline'!R27="In evaluation")&gt;0,'MiT Strom Pipeline'!E27,"")</f>
        <v/>
      </c>
      <c r="F160" s="24" t="str">
        <f aca="false">IF(('MiT Strom Pipeline'!R27="follow-up")+('MiT Strom Pipeline'!R27="Evaluation")+('MiT Strom Pipeline'!R27="tbd")+('MiT Strom Pipeline'!R27="In evaluation")&gt;0,IF(ISNUMBER('MiT Strom Pipeline'!I27),'MiT Strom Pipeline'!I27,0),"")</f>
        <v/>
      </c>
      <c r="G160" s="24" t="str">
        <f aca="false">IF(('MiT Strom Pipeline'!R27="follow-up")+('MiT Strom Pipeline'!R27="Evaluation")+('MiT Strom Pipeline'!R27="tbd")+('MiT Strom Pipeline'!R27="In evaluation")&gt;0,IF(ISNUMBER('MiT Strom Pipeline'!Q27),'MiT Strom Pipeline'!Q27,0),"")</f>
        <v/>
      </c>
      <c r="H160" s="24" t="str">
        <f aca="false">IF(('MiT Strom Pipeline'!R27="follow-up")+('MiT Strom Pipeline'!R27="Evaluation")+('MiT Strom Pipeline'!R27="tbd")+('MiT Strom Pipeline'!R27="In evaluation")&gt;0,IF(ISNUMBER('MiT Strom Pipeline'!O27),'MiT Strom Pipeline'!O27,0),"")</f>
        <v/>
      </c>
      <c r="I160" s="22" t="str">
        <f aca="false">IF(('MiT Strom Pipeline'!R27="follow-up")+('MiT Strom Pipeline'!R27="Evaluation")+('MiT Strom Pipeline'!R27="tbd")+('MiT Strom Pipeline'!R27="In evaluation")&gt;0,'MiT Strom Pipeline'!R27,"")</f>
        <v/>
      </c>
      <c r="J160" s="22" t="str">
        <f aca="false">IF(('MiT Strom Pipeline'!R27="follow-up")+('MiT Strom Pipeline'!R27="Evaluation")+('MiT Strom Pipeline'!R27="tbd")+('MiT Strom Pipeline'!R27="In evaluation")&gt;0,'MiT Strom Pipeline'!S27,"")</f>
        <v/>
      </c>
      <c r="K160" s="23" t="str">
        <f aca="false">IF(('MiT Strom Pipeline'!R27="follow-up")+('MiT Strom Pipeline'!R27="Evaluation")+('MiT Strom Pipeline'!R27="tbd")+('MiT Strom Pipeline'!R27="In evaluation")&gt;0,IF(LEN('MiT Strom Pipeline'!V27)&gt;0,LEFT('MiT Strom Pipeline'!V27,55),""),"")</f>
        <v/>
      </c>
    </row>
    <row r="161" customFormat="false" ht="15.75" hidden="false" customHeight="true" outlineLevel="0" collapsed="false">
      <c r="A161" s="38" t="str">
        <f aca="false">IF(('MiT Strom Pipeline'!R28="follow-up")+('MiT Strom Pipeline'!R28="Evaluation")+('MiT Strom Pipeline'!R28="tbd")+('MiT Strom Pipeline'!R28="In evaluation")&gt;0,IF(ISNUMBER('MiT Strom Pipeline'!A28),'MiT Strom Pipeline'!A28,""),"")</f>
        <v/>
      </c>
      <c r="B161" s="39" t="str">
        <f aca="false">IF(('MiT Strom Pipeline'!R28="follow-up")+('MiT Strom Pipeline'!R28="Evaluation")+('MiT Strom Pipeline'!R28="tbd")+('MiT Strom Pipeline'!R28="In evaluation")&gt;0,'MiT Strom Pipeline'!B28,"")</f>
        <v/>
      </c>
      <c r="C161" s="38" t="str">
        <f aca="false">IF(('MiT Strom Pipeline'!R28="follow-up")+('MiT Strom Pipeline'!R28="Evaluation")+('MiT Strom Pipeline'!R28="tbd")+('MiT Strom Pipeline'!R28="In evaluation")&gt;0,'MiT Strom Pipeline'!C28,"")</f>
        <v/>
      </c>
      <c r="D161" s="39" t="str">
        <f aca="false">IF(('MiT Strom Pipeline'!R28="follow-up")+('MiT Strom Pipeline'!R28="Evaluation")+('MiT Strom Pipeline'!R28="tbd")+('MiT Strom Pipeline'!R28="In evaluation")&gt;0,'MiT Strom Pipeline'!D28,"")</f>
        <v/>
      </c>
      <c r="E161" s="39" t="str">
        <f aca="false">IF(('MiT Strom Pipeline'!R28="follow-up")+('MiT Strom Pipeline'!R28="Evaluation")+('MiT Strom Pipeline'!R28="tbd")+('MiT Strom Pipeline'!R28="In evaluation")&gt;0,'MiT Strom Pipeline'!E28,"")</f>
        <v/>
      </c>
      <c r="F161" s="40" t="str">
        <f aca="false">IF(('MiT Strom Pipeline'!R28="follow-up")+('MiT Strom Pipeline'!R28="Evaluation")+('MiT Strom Pipeline'!R28="tbd")+('MiT Strom Pipeline'!R28="In evaluation")&gt;0,IF(ISNUMBER('MiT Strom Pipeline'!I28),'MiT Strom Pipeline'!I28,0),"")</f>
        <v/>
      </c>
      <c r="G161" s="40" t="str">
        <f aca="false">IF(('MiT Strom Pipeline'!R28="follow-up")+('MiT Strom Pipeline'!R28="Evaluation")+('MiT Strom Pipeline'!R28="tbd")+('MiT Strom Pipeline'!R28="In evaluation")&gt;0,IF(ISNUMBER('MiT Strom Pipeline'!Q28),'MiT Strom Pipeline'!Q28,0),"")</f>
        <v/>
      </c>
      <c r="H161" s="40" t="str">
        <f aca="false">IF(('MiT Strom Pipeline'!R28="follow-up")+('MiT Strom Pipeline'!R28="Evaluation")+('MiT Strom Pipeline'!R28="tbd")+('MiT Strom Pipeline'!R28="In evaluation")&gt;0,IF(ISNUMBER('MiT Strom Pipeline'!O28),'MiT Strom Pipeline'!O28,0),"")</f>
        <v/>
      </c>
      <c r="I161" s="38" t="str">
        <f aca="false">IF(('MiT Strom Pipeline'!R28="follow-up")+('MiT Strom Pipeline'!R28="Evaluation")+('MiT Strom Pipeline'!R28="tbd")+('MiT Strom Pipeline'!R28="In evaluation")&gt;0,'MiT Strom Pipeline'!R28,"")</f>
        <v/>
      </c>
      <c r="J161" s="38" t="str">
        <f aca="false">IF(('MiT Strom Pipeline'!R28="follow-up")+('MiT Strom Pipeline'!R28="Evaluation")+('MiT Strom Pipeline'!R28="tbd")+('MiT Strom Pipeline'!R28="In evaluation")&gt;0,'MiT Strom Pipeline'!S28,"")</f>
        <v/>
      </c>
      <c r="K161" s="39" t="str">
        <f aca="false">IF(('MiT Strom Pipeline'!R28="follow-up")+('MiT Strom Pipeline'!R28="Evaluation")+('MiT Strom Pipeline'!R28="tbd")+('MiT Strom Pipeline'!R28="In evaluation")&gt;0,IF(LEN('MiT Strom Pipeline'!V28)&gt;0,LEFT('MiT Strom Pipeline'!V28,55),""),"")</f>
        <v/>
      </c>
    </row>
    <row r="162" customFormat="false" ht="15.75" hidden="false" customHeight="true" outlineLevel="0" collapsed="false">
      <c r="A162" s="22" t="n">
        <f aca="false">IF(('MiT Strom Pipeline'!R29="follow-up")+('MiT Strom Pipeline'!R29="Evaluation")+('MiT Strom Pipeline'!R29="tbd")+('MiT Strom Pipeline'!R29="In evaluation")&gt;0,IF(ISNUMBER('MiT Strom Pipeline'!A29),'MiT Strom Pipeline'!A29,""),"")</f>
        <v>23</v>
      </c>
      <c r="B162" s="23" t="str">
        <f aca="false">IF(('MiT Strom Pipeline'!R29="follow-up")+('MiT Strom Pipeline'!R29="Evaluation")+('MiT Strom Pipeline'!R29="tbd")+('MiT Strom Pipeline'!R29="In evaluation")&gt;0,'MiT Strom Pipeline'!B29,"")</f>
        <v>Etavis Chur</v>
      </c>
      <c r="C162" s="22" t="str">
        <f aca="false">IF(('MiT Strom Pipeline'!R29="follow-up")+('MiT Strom Pipeline'!R29="Evaluation")+('MiT Strom Pipeline'!R29="tbd")+('MiT Strom Pipeline'!R29="In evaluation")&gt;0,'MiT Strom Pipeline'!C29,"")</f>
        <v>GR</v>
      </c>
      <c r="D162" s="23" t="str">
        <f aca="false">IF(('MiT Strom Pipeline'!R29="follow-up")+('MiT Strom Pipeline'!R29="Evaluation")+('MiT Strom Pipeline'!R29="tbd")+('MiT Strom Pipeline'!R29="In evaluation")&gt;0,'MiT Strom Pipeline'!D29,"")</f>
        <v>Elektroinstallation</v>
      </c>
      <c r="E162" s="23" t="str">
        <f aca="false">IF(('MiT Strom Pipeline'!R29="follow-up")+('MiT Strom Pipeline'!R29="Evaluation")+('MiT Strom Pipeline'!R29="tbd")+('MiT Strom Pipeline'!R29="In evaluation")&gt;0,'MiT Strom Pipeline'!E29,"")</f>
        <v>30 kVA Generator</v>
      </c>
      <c r="F162" s="24" t="n">
        <f aca="false">IF(('MiT Strom Pipeline'!R29="follow-up")+('MiT Strom Pipeline'!R29="Evaluation")+('MiT Strom Pipeline'!R29="tbd")+('MiT Strom Pipeline'!R29="In evaluation")&gt;0,IF(ISNUMBER('MiT Strom Pipeline'!I29),'MiT Strom Pipeline'!I29,0),"")</f>
        <v>0</v>
      </c>
      <c r="G162" s="24" t="n">
        <f aca="false">IF(('MiT Strom Pipeline'!R29="follow-up")+('MiT Strom Pipeline'!R29="Evaluation")+('MiT Strom Pipeline'!R29="tbd")+('MiT Strom Pipeline'!R29="In evaluation")&gt;0,IF(ISNUMBER('MiT Strom Pipeline'!Q29),'MiT Strom Pipeline'!Q29,0),"")</f>
        <v>0</v>
      </c>
      <c r="H162" s="24" t="n">
        <f aca="false">IF(('MiT Strom Pipeline'!R29="follow-up")+('MiT Strom Pipeline'!R29="Evaluation")+('MiT Strom Pipeline'!R29="tbd")+('MiT Strom Pipeline'!R29="In evaluation")&gt;0,IF(ISNUMBER('MiT Strom Pipeline'!O29),'MiT Strom Pipeline'!O29,0),"")</f>
        <v>0</v>
      </c>
      <c r="I162" s="22" t="str">
        <f aca="false">IF(('MiT Strom Pipeline'!R29="follow-up")+('MiT Strom Pipeline'!R29="Evaluation")+('MiT Strom Pipeline'!R29="tbd")+('MiT Strom Pipeline'!R29="In evaluation")&gt;0,'MiT Strom Pipeline'!R29,"")</f>
        <v>Evaluation</v>
      </c>
      <c r="J162" s="22" t="n">
        <f aca="false">IF(('MiT Strom Pipeline'!R29="follow-up")+('MiT Strom Pipeline'!R29="Evaluation")+('MiT Strom Pipeline'!R29="tbd")+('MiT Strom Pipeline'!R29="In evaluation")&gt;0,'MiT Strom Pipeline'!S29,"")</f>
        <v>0.1</v>
      </c>
      <c r="K162" s="23" t="str">
        <f aca="false">IF(('MiT Strom Pipeline'!R29="follow-up")+('MiT Strom Pipeline'!R29="Evaluation")+('MiT Strom Pipeline'!R29="tbd")+('MiT Strom Pipeline'!R29="In evaluation")&gt;0,IF(LEN('MiT Strom Pipeline'!V29)&gt;0,LEFT('MiT Strom Pipeline'!V29,55),""),"")</f>
        <v>Email Kontaktiert</v>
      </c>
    </row>
    <row r="163" customFormat="false" ht="15.75" hidden="false" customHeight="true" outlineLevel="0" collapsed="false">
      <c r="A163" s="38" t="n">
        <f aca="false">IF(('MiT Strom Pipeline'!R30="follow-up")+('MiT Strom Pipeline'!R30="Evaluation")+('MiT Strom Pipeline'!R30="tbd")+('MiT Strom Pipeline'!R30="In evaluation")&gt;0,IF(ISNUMBER('MiT Strom Pipeline'!A30),'MiT Strom Pipeline'!A30,""),"")</f>
        <v>24</v>
      </c>
      <c r="B163" s="39" t="str">
        <f aca="false">IF(('MiT Strom Pipeline'!R30="follow-up")+('MiT Strom Pipeline'!R30="Evaluation")+('MiT Strom Pipeline'!R30="tbd")+('MiT Strom Pipeline'!R30="In evaluation")&gt;0,'MiT Strom Pipeline'!B30,"")</f>
        <v>Wetzikon</v>
      </c>
      <c r="C163" s="38" t="str">
        <f aca="false">IF(('MiT Strom Pipeline'!R30="follow-up")+('MiT Strom Pipeline'!R30="Evaluation")+('MiT Strom Pipeline'!R30="tbd")+('MiT Strom Pipeline'!R30="In evaluation")&gt;0,'MiT Strom Pipeline'!C30,"")</f>
        <v>ZH</v>
      </c>
      <c r="D163" s="39" t="str">
        <f aca="false">IF(('MiT Strom Pipeline'!R30="follow-up")+('MiT Strom Pipeline'!R30="Evaluation")+('MiT Strom Pipeline'!R30="tbd")+('MiT Strom Pipeline'!R30="In evaluation")&gt;0,'MiT Strom Pipeline'!D30,"")</f>
        <v>Gemeinde</v>
      </c>
      <c r="E163" s="39" t="str">
        <f aca="false">IF(('MiT Strom Pipeline'!R30="follow-up")+('MiT Strom Pipeline'!R30="Evaluation")+('MiT Strom Pipeline'!R30="tbd")+('MiT Strom Pipeline'!R30="In evaluation")&gt;0,'MiT Strom Pipeline'!E30,"")</f>
        <v>tbd (PQ-kritisch)</v>
      </c>
      <c r="F163" s="40" t="n">
        <f aca="false">IF(('MiT Strom Pipeline'!R30="follow-up")+('MiT Strom Pipeline'!R30="Evaluation")+('MiT Strom Pipeline'!R30="tbd")+('MiT Strom Pipeline'!R30="In evaluation")&gt;0,IF(ISNUMBER('MiT Strom Pipeline'!I30),'MiT Strom Pipeline'!I30,0),"")</f>
        <v>0</v>
      </c>
      <c r="G163" s="40" t="n">
        <f aca="false">IF(('MiT Strom Pipeline'!R30="follow-up")+('MiT Strom Pipeline'!R30="Evaluation")+('MiT Strom Pipeline'!R30="tbd")+('MiT Strom Pipeline'!R30="In evaluation")&gt;0,IF(ISNUMBER('MiT Strom Pipeline'!Q30),'MiT Strom Pipeline'!Q30,0),"")</f>
        <v>0</v>
      </c>
      <c r="H163" s="40" t="n">
        <f aca="false">IF(('MiT Strom Pipeline'!R30="follow-up")+('MiT Strom Pipeline'!R30="Evaluation")+('MiT Strom Pipeline'!R30="tbd")+('MiT Strom Pipeline'!R30="In evaluation")&gt;0,IF(ISNUMBER('MiT Strom Pipeline'!O30),'MiT Strom Pipeline'!O30,0),"")</f>
        <v>0</v>
      </c>
      <c r="I163" s="38" t="str">
        <f aca="false">IF(('MiT Strom Pipeline'!R30="follow-up")+('MiT Strom Pipeline'!R30="Evaluation")+('MiT Strom Pipeline'!R30="tbd")+('MiT Strom Pipeline'!R30="In evaluation")&gt;0,'MiT Strom Pipeline'!R30,"")</f>
        <v>Evaluation</v>
      </c>
      <c r="J163" s="38" t="str">
        <f aca="false">IF(('MiT Strom Pipeline'!R30="follow-up")+('MiT Strom Pipeline'!R30="Evaluation")+('MiT Strom Pipeline'!R30="tbd")+('MiT Strom Pipeline'!R30="In evaluation")&gt;0,'MiT Strom Pipeline'!S30,"")</f>
        <v>tbd</v>
      </c>
      <c r="K163" s="39" t="str">
        <f aca="false">IF(('MiT Strom Pipeline'!R30="follow-up")+('MiT Strom Pipeline'!R30="Evaluation")+('MiT Strom Pipeline'!R30="tbd")+('MiT Strom Pipeline'!R30="In evaluation")&gt;0,IF(LEN('MiT Strom Pipeline'!V30)&gt;0,LEFT('MiT Strom Pipeline'!V30,55),""),"")</f>
        <v>Email Kontaktiert</v>
      </c>
    </row>
    <row r="164" customFormat="false" ht="15.75" hidden="false" customHeight="true" outlineLevel="0" collapsed="false">
      <c r="A164" s="22" t="str">
        <f aca="false">IF(('MiT Strom Pipeline'!R31="follow-up")+('MiT Strom Pipeline'!R31="Evaluation")+('MiT Strom Pipeline'!R31="tbd")+('MiT Strom Pipeline'!R31="In evaluation")&gt;0,IF(ISNUMBER('MiT Strom Pipeline'!A31),'MiT Strom Pipeline'!A31,""),"")</f>
        <v/>
      </c>
      <c r="B164" s="23" t="str">
        <f aca="false">IF(('MiT Strom Pipeline'!R31="follow-up")+('MiT Strom Pipeline'!R31="Evaluation")+('MiT Strom Pipeline'!R31="tbd")+('MiT Strom Pipeline'!R31="In evaluation")&gt;0,'MiT Strom Pipeline'!B31,"")</f>
        <v/>
      </c>
      <c r="C164" s="22" t="str">
        <f aca="false">IF(('MiT Strom Pipeline'!R31="follow-up")+('MiT Strom Pipeline'!R31="Evaluation")+('MiT Strom Pipeline'!R31="tbd")+('MiT Strom Pipeline'!R31="In evaluation")&gt;0,'MiT Strom Pipeline'!C31,"")</f>
        <v/>
      </c>
      <c r="D164" s="23" t="str">
        <f aca="false">IF(('MiT Strom Pipeline'!R31="follow-up")+('MiT Strom Pipeline'!R31="Evaluation")+('MiT Strom Pipeline'!R31="tbd")+('MiT Strom Pipeline'!R31="In evaluation")&gt;0,'MiT Strom Pipeline'!D31,"")</f>
        <v/>
      </c>
      <c r="E164" s="23" t="str">
        <f aca="false">IF(('MiT Strom Pipeline'!R31="follow-up")+('MiT Strom Pipeline'!R31="Evaluation")+('MiT Strom Pipeline'!R31="tbd")+('MiT Strom Pipeline'!R31="In evaluation")&gt;0,'MiT Strom Pipeline'!E31,"")</f>
        <v/>
      </c>
      <c r="F164" s="24" t="str">
        <f aca="false">IF(('MiT Strom Pipeline'!R31="follow-up")+('MiT Strom Pipeline'!R31="Evaluation")+('MiT Strom Pipeline'!R31="tbd")+('MiT Strom Pipeline'!R31="In evaluation")&gt;0,IF(ISNUMBER('MiT Strom Pipeline'!I31),'MiT Strom Pipeline'!I31,0),"")</f>
        <v/>
      </c>
      <c r="G164" s="24" t="str">
        <f aca="false">IF(('MiT Strom Pipeline'!R31="follow-up")+('MiT Strom Pipeline'!R31="Evaluation")+('MiT Strom Pipeline'!R31="tbd")+('MiT Strom Pipeline'!R31="In evaluation")&gt;0,IF(ISNUMBER('MiT Strom Pipeline'!Q31),'MiT Strom Pipeline'!Q31,0),"")</f>
        <v/>
      </c>
      <c r="H164" s="24" t="str">
        <f aca="false">IF(('MiT Strom Pipeline'!R31="follow-up")+('MiT Strom Pipeline'!R31="Evaluation")+('MiT Strom Pipeline'!R31="tbd")+('MiT Strom Pipeline'!R31="In evaluation")&gt;0,IF(ISNUMBER('MiT Strom Pipeline'!O31),'MiT Strom Pipeline'!O31,0),"")</f>
        <v/>
      </c>
      <c r="I164" s="22" t="str">
        <f aca="false">IF(('MiT Strom Pipeline'!R31="follow-up")+('MiT Strom Pipeline'!R31="Evaluation")+('MiT Strom Pipeline'!R31="tbd")+('MiT Strom Pipeline'!R31="In evaluation")&gt;0,'MiT Strom Pipeline'!R31,"")</f>
        <v/>
      </c>
      <c r="J164" s="22" t="str">
        <f aca="false">IF(('MiT Strom Pipeline'!R31="follow-up")+('MiT Strom Pipeline'!R31="Evaluation")+('MiT Strom Pipeline'!R31="tbd")+('MiT Strom Pipeline'!R31="In evaluation")&gt;0,'MiT Strom Pipeline'!S31,"")</f>
        <v/>
      </c>
      <c r="K164" s="23" t="str">
        <f aca="false">IF(('MiT Strom Pipeline'!R31="follow-up")+('MiT Strom Pipeline'!R31="Evaluation")+('MiT Strom Pipeline'!R31="tbd")+('MiT Strom Pipeline'!R31="In evaluation")&gt;0,IF(LEN('MiT Strom Pipeline'!V31)&gt;0,LEFT('MiT Strom Pipeline'!V31,55),""),"")</f>
        <v/>
      </c>
    </row>
    <row r="165" customFormat="false" ht="15.75" hidden="false" customHeight="true" outlineLevel="0" collapsed="false">
      <c r="A165" s="38" t="str">
        <f aca="false">IF(('MiT Strom Pipeline'!R32="follow-up")+('MiT Strom Pipeline'!R32="Evaluation")+('MiT Strom Pipeline'!R32="tbd")+('MiT Strom Pipeline'!R32="In evaluation")&gt;0,IF(ISNUMBER('MiT Strom Pipeline'!A32),'MiT Strom Pipeline'!A32,""),"")</f>
        <v/>
      </c>
      <c r="B165" s="39" t="str">
        <f aca="false">IF(('MiT Strom Pipeline'!R32="follow-up")+('MiT Strom Pipeline'!R32="Evaluation")+('MiT Strom Pipeline'!R32="tbd")+('MiT Strom Pipeline'!R32="In evaluation")&gt;0,'MiT Strom Pipeline'!B32,"")</f>
        <v/>
      </c>
      <c r="C165" s="38" t="str">
        <f aca="false">IF(('MiT Strom Pipeline'!R32="follow-up")+('MiT Strom Pipeline'!R32="Evaluation")+('MiT Strom Pipeline'!R32="tbd")+('MiT Strom Pipeline'!R32="In evaluation")&gt;0,'MiT Strom Pipeline'!C32,"")</f>
        <v/>
      </c>
      <c r="D165" s="39" t="str">
        <f aca="false">IF(('MiT Strom Pipeline'!R32="follow-up")+('MiT Strom Pipeline'!R32="Evaluation")+('MiT Strom Pipeline'!R32="tbd")+('MiT Strom Pipeline'!R32="In evaluation")&gt;0,'MiT Strom Pipeline'!D32,"")</f>
        <v/>
      </c>
      <c r="E165" s="39" t="str">
        <f aca="false">IF(('MiT Strom Pipeline'!R32="follow-up")+('MiT Strom Pipeline'!R32="Evaluation")+('MiT Strom Pipeline'!R32="tbd")+('MiT Strom Pipeline'!R32="In evaluation")&gt;0,'MiT Strom Pipeline'!E32,"")</f>
        <v/>
      </c>
      <c r="F165" s="40" t="str">
        <f aca="false">IF(('MiT Strom Pipeline'!R32="follow-up")+('MiT Strom Pipeline'!R32="Evaluation")+('MiT Strom Pipeline'!R32="tbd")+('MiT Strom Pipeline'!R32="In evaluation")&gt;0,IF(ISNUMBER('MiT Strom Pipeline'!I32),'MiT Strom Pipeline'!I32,0),"")</f>
        <v/>
      </c>
      <c r="G165" s="40" t="str">
        <f aca="false">IF(('MiT Strom Pipeline'!R32="follow-up")+('MiT Strom Pipeline'!R32="Evaluation")+('MiT Strom Pipeline'!R32="tbd")+('MiT Strom Pipeline'!R32="In evaluation")&gt;0,IF(ISNUMBER('MiT Strom Pipeline'!Q32),'MiT Strom Pipeline'!Q32,0),"")</f>
        <v/>
      </c>
      <c r="H165" s="40" t="str">
        <f aca="false">IF(('MiT Strom Pipeline'!R32="follow-up")+('MiT Strom Pipeline'!R32="Evaluation")+('MiT Strom Pipeline'!R32="tbd")+('MiT Strom Pipeline'!R32="In evaluation")&gt;0,IF(ISNUMBER('MiT Strom Pipeline'!O32),'MiT Strom Pipeline'!O32,0),"")</f>
        <v/>
      </c>
      <c r="I165" s="38" t="str">
        <f aca="false">IF(('MiT Strom Pipeline'!R32="follow-up")+('MiT Strom Pipeline'!R32="Evaluation")+('MiT Strom Pipeline'!R32="tbd")+('MiT Strom Pipeline'!R32="In evaluation")&gt;0,'MiT Strom Pipeline'!R32,"")</f>
        <v/>
      </c>
      <c r="J165" s="38" t="str">
        <f aca="false">IF(('MiT Strom Pipeline'!R32="follow-up")+('MiT Strom Pipeline'!R32="Evaluation")+('MiT Strom Pipeline'!R32="tbd")+('MiT Strom Pipeline'!R32="In evaluation")&gt;0,'MiT Strom Pipeline'!S32,"")</f>
        <v/>
      </c>
      <c r="K165" s="39" t="str">
        <f aca="false">IF(('MiT Strom Pipeline'!R32="follow-up")+('MiT Strom Pipeline'!R32="Evaluation")+('MiT Strom Pipeline'!R32="tbd")+('MiT Strom Pipeline'!R32="In evaluation")&gt;0,IF(LEN('MiT Strom Pipeline'!V32)&gt;0,LEFT('MiT Strom Pipeline'!V32,55),""),"")</f>
        <v/>
      </c>
    </row>
    <row r="166" customFormat="false" ht="15.75" hidden="false" customHeight="true" outlineLevel="0" collapsed="false">
      <c r="A166" s="22" t="str">
        <f aca="false">IF(('MiT Strom Pipeline'!R33="follow-up")+('MiT Strom Pipeline'!R33="Evaluation")+('MiT Strom Pipeline'!R33="tbd")+('MiT Strom Pipeline'!R33="In evaluation")&gt;0,IF(ISNUMBER('MiT Strom Pipeline'!A33),'MiT Strom Pipeline'!A33,""),"")</f>
        <v/>
      </c>
      <c r="B166" s="23" t="str">
        <f aca="false">IF(('MiT Strom Pipeline'!R33="follow-up")+('MiT Strom Pipeline'!R33="Evaluation")+('MiT Strom Pipeline'!R33="tbd")+('MiT Strom Pipeline'!R33="In evaluation")&gt;0,'MiT Strom Pipeline'!B33,"")</f>
        <v/>
      </c>
      <c r="C166" s="22" t="str">
        <f aca="false">IF(('MiT Strom Pipeline'!R33="follow-up")+('MiT Strom Pipeline'!R33="Evaluation")+('MiT Strom Pipeline'!R33="tbd")+('MiT Strom Pipeline'!R33="In evaluation")&gt;0,'MiT Strom Pipeline'!C33,"")</f>
        <v/>
      </c>
      <c r="D166" s="23" t="str">
        <f aca="false">IF(('MiT Strom Pipeline'!R33="follow-up")+('MiT Strom Pipeline'!R33="Evaluation")+('MiT Strom Pipeline'!R33="tbd")+('MiT Strom Pipeline'!R33="In evaluation")&gt;0,'MiT Strom Pipeline'!D33,"")</f>
        <v/>
      </c>
      <c r="E166" s="23" t="str">
        <f aca="false">IF(('MiT Strom Pipeline'!R33="follow-up")+('MiT Strom Pipeline'!R33="Evaluation")+('MiT Strom Pipeline'!R33="tbd")+('MiT Strom Pipeline'!R33="In evaluation")&gt;0,'MiT Strom Pipeline'!E33,"")</f>
        <v/>
      </c>
      <c r="F166" s="24" t="str">
        <f aca="false">IF(('MiT Strom Pipeline'!R33="follow-up")+('MiT Strom Pipeline'!R33="Evaluation")+('MiT Strom Pipeline'!R33="tbd")+('MiT Strom Pipeline'!R33="In evaluation")&gt;0,IF(ISNUMBER('MiT Strom Pipeline'!I33),'MiT Strom Pipeline'!I33,0),"")</f>
        <v/>
      </c>
      <c r="G166" s="24" t="str">
        <f aca="false">IF(('MiT Strom Pipeline'!R33="follow-up")+('MiT Strom Pipeline'!R33="Evaluation")+('MiT Strom Pipeline'!R33="tbd")+('MiT Strom Pipeline'!R33="In evaluation")&gt;0,IF(ISNUMBER('MiT Strom Pipeline'!Q33),'MiT Strom Pipeline'!Q33,0),"")</f>
        <v/>
      </c>
      <c r="H166" s="24" t="str">
        <f aca="false">IF(('MiT Strom Pipeline'!R33="follow-up")+('MiT Strom Pipeline'!R33="Evaluation")+('MiT Strom Pipeline'!R33="tbd")+('MiT Strom Pipeline'!R33="In evaluation")&gt;0,IF(ISNUMBER('MiT Strom Pipeline'!O33),'MiT Strom Pipeline'!O33,0),"")</f>
        <v/>
      </c>
      <c r="I166" s="22" t="str">
        <f aca="false">IF(('MiT Strom Pipeline'!R33="follow-up")+('MiT Strom Pipeline'!R33="Evaluation")+('MiT Strom Pipeline'!R33="tbd")+('MiT Strom Pipeline'!R33="In evaluation")&gt;0,'MiT Strom Pipeline'!R33,"")</f>
        <v/>
      </c>
      <c r="J166" s="22" t="str">
        <f aca="false">IF(('MiT Strom Pipeline'!R33="follow-up")+('MiT Strom Pipeline'!R33="Evaluation")+('MiT Strom Pipeline'!R33="tbd")+('MiT Strom Pipeline'!R33="In evaluation")&gt;0,'MiT Strom Pipeline'!S33,"")</f>
        <v/>
      </c>
      <c r="K166" s="23" t="str">
        <f aca="false">IF(('MiT Strom Pipeline'!R33="follow-up")+('MiT Strom Pipeline'!R33="Evaluation")+('MiT Strom Pipeline'!R33="tbd")+('MiT Strom Pipeline'!R33="In evaluation")&gt;0,IF(LEN('MiT Strom Pipeline'!V33)&gt;0,LEFT('MiT Strom Pipeline'!V33,55),""),"")</f>
        <v/>
      </c>
    </row>
    <row r="167" customFormat="false" ht="15.75" hidden="false" customHeight="true" outlineLevel="0" collapsed="false">
      <c r="A167" s="38" t="str">
        <f aca="false">IF(('MiT Strom Pipeline'!R34="follow-up")+('MiT Strom Pipeline'!R34="Evaluation")+('MiT Strom Pipeline'!R34="tbd")+('MiT Strom Pipeline'!R34="In evaluation")&gt;0,IF(ISNUMBER('MiT Strom Pipeline'!A34),'MiT Strom Pipeline'!A34,""),"")</f>
        <v/>
      </c>
      <c r="B167" s="39" t="str">
        <f aca="false">IF(('MiT Strom Pipeline'!R34="follow-up")+('MiT Strom Pipeline'!R34="Evaluation")+('MiT Strom Pipeline'!R34="tbd")+('MiT Strom Pipeline'!R34="In evaluation")&gt;0,'MiT Strom Pipeline'!B34,"")</f>
        <v/>
      </c>
      <c r="C167" s="38" t="str">
        <f aca="false">IF(('MiT Strom Pipeline'!R34="follow-up")+('MiT Strom Pipeline'!R34="Evaluation")+('MiT Strom Pipeline'!R34="tbd")+('MiT Strom Pipeline'!R34="In evaluation")&gt;0,'MiT Strom Pipeline'!C34,"")</f>
        <v/>
      </c>
      <c r="D167" s="39" t="str">
        <f aca="false">IF(('MiT Strom Pipeline'!R34="follow-up")+('MiT Strom Pipeline'!R34="Evaluation")+('MiT Strom Pipeline'!R34="tbd")+('MiT Strom Pipeline'!R34="In evaluation")&gt;0,'MiT Strom Pipeline'!D34,"")</f>
        <v/>
      </c>
      <c r="E167" s="39" t="str">
        <f aca="false">IF(('MiT Strom Pipeline'!R34="follow-up")+('MiT Strom Pipeline'!R34="Evaluation")+('MiT Strom Pipeline'!R34="tbd")+('MiT Strom Pipeline'!R34="In evaluation")&gt;0,'MiT Strom Pipeline'!E34,"")</f>
        <v/>
      </c>
      <c r="F167" s="40" t="str">
        <f aca="false">IF(('MiT Strom Pipeline'!R34="follow-up")+('MiT Strom Pipeline'!R34="Evaluation")+('MiT Strom Pipeline'!R34="tbd")+('MiT Strom Pipeline'!R34="In evaluation")&gt;0,IF(ISNUMBER('MiT Strom Pipeline'!I34),'MiT Strom Pipeline'!I34,0),"")</f>
        <v/>
      </c>
      <c r="G167" s="40" t="str">
        <f aca="false">IF(('MiT Strom Pipeline'!R34="follow-up")+('MiT Strom Pipeline'!R34="Evaluation")+('MiT Strom Pipeline'!R34="tbd")+('MiT Strom Pipeline'!R34="In evaluation")&gt;0,IF(ISNUMBER('MiT Strom Pipeline'!Q34),'MiT Strom Pipeline'!Q34,0),"")</f>
        <v/>
      </c>
      <c r="H167" s="40" t="str">
        <f aca="false">IF(('MiT Strom Pipeline'!R34="follow-up")+('MiT Strom Pipeline'!R34="Evaluation")+('MiT Strom Pipeline'!R34="tbd")+('MiT Strom Pipeline'!R34="In evaluation")&gt;0,IF(ISNUMBER('MiT Strom Pipeline'!O34),'MiT Strom Pipeline'!O34,0),"")</f>
        <v/>
      </c>
      <c r="I167" s="38" t="str">
        <f aca="false">IF(('MiT Strom Pipeline'!R34="follow-up")+('MiT Strom Pipeline'!R34="Evaluation")+('MiT Strom Pipeline'!R34="tbd")+('MiT Strom Pipeline'!R34="In evaluation")&gt;0,'MiT Strom Pipeline'!R34,"")</f>
        <v/>
      </c>
      <c r="J167" s="38" t="str">
        <f aca="false">IF(('MiT Strom Pipeline'!R34="follow-up")+('MiT Strom Pipeline'!R34="Evaluation")+('MiT Strom Pipeline'!R34="tbd")+('MiT Strom Pipeline'!R34="In evaluation")&gt;0,'MiT Strom Pipeline'!S34,"")</f>
        <v/>
      </c>
      <c r="K167" s="39" t="str">
        <f aca="false">IF(('MiT Strom Pipeline'!R34="follow-up")+('MiT Strom Pipeline'!R34="Evaluation")+('MiT Strom Pipeline'!R34="tbd")+('MiT Strom Pipeline'!R34="In evaluation")&gt;0,IF(LEN('MiT Strom Pipeline'!V34)&gt;0,LEFT('MiT Strom Pipeline'!V34,55),""),"")</f>
        <v/>
      </c>
    </row>
    <row r="168" customFormat="false" ht="15.75" hidden="false" customHeight="true" outlineLevel="0" collapsed="false">
      <c r="A168" s="22" t="str">
        <f aca="false">IF(('MiT Strom Pipeline'!R35="follow-up")+('MiT Strom Pipeline'!R35="Evaluation")+('MiT Strom Pipeline'!R35="tbd")+('MiT Strom Pipeline'!R35="In evaluation")&gt;0,IF(ISNUMBER('MiT Strom Pipeline'!A35),'MiT Strom Pipeline'!A35,""),"")</f>
        <v/>
      </c>
      <c r="B168" s="23" t="str">
        <f aca="false">IF(('MiT Strom Pipeline'!R35="follow-up")+('MiT Strom Pipeline'!R35="Evaluation")+('MiT Strom Pipeline'!R35="tbd")+('MiT Strom Pipeline'!R35="In evaluation")&gt;0,'MiT Strom Pipeline'!B35,"")</f>
        <v/>
      </c>
      <c r="C168" s="22" t="str">
        <f aca="false">IF(('MiT Strom Pipeline'!R35="follow-up")+('MiT Strom Pipeline'!R35="Evaluation")+('MiT Strom Pipeline'!R35="tbd")+('MiT Strom Pipeline'!R35="In evaluation")&gt;0,'MiT Strom Pipeline'!C35,"")</f>
        <v/>
      </c>
      <c r="D168" s="23" t="str">
        <f aca="false">IF(('MiT Strom Pipeline'!R35="follow-up")+('MiT Strom Pipeline'!R35="Evaluation")+('MiT Strom Pipeline'!R35="tbd")+('MiT Strom Pipeline'!R35="In evaluation")&gt;0,'MiT Strom Pipeline'!D35,"")</f>
        <v/>
      </c>
      <c r="E168" s="23" t="str">
        <f aca="false">IF(('MiT Strom Pipeline'!R35="follow-up")+('MiT Strom Pipeline'!R35="Evaluation")+('MiT Strom Pipeline'!R35="tbd")+('MiT Strom Pipeline'!R35="In evaluation")&gt;0,'MiT Strom Pipeline'!E35,"")</f>
        <v/>
      </c>
      <c r="F168" s="24" t="str">
        <f aca="false">IF(('MiT Strom Pipeline'!R35="follow-up")+('MiT Strom Pipeline'!R35="Evaluation")+('MiT Strom Pipeline'!R35="tbd")+('MiT Strom Pipeline'!R35="In evaluation")&gt;0,IF(ISNUMBER('MiT Strom Pipeline'!I35),'MiT Strom Pipeline'!I35,0),"")</f>
        <v/>
      </c>
      <c r="G168" s="24" t="str">
        <f aca="false">IF(('MiT Strom Pipeline'!R35="follow-up")+('MiT Strom Pipeline'!R35="Evaluation")+('MiT Strom Pipeline'!R35="tbd")+('MiT Strom Pipeline'!R35="In evaluation")&gt;0,IF(ISNUMBER('MiT Strom Pipeline'!Q35),'MiT Strom Pipeline'!Q35,0),"")</f>
        <v/>
      </c>
      <c r="H168" s="24" t="str">
        <f aca="false">IF(('MiT Strom Pipeline'!R35="follow-up")+('MiT Strom Pipeline'!R35="Evaluation")+('MiT Strom Pipeline'!R35="tbd")+('MiT Strom Pipeline'!R35="In evaluation")&gt;0,IF(ISNUMBER('MiT Strom Pipeline'!O35),'MiT Strom Pipeline'!O35,0),"")</f>
        <v/>
      </c>
      <c r="I168" s="22" t="str">
        <f aca="false">IF(('MiT Strom Pipeline'!R35="follow-up")+('MiT Strom Pipeline'!R35="Evaluation")+('MiT Strom Pipeline'!R35="tbd")+('MiT Strom Pipeline'!R35="In evaluation")&gt;0,'MiT Strom Pipeline'!R35,"")</f>
        <v/>
      </c>
      <c r="J168" s="22" t="str">
        <f aca="false">IF(('MiT Strom Pipeline'!R35="follow-up")+('MiT Strom Pipeline'!R35="Evaluation")+('MiT Strom Pipeline'!R35="tbd")+('MiT Strom Pipeline'!R35="In evaluation")&gt;0,'MiT Strom Pipeline'!S35,"")</f>
        <v/>
      </c>
      <c r="K168" s="23" t="str">
        <f aca="false">IF(('MiT Strom Pipeline'!R35="follow-up")+('MiT Strom Pipeline'!R35="Evaluation")+('MiT Strom Pipeline'!R35="tbd")+('MiT Strom Pipeline'!R35="In evaluation")&gt;0,IF(LEN('MiT Strom Pipeline'!V35)&gt;0,LEFT('MiT Strom Pipeline'!V35,55),""),"")</f>
        <v/>
      </c>
    </row>
    <row r="169" customFormat="false" ht="15.75" hidden="false" customHeight="true" outlineLevel="0" collapsed="false">
      <c r="A169" s="38" t="str">
        <f aca="false">IF(('MiT Strom Pipeline'!R36="follow-up")+('MiT Strom Pipeline'!R36="Evaluation")+('MiT Strom Pipeline'!R36="tbd")+('MiT Strom Pipeline'!R36="In evaluation")&gt;0,IF(ISNUMBER('MiT Strom Pipeline'!A36),'MiT Strom Pipeline'!A36,""),"")</f>
        <v/>
      </c>
      <c r="B169" s="39" t="str">
        <f aca="false">IF(('MiT Strom Pipeline'!R36="follow-up")+('MiT Strom Pipeline'!R36="Evaluation")+('MiT Strom Pipeline'!R36="tbd")+('MiT Strom Pipeline'!R36="In evaluation")&gt;0,'MiT Strom Pipeline'!B36,"")</f>
        <v/>
      </c>
      <c r="C169" s="38" t="str">
        <f aca="false">IF(('MiT Strom Pipeline'!R36="follow-up")+('MiT Strom Pipeline'!R36="Evaluation")+('MiT Strom Pipeline'!R36="tbd")+('MiT Strom Pipeline'!R36="In evaluation")&gt;0,'MiT Strom Pipeline'!C36,"")</f>
        <v/>
      </c>
      <c r="D169" s="39" t="str">
        <f aca="false">IF(('MiT Strom Pipeline'!R36="follow-up")+('MiT Strom Pipeline'!R36="Evaluation")+('MiT Strom Pipeline'!R36="tbd")+('MiT Strom Pipeline'!R36="In evaluation")&gt;0,'MiT Strom Pipeline'!D36,"")</f>
        <v/>
      </c>
      <c r="E169" s="39" t="str">
        <f aca="false">IF(('MiT Strom Pipeline'!R36="follow-up")+('MiT Strom Pipeline'!R36="Evaluation")+('MiT Strom Pipeline'!R36="tbd")+('MiT Strom Pipeline'!R36="In evaluation")&gt;0,'MiT Strom Pipeline'!E36,"")</f>
        <v/>
      </c>
      <c r="F169" s="40" t="str">
        <f aca="false">IF(('MiT Strom Pipeline'!R36="follow-up")+('MiT Strom Pipeline'!R36="Evaluation")+('MiT Strom Pipeline'!R36="tbd")+('MiT Strom Pipeline'!R36="In evaluation")&gt;0,IF(ISNUMBER('MiT Strom Pipeline'!I36),'MiT Strom Pipeline'!I36,0),"")</f>
        <v/>
      </c>
      <c r="G169" s="40" t="str">
        <f aca="false">IF(('MiT Strom Pipeline'!R36="follow-up")+('MiT Strom Pipeline'!R36="Evaluation")+('MiT Strom Pipeline'!R36="tbd")+('MiT Strom Pipeline'!R36="In evaluation")&gt;0,IF(ISNUMBER('MiT Strom Pipeline'!Q36),'MiT Strom Pipeline'!Q36,0),"")</f>
        <v/>
      </c>
      <c r="H169" s="40" t="str">
        <f aca="false">IF(('MiT Strom Pipeline'!R36="follow-up")+('MiT Strom Pipeline'!R36="Evaluation")+('MiT Strom Pipeline'!R36="tbd")+('MiT Strom Pipeline'!R36="In evaluation")&gt;0,IF(ISNUMBER('MiT Strom Pipeline'!O36),'MiT Strom Pipeline'!O36,0),"")</f>
        <v/>
      </c>
      <c r="I169" s="38" t="str">
        <f aca="false">IF(('MiT Strom Pipeline'!R36="follow-up")+('MiT Strom Pipeline'!R36="Evaluation")+('MiT Strom Pipeline'!R36="tbd")+('MiT Strom Pipeline'!R36="In evaluation")&gt;0,'MiT Strom Pipeline'!R36,"")</f>
        <v/>
      </c>
      <c r="J169" s="38" t="str">
        <f aca="false">IF(('MiT Strom Pipeline'!R36="follow-up")+('MiT Strom Pipeline'!R36="Evaluation")+('MiT Strom Pipeline'!R36="tbd")+('MiT Strom Pipeline'!R36="In evaluation")&gt;0,'MiT Strom Pipeline'!S36,"")</f>
        <v/>
      </c>
      <c r="K169" s="39" t="str">
        <f aca="false">IF(('MiT Strom Pipeline'!R36="follow-up")+('MiT Strom Pipeline'!R36="Evaluation")+('MiT Strom Pipeline'!R36="tbd")+('MiT Strom Pipeline'!R36="In evaluation")&gt;0,IF(LEN('MiT Strom Pipeline'!V36)&gt;0,LEFT('MiT Strom Pipeline'!V36,55),""),"")</f>
        <v/>
      </c>
    </row>
    <row r="170" customFormat="false" ht="15.75" hidden="false" customHeight="true" outlineLevel="0" collapsed="false">
      <c r="A170" s="22" t="str">
        <f aca="false">IF(('MiT Strom Pipeline'!R37="follow-up")+('MiT Strom Pipeline'!R37="Evaluation")+('MiT Strom Pipeline'!R37="tbd")+('MiT Strom Pipeline'!R37="In evaluation")&gt;0,IF(ISNUMBER('MiT Strom Pipeline'!A37),'MiT Strom Pipeline'!A37,""),"")</f>
        <v/>
      </c>
      <c r="B170" s="23" t="str">
        <f aca="false">IF(('MiT Strom Pipeline'!R37="follow-up")+('MiT Strom Pipeline'!R37="Evaluation")+('MiT Strom Pipeline'!R37="tbd")+('MiT Strom Pipeline'!R37="In evaluation")&gt;0,'MiT Strom Pipeline'!B37,"")</f>
        <v/>
      </c>
      <c r="C170" s="22" t="str">
        <f aca="false">IF(('MiT Strom Pipeline'!R37="follow-up")+('MiT Strom Pipeline'!R37="Evaluation")+('MiT Strom Pipeline'!R37="tbd")+('MiT Strom Pipeline'!R37="In evaluation")&gt;0,'MiT Strom Pipeline'!C37,"")</f>
        <v/>
      </c>
      <c r="D170" s="23" t="str">
        <f aca="false">IF(('MiT Strom Pipeline'!R37="follow-up")+('MiT Strom Pipeline'!R37="Evaluation")+('MiT Strom Pipeline'!R37="tbd")+('MiT Strom Pipeline'!R37="In evaluation")&gt;0,'MiT Strom Pipeline'!D37,"")</f>
        <v/>
      </c>
      <c r="E170" s="23" t="str">
        <f aca="false">IF(('MiT Strom Pipeline'!R37="follow-up")+('MiT Strom Pipeline'!R37="Evaluation")+('MiT Strom Pipeline'!R37="tbd")+('MiT Strom Pipeline'!R37="In evaluation")&gt;0,'MiT Strom Pipeline'!E37,"")</f>
        <v/>
      </c>
      <c r="F170" s="24" t="str">
        <f aca="false">IF(('MiT Strom Pipeline'!R37="follow-up")+('MiT Strom Pipeline'!R37="Evaluation")+('MiT Strom Pipeline'!R37="tbd")+('MiT Strom Pipeline'!R37="In evaluation")&gt;0,IF(ISNUMBER('MiT Strom Pipeline'!I37),'MiT Strom Pipeline'!I37,0),"")</f>
        <v/>
      </c>
      <c r="G170" s="24" t="str">
        <f aca="false">IF(('MiT Strom Pipeline'!R37="follow-up")+('MiT Strom Pipeline'!R37="Evaluation")+('MiT Strom Pipeline'!R37="tbd")+('MiT Strom Pipeline'!R37="In evaluation")&gt;0,IF(ISNUMBER('MiT Strom Pipeline'!Q37),'MiT Strom Pipeline'!Q37,0),"")</f>
        <v/>
      </c>
      <c r="H170" s="24" t="str">
        <f aca="false">IF(('MiT Strom Pipeline'!R37="follow-up")+('MiT Strom Pipeline'!R37="Evaluation")+('MiT Strom Pipeline'!R37="tbd")+('MiT Strom Pipeline'!R37="In evaluation")&gt;0,IF(ISNUMBER('MiT Strom Pipeline'!O37),'MiT Strom Pipeline'!O37,0),"")</f>
        <v/>
      </c>
      <c r="I170" s="22" t="str">
        <f aca="false">IF(('MiT Strom Pipeline'!R37="follow-up")+('MiT Strom Pipeline'!R37="Evaluation")+('MiT Strom Pipeline'!R37="tbd")+('MiT Strom Pipeline'!R37="In evaluation")&gt;0,'MiT Strom Pipeline'!R37,"")</f>
        <v/>
      </c>
      <c r="J170" s="22" t="str">
        <f aca="false">IF(('MiT Strom Pipeline'!R37="follow-up")+('MiT Strom Pipeline'!R37="Evaluation")+('MiT Strom Pipeline'!R37="tbd")+('MiT Strom Pipeline'!R37="In evaluation")&gt;0,'MiT Strom Pipeline'!S37,"")</f>
        <v/>
      </c>
      <c r="K170" s="23" t="str">
        <f aca="false">IF(('MiT Strom Pipeline'!R37="follow-up")+('MiT Strom Pipeline'!R37="Evaluation")+('MiT Strom Pipeline'!R37="tbd")+('MiT Strom Pipeline'!R37="In evaluation")&gt;0,IF(LEN('MiT Strom Pipeline'!V37)&gt;0,LEFT('MiT Strom Pipeline'!V37,55),""),"")</f>
        <v/>
      </c>
    </row>
    <row r="171" customFormat="false" ht="15.75" hidden="false" customHeight="true" outlineLevel="0" collapsed="false">
      <c r="A171" s="38" t="n">
        <f aca="false">IF(('MiT Strom Pipeline'!R38="follow-up")+('MiT Strom Pipeline'!R38="Evaluation")+('MiT Strom Pipeline'!R38="tbd")+('MiT Strom Pipeline'!R38="In evaluation")&gt;0,IF(ISNUMBER('MiT Strom Pipeline'!A38),'MiT Strom Pipeline'!A38,""),"")</f>
        <v>29</v>
      </c>
      <c r="B171" s="39" t="str">
        <f aca="false">IF(('MiT Strom Pipeline'!R38="follow-up")+('MiT Strom Pipeline'!R38="Evaluation")+('MiT Strom Pipeline'!R38="tbd")+('MiT Strom Pipeline'!R38="In evaluation")&gt;0,'MiT Strom Pipeline'!B38,"")</f>
        <v>Gampeln</v>
      </c>
      <c r="C171" s="38" t="str">
        <f aca="false">IF(('MiT Strom Pipeline'!R38="follow-up")+('MiT Strom Pipeline'!R38="Evaluation")+('MiT Strom Pipeline'!R38="tbd")+('MiT Strom Pipeline'!R38="In evaluation")&gt;0,'MiT Strom Pipeline'!C38,"")</f>
        <v>VS</v>
      </c>
      <c r="D171" s="39" t="str">
        <f aca="false">IF(('MiT Strom Pipeline'!R38="follow-up")+('MiT Strom Pipeline'!R38="Evaluation")+('MiT Strom Pipeline'!R38="tbd")+('MiT Strom Pipeline'!R38="In evaluation")&gt;0,'MiT Strom Pipeline'!D38,"")</f>
        <v>Event</v>
      </c>
      <c r="E171" s="39" t="str">
        <f aca="false">IF(('MiT Strom Pipeline'!R38="follow-up")+('MiT Strom Pipeline'!R38="Evaluation")+('MiT Strom Pipeline'!R38="tbd")+('MiT Strom Pipeline'!R38="In evaluation")&gt;0,'MiT Strom Pipeline'!E38,"")</f>
        <v>tbd</v>
      </c>
      <c r="F171" s="40" t="n">
        <f aca="false">IF(('MiT Strom Pipeline'!R38="follow-up")+('MiT Strom Pipeline'!R38="Evaluation")+('MiT Strom Pipeline'!R38="tbd")+('MiT Strom Pipeline'!R38="In evaluation")&gt;0,IF(ISNUMBER('MiT Strom Pipeline'!I38),'MiT Strom Pipeline'!I38,0),"")</f>
        <v>0</v>
      </c>
      <c r="G171" s="40" t="n">
        <f aca="false">IF(('MiT Strom Pipeline'!R38="follow-up")+('MiT Strom Pipeline'!R38="Evaluation")+('MiT Strom Pipeline'!R38="tbd")+('MiT Strom Pipeline'!R38="In evaluation")&gt;0,IF(ISNUMBER('MiT Strom Pipeline'!Q38),'MiT Strom Pipeline'!Q38,0),"")</f>
        <v>0</v>
      </c>
      <c r="H171" s="40" t="n">
        <f aca="false">IF(('MiT Strom Pipeline'!R38="follow-up")+('MiT Strom Pipeline'!R38="Evaluation")+('MiT Strom Pipeline'!R38="tbd")+('MiT Strom Pipeline'!R38="In evaluation")&gt;0,IF(ISNUMBER('MiT Strom Pipeline'!O38),'MiT Strom Pipeline'!O38,0),"")</f>
        <v>0</v>
      </c>
      <c r="I171" s="38" t="str">
        <f aca="false">IF(('MiT Strom Pipeline'!R38="follow-up")+('MiT Strom Pipeline'!R38="Evaluation")+('MiT Strom Pipeline'!R38="tbd")+('MiT Strom Pipeline'!R38="In evaluation")&gt;0,'MiT Strom Pipeline'!R38,"")</f>
        <v>tbd</v>
      </c>
      <c r="J171" s="38" t="n">
        <f aca="false">IF(('MiT Strom Pipeline'!R38="follow-up")+('MiT Strom Pipeline'!R38="Evaluation")+('MiT Strom Pipeline'!R38="tbd")+('MiT Strom Pipeline'!R38="In evaluation")&gt;0,'MiT Strom Pipeline'!S38,"")</f>
        <v>0.1</v>
      </c>
      <c r="K171" s="39" t="str">
        <f aca="false">IF(('MiT Strom Pipeline'!R38="follow-up")+('MiT Strom Pipeline'!R38="Evaluation")+('MiT Strom Pipeline'!R38="tbd")+('MiT Strom Pipeline'!R38="In evaluation")&gt;0,IF(LEN('MiT Strom Pipeline'!V38)&gt;0,LEFT('MiT Strom Pipeline'!V38,55),""),"")</f>
        <v>tbd</v>
      </c>
    </row>
    <row r="172" customFormat="false" ht="15.75" hidden="false" customHeight="true" outlineLevel="0" collapsed="false">
      <c r="A172" s="22" t="n">
        <f aca="false">IF(('MiT Strom Pipeline'!R39="follow-up")+('MiT Strom Pipeline'!R39="Evaluation")+('MiT Strom Pipeline'!R39="tbd")+('MiT Strom Pipeline'!R39="In evaluation")&gt;0,IF(ISNUMBER('MiT Strom Pipeline'!A39),'MiT Strom Pipeline'!A39,""),"")</f>
        <v>30</v>
      </c>
      <c r="B172" s="23" t="str">
        <f aca="false">IF(('MiT Strom Pipeline'!R39="follow-up")+('MiT Strom Pipeline'!R39="Evaluation")+('MiT Strom Pipeline'!R39="tbd")+('MiT Strom Pipeline'!R39="In evaluation")&gt;0,'MiT Strom Pipeline'!B39,"")</f>
        <v>Nestle</v>
      </c>
      <c r="C172" s="22" t="str">
        <f aca="false">IF(('MiT Strom Pipeline'!R39="follow-up")+('MiT Strom Pipeline'!R39="Evaluation")+('MiT Strom Pipeline'!R39="tbd")+('MiT Strom Pipeline'!R39="In evaluation")&gt;0,'MiT Strom Pipeline'!C39,"")</f>
        <v>BE</v>
      </c>
      <c r="D172" s="23" t="str">
        <f aca="false">IF(('MiT Strom Pipeline'!R39="follow-up")+('MiT Strom Pipeline'!R39="Evaluation")+('MiT Strom Pipeline'!R39="tbd")+('MiT Strom Pipeline'!R39="In evaluation")&gt;0,'MiT Strom Pipeline'!D39,"")</f>
        <v>Industrie</v>
      </c>
      <c r="E172" s="23" t="str">
        <f aca="false">IF(('MiT Strom Pipeline'!R39="follow-up")+('MiT Strom Pipeline'!R39="Evaluation")+('MiT Strom Pipeline'!R39="tbd")+('MiT Strom Pipeline'!R39="In evaluation")&gt;0,'MiT Strom Pipeline'!E39,"")</f>
        <v>tbd</v>
      </c>
      <c r="F172" s="24" t="n">
        <f aca="false">IF(('MiT Strom Pipeline'!R39="follow-up")+('MiT Strom Pipeline'!R39="Evaluation")+('MiT Strom Pipeline'!R39="tbd")+('MiT Strom Pipeline'!R39="In evaluation")&gt;0,IF(ISNUMBER('MiT Strom Pipeline'!I39),'MiT Strom Pipeline'!I39,0),"")</f>
        <v>0</v>
      </c>
      <c r="G172" s="24" t="n">
        <f aca="false">IF(('MiT Strom Pipeline'!R39="follow-up")+('MiT Strom Pipeline'!R39="Evaluation")+('MiT Strom Pipeline'!R39="tbd")+('MiT Strom Pipeline'!R39="In evaluation")&gt;0,IF(ISNUMBER('MiT Strom Pipeline'!Q39),'MiT Strom Pipeline'!Q39,0),"")</f>
        <v>0</v>
      </c>
      <c r="H172" s="24" t="n">
        <f aca="false">IF(('MiT Strom Pipeline'!R39="follow-up")+('MiT Strom Pipeline'!R39="Evaluation")+('MiT Strom Pipeline'!R39="tbd")+('MiT Strom Pipeline'!R39="In evaluation")&gt;0,IF(ISNUMBER('MiT Strom Pipeline'!O39),'MiT Strom Pipeline'!O39,0),"")</f>
        <v>0</v>
      </c>
      <c r="I172" s="22" t="str">
        <f aca="false">IF(('MiT Strom Pipeline'!R39="follow-up")+('MiT Strom Pipeline'!R39="Evaluation")+('MiT Strom Pipeline'!R39="tbd")+('MiT Strom Pipeline'!R39="In evaluation")&gt;0,'MiT Strom Pipeline'!R39,"")</f>
        <v>tbd</v>
      </c>
      <c r="J172" s="22" t="n">
        <f aca="false">IF(('MiT Strom Pipeline'!R39="follow-up")+('MiT Strom Pipeline'!R39="Evaluation")+('MiT Strom Pipeline'!R39="tbd")+('MiT Strom Pipeline'!R39="In evaluation")&gt;0,'MiT Strom Pipeline'!S39,"")</f>
        <v>0.1</v>
      </c>
      <c r="K172" s="23" t="str">
        <f aca="false">IF(('MiT Strom Pipeline'!R39="follow-up")+('MiT Strom Pipeline'!R39="Evaluation")+('MiT Strom Pipeline'!R39="tbd")+('MiT Strom Pipeline'!R39="In evaluation")&gt;0,IF(LEN('MiT Strom Pipeline'!V39)&gt;0,LEFT('MiT Strom Pipeline'!V39,55),""),"")</f>
        <v>tbd</v>
      </c>
    </row>
    <row r="173" customFormat="false" ht="15.75" hidden="false" customHeight="true" outlineLevel="0" collapsed="false">
      <c r="A173" s="38" t="n">
        <f aca="false">IF(('MiT Strom Pipeline'!R40="follow-up")+('MiT Strom Pipeline'!R40="Evaluation")+('MiT Strom Pipeline'!R40="tbd")+('MiT Strom Pipeline'!R40="In evaluation")&gt;0,IF(ISNUMBER('MiT Strom Pipeline'!A40),'MiT Strom Pipeline'!A40,""),"")</f>
        <v>31</v>
      </c>
      <c r="B173" s="39" t="str">
        <f aca="false">IF(('MiT Strom Pipeline'!R40="follow-up")+('MiT Strom Pipeline'!R40="Evaluation")+('MiT Strom Pipeline'!R40="tbd")+('MiT Strom Pipeline'!R40="In evaluation")&gt;0,'MiT Strom Pipeline'!B40,"")</f>
        <v>VD</v>
      </c>
      <c r="C173" s="38" t="str">
        <f aca="false">IF(('MiT Strom Pipeline'!R40="follow-up")+('MiT Strom Pipeline'!R40="Evaluation")+('MiT Strom Pipeline'!R40="tbd")+('MiT Strom Pipeline'!R40="In evaluation")&gt;0,'MiT Strom Pipeline'!C40,"")</f>
        <v>VD</v>
      </c>
      <c r="D173" s="39" t="str">
        <f aca="false">IF(('MiT Strom Pipeline'!R40="follow-up")+('MiT Strom Pipeline'!R40="Evaluation")+('MiT Strom Pipeline'!R40="tbd")+('MiT Strom Pipeline'!R40="In evaluation")&gt;0,'MiT Strom Pipeline'!D40,"")</f>
        <v>Industrie</v>
      </c>
      <c r="E173" s="39" t="str">
        <f aca="false">IF(('MiT Strom Pipeline'!R40="follow-up")+('MiT Strom Pipeline'!R40="Evaluation")+('MiT Strom Pipeline'!R40="tbd")+('MiT Strom Pipeline'!R40="In evaluation")&gt;0,'MiT Strom Pipeline'!E40,"")</f>
        <v>tbd</v>
      </c>
      <c r="F173" s="40" t="n">
        <f aca="false">IF(('MiT Strom Pipeline'!R40="follow-up")+('MiT Strom Pipeline'!R40="Evaluation")+('MiT Strom Pipeline'!R40="tbd")+('MiT Strom Pipeline'!R40="In evaluation")&gt;0,IF(ISNUMBER('MiT Strom Pipeline'!I40),'MiT Strom Pipeline'!I40,0),"")</f>
        <v>0</v>
      </c>
      <c r="G173" s="40" t="n">
        <f aca="false">IF(('MiT Strom Pipeline'!R40="follow-up")+('MiT Strom Pipeline'!R40="Evaluation")+('MiT Strom Pipeline'!R40="tbd")+('MiT Strom Pipeline'!R40="In evaluation")&gt;0,IF(ISNUMBER('MiT Strom Pipeline'!Q40),'MiT Strom Pipeline'!Q40,0),"")</f>
        <v>0</v>
      </c>
      <c r="H173" s="40" t="n">
        <f aca="false">IF(('MiT Strom Pipeline'!R40="follow-up")+('MiT Strom Pipeline'!R40="Evaluation")+('MiT Strom Pipeline'!R40="tbd")+('MiT Strom Pipeline'!R40="In evaluation")&gt;0,IF(ISNUMBER('MiT Strom Pipeline'!O40),'MiT Strom Pipeline'!O40,0),"")</f>
        <v>0</v>
      </c>
      <c r="I173" s="38" t="str">
        <f aca="false">IF(('MiT Strom Pipeline'!R40="follow-up")+('MiT Strom Pipeline'!R40="Evaluation")+('MiT Strom Pipeline'!R40="tbd")+('MiT Strom Pipeline'!R40="In evaluation")&gt;0,'MiT Strom Pipeline'!R40,"")</f>
        <v>tbd</v>
      </c>
      <c r="J173" s="38" t="n">
        <f aca="false">IF(('MiT Strom Pipeline'!R40="follow-up")+('MiT Strom Pipeline'!R40="Evaluation")+('MiT Strom Pipeline'!R40="tbd")+('MiT Strom Pipeline'!R40="In evaluation")&gt;0,'MiT Strom Pipeline'!S40,"")</f>
        <v>0.1</v>
      </c>
      <c r="K173" s="39" t="str">
        <f aca="false">IF(('MiT Strom Pipeline'!R40="follow-up")+('MiT Strom Pipeline'!R40="Evaluation")+('MiT Strom Pipeline'!R40="tbd")+('MiT Strom Pipeline'!R40="In evaluation")&gt;0,IF(LEN('MiT Strom Pipeline'!V40)&gt;0,LEFT('MiT Strom Pipeline'!V40,55),""),"")</f>
        <v>tbd</v>
      </c>
    </row>
    <row r="174" customFormat="false" ht="15.75" hidden="false" customHeight="true" outlineLevel="0" collapsed="false">
      <c r="A174" s="22" t="n">
        <f aca="false">IF(('MiT Strom Pipeline'!R41="follow-up")+('MiT Strom Pipeline'!R41="Evaluation")+('MiT Strom Pipeline'!R41="tbd")+('MiT Strom Pipeline'!R41="In evaluation")&gt;0,IF(ISNUMBER('MiT Strom Pipeline'!A41),'MiT Strom Pipeline'!A41,""),"")</f>
        <v>32</v>
      </c>
      <c r="B174" s="23" t="str">
        <f aca="false">IF(('MiT Strom Pipeline'!R41="follow-up")+('MiT Strom Pipeline'!R41="Evaluation")+('MiT Strom Pipeline'!R41="tbd")+('MiT Strom Pipeline'!R41="In evaluation")&gt;0,'MiT Strom Pipeline'!B41,"")</f>
        <v>WSP</v>
      </c>
      <c r="C174" s="22" t="str">
        <f aca="false">IF(('MiT Strom Pipeline'!R41="follow-up")+('MiT Strom Pipeline'!R41="Evaluation")+('MiT Strom Pipeline'!R41="tbd")+('MiT Strom Pipeline'!R41="In evaluation")&gt;0,'MiT Strom Pipeline'!C41,"")</f>
        <v>VD</v>
      </c>
      <c r="D174" s="23" t="str">
        <f aca="false">IF(('MiT Strom Pipeline'!R41="follow-up")+('MiT Strom Pipeline'!R41="Evaluation")+('MiT Strom Pipeline'!R41="tbd")+('MiT Strom Pipeline'!R41="In evaluation")&gt;0,'MiT Strom Pipeline'!D41,"")</f>
        <v>Industrie</v>
      </c>
      <c r="E174" s="23" t="str">
        <f aca="false">IF(('MiT Strom Pipeline'!R41="follow-up")+('MiT Strom Pipeline'!R41="Evaluation")+('MiT Strom Pipeline'!R41="tbd")+('MiT Strom Pipeline'!R41="In evaluation")&gt;0,'MiT Strom Pipeline'!E41,"")</f>
        <v>tbd</v>
      </c>
      <c r="F174" s="24" t="n">
        <f aca="false">IF(('MiT Strom Pipeline'!R41="follow-up")+('MiT Strom Pipeline'!R41="Evaluation")+('MiT Strom Pipeline'!R41="tbd")+('MiT Strom Pipeline'!R41="In evaluation")&gt;0,IF(ISNUMBER('MiT Strom Pipeline'!I41),'MiT Strom Pipeline'!I41,0),"")</f>
        <v>0</v>
      </c>
      <c r="G174" s="24" t="n">
        <f aca="false">IF(('MiT Strom Pipeline'!R41="follow-up")+('MiT Strom Pipeline'!R41="Evaluation")+('MiT Strom Pipeline'!R41="tbd")+('MiT Strom Pipeline'!R41="In evaluation")&gt;0,IF(ISNUMBER('MiT Strom Pipeline'!Q41),'MiT Strom Pipeline'!Q41,0),"")</f>
        <v>0</v>
      </c>
      <c r="H174" s="24" t="n">
        <f aca="false">IF(('MiT Strom Pipeline'!R41="follow-up")+('MiT Strom Pipeline'!R41="Evaluation")+('MiT Strom Pipeline'!R41="tbd")+('MiT Strom Pipeline'!R41="In evaluation")&gt;0,IF(ISNUMBER('MiT Strom Pipeline'!O41),'MiT Strom Pipeline'!O41,0),"")</f>
        <v>0</v>
      </c>
      <c r="I174" s="22" t="str">
        <f aca="false">IF(('MiT Strom Pipeline'!R41="follow-up")+('MiT Strom Pipeline'!R41="Evaluation")+('MiT Strom Pipeline'!R41="tbd")+('MiT Strom Pipeline'!R41="In evaluation")&gt;0,'MiT Strom Pipeline'!R41,"")</f>
        <v>tbd</v>
      </c>
      <c r="J174" s="22" t="n">
        <f aca="false">IF(('MiT Strom Pipeline'!R41="follow-up")+('MiT Strom Pipeline'!R41="Evaluation")+('MiT Strom Pipeline'!R41="tbd")+('MiT Strom Pipeline'!R41="In evaluation")&gt;0,'MiT Strom Pipeline'!S41,"")</f>
        <v>0.1</v>
      </c>
      <c r="K174" s="23" t="str">
        <f aca="false">IF(('MiT Strom Pipeline'!R41="follow-up")+('MiT Strom Pipeline'!R41="Evaluation")+('MiT Strom Pipeline'!R41="tbd")+('MiT Strom Pipeline'!R41="In evaluation")&gt;0,IF(LEN('MiT Strom Pipeline'!V41)&gt;0,LEFT('MiT Strom Pipeline'!V41,55),""),"")</f>
        <v>tbd</v>
      </c>
    </row>
    <row r="175" customFormat="false" ht="15.75" hidden="false" customHeight="true" outlineLevel="0" collapsed="false">
      <c r="A175" s="38" t="str">
        <f aca="false">IF(('MiT Strom Pipeline'!R42="follow-up")+('MiT Strom Pipeline'!R42="Evaluation")+('MiT Strom Pipeline'!R42="tbd")+('MiT Strom Pipeline'!R42="In evaluation")&gt;0,IF(ISNUMBER('MiT Strom Pipeline'!A42),'MiT Strom Pipeline'!A42,""),"")</f>
        <v/>
      </c>
      <c r="B175" s="39" t="str">
        <f aca="false">IF(('MiT Strom Pipeline'!R42="follow-up")+('MiT Strom Pipeline'!R42="Evaluation")+('MiT Strom Pipeline'!R42="tbd")+('MiT Strom Pipeline'!R42="In evaluation")&gt;0,'MiT Strom Pipeline'!B42,"")</f>
        <v/>
      </c>
      <c r="C175" s="38" t="str">
        <f aca="false">IF(('MiT Strom Pipeline'!R42="follow-up")+('MiT Strom Pipeline'!R42="Evaluation")+('MiT Strom Pipeline'!R42="tbd")+('MiT Strom Pipeline'!R42="In evaluation")&gt;0,'MiT Strom Pipeline'!C42,"")</f>
        <v/>
      </c>
      <c r="D175" s="39" t="str">
        <f aca="false">IF(('MiT Strom Pipeline'!R42="follow-up")+('MiT Strom Pipeline'!R42="Evaluation")+('MiT Strom Pipeline'!R42="tbd")+('MiT Strom Pipeline'!R42="In evaluation")&gt;0,'MiT Strom Pipeline'!D42,"")</f>
        <v/>
      </c>
      <c r="E175" s="39" t="str">
        <f aca="false">IF(('MiT Strom Pipeline'!R42="follow-up")+('MiT Strom Pipeline'!R42="Evaluation")+('MiT Strom Pipeline'!R42="tbd")+('MiT Strom Pipeline'!R42="In evaluation")&gt;0,'MiT Strom Pipeline'!E42,"")</f>
        <v/>
      </c>
      <c r="F175" s="40" t="str">
        <f aca="false">IF(('MiT Strom Pipeline'!R42="follow-up")+('MiT Strom Pipeline'!R42="Evaluation")+('MiT Strom Pipeline'!R42="tbd")+('MiT Strom Pipeline'!R42="In evaluation")&gt;0,IF(ISNUMBER('MiT Strom Pipeline'!I42),'MiT Strom Pipeline'!I42,0),"")</f>
        <v/>
      </c>
      <c r="G175" s="40" t="str">
        <f aca="false">IF(('MiT Strom Pipeline'!R42="follow-up")+('MiT Strom Pipeline'!R42="Evaluation")+('MiT Strom Pipeline'!R42="tbd")+('MiT Strom Pipeline'!R42="In evaluation")&gt;0,IF(ISNUMBER('MiT Strom Pipeline'!Q42),'MiT Strom Pipeline'!Q42,0),"")</f>
        <v/>
      </c>
      <c r="H175" s="40" t="str">
        <f aca="false">IF(('MiT Strom Pipeline'!R42="follow-up")+('MiT Strom Pipeline'!R42="Evaluation")+('MiT Strom Pipeline'!R42="tbd")+('MiT Strom Pipeline'!R42="In evaluation")&gt;0,IF(ISNUMBER('MiT Strom Pipeline'!O42),'MiT Strom Pipeline'!O42,0),"")</f>
        <v/>
      </c>
      <c r="I175" s="38" t="str">
        <f aca="false">IF(('MiT Strom Pipeline'!R42="follow-up")+('MiT Strom Pipeline'!R42="Evaluation")+('MiT Strom Pipeline'!R42="tbd")+('MiT Strom Pipeline'!R42="In evaluation")&gt;0,'MiT Strom Pipeline'!R42,"")</f>
        <v/>
      </c>
      <c r="J175" s="38" t="str">
        <f aca="false">IF(('MiT Strom Pipeline'!R42="follow-up")+('MiT Strom Pipeline'!R42="Evaluation")+('MiT Strom Pipeline'!R42="tbd")+('MiT Strom Pipeline'!R42="In evaluation")&gt;0,'MiT Strom Pipeline'!S42,"")</f>
        <v/>
      </c>
      <c r="K175" s="39" t="str">
        <f aca="false">IF(('MiT Strom Pipeline'!R42="follow-up")+('MiT Strom Pipeline'!R42="Evaluation")+('MiT Strom Pipeline'!R42="tbd")+('MiT Strom Pipeline'!R42="In evaluation")&gt;0,IF(LEN('MiT Strom Pipeline'!V42)&gt;0,LEFT('MiT Strom Pipeline'!V42,55),""),"")</f>
        <v/>
      </c>
    </row>
    <row r="176" customFormat="false" ht="15.75" hidden="false" customHeight="true" outlineLevel="0" collapsed="false">
      <c r="A176" s="22" t="str">
        <f aca="false">IF(('MiT Strom Pipeline'!R43="follow-up")+('MiT Strom Pipeline'!R43="Evaluation")+('MiT Strom Pipeline'!R43="tbd")+('MiT Strom Pipeline'!R43="In evaluation")&gt;0,IF(ISNUMBER('MiT Strom Pipeline'!A43),'MiT Strom Pipeline'!A43,""),"")</f>
        <v/>
      </c>
      <c r="B176" s="23" t="str">
        <f aca="false">IF(('MiT Strom Pipeline'!R43="follow-up")+('MiT Strom Pipeline'!R43="Evaluation")+('MiT Strom Pipeline'!R43="tbd")+('MiT Strom Pipeline'!R43="In evaluation")&gt;0,'MiT Strom Pipeline'!B43,"")</f>
        <v/>
      </c>
      <c r="C176" s="22" t="str">
        <f aca="false">IF(('MiT Strom Pipeline'!R43="follow-up")+('MiT Strom Pipeline'!R43="Evaluation")+('MiT Strom Pipeline'!R43="tbd")+('MiT Strom Pipeline'!R43="In evaluation")&gt;0,'MiT Strom Pipeline'!C43,"")</f>
        <v/>
      </c>
      <c r="D176" s="23" t="str">
        <f aca="false">IF(('MiT Strom Pipeline'!R43="follow-up")+('MiT Strom Pipeline'!R43="Evaluation")+('MiT Strom Pipeline'!R43="tbd")+('MiT Strom Pipeline'!R43="In evaluation")&gt;0,'MiT Strom Pipeline'!D43,"")</f>
        <v/>
      </c>
      <c r="E176" s="23" t="str">
        <f aca="false">IF(('MiT Strom Pipeline'!R43="follow-up")+('MiT Strom Pipeline'!R43="Evaluation")+('MiT Strom Pipeline'!R43="tbd")+('MiT Strom Pipeline'!R43="In evaluation")&gt;0,'MiT Strom Pipeline'!E43,"")</f>
        <v/>
      </c>
      <c r="F176" s="24" t="str">
        <f aca="false">IF(('MiT Strom Pipeline'!R43="follow-up")+('MiT Strom Pipeline'!R43="Evaluation")+('MiT Strom Pipeline'!R43="tbd")+('MiT Strom Pipeline'!R43="In evaluation")&gt;0,IF(ISNUMBER('MiT Strom Pipeline'!I43),'MiT Strom Pipeline'!I43,0),"")</f>
        <v/>
      </c>
      <c r="G176" s="24" t="str">
        <f aca="false">IF(('MiT Strom Pipeline'!R43="follow-up")+('MiT Strom Pipeline'!R43="Evaluation")+('MiT Strom Pipeline'!R43="tbd")+('MiT Strom Pipeline'!R43="In evaluation")&gt;0,IF(ISNUMBER('MiT Strom Pipeline'!Q43),'MiT Strom Pipeline'!Q43,0),"")</f>
        <v/>
      </c>
      <c r="H176" s="24" t="str">
        <f aca="false">IF(('MiT Strom Pipeline'!R43="follow-up")+('MiT Strom Pipeline'!R43="Evaluation")+('MiT Strom Pipeline'!R43="tbd")+('MiT Strom Pipeline'!R43="In evaluation")&gt;0,IF(ISNUMBER('MiT Strom Pipeline'!O43),'MiT Strom Pipeline'!O43,0),"")</f>
        <v/>
      </c>
      <c r="I176" s="22" t="str">
        <f aca="false">IF(('MiT Strom Pipeline'!R43="follow-up")+('MiT Strom Pipeline'!R43="Evaluation")+('MiT Strom Pipeline'!R43="tbd")+('MiT Strom Pipeline'!R43="In evaluation")&gt;0,'MiT Strom Pipeline'!R43,"")</f>
        <v/>
      </c>
      <c r="J176" s="22" t="str">
        <f aca="false">IF(('MiT Strom Pipeline'!R43="follow-up")+('MiT Strom Pipeline'!R43="Evaluation")+('MiT Strom Pipeline'!R43="tbd")+('MiT Strom Pipeline'!R43="In evaluation")&gt;0,'MiT Strom Pipeline'!S43,"")</f>
        <v/>
      </c>
      <c r="K176" s="23" t="str">
        <f aca="false">IF(('MiT Strom Pipeline'!R43="follow-up")+('MiT Strom Pipeline'!R43="Evaluation")+('MiT Strom Pipeline'!R43="tbd")+('MiT Strom Pipeline'!R43="In evaluation")&gt;0,IF(LEN('MiT Strom Pipeline'!V43)&gt;0,LEFT('MiT Strom Pipeline'!V43,55),""),"")</f>
        <v/>
      </c>
    </row>
    <row r="177" customFormat="false" ht="15.75" hidden="false" customHeight="true" outlineLevel="0" collapsed="false">
      <c r="A177" s="38" t="str">
        <f aca="false">IF(('MiT Strom Pipeline'!R44="follow-up")+('MiT Strom Pipeline'!R44="Evaluation")+('MiT Strom Pipeline'!R44="tbd")+('MiT Strom Pipeline'!R44="In evaluation")&gt;0,IF(ISNUMBER('MiT Strom Pipeline'!A44),'MiT Strom Pipeline'!A44,""),"")</f>
        <v/>
      </c>
      <c r="B177" s="39" t="str">
        <f aca="false">IF(('MiT Strom Pipeline'!R44="follow-up")+('MiT Strom Pipeline'!R44="Evaluation")+('MiT Strom Pipeline'!R44="tbd")+('MiT Strom Pipeline'!R44="In evaluation")&gt;0,'MiT Strom Pipeline'!B44,"")</f>
        <v/>
      </c>
      <c r="C177" s="38" t="str">
        <f aca="false">IF(('MiT Strom Pipeline'!R44="follow-up")+('MiT Strom Pipeline'!R44="Evaluation")+('MiT Strom Pipeline'!R44="tbd")+('MiT Strom Pipeline'!R44="In evaluation")&gt;0,'MiT Strom Pipeline'!C44,"")</f>
        <v/>
      </c>
      <c r="D177" s="39" t="str">
        <f aca="false">IF(('MiT Strom Pipeline'!R44="follow-up")+('MiT Strom Pipeline'!R44="Evaluation")+('MiT Strom Pipeline'!R44="tbd")+('MiT Strom Pipeline'!R44="In evaluation")&gt;0,'MiT Strom Pipeline'!D44,"")</f>
        <v/>
      </c>
      <c r="E177" s="39" t="str">
        <f aca="false">IF(('MiT Strom Pipeline'!R44="follow-up")+('MiT Strom Pipeline'!R44="Evaluation")+('MiT Strom Pipeline'!R44="tbd")+('MiT Strom Pipeline'!R44="In evaluation")&gt;0,'MiT Strom Pipeline'!E44,"")</f>
        <v/>
      </c>
      <c r="F177" s="40" t="str">
        <f aca="false">IF(('MiT Strom Pipeline'!R44="follow-up")+('MiT Strom Pipeline'!R44="Evaluation")+('MiT Strom Pipeline'!R44="tbd")+('MiT Strom Pipeline'!R44="In evaluation")&gt;0,IF(ISNUMBER('MiT Strom Pipeline'!I44),'MiT Strom Pipeline'!I44,0),"")</f>
        <v/>
      </c>
      <c r="G177" s="40" t="str">
        <f aca="false">IF(('MiT Strom Pipeline'!R44="follow-up")+('MiT Strom Pipeline'!R44="Evaluation")+('MiT Strom Pipeline'!R44="tbd")+('MiT Strom Pipeline'!R44="In evaluation")&gt;0,IF(ISNUMBER('MiT Strom Pipeline'!Q44),'MiT Strom Pipeline'!Q44,0),"")</f>
        <v/>
      </c>
      <c r="H177" s="40" t="str">
        <f aca="false">IF(('MiT Strom Pipeline'!R44="follow-up")+('MiT Strom Pipeline'!R44="Evaluation")+('MiT Strom Pipeline'!R44="tbd")+('MiT Strom Pipeline'!R44="In evaluation")&gt;0,IF(ISNUMBER('MiT Strom Pipeline'!O44),'MiT Strom Pipeline'!O44,0),"")</f>
        <v/>
      </c>
      <c r="I177" s="38" t="str">
        <f aca="false">IF(('MiT Strom Pipeline'!R44="follow-up")+('MiT Strom Pipeline'!R44="Evaluation")+('MiT Strom Pipeline'!R44="tbd")+('MiT Strom Pipeline'!R44="In evaluation")&gt;0,'MiT Strom Pipeline'!R44,"")</f>
        <v/>
      </c>
      <c r="J177" s="38" t="str">
        <f aca="false">IF(('MiT Strom Pipeline'!R44="follow-up")+('MiT Strom Pipeline'!R44="Evaluation")+('MiT Strom Pipeline'!R44="tbd")+('MiT Strom Pipeline'!R44="In evaluation")&gt;0,'MiT Strom Pipeline'!S44,"")</f>
        <v/>
      </c>
      <c r="K177" s="39" t="str">
        <f aca="false">IF(('MiT Strom Pipeline'!R44="follow-up")+('MiT Strom Pipeline'!R44="Evaluation")+('MiT Strom Pipeline'!R44="tbd")+('MiT Strom Pipeline'!R44="In evaluation")&gt;0,IF(LEN('MiT Strom Pipeline'!V44)&gt;0,LEFT('MiT Strom Pipeline'!V44,55),""),"")</f>
        <v/>
      </c>
    </row>
    <row r="178" customFormat="false" ht="15.75" hidden="false" customHeight="true" outlineLevel="0" collapsed="false">
      <c r="A178" s="22" t="str">
        <f aca="false">IF(('MiT Strom Pipeline'!R45="follow-up")+('MiT Strom Pipeline'!R45="Evaluation")+('MiT Strom Pipeline'!R45="tbd")+('MiT Strom Pipeline'!R45="In evaluation")&gt;0,IF(ISNUMBER('MiT Strom Pipeline'!A45),'MiT Strom Pipeline'!A45,""),"")</f>
        <v/>
      </c>
      <c r="B178" s="23" t="str">
        <f aca="false">IF(('MiT Strom Pipeline'!R45="follow-up")+('MiT Strom Pipeline'!R45="Evaluation")+('MiT Strom Pipeline'!R45="tbd")+('MiT Strom Pipeline'!R45="In evaluation")&gt;0,'MiT Strom Pipeline'!B45,"")</f>
        <v/>
      </c>
      <c r="C178" s="22" t="str">
        <f aca="false">IF(('MiT Strom Pipeline'!R45="follow-up")+('MiT Strom Pipeline'!R45="Evaluation")+('MiT Strom Pipeline'!R45="tbd")+('MiT Strom Pipeline'!R45="In evaluation")&gt;0,'MiT Strom Pipeline'!C45,"")</f>
        <v/>
      </c>
      <c r="D178" s="23" t="str">
        <f aca="false">IF(('MiT Strom Pipeline'!R45="follow-up")+('MiT Strom Pipeline'!R45="Evaluation")+('MiT Strom Pipeline'!R45="tbd")+('MiT Strom Pipeline'!R45="In evaluation")&gt;0,'MiT Strom Pipeline'!D45,"")</f>
        <v/>
      </c>
      <c r="E178" s="23" t="str">
        <f aca="false">IF(('MiT Strom Pipeline'!R45="follow-up")+('MiT Strom Pipeline'!R45="Evaluation")+('MiT Strom Pipeline'!R45="tbd")+('MiT Strom Pipeline'!R45="In evaluation")&gt;0,'MiT Strom Pipeline'!E45,"")</f>
        <v/>
      </c>
      <c r="F178" s="24" t="str">
        <f aca="false">IF(('MiT Strom Pipeline'!R45="follow-up")+('MiT Strom Pipeline'!R45="Evaluation")+('MiT Strom Pipeline'!R45="tbd")+('MiT Strom Pipeline'!R45="In evaluation")&gt;0,IF(ISNUMBER('MiT Strom Pipeline'!I45),'MiT Strom Pipeline'!I45,0),"")</f>
        <v/>
      </c>
      <c r="G178" s="24" t="str">
        <f aca="false">IF(('MiT Strom Pipeline'!R45="follow-up")+('MiT Strom Pipeline'!R45="Evaluation")+('MiT Strom Pipeline'!R45="tbd")+('MiT Strom Pipeline'!R45="In evaluation")&gt;0,IF(ISNUMBER('MiT Strom Pipeline'!Q45),'MiT Strom Pipeline'!Q45,0),"")</f>
        <v/>
      </c>
      <c r="H178" s="24" t="str">
        <f aca="false">IF(('MiT Strom Pipeline'!R45="follow-up")+('MiT Strom Pipeline'!R45="Evaluation")+('MiT Strom Pipeline'!R45="tbd")+('MiT Strom Pipeline'!R45="In evaluation")&gt;0,IF(ISNUMBER('MiT Strom Pipeline'!O45),'MiT Strom Pipeline'!O45,0),"")</f>
        <v/>
      </c>
      <c r="I178" s="22" t="str">
        <f aca="false">IF(('MiT Strom Pipeline'!R45="follow-up")+('MiT Strom Pipeline'!R45="Evaluation")+('MiT Strom Pipeline'!R45="tbd")+('MiT Strom Pipeline'!R45="In evaluation")&gt;0,'MiT Strom Pipeline'!R45,"")</f>
        <v/>
      </c>
      <c r="J178" s="22" t="str">
        <f aca="false">IF(('MiT Strom Pipeline'!R45="follow-up")+('MiT Strom Pipeline'!R45="Evaluation")+('MiT Strom Pipeline'!R45="tbd")+('MiT Strom Pipeline'!R45="In evaluation")&gt;0,'MiT Strom Pipeline'!S45,"")</f>
        <v/>
      </c>
      <c r="K178" s="23" t="str">
        <f aca="false">IF(('MiT Strom Pipeline'!R45="follow-up")+('MiT Strom Pipeline'!R45="Evaluation")+('MiT Strom Pipeline'!R45="tbd")+('MiT Strom Pipeline'!R45="In evaluation")&gt;0,IF(LEN('MiT Strom Pipeline'!V45)&gt;0,LEFT('MiT Strom Pipeline'!V45,55),""),"")</f>
        <v/>
      </c>
    </row>
    <row r="179" customFormat="false" ht="15.75" hidden="false" customHeight="true" outlineLevel="0" collapsed="false">
      <c r="A179" s="38" t="str">
        <f aca="false">IF(('MiT Strom Pipeline'!R46="follow-up")+('MiT Strom Pipeline'!R46="Evaluation")+('MiT Strom Pipeline'!R46="tbd")+('MiT Strom Pipeline'!R46="In evaluation")&gt;0,IF(ISNUMBER('MiT Strom Pipeline'!A46),'MiT Strom Pipeline'!A46,""),"")</f>
        <v/>
      </c>
      <c r="B179" s="39" t="str">
        <f aca="false">IF(('MiT Strom Pipeline'!R46="follow-up")+('MiT Strom Pipeline'!R46="Evaluation")+('MiT Strom Pipeline'!R46="tbd")+('MiT Strom Pipeline'!R46="In evaluation")&gt;0,'MiT Strom Pipeline'!B46,"")</f>
        <v/>
      </c>
      <c r="C179" s="38" t="str">
        <f aca="false">IF(('MiT Strom Pipeline'!R46="follow-up")+('MiT Strom Pipeline'!R46="Evaluation")+('MiT Strom Pipeline'!R46="tbd")+('MiT Strom Pipeline'!R46="In evaluation")&gt;0,'MiT Strom Pipeline'!C46,"")</f>
        <v/>
      </c>
      <c r="D179" s="39" t="str">
        <f aca="false">IF(('MiT Strom Pipeline'!R46="follow-up")+('MiT Strom Pipeline'!R46="Evaluation")+('MiT Strom Pipeline'!R46="tbd")+('MiT Strom Pipeline'!R46="In evaluation")&gt;0,'MiT Strom Pipeline'!D46,"")</f>
        <v/>
      </c>
      <c r="E179" s="39" t="str">
        <f aca="false">IF(('MiT Strom Pipeline'!R46="follow-up")+('MiT Strom Pipeline'!R46="Evaluation")+('MiT Strom Pipeline'!R46="tbd")+('MiT Strom Pipeline'!R46="In evaluation")&gt;0,'MiT Strom Pipeline'!E46,"")</f>
        <v/>
      </c>
      <c r="F179" s="40" t="str">
        <f aca="false">IF(('MiT Strom Pipeline'!R46="follow-up")+('MiT Strom Pipeline'!R46="Evaluation")+('MiT Strom Pipeline'!R46="tbd")+('MiT Strom Pipeline'!R46="In evaluation")&gt;0,IF(ISNUMBER('MiT Strom Pipeline'!I46),'MiT Strom Pipeline'!I46,0),"")</f>
        <v/>
      </c>
      <c r="G179" s="40" t="str">
        <f aca="false">IF(('MiT Strom Pipeline'!R46="follow-up")+('MiT Strom Pipeline'!R46="Evaluation")+('MiT Strom Pipeline'!R46="tbd")+('MiT Strom Pipeline'!R46="In evaluation")&gt;0,IF(ISNUMBER('MiT Strom Pipeline'!Q46),'MiT Strom Pipeline'!Q46,0),"")</f>
        <v/>
      </c>
      <c r="H179" s="40" t="str">
        <f aca="false">IF(('MiT Strom Pipeline'!R46="follow-up")+('MiT Strom Pipeline'!R46="Evaluation")+('MiT Strom Pipeline'!R46="tbd")+('MiT Strom Pipeline'!R46="In evaluation")&gt;0,IF(ISNUMBER('MiT Strom Pipeline'!O46),'MiT Strom Pipeline'!O46,0),"")</f>
        <v/>
      </c>
      <c r="I179" s="38" t="str">
        <f aca="false">IF(('MiT Strom Pipeline'!R46="follow-up")+('MiT Strom Pipeline'!R46="Evaluation")+('MiT Strom Pipeline'!R46="tbd")+('MiT Strom Pipeline'!R46="In evaluation")&gt;0,'MiT Strom Pipeline'!R46,"")</f>
        <v/>
      </c>
      <c r="J179" s="38" t="str">
        <f aca="false">IF(('MiT Strom Pipeline'!R46="follow-up")+('MiT Strom Pipeline'!R46="Evaluation")+('MiT Strom Pipeline'!R46="tbd")+('MiT Strom Pipeline'!R46="In evaluation")&gt;0,'MiT Strom Pipeline'!S46,"")</f>
        <v/>
      </c>
      <c r="K179" s="39" t="str">
        <f aca="false">IF(('MiT Strom Pipeline'!R46="follow-up")+('MiT Strom Pipeline'!R46="Evaluation")+('MiT Strom Pipeline'!R46="tbd")+('MiT Strom Pipeline'!R46="In evaluation")&gt;0,IF(LEN('MiT Strom Pipeline'!V46)&gt;0,LEFT('MiT Strom Pipeline'!V46,55),""),"")</f>
        <v/>
      </c>
    </row>
    <row r="180" customFormat="false" ht="15.75" hidden="false" customHeight="true" outlineLevel="0" collapsed="false">
      <c r="A180" s="22" t="str">
        <f aca="false">IF(('MiT Strom Pipeline'!R47="follow-up")+('MiT Strom Pipeline'!R47="Evaluation")+('MiT Strom Pipeline'!R47="tbd")+('MiT Strom Pipeline'!R47="In evaluation")&gt;0,IF(ISNUMBER('MiT Strom Pipeline'!A47),'MiT Strom Pipeline'!A47,""),"")</f>
        <v/>
      </c>
      <c r="B180" s="23" t="str">
        <f aca="false">IF(('MiT Strom Pipeline'!R47="follow-up")+('MiT Strom Pipeline'!R47="Evaluation")+('MiT Strom Pipeline'!R47="tbd")+('MiT Strom Pipeline'!R47="In evaluation")&gt;0,'MiT Strom Pipeline'!B47,"")</f>
        <v/>
      </c>
      <c r="C180" s="22" t="str">
        <f aca="false">IF(('MiT Strom Pipeline'!R47="follow-up")+('MiT Strom Pipeline'!R47="Evaluation")+('MiT Strom Pipeline'!R47="tbd")+('MiT Strom Pipeline'!R47="In evaluation")&gt;0,'MiT Strom Pipeline'!C47,"")</f>
        <v/>
      </c>
      <c r="D180" s="23" t="str">
        <f aca="false">IF(('MiT Strom Pipeline'!R47="follow-up")+('MiT Strom Pipeline'!R47="Evaluation")+('MiT Strom Pipeline'!R47="tbd")+('MiT Strom Pipeline'!R47="In evaluation")&gt;0,'MiT Strom Pipeline'!D47,"")</f>
        <v/>
      </c>
      <c r="E180" s="23" t="str">
        <f aca="false">IF(('MiT Strom Pipeline'!R47="follow-up")+('MiT Strom Pipeline'!R47="Evaluation")+('MiT Strom Pipeline'!R47="tbd")+('MiT Strom Pipeline'!R47="In evaluation")&gt;0,'MiT Strom Pipeline'!E47,"")</f>
        <v/>
      </c>
      <c r="F180" s="24" t="str">
        <f aca="false">IF(('MiT Strom Pipeline'!R47="follow-up")+('MiT Strom Pipeline'!R47="Evaluation")+('MiT Strom Pipeline'!R47="tbd")+('MiT Strom Pipeline'!R47="In evaluation")&gt;0,IF(ISNUMBER('MiT Strom Pipeline'!I47),'MiT Strom Pipeline'!I47,0),"")</f>
        <v/>
      </c>
      <c r="G180" s="24" t="str">
        <f aca="false">IF(('MiT Strom Pipeline'!R47="follow-up")+('MiT Strom Pipeline'!R47="Evaluation")+('MiT Strom Pipeline'!R47="tbd")+('MiT Strom Pipeline'!R47="In evaluation")&gt;0,IF(ISNUMBER('MiT Strom Pipeline'!Q47),'MiT Strom Pipeline'!Q47,0),"")</f>
        <v/>
      </c>
      <c r="H180" s="24" t="str">
        <f aca="false">IF(('MiT Strom Pipeline'!R47="follow-up")+('MiT Strom Pipeline'!R47="Evaluation")+('MiT Strom Pipeline'!R47="tbd")+('MiT Strom Pipeline'!R47="In evaluation")&gt;0,IF(ISNUMBER('MiT Strom Pipeline'!O47),'MiT Strom Pipeline'!O47,0),"")</f>
        <v/>
      </c>
      <c r="I180" s="22" t="str">
        <f aca="false">IF(('MiT Strom Pipeline'!R47="follow-up")+('MiT Strom Pipeline'!R47="Evaluation")+('MiT Strom Pipeline'!R47="tbd")+('MiT Strom Pipeline'!R47="In evaluation")&gt;0,'MiT Strom Pipeline'!R47,"")</f>
        <v/>
      </c>
      <c r="J180" s="22" t="str">
        <f aca="false">IF(('MiT Strom Pipeline'!R47="follow-up")+('MiT Strom Pipeline'!R47="Evaluation")+('MiT Strom Pipeline'!R47="tbd")+('MiT Strom Pipeline'!R47="In evaluation")&gt;0,'MiT Strom Pipeline'!S47,"")</f>
        <v/>
      </c>
      <c r="K180" s="23" t="str">
        <f aca="false">IF(('MiT Strom Pipeline'!R47="follow-up")+('MiT Strom Pipeline'!R47="Evaluation")+('MiT Strom Pipeline'!R47="tbd")+('MiT Strom Pipeline'!R47="In evaluation")&gt;0,IF(LEN('MiT Strom Pipeline'!V47)&gt;0,LEFT('MiT Strom Pipeline'!V47,55),""),"")</f>
        <v/>
      </c>
    </row>
    <row r="181" customFormat="false" ht="15.75" hidden="false" customHeight="true" outlineLevel="0" collapsed="false">
      <c r="A181" s="38" t="str">
        <f aca="false">IF(('MiT Strom Pipeline'!R48="follow-up")+('MiT Strom Pipeline'!R48="Evaluation")+('MiT Strom Pipeline'!R48="tbd")+('MiT Strom Pipeline'!R48="In evaluation")&gt;0,IF(ISNUMBER('MiT Strom Pipeline'!A48),'MiT Strom Pipeline'!A48,""),"")</f>
        <v/>
      </c>
      <c r="B181" s="39" t="str">
        <f aca="false">IF(('MiT Strom Pipeline'!R48="follow-up")+('MiT Strom Pipeline'!R48="Evaluation")+('MiT Strom Pipeline'!R48="tbd")+('MiT Strom Pipeline'!R48="In evaluation")&gt;0,'MiT Strom Pipeline'!B48,"")</f>
        <v/>
      </c>
      <c r="C181" s="38" t="str">
        <f aca="false">IF(('MiT Strom Pipeline'!R48="follow-up")+('MiT Strom Pipeline'!R48="Evaluation")+('MiT Strom Pipeline'!R48="tbd")+('MiT Strom Pipeline'!R48="In evaluation")&gt;0,'MiT Strom Pipeline'!C48,"")</f>
        <v/>
      </c>
      <c r="D181" s="39" t="str">
        <f aca="false">IF(('MiT Strom Pipeline'!R48="follow-up")+('MiT Strom Pipeline'!R48="Evaluation")+('MiT Strom Pipeline'!R48="tbd")+('MiT Strom Pipeline'!R48="In evaluation")&gt;0,'MiT Strom Pipeline'!D48,"")</f>
        <v/>
      </c>
      <c r="E181" s="39" t="str">
        <f aca="false">IF(('MiT Strom Pipeline'!R48="follow-up")+('MiT Strom Pipeline'!R48="Evaluation")+('MiT Strom Pipeline'!R48="tbd")+('MiT Strom Pipeline'!R48="In evaluation")&gt;0,'MiT Strom Pipeline'!E48,"")</f>
        <v/>
      </c>
      <c r="F181" s="40" t="str">
        <f aca="false">IF(('MiT Strom Pipeline'!R48="follow-up")+('MiT Strom Pipeline'!R48="Evaluation")+('MiT Strom Pipeline'!R48="tbd")+('MiT Strom Pipeline'!R48="In evaluation")&gt;0,IF(ISNUMBER('MiT Strom Pipeline'!I48),'MiT Strom Pipeline'!I48,0),"")</f>
        <v/>
      </c>
      <c r="G181" s="40" t="str">
        <f aca="false">IF(('MiT Strom Pipeline'!R48="follow-up")+('MiT Strom Pipeline'!R48="Evaluation")+('MiT Strom Pipeline'!R48="tbd")+('MiT Strom Pipeline'!R48="In evaluation")&gt;0,IF(ISNUMBER('MiT Strom Pipeline'!Q48),'MiT Strom Pipeline'!Q48,0),"")</f>
        <v/>
      </c>
      <c r="H181" s="40" t="str">
        <f aca="false">IF(('MiT Strom Pipeline'!R48="follow-up")+('MiT Strom Pipeline'!R48="Evaluation")+('MiT Strom Pipeline'!R48="tbd")+('MiT Strom Pipeline'!R48="In evaluation")&gt;0,IF(ISNUMBER('MiT Strom Pipeline'!O48),'MiT Strom Pipeline'!O48,0),"")</f>
        <v/>
      </c>
      <c r="I181" s="38" t="str">
        <f aca="false">IF(('MiT Strom Pipeline'!R48="follow-up")+('MiT Strom Pipeline'!R48="Evaluation")+('MiT Strom Pipeline'!R48="tbd")+('MiT Strom Pipeline'!R48="In evaluation")&gt;0,'MiT Strom Pipeline'!R48,"")</f>
        <v/>
      </c>
      <c r="J181" s="38" t="str">
        <f aca="false">IF(('MiT Strom Pipeline'!R48="follow-up")+('MiT Strom Pipeline'!R48="Evaluation")+('MiT Strom Pipeline'!R48="tbd")+('MiT Strom Pipeline'!R48="In evaluation")&gt;0,'MiT Strom Pipeline'!S48,"")</f>
        <v/>
      </c>
      <c r="K181" s="39" t="str">
        <f aca="false">IF(('MiT Strom Pipeline'!R48="follow-up")+('MiT Strom Pipeline'!R48="Evaluation")+('MiT Strom Pipeline'!R48="tbd")+('MiT Strom Pipeline'!R48="In evaluation")&gt;0,IF(LEN('MiT Strom Pipeline'!V48)&gt;0,LEFT('MiT Strom Pipeline'!V48,55),""),"")</f>
        <v/>
      </c>
    </row>
    <row r="182" customFormat="false" ht="15.75" hidden="false" customHeight="true" outlineLevel="0" collapsed="false">
      <c r="A182" s="22" t="str">
        <f aca="false">IF(('MiT Strom Pipeline'!R49="follow-up")+('MiT Strom Pipeline'!R49="Evaluation")+('MiT Strom Pipeline'!R49="tbd")+('MiT Strom Pipeline'!R49="In evaluation")&gt;0,IF(ISNUMBER('MiT Strom Pipeline'!A49),'MiT Strom Pipeline'!A49,""),"")</f>
        <v/>
      </c>
      <c r="B182" s="23" t="str">
        <f aca="false">IF(('MiT Strom Pipeline'!R49="follow-up")+('MiT Strom Pipeline'!R49="Evaluation")+('MiT Strom Pipeline'!R49="tbd")+('MiT Strom Pipeline'!R49="In evaluation")&gt;0,'MiT Strom Pipeline'!B49,"")</f>
        <v/>
      </c>
      <c r="C182" s="22" t="str">
        <f aca="false">IF(('MiT Strom Pipeline'!R49="follow-up")+('MiT Strom Pipeline'!R49="Evaluation")+('MiT Strom Pipeline'!R49="tbd")+('MiT Strom Pipeline'!R49="In evaluation")&gt;0,'MiT Strom Pipeline'!C49,"")</f>
        <v/>
      </c>
      <c r="D182" s="23" t="str">
        <f aca="false">IF(('MiT Strom Pipeline'!R49="follow-up")+('MiT Strom Pipeline'!R49="Evaluation")+('MiT Strom Pipeline'!R49="tbd")+('MiT Strom Pipeline'!R49="In evaluation")&gt;0,'MiT Strom Pipeline'!D49,"")</f>
        <v/>
      </c>
      <c r="E182" s="23" t="str">
        <f aca="false">IF(('MiT Strom Pipeline'!R49="follow-up")+('MiT Strom Pipeline'!R49="Evaluation")+('MiT Strom Pipeline'!R49="tbd")+('MiT Strom Pipeline'!R49="In evaluation")&gt;0,'MiT Strom Pipeline'!E49,"")</f>
        <v/>
      </c>
      <c r="F182" s="24" t="str">
        <f aca="false">IF(('MiT Strom Pipeline'!R49="follow-up")+('MiT Strom Pipeline'!R49="Evaluation")+('MiT Strom Pipeline'!R49="tbd")+('MiT Strom Pipeline'!R49="In evaluation")&gt;0,IF(ISNUMBER('MiT Strom Pipeline'!I49),'MiT Strom Pipeline'!I49,0),"")</f>
        <v/>
      </c>
      <c r="G182" s="24" t="str">
        <f aca="false">IF(('MiT Strom Pipeline'!R49="follow-up")+('MiT Strom Pipeline'!R49="Evaluation")+('MiT Strom Pipeline'!R49="tbd")+('MiT Strom Pipeline'!R49="In evaluation")&gt;0,IF(ISNUMBER('MiT Strom Pipeline'!Q49),'MiT Strom Pipeline'!Q49,0),"")</f>
        <v/>
      </c>
      <c r="H182" s="24" t="str">
        <f aca="false">IF(('MiT Strom Pipeline'!R49="follow-up")+('MiT Strom Pipeline'!R49="Evaluation")+('MiT Strom Pipeline'!R49="tbd")+('MiT Strom Pipeline'!R49="In evaluation")&gt;0,IF(ISNUMBER('MiT Strom Pipeline'!O49),'MiT Strom Pipeline'!O49,0),"")</f>
        <v/>
      </c>
      <c r="I182" s="22" t="str">
        <f aca="false">IF(('MiT Strom Pipeline'!R49="follow-up")+('MiT Strom Pipeline'!R49="Evaluation")+('MiT Strom Pipeline'!R49="tbd")+('MiT Strom Pipeline'!R49="In evaluation")&gt;0,'MiT Strom Pipeline'!R49,"")</f>
        <v/>
      </c>
      <c r="J182" s="22" t="str">
        <f aca="false">IF(('MiT Strom Pipeline'!R49="follow-up")+('MiT Strom Pipeline'!R49="Evaluation")+('MiT Strom Pipeline'!R49="tbd")+('MiT Strom Pipeline'!R49="In evaluation")&gt;0,'MiT Strom Pipeline'!S49,"")</f>
        <v/>
      </c>
      <c r="K182" s="23" t="str">
        <f aca="false">IF(('MiT Strom Pipeline'!R49="follow-up")+('MiT Strom Pipeline'!R49="Evaluation")+('MiT Strom Pipeline'!R49="tbd")+('MiT Strom Pipeline'!R49="In evaluation")&gt;0,IF(LEN('MiT Strom Pipeline'!V49)&gt;0,LEFT('MiT Strom Pipeline'!V49,55),""),"")</f>
        <v/>
      </c>
    </row>
    <row r="183" customFormat="false" ht="15.75" hidden="false" customHeight="true" outlineLevel="0" collapsed="false">
      <c r="A183" s="38" t="str">
        <f aca="false">IF(('MiT Strom Pipeline'!R50="follow-up")+('MiT Strom Pipeline'!R50="Evaluation")+('MiT Strom Pipeline'!R50="tbd")+('MiT Strom Pipeline'!R50="In evaluation")&gt;0,IF(ISNUMBER('MiT Strom Pipeline'!A50),'MiT Strom Pipeline'!A50,""),"")</f>
        <v/>
      </c>
      <c r="B183" s="39" t="str">
        <f aca="false">IF(('MiT Strom Pipeline'!R50="follow-up")+('MiT Strom Pipeline'!R50="Evaluation")+('MiT Strom Pipeline'!R50="tbd")+('MiT Strom Pipeline'!R50="In evaluation")&gt;0,'MiT Strom Pipeline'!B50,"")</f>
        <v/>
      </c>
      <c r="C183" s="38" t="str">
        <f aca="false">IF(('MiT Strom Pipeline'!R50="follow-up")+('MiT Strom Pipeline'!R50="Evaluation")+('MiT Strom Pipeline'!R50="tbd")+('MiT Strom Pipeline'!R50="In evaluation")&gt;0,'MiT Strom Pipeline'!C50,"")</f>
        <v/>
      </c>
      <c r="D183" s="39" t="str">
        <f aca="false">IF(('MiT Strom Pipeline'!R50="follow-up")+('MiT Strom Pipeline'!R50="Evaluation")+('MiT Strom Pipeline'!R50="tbd")+('MiT Strom Pipeline'!R50="In evaluation")&gt;0,'MiT Strom Pipeline'!D50,"")</f>
        <v/>
      </c>
      <c r="E183" s="39" t="str">
        <f aca="false">IF(('MiT Strom Pipeline'!R50="follow-up")+('MiT Strom Pipeline'!R50="Evaluation")+('MiT Strom Pipeline'!R50="tbd")+('MiT Strom Pipeline'!R50="In evaluation")&gt;0,'MiT Strom Pipeline'!E50,"")</f>
        <v/>
      </c>
      <c r="F183" s="40" t="str">
        <f aca="false">IF(('MiT Strom Pipeline'!R50="follow-up")+('MiT Strom Pipeline'!R50="Evaluation")+('MiT Strom Pipeline'!R50="tbd")+('MiT Strom Pipeline'!R50="In evaluation")&gt;0,IF(ISNUMBER('MiT Strom Pipeline'!I50),'MiT Strom Pipeline'!I50,0),"")</f>
        <v/>
      </c>
      <c r="G183" s="40" t="str">
        <f aca="false">IF(('MiT Strom Pipeline'!R50="follow-up")+('MiT Strom Pipeline'!R50="Evaluation")+('MiT Strom Pipeline'!R50="tbd")+('MiT Strom Pipeline'!R50="In evaluation")&gt;0,IF(ISNUMBER('MiT Strom Pipeline'!Q50),'MiT Strom Pipeline'!Q50,0),"")</f>
        <v/>
      </c>
      <c r="H183" s="40" t="str">
        <f aca="false">IF(('MiT Strom Pipeline'!R50="follow-up")+('MiT Strom Pipeline'!R50="Evaluation")+('MiT Strom Pipeline'!R50="tbd")+('MiT Strom Pipeline'!R50="In evaluation")&gt;0,IF(ISNUMBER('MiT Strom Pipeline'!O50),'MiT Strom Pipeline'!O50,0),"")</f>
        <v/>
      </c>
      <c r="I183" s="38" t="str">
        <f aca="false">IF(('MiT Strom Pipeline'!R50="follow-up")+('MiT Strom Pipeline'!R50="Evaluation")+('MiT Strom Pipeline'!R50="tbd")+('MiT Strom Pipeline'!R50="In evaluation")&gt;0,'MiT Strom Pipeline'!R50,"")</f>
        <v/>
      </c>
      <c r="J183" s="38" t="str">
        <f aca="false">IF(('MiT Strom Pipeline'!R50="follow-up")+('MiT Strom Pipeline'!R50="Evaluation")+('MiT Strom Pipeline'!R50="tbd")+('MiT Strom Pipeline'!R50="In evaluation")&gt;0,'MiT Strom Pipeline'!S50,"")</f>
        <v/>
      </c>
      <c r="K183" s="39" t="str">
        <f aca="false">IF(('MiT Strom Pipeline'!R50="follow-up")+('MiT Strom Pipeline'!R50="Evaluation")+('MiT Strom Pipeline'!R50="tbd")+('MiT Strom Pipeline'!R50="In evaluation")&gt;0,IF(LEN('MiT Strom Pipeline'!V50)&gt;0,LEFT('MiT Strom Pipeline'!V50,55),""),"")</f>
        <v/>
      </c>
    </row>
    <row r="184" customFormat="false" ht="15.75" hidden="false" customHeight="true" outlineLevel="0" collapsed="false">
      <c r="A184" s="22" t="str">
        <f aca="false">IF(('MiT Strom Pipeline'!R51="follow-up")+('MiT Strom Pipeline'!R51="Evaluation")+('MiT Strom Pipeline'!R51="tbd")+('MiT Strom Pipeline'!R51="In evaluation")&gt;0,IF(ISNUMBER('MiT Strom Pipeline'!A51),'MiT Strom Pipeline'!A51,""),"")</f>
        <v/>
      </c>
      <c r="B184" s="23" t="str">
        <f aca="false">IF(('MiT Strom Pipeline'!R51="follow-up")+('MiT Strom Pipeline'!R51="Evaluation")+('MiT Strom Pipeline'!R51="tbd")+('MiT Strom Pipeline'!R51="In evaluation")&gt;0,'MiT Strom Pipeline'!B51,"")</f>
        <v/>
      </c>
      <c r="C184" s="22" t="str">
        <f aca="false">IF(('MiT Strom Pipeline'!R51="follow-up")+('MiT Strom Pipeline'!R51="Evaluation")+('MiT Strom Pipeline'!R51="tbd")+('MiT Strom Pipeline'!R51="In evaluation")&gt;0,'MiT Strom Pipeline'!C51,"")</f>
        <v/>
      </c>
      <c r="D184" s="23" t="str">
        <f aca="false">IF(('MiT Strom Pipeline'!R51="follow-up")+('MiT Strom Pipeline'!R51="Evaluation")+('MiT Strom Pipeline'!R51="tbd")+('MiT Strom Pipeline'!R51="In evaluation")&gt;0,'MiT Strom Pipeline'!D51,"")</f>
        <v/>
      </c>
      <c r="E184" s="23" t="str">
        <f aca="false">IF(('MiT Strom Pipeline'!R51="follow-up")+('MiT Strom Pipeline'!R51="Evaluation")+('MiT Strom Pipeline'!R51="tbd")+('MiT Strom Pipeline'!R51="In evaluation")&gt;0,'MiT Strom Pipeline'!E51,"")</f>
        <v/>
      </c>
      <c r="F184" s="24" t="str">
        <f aca="false">IF(('MiT Strom Pipeline'!R51="follow-up")+('MiT Strom Pipeline'!R51="Evaluation")+('MiT Strom Pipeline'!R51="tbd")+('MiT Strom Pipeline'!R51="In evaluation")&gt;0,IF(ISNUMBER('MiT Strom Pipeline'!I51),'MiT Strom Pipeline'!I51,0),"")</f>
        <v/>
      </c>
      <c r="G184" s="24" t="str">
        <f aca="false">IF(('MiT Strom Pipeline'!R51="follow-up")+('MiT Strom Pipeline'!R51="Evaluation")+('MiT Strom Pipeline'!R51="tbd")+('MiT Strom Pipeline'!R51="In evaluation")&gt;0,IF(ISNUMBER('MiT Strom Pipeline'!Q51),'MiT Strom Pipeline'!Q51,0),"")</f>
        <v/>
      </c>
      <c r="H184" s="24" t="str">
        <f aca="false">IF(('MiT Strom Pipeline'!R51="follow-up")+('MiT Strom Pipeline'!R51="Evaluation")+('MiT Strom Pipeline'!R51="tbd")+('MiT Strom Pipeline'!R51="In evaluation")&gt;0,IF(ISNUMBER('MiT Strom Pipeline'!O51),'MiT Strom Pipeline'!O51,0),"")</f>
        <v/>
      </c>
      <c r="I184" s="22" t="str">
        <f aca="false">IF(('MiT Strom Pipeline'!R51="follow-up")+('MiT Strom Pipeline'!R51="Evaluation")+('MiT Strom Pipeline'!R51="tbd")+('MiT Strom Pipeline'!R51="In evaluation")&gt;0,'MiT Strom Pipeline'!R51,"")</f>
        <v/>
      </c>
      <c r="J184" s="22" t="str">
        <f aca="false">IF(('MiT Strom Pipeline'!R51="follow-up")+('MiT Strom Pipeline'!R51="Evaluation")+('MiT Strom Pipeline'!R51="tbd")+('MiT Strom Pipeline'!R51="In evaluation")&gt;0,'MiT Strom Pipeline'!S51,"")</f>
        <v/>
      </c>
      <c r="K184" s="23" t="str">
        <f aca="false">IF(('MiT Strom Pipeline'!R51="follow-up")+('MiT Strom Pipeline'!R51="Evaluation")+('MiT Strom Pipeline'!R51="tbd")+('MiT Strom Pipeline'!R51="In evaluation")&gt;0,IF(LEN('MiT Strom Pipeline'!V51)&gt;0,LEFT('MiT Strom Pipeline'!V51,55),""),"")</f>
        <v/>
      </c>
    </row>
    <row r="185" customFormat="false" ht="15.75" hidden="false" customHeight="true" outlineLevel="0" collapsed="false">
      <c r="A185" s="38" t="str">
        <f aca="false">IF(('MiT Strom Pipeline'!R52="follow-up")+('MiT Strom Pipeline'!R52="Evaluation")+('MiT Strom Pipeline'!R52="tbd")+('MiT Strom Pipeline'!R52="In evaluation")&gt;0,IF(ISNUMBER('MiT Strom Pipeline'!A52),'MiT Strom Pipeline'!A52,""),"")</f>
        <v/>
      </c>
      <c r="B185" s="39" t="str">
        <f aca="false">IF(('MiT Strom Pipeline'!R52="follow-up")+('MiT Strom Pipeline'!R52="Evaluation")+('MiT Strom Pipeline'!R52="tbd")+('MiT Strom Pipeline'!R52="In evaluation")&gt;0,'MiT Strom Pipeline'!B52,"")</f>
        <v/>
      </c>
      <c r="C185" s="38" t="str">
        <f aca="false">IF(('MiT Strom Pipeline'!R52="follow-up")+('MiT Strom Pipeline'!R52="Evaluation")+('MiT Strom Pipeline'!R52="tbd")+('MiT Strom Pipeline'!R52="In evaluation")&gt;0,'MiT Strom Pipeline'!C52,"")</f>
        <v/>
      </c>
      <c r="D185" s="39" t="str">
        <f aca="false">IF(('MiT Strom Pipeline'!R52="follow-up")+('MiT Strom Pipeline'!R52="Evaluation")+('MiT Strom Pipeline'!R52="tbd")+('MiT Strom Pipeline'!R52="In evaluation")&gt;0,'MiT Strom Pipeline'!D52,"")</f>
        <v/>
      </c>
      <c r="E185" s="39" t="str">
        <f aca="false">IF(('MiT Strom Pipeline'!R52="follow-up")+('MiT Strom Pipeline'!R52="Evaluation")+('MiT Strom Pipeline'!R52="tbd")+('MiT Strom Pipeline'!R52="In evaluation")&gt;0,'MiT Strom Pipeline'!E52,"")</f>
        <v/>
      </c>
      <c r="F185" s="40" t="str">
        <f aca="false">IF(('MiT Strom Pipeline'!R52="follow-up")+('MiT Strom Pipeline'!R52="Evaluation")+('MiT Strom Pipeline'!R52="tbd")+('MiT Strom Pipeline'!R52="In evaluation")&gt;0,IF(ISNUMBER('MiT Strom Pipeline'!I52),'MiT Strom Pipeline'!I52,0),"")</f>
        <v/>
      </c>
      <c r="G185" s="40" t="str">
        <f aca="false">IF(('MiT Strom Pipeline'!R52="follow-up")+('MiT Strom Pipeline'!R52="Evaluation")+('MiT Strom Pipeline'!R52="tbd")+('MiT Strom Pipeline'!R52="In evaluation")&gt;0,IF(ISNUMBER('MiT Strom Pipeline'!Q52),'MiT Strom Pipeline'!Q52,0),"")</f>
        <v/>
      </c>
      <c r="H185" s="40" t="str">
        <f aca="false">IF(('MiT Strom Pipeline'!R52="follow-up")+('MiT Strom Pipeline'!R52="Evaluation")+('MiT Strom Pipeline'!R52="tbd")+('MiT Strom Pipeline'!R52="In evaluation")&gt;0,IF(ISNUMBER('MiT Strom Pipeline'!O52),'MiT Strom Pipeline'!O52,0),"")</f>
        <v/>
      </c>
      <c r="I185" s="38" t="str">
        <f aca="false">IF(('MiT Strom Pipeline'!R52="follow-up")+('MiT Strom Pipeline'!R52="Evaluation")+('MiT Strom Pipeline'!R52="tbd")+('MiT Strom Pipeline'!R52="In evaluation")&gt;0,'MiT Strom Pipeline'!R52,"")</f>
        <v/>
      </c>
      <c r="J185" s="38" t="str">
        <f aca="false">IF(('MiT Strom Pipeline'!R52="follow-up")+('MiT Strom Pipeline'!R52="Evaluation")+('MiT Strom Pipeline'!R52="tbd")+('MiT Strom Pipeline'!R52="In evaluation")&gt;0,'MiT Strom Pipeline'!S52,"")</f>
        <v/>
      </c>
      <c r="K185" s="39" t="str">
        <f aca="false">IF(('MiT Strom Pipeline'!R52="follow-up")+('MiT Strom Pipeline'!R52="Evaluation")+('MiT Strom Pipeline'!R52="tbd")+('MiT Strom Pipeline'!R52="In evaluation")&gt;0,IF(LEN('MiT Strom Pipeline'!V52)&gt;0,LEFT('MiT Strom Pipeline'!V52,55),""),"")</f>
        <v/>
      </c>
    </row>
    <row r="186" customFormat="false" ht="15.75" hidden="false" customHeight="true" outlineLevel="0" collapsed="false">
      <c r="A186" s="22" t="str">
        <f aca="false">IF(('MiT Strom Pipeline'!R53="follow-up")+('MiT Strom Pipeline'!R53="Evaluation")+('MiT Strom Pipeline'!R53="tbd")+('MiT Strom Pipeline'!R53="In evaluation")&gt;0,IF(ISNUMBER('MiT Strom Pipeline'!A53),'MiT Strom Pipeline'!A53,""),"")</f>
        <v/>
      </c>
      <c r="B186" s="23" t="str">
        <f aca="false">IF(('MiT Strom Pipeline'!R53="follow-up")+('MiT Strom Pipeline'!R53="Evaluation")+('MiT Strom Pipeline'!R53="tbd")+('MiT Strom Pipeline'!R53="In evaluation")&gt;0,'MiT Strom Pipeline'!B53,"")</f>
        <v/>
      </c>
      <c r="C186" s="22" t="str">
        <f aca="false">IF(('MiT Strom Pipeline'!R53="follow-up")+('MiT Strom Pipeline'!R53="Evaluation")+('MiT Strom Pipeline'!R53="tbd")+('MiT Strom Pipeline'!R53="In evaluation")&gt;0,'MiT Strom Pipeline'!C53,"")</f>
        <v/>
      </c>
      <c r="D186" s="23" t="str">
        <f aca="false">IF(('MiT Strom Pipeline'!R53="follow-up")+('MiT Strom Pipeline'!R53="Evaluation")+('MiT Strom Pipeline'!R53="tbd")+('MiT Strom Pipeline'!R53="In evaluation")&gt;0,'MiT Strom Pipeline'!D53,"")</f>
        <v/>
      </c>
      <c r="E186" s="23" t="str">
        <f aca="false">IF(('MiT Strom Pipeline'!R53="follow-up")+('MiT Strom Pipeline'!R53="Evaluation")+('MiT Strom Pipeline'!R53="tbd")+('MiT Strom Pipeline'!R53="In evaluation")&gt;0,'MiT Strom Pipeline'!E53,"")</f>
        <v/>
      </c>
      <c r="F186" s="24" t="str">
        <f aca="false">IF(('MiT Strom Pipeline'!R53="follow-up")+('MiT Strom Pipeline'!R53="Evaluation")+('MiT Strom Pipeline'!R53="tbd")+('MiT Strom Pipeline'!R53="In evaluation")&gt;0,IF(ISNUMBER('MiT Strom Pipeline'!I53),'MiT Strom Pipeline'!I53,0),"")</f>
        <v/>
      </c>
      <c r="G186" s="24" t="str">
        <f aca="false">IF(('MiT Strom Pipeline'!R53="follow-up")+('MiT Strom Pipeline'!R53="Evaluation")+('MiT Strom Pipeline'!R53="tbd")+('MiT Strom Pipeline'!R53="In evaluation")&gt;0,IF(ISNUMBER('MiT Strom Pipeline'!Q53),'MiT Strom Pipeline'!Q53,0),"")</f>
        <v/>
      </c>
      <c r="H186" s="24" t="str">
        <f aca="false">IF(('MiT Strom Pipeline'!R53="follow-up")+('MiT Strom Pipeline'!R53="Evaluation")+('MiT Strom Pipeline'!R53="tbd")+('MiT Strom Pipeline'!R53="In evaluation")&gt;0,IF(ISNUMBER('MiT Strom Pipeline'!O53),'MiT Strom Pipeline'!O53,0),"")</f>
        <v/>
      </c>
      <c r="I186" s="22" t="str">
        <f aca="false">IF(('MiT Strom Pipeline'!R53="follow-up")+('MiT Strom Pipeline'!R53="Evaluation")+('MiT Strom Pipeline'!R53="tbd")+('MiT Strom Pipeline'!R53="In evaluation")&gt;0,'MiT Strom Pipeline'!R53,"")</f>
        <v/>
      </c>
      <c r="J186" s="22" t="str">
        <f aca="false">IF(('MiT Strom Pipeline'!R53="follow-up")+('MiT Strom Pipeline'!R53="Evaluation")+('MiT Strom Pipeline'!R53="tbd")+('MiT Strom Pipeline'!R53="In evaluation")&gt;0,'MiT Strom Pipeline'!S53,"")</f>
        <v/>
      </c>
      <c r="K186" s="23" t="str">
        <f aca="false">IF(('MiT Strom Pipeline'!R53="follow-up")+('MiT Strom Pipeline'!R53="Evaluation")+('MiT Strom Pipeline'!R53="tbd")+('MiT Strom Pipeline'!R53="In evaluation")&gt;0,IF(LEN('MiT Strom Pipeline'!V53)&gt;0,LEFT('MiT Strom Pipeline'!V53,55),""),"")</f>
        <v/>
      </c>
    </row>
    <row r="187" customFormat="false" ht="15.75" hidden="false" customHeight="true" outlineLevel="0" collapsed="false">
      <c r="A187" s="38" t="str">
        <f aca="false">IF(('MiT Strom Pipeline'!R54="follow-up")+('MiT Strom Pipeline'!R54="Evaluation")+('MiT Strom Pipeline'!R54="tbd")+('MiT Strom Pipeline'!R54="In evaluation")&gt;0,IF(ISNUMBER('MiT Strom Pipeline'!A54),'MiT Strom Pipeline'!A54,""),"")</f>
        <v/>
      </c>
      <c r="B187" s="39" t="str">
        <f aca="false">IF(('MiT Strom Pipeline'!R54="follow-up")+('MiT Strom Pipeline'!R54="Evaluation")+('MiT Strom Pipeline'!R54="tbd")+('MiT Strom Pipeline'!R54="In evaluation")&gt;0,'MiT Strom Pipeline'!B54,"")</f>
        <v/>
      </c>
      <c r="C187" s="38" t="str">
        <f aca="false">IF(('MiT Strom Pipeline'!R54="follow-up")+('MiT Strom Pipeline'!R54="Evaluation")+('MiT Strom Pipeline'!R54="tbd")+('MiT Strom Pipeline'!R54="In evaluation")&gt;0,'MiT Strom Pipeline'!C54,"")</f>
        <v/>
      </c>
      <c r="D187" s="39" t="str">
        <f aca="false">IF(('MiT Strom Pipeline'!R54="follow-up")+('MiT Strom Pipeline'!R54="Evaluation")+('MiT Strom Pipeline'!R54="tbd")+('MiT Strom Pipeline'!R54="In evaluation")&gt;0,'MiT Strom Pipeline'!D54,"")</f>
        <v/>
      </c>
      <c r="E187" s="39" t="str">
        <f aca="false">IF(('MiT Strom Pipeline'!R54="follow-up")+('MiT Strom Pipeline'!R54="Evaluation")+('MiT Strom Pipeline'!R54="tbd")+('MiT Strom Pipeline'!R54="In evaluation")&gt;0,'MiT Strom Pipeline'!E54,"")</f>
        <v/>
      </c>
      <c r="F187" s="40" t="str">
        <f aca="false">IF(('MiT Strom Pipeline'!R54="follow-up")+('MiT Strom Pipeline'!R54="Evaluation")+('MiT Strom Pipeline'!R54="tbd")+('MiT Strom Pipeline'!R54="In evaluation")&gt;0,IF(ISNUMBER('MiT Strom Pipeline'!I54),'MiT Strom Pipeline'!I54,0),"")</f>
        <v/>
      </c>
      <c r="G187" s="40" t="str">
        <f aca="false">IF(('MiT Strom Pipeline'!R54="follow-up")+('MiT Strom Pipeline'!R54="Evaluation")+('MiT Strom Pipeline'!R54="tbd")+('MiT Strom Pipeline'!R54="In evaluation")&gt;0,IF(ISNUMBER('MiT Strom Pipeline'!Q54),'MiT Strom Pipeline'!Q54,0),"")</f>
        <v/>
      </c>
      <c r="H187" s="40" t="str">
        <f aca="false">IF(('MiT Strom Pipeline'!R54="follow-up")+('MiT Strom Pipeline'!R54="Evaluation")+('MiT Strom Pipeline'!R54="tbd")+('MiT Strom Pipeline'!R54="In evaluation")&gt;0,IF(ISNUMBER('MiT Strom Pipeline'!O54),'MiT Strom Pipeline'!O54,0),"")</f>
        <v/>
      </c>
      <c r="I187" s="38" t="str">
        <f aca="false">IF(('MiT Strom Pipeline'!R54="follow-up")+('MiT Strom Pipeline'!R54="Evaluation")+('MiT Strom Pipeline'!R54="tbd")+('MiT Strom Pipeline'!R54="In evaluation")&gt;0,'MiT Strom Pipeline'!R54,"")</f>
        <v/>
      </c>
      <c r="J187" s="38" t="str">
        <f aca="false">IF(('MiT Strom Pipeline'!R54="follow-up")+('MiT Strom Pipeline'!R54="Evaluation")+('MiT Strom Pipeline'!R54="tbd")+('MiT Strom Pipeline'!R54="In evaluation")&gt;0,'MiT Strom Pipeline'!S54,"")</f>
        <v/>
      </c>
      <c r="K187" s="39" t="str">
        <f aca="false">IF(('MiT Strom Pipeline'!R54="follow-up")+('MiT Strom Pipeline'!R54="Evaluation")+('MiT Strom Pipeline'!R54="tbd")+('MiT Strom Pipeline'!R54="In evaluation")&gt;0,IF(LEN('MiT Strom Pipeline'!V54)&gt;0,LEFT('MiT Strom Pipeline'!V54,55),""),"")</f>
        <v/>
      </c>
    </row>
    <row r="188" customFormat="false" ht="15.75" hidden="false" customHeight="true" outlineLevel="0" collapsed="false">
      <c r="A188" s="22" t="str">
        <f aca="false">IF(('MiT Strom Pipeline'!R55="follow-up")+('MiT Strom Pipeline'!R55="Evaluation")+('MiT Strom Pipeline'!R55="tbd")+('MiT Strom Pipeline'!R55="In evaluation")&gt;0,IF(ISNUMBER('MiT Strom Pipeline'!A55),'MiT Strom Pipeline'!A55,""),"")</f>
        <v/>
      </c>
      <c r="B188" s="23" t="str">
        <f aca="false">IF(('MiT Strom Pipeline'!R55="follow-up")+('MiT Strom Pipeline'!R55="Evaluation")+('MiT Strom Pipeline'!R55="tbd")+('MiT Strom Pipeline'!R55="In evaluation")&gt;0,'MiT Strom Pipeline'!B55,"")</f>
        <v/>
      </c>
      <c r="C188" s="22" t="str">
        <f aca="false">IF(('MiT Strom Pipeline'!R55="follow-up")+('MiT Strom Pipeline'!R55="Evaluation")+('MiT Strom Pipeline'!R55="tbd")+('MiT Strom Pipeline'!R55="In evaluation")&gt;0,'MiT Strom Pipeline'!C55,"")</f>
        <v/>
      </c>
      <c r="D188" s="23" t="str">
        <f aca="false">IF(('MiT Strom Pipeline'!R55="follow-up")+('MiT Strom Pipeline'!R55="Evaluation")+('MiT Strom Pipeline'!R55="tbd")+('MiT Strom Pipeline'!R55="In evaluation")&gt;0,'MiT Strom Pipeline'!D55,"")</f>
        <v/>
      </c>
      <c r="E188" s="23" t="str">
        <f aca="false">IF(('MiT Strom Pipeline'!R55="follow-up")+('MiT Strom Pipeline'!R55="Evaluation")+('MiT Strom Pipeline'!R55="tbd")+('MiT Strom Pipeline'!R55="In evaluation")&gt;0,'MiT Strom Pipeline'!E55,"")</f>
        <v/>
      </c>
      <c r="F188" s="24" t="str">
        <f aca="false">IF(('MiT Strom Pipeline'!R55="follow-up")+('MiT Strom Pipeline'!R55="Evaluation")+('MiT Strom Pipeline'!R55="tbd")+('MiT Strom Pipeline'!R55="In evaluation")&gt;0,IF(ISNUMBER('MiT Strom Pipeline'!I55),'MiT Strom Pipeline'!I55,0),"")</f>
        <v/>
      </c>
      <c r="G188" s="24" t="str">
        <f aca="false">IF(('MiT Strom Pipeline'!R55="follow-up")+('MiT Strom Pipeline'!R55="Evaluation")+('MiT Strom Pipeline'!R55="tbd")+('MiT Strom Pipeline'!R55="In evaluation")&gt;0,IF(ISNUMBER('MiT Strom Pipeline'!Q55),'MiT Strom Pipeline'!Q55,0),"")</f>
        <v/>
      </c>
      <c r="H188" s="24" t="str">
        <f aca="false">IF(('MiT Strom Pipeline'!R55="follow-up")+('MiT Strom Pipeline'!R55="Evaluation")+('MiT Strom Pipeline'!R55="tbd")+('MiT Strom Pipeline'!R55="In evaluation")&gt;0,IF(ISNUMBER('MiT Strom Pipeline'!O55),'MiT Strom Pipeline'!O55,0),"")</f>
        <v/>
      </c>
      <c r="I188" s="22" t="str">
        <f aca="false">IF(('MiT Strom Pipeline'!R55="follow-up")+('MiT Strom Pipeline'!R55="Evaluation")+('MiT Strom Pipeline'!R55="tbd")+('MiT Strom Pipeline'!R55="In evaluation")&gt;0,'MiT Strom Pipeline'!R55,"")</f>
        <v/>
      </c>
      <c r="J188" s="22" t="str">
        <f aca="false">IF(('MiT Strom Pipeline'!R55="follow-up")+('MiT Strom Pipeline'!R55="Evaluation")+('MiT Strom Pipeline'!R55="tbd")+('MiT Strom Pipeline'!R55="In evaluation")&gt;0,'MiT Strom Pipeline'!S55,"")</f>
        <v/>
      </c>
      <c r="K188" s="23" t="str">
        <f aca="false">IF(('MiT Strom Pipeline'!R55="follow-up")+('MiT Strom Pipeline'!R55="Evaluation")+('MiT Strom Pipeline'!R55="tbd")+('MiT Strom Pipeline'!R55="In evaluation")&gt;0,IF(LEN('MiT Strom Pipeline'!V55)&gt;0,LEFT('MiT Strom Pipeline'!V55,55),""),"")</f>
        <v/>
      </c>
    </row>
    <row r="189" customFormat="false" ht="15.75" hidden="false" customHeight="true" outlineLevel="0" collapsed="false">
      <c r="A189" s="38" t="str">
        <f aca="false">IF(('MiT Strom Pipeline'!R56="follow-up")+('MiT Strom Pipeline'!R56="Evaluation")+('MiT Strom Pipeline'!R56="tbd")+('MiT Strom Pipeline'!R56="In evaluation")&gt;0,IF(ISNUMBER('MiT Strom Pipeline'!A56),'MiT Strom Pipeline'!A56,""),"")</f>
        <v/>
      </c>
      <c r="B189" s="39" t="str">
        <f aca="false">IF(('MiT Strom Pipeline'!R56="follow-up")+('MiT Strom Pipeline'!R56="Evaluation")+('MiT Strom Pipeline'!R56="tbd")+('MiT Strom Pipeline'!R56="In evaluation")&gt;0,'MiT Strom Pipeline'!B56,"")</f>
        <v/>
      </c>
      <c r="C189" s="38" t="str">
        <f aca="false">IF(('MiT Strom Pipeline'!R56="follow-up")+('MiT Strom Pipeline'!R56="Evaluation")+('MiT Strom Pipeline'!R56="tbd")+('MiT Strom Pipeline'!R56="In evaluation")&gt;0,'MiT Strom Pipeline'!C56,"")</f>
        <v/>
      </c>
      <c r="D189" s="39" t="str">
        <f aca="false">IF(('MiT Strom Pipeline'!R56="follow-up")+('MiT Strom Pipeline'!R56="Evaluation")+('MiT Strom Pipeline'!R56="tbd")+('MiT Strom Pipeline'!R56="In evaluation")&gt;0,'MiT Strom Pipeline'!D56,"")</f>
        <v/>
      </c>
      <c r="E189" s="39" t="str">
        <f aca="false">IF(('MiT Strom Pipeline'!R56="follow-up")+('MiT Strom Pipeline'!R56="Evaluation")+('MiT Strom Pipeline'!R56="tbd")+('MiT Strom Pipeline'!R56="In evaluation")&gt;0,'MiT Strom Pipeline'!E56,"")</f>
        <v/>
      </c>
      <c r="F189" s="40" t="str">
        <f aca="false">IF(('MiT Strom Pipeline'!R56="follow-up")+('MiT Strom Pipeline'!R56="Evaluation")+('MiT Strom Pipeline'!R56="tbd")+('MiT Strom Pipeline'!R56="In evaluation")&gt;0,IF(ISNUMBER('MiT Strom Pipeline'!I56),'MiT Strom Pipeline'!I56,0),"")</f>
        <v/>
      </c>
      <c r="G189" s="40" t="str">
        <f aca="false">IF(('MiT Strom Pipeline'!R56="follow-up")+('MiT Strom Pipeline'!R56="Evaluation")+('MiT Strom Pipeline'!R56="tbd")+('MiT Strom Pipeline'!R56="In evaluation")&gt;0,IF(ISNUMBER('MiT Strom Pipeline'!Q56),'MiT Strom Pipeline'!Q56,0),"")</f>
        <v/>
      </c>
      <c r="H189" s="40" t="str">
        <f aca="false">IF(('MiT Strom Pipeline'!R56="follow-up")+('MiT Strom Pipeline'!R56="Evaluation")+('MiT Strom Pipeline'!R56="tbd")+('MiT Strom Pipeline'!R56="In evaluation")&gt;0,IF(ISNUMBER('MiT Strom Pipeline'!O56),'MiT Strom Pipeline'!O56,0),"")</f>
        <v/>
      </c>
      <c r="I189" s="38" t="str">
        <f aca="false">IF(('MiT Strom Pipeline'!R56="follow-up")+('MiT Strom Pipeline'!R56="Evaluation")+('MiT Strom Pipeline'!R56="tbd")+('MiT Strom Pipeline'!R56="In evaluation")&gt;0,'MiT Strom Pipeline'!R56,"")</f>
        <v/>
      </c>
      <c r="J189" s="38" t="str">
        <f aca="false">IF(('MiT Strom Pipeline'!R56="follow-up")+('MiT Strom Pipeline'!R56="Evaluation")+('MiT Strom Pipeline'!R56="tbd")+('MiT Strom Pipeline'!R56="In evaluation")&gt;0,'MiT Strom Pipeline'!S56,"")</f>
        <v/>
      </c>
      <c r="K189" s="39" t="str">
        <f aca="false">IF(('MiT Strom Pipeline'!R56="follow-up")+('MiT Strom Pipeline'!R56="Evaluation")+('MiT Strom Pipeline'!R56="tbd")+('MiT Strom Pipeline'!R56="In evaluation")&gt;0,IF(LEN('MiT Strom Pipeline'!V56)&gt;0,LEFT('MiT Strom Pipeline'!V56,55),""),"")</f>
        <v/>
      </c>
    </row>
    <row r="190" customFormat="false" ht="15.75" hidden="false" customHeight="true" outlineLevel="0" collapsed="false">
      <c r="A190" s="22" t="str">
        <f aca="false">IF(('MiT Strom Pipeline'!R57="follow-up")+('MiT Strom Pipeline'!R57="Evaluation")+('MiT Strom Pipeline'!R57="tbd")+('MiT Strom Pipeline'!R57="In evaluation")&gt;0,IF(ISNUMBER('MiT Strom Pipeline'!A57),'MiT Strom Pipeline'!A57,""),"")</f>
        <v/>
      </c>
      <c r="B190" s="23" t="str">
        <f aca="false">IF(('MiT Strom Pipeline'!R57="follow-up")+('MiT Strom Pipeline'!R57="Evaluation")+('MiT Strom Pipeline'!R57="tbd")+('MiT Strom Pipeline'!R57="In evaluation")&gt;0,'MiT Strom Pipeline'!B57,"")</f>
        <v/>
      </c>
      <c r="C190" s="22" t="str">
        <f aca="false">IF(('MiT Strom Pipeline'!R57="follow-up")+('MiT Strom Pipeline'!R57="Evaluation")+('MiT Strom Pipeline'!R57="tbd")+('MiT Strom Pipeline'!R57="In evaluation")&gt;0,'MiT Strom Pipeline'!C57,"")</f>
        <v/>
      </c>
      <c r="D190" s="23" t="str">
        <f aca="false">IF(('MiT Strom Pipeline'!R57="follow-up")+('MiT Strom Pipeline'!R57="Evaluation")+('MiT Strom Pipeline'!R57="tbd")+('MiT Strom Pipeline'!R57="In evaluation")&gt;0,'MiT Strom Pipeline'!D57,"")</f>
        <v/>
      </c>
      <c r="E190" s="23" t="str">
        <f aca="false">IF(('MiT Strom Pipeline'!R57="follow-up")+('MiT Strom Pipeline'!R57="Evaluation")+('MiT Strom Pipeline'!R57="tbd")+('MiT Strom Pipeline'!R57="In evaluation")&gt;0,'MiT Strom Pipeline'!E57,"")</f>
        <v/>
      </c>
      <c r="F190" s="24" t="str">
        <f aca="false">IF(('MiT Strom Pipeline'!R57="follow-up")+('MiT Strom Pipeline'!R57="Evaluation")+('MiT Strom Pipeline'!R57="tbd")+('MiT Strom Pipeline'!R57="In evaluation")&gt;0,IF(ISNUMBER('MiT Strom Pipeline'!I57),'MiT Strom Pipeline'!I57,0),"")</f>
        <v/>
      </c>
      <c r="G190" s="24" t="str">
        <f aca="false">IF(('MiT Strom Pipeline'!R57="follow-up")+('MiT Strom Pipeline'!R57="Evaluation")+('MiT Strom Pipeline'!R57="tbd")+('MiT Strom Pipeline'!R57="In evaluation")&gt;0,IF(ISNUMBER('MiT Strom Pipeline'!Q57),'MiT Strom Pipeline'!Q57,0),"")</f>
        <v/>
      </c>
      <c r="H190" s="24" t="str">
        <f aca="false">IF(('MiT Strom Pipeline'!R57="follow-up")+('MiT Strom Pipeline'!R57="Evaluation")+('MiT Strom Pipeline'!R57="tbd")+('MiT Strom Pipeline'!R57="In evaluation")&gt;0,IF(ISNUMBER('MiT Strom Pipeline'!O57),'MiT Strom Pipeline'!O57,0),"")</f>
        <v/>
      </c>
      <c r="I190" s="22" t="str">
        <f aca="false">IF(('MiT Strom Pipeline'!R57="follow-up")+('MiT Strom Pipeline'!R57="Evaluation")+('MiT Strom Pipeline'!R57="tbd")+('MiT Strom Pipeline'!R57="In evaluation")&gt;0,'MiT Strom Pipeline'!R57,"")</f>
        <v/>
      </c>
      <c r="J190" s="22" t="str">
        <f aca="false">IF(('MiT Strom Pipeline'!R57="follow-up")+('MiT Strom Pipeline'!R57="Evaluation")+('MiT Strom Pipeline'!R57="tbd")+('MiT Strom Pipeline'!R57="In evaluation")&gt;0,'MiT Strom Pipeline'!S57,"")</f>
        <v/>
      </c>
      <c r="K190" s="23" t="str">
        <f aca="false">IF(('MiT Strom Pipeline'!R57="follow-up")+('MiT Strom Pipeline'!R57="Evaluation")+('MiT Strom Pipeline'!R57="tbd")+('MiT Strom Pipeline'!R57="In evaluation")&gt;0,IF(LEN('MiT Strom Pipeline'!V57)&gt;0,LEFT('MiT Strom Pipeline'!V57,55),""),"")</f>
        <v/>
      </c>
    </row>
    <row r="191" customFormat="false" ht="15.75" hidden="false" customHeight="true" outlineLevel="0" collapsed="false">
      <c r="A191" s="38" t="str">
        <f aca="false">IF(('MiT Strom Pipeline'!R58="follow-up")+('MiT Strom Pipeline'!R58="Evaluation")+('MiT Strom Pipeline'!R58="tbd")+('MiT Strom Pipeline'!R58="In evaluation")&gt;0,IF(ISNUMBER('MiT Strom Pipeline'!A58),'MiT Strom Pipeline'!A58,""),"")</f>
        <v/>
      </c>
      <c r="B191" s="39" t="str">
        <f aca="false">IF(('MiT Strom Pipeline'!R58="follow-up")+('MiT Strom Pipeline'!R58="Evaluation")+('MiT Strom Pipeline'!R58="tbd")+('MiT Strom Pipeline'!R58="In evaluation")&gt;0,'MiT Strom Pipeline'!B58,"")</f>
        <v/>
      </c>
      <c r="C191" s="38" t="str">
        <f aca="false">IF(('MiT Strom Pipeline'!R58="follow-up")+('MiT Strom Pipeline'!R58="Evaluation")+('MiT Strom Pipeline'!R58="tbd")+('MiT Strom Pipeline'!R58="In evaluation")&gt;0,'MiT Strom Pipeline'!C58,"")</f>
        <v/>
      </c>
      <c r="D191" s="39" t="str">
        <f aca="false">IF(('MiT Strom Pipeline'!R58="follow-up")+('MiT Strom Pipeline'!R58="Evaluation")+('MiT Strom Pipeline'!R58="tbd")+('MiT Strom Pipeline'!R58="In evaluation")&gt;0,'MiT Strom Pipeline'!D58,"")</f>
        <v/>
      </c>
      <c r="E191" s="39" t="str">
        <f aca="false">IF(('MiT Strom Pipeline'!R58="follow-up")+('MiT Strom Pipeline'!R58="Evaluation")+('MiT Strom Pipeline'!R58="tbd")+('MiT Strom Pipeline'!R58="In evaluation")&gt;0,'MiT Strom Pipeline'!E58,"")</f>
        <v/>
      </c>
      <c r="F191" s="40" t="str">
        <f aca="false">IF(('MiT Strom Pipeline'!R58="follow-up")+('MiT Strom Pipeline'!R58="Evaluation")+('MiT Strom Pipeline'!R58="tbd")+('MiT Strom Pipeline'!R58="In evaluation")&gt;0,IF(ISNUMBER('MiT Strom Pipeline'!I58),'MiT Strom Pipeline'!I58,0),"")</f>
        <v/>
      </c>
      <c r="G191" s="40" t="str">
        <f aca="false">IF(('MiT Strom Pipeline'!R58="follow-up")+('MiT Strom Pipeline'!R58="Evaluation")+('MiT Strom Pipeline'!R58="tbd")+('MiT Strom Pipeline'!R58="In evaluation")&gt;0,IF(ISNUMBER('MiT Strom Pipeline'!Q58),'MiT Strom Pipeline'!Q58,0),"")</f>
        <v/>
      </c>
      <c r="H191" s="40" t="str">
        <f aca="false">IF(('MiT Strom Pipeline'!R58="follow-up")+('MiT Strom Pipeline'!R58="Evaluation")+('MiT Strom Pipeline'!R58="tbd")+('MiT Strom Pipeline'!R58="In evaluation")&gt;0,IF(ISNUMBER('MiT Strom Pipeline'!O58),'MiT Strom Pipeline'!O58,0),"")</f>
        <v/>
      </c>
      <c r="I191" s="38" t="str">
        <f aca="false">IF(('MiT Strom Pipeline'!R58="follow-up")+('MiT Strom Pipeline'!R58="Evaluation")+('MiT Strom Pipeline'!R58="tbd")+('MiT Strom Pipeline'!R58="In evaluation")&gt;0,'MiT Strom Pipeline'!R58,"")</f>
        <v/>
      </c>
      <c r="J191" s="38" t="str">
        <f aca="false">IF(('MiT Strom Pipeline'!R58="follow-up")+('MiT Strom Pipeline'!R58="Evaluation")+('MiT Strom Pipeline'!R58="tbd")+('MiT Strom Pipeline'!R58="In evaluation")&gt;0,'MiT Strom Pipeline'!S58,"")</f>
        <v/>
      </c>
      <c r="K191" s="39" t="str">
        <f aca="false">IF(('MiT Strom Pipeline'!R58="follow-up")+('MiT Strom Pipeline'!R58="Evaluation")+('MiT Strom Pipeline'!R58="tbd")+('MiT Strom Pipeline'!R58="In evaluation")&gt;0,IF(LEN('MiT Strom Pipeline'!V58)&gt;0,LEFT('MiT Strom Pipeline'!V58,55),""),"")</f>
        <v/>
      </c>
    </row>
    <row r="192" customFormat="false" ht="15.75" hidden="false" customHeight="true" outlineLevel="0" collapsed="false">
      <c r="A192" s="22" t="str">
        <f aca="false">IF(('MiT Strom Pipeline'!R59="follow-up")+('MiT Strom Pipeline'!R59="Evaluation")+('MiT Strom Pipeline'!R59="tbd")+('MiT Strom Pipeline'!R59="In evaluation")&gt;0,IF(ISNUMBER('MiT Strom Pipeline'!A59),'MiT Strom Pipeline'!A59,""),"")</f>
        <v/>
      </c>
      <c r="B192" s="23" t="str">
        <f aca="false">IF(('MiT Strom Pipeline'!R59="follow-up")+('MiT Strom Pipeline'!R59="Evaluation")+('MiT Strom Pipeline'!R59="tbd")+('MiT Strom Pipeline'!R59="In evaluation")&gt;0,'MiT Strom Pipeline'!B59,"")</f>
        <v/>
      </c>
      <c r="C192" s="22" t="str">
        <f aca="false">IF(('MiT Strom Pipeline'!R59="follow-up")+('MiT Strom Pipeline'!R59="Evaluation")+('MiT Strom Pipeline'!R59="tbd")+('MiT Strom Pipeline'!R59="In evaluation")&gt;0,'MiT Strom Pipeline'!C59,"")</f>
        <v/>
      </c>
      <c r="D192" s="23" t="str">
        <f aca="false">IF(('MiT Strom Pipeline'!R59="follow-up")+('MiT Strom Pipeline'!R59="Evaluation")+('MiT Strom Pipeline'!R59="tbd")+('MiT Strom Pipeline'!R59="In evaluation")&gt;0,'MiT Strom Pipeline'!D59,"")</f>
        <v/>
      </c>
      <c r="E192" s="23" t="str">
        <f aca="false">IF(('MiT Strom Pipeline'!R59="follow-up")+('MiT Strom Pipeline'!R59="Evaluation")+('MiT Strom Pipeline'!R59="tbd")+('MiT Strom Pipeline'!R59="In evaluation")&gt;0,'MiT Strom Pipeline'!E59,"")</f>
        <v/>
      </c>
      <c r="F192" s="24" t="str">
        <f aca="false">IF(('MiT Strom Pipeline'!R59="follow-up")+('MiT Strom Pipeline'!R59="Evaluation")+('MiT Strom Pipeline'!R59="tbd")+('MiT Strom Pipeline'!R59="In evaluation")&gt;0,IF(ISNUMBER('MiT Strom Pipeline'!I59),'MiT Strom Pipeline'!I59,0),"")</f>
        <v/>
      </c>
      <c r="G192" s="24" t="str">
        <f aca="false">IF(('MiT Strom Pipeline'!R59="follow-up")+('MiT Strom Pipeline'!R59="Evaluation")+('MiT Strom Pipeline'!R59="tbd")+('MiT Strom Pipeline'!R59="In evaluation")&gt;0,IF(ISNUMBER('MiT Strom Pipeline'!Q59),'MiT Strom Pipeline'!Q59,0),"")</f>
        <v/>
      </c>
      <c r="H192" s="24" t="str">
        <f aca="false">IF(('MiT Strom Pipeline'!R59="follow-up")+('MiT Strom Pipeline'!R59="Evaluation")+('MiT Strom Pipeline'!R59="tbd")+('MiT Strom Pipeline'!R59="In evaluation")&gt;0,IF(ISNUMBER('MiT Strom Pipeline'!O59),'MiT Strom Pipeline'!O59,0),"")</f>
        <v/>
      </c>
      <c r="I192" s="22" t="str">
        <f aca="false">IF(('MiT Strom Pipeline'!R59="follow-up")+('MiT Strom Pipeline'!R59="Evaluation")+('MiT Strom Pipeline'!R59="tbd")+('MiT Strom Pipeline'!R59="In evaluation")&gt;0,'MiT Strom Pipeline'!R59,"")</f>
        <v/>
      </c>
      <c r="J192" s="22" t="str">
        <f aca="false">IF(('MiT Strom Pipeline'!R59="follow-up")+('MiT Strom Pipeline'!R59="Evaluation")+('MiT Strom Pipeline'!R59="tbd")+('MiT Strom Pipeline'!R59="In evaluation")&gt;0,'MiT Strom Pipeline'!S59,"")</f>
        <v/>
      </c>
      <c r="K192" s="23" t="str">
        <f aca="false">IF(('MiT Strom Pipeline'!R59="follow-up")+('MiT Strom Pipeline'!R59="Evaluation")+('MiT Strom Pipeline'!R59="tbd")+('MiT Strom Pipeline'!R59="In evaluation")&gt;0,IF(LEN('MiT Strom Pipeline'!V59)&gt;0,LEFT('MiT Strom Pipeline'!V59,55),""),"")</f>
        <v/>
      </c>
    </row>
    <row r="193" customFormat="false" ht="15.75" hidden="false" customHeight="true" outlineLevel="0" collapsed="false">
      <c r="A193" s="38" t="str">
        <f aca="false">IF(('MiT Strom Pipeline'!R60="follow-up")+('MiT Strom Pipeline'!R60="Evaluation")+('MiT Strom Pipeline'!R60="tbd")+('MiT Strom Pipeline'!R60="In evaluation")&gt;0,IF(ISNUMBER('MiT Strom Pipeline'!A60),'MiT Strom Pipeline'!A60,""),"")</f>
        <v/>
      </c>
      <c r="B193" s="39" t="str">
        <f aca="false">IF(('MiT Strom Pipeline'!R60="follow-up")+('MiT Strom Pipeline'!R60="Evaluation")+('MiT Strom Pipeline'!R60="tbd")+('MiT Strom Pipeline'!R60="In evaluation")&gt;0,'MiT Strom Pipeline'!B60,"")</f>
        <v/>
      </c>
      <c r="C193" s="38" t="str">
        <f aca="false">IF(('MiT Strom Pipeline'!R60="follow-up")+('MiT Strom Pipeline'!R60="Evaluation")+('MiT Strom Pipeline'!R60="tbd")+('MiT Strom Pipeline'!R60="In evaluation")&gt;0,'MiT Strom Pipeline'!C60,"")</f>
        <v/>
      </c>
      <c r="D193" s="39" t="str">
        <f aca="false">IF(('MiT Strom Pipeline'!R60="follow-up")+('MiT Strom Pipeline'!R60="Evaluation")+('MiT Strom Pipeline'!R60="tbd")+('MiT Strom Pipeline'!R60="In evaluation")&gt;0,'MiT Strom Pipeline'!D60,"")</f>
        <v/>
      </c>
      <c r="E193" s="39" t="str">
        <f aca="false">IF(('MiT Strom Pipeline'!R60="follow-up")+('MiT Strom Pipeline'!R60="Evaluation")+('MiT Strom Pipeline'!R60="tbd")+('MiT Strom Pipeline'!R60="In evaluation")&gt;0,'MiT Strom Pipeline'!E60,"")</f>
        <v/>
      </c>
      <c r="F193" s="40" t="str">
        <f aca="false">IF(('MiT Strom Pipeline'!R60="follow-up")+('MiT Strom Pipeline'!R60="Evaluation")+('MiT Strom Pipeline'!R60="tbd")+('MiT Strom Pipeline'!R60="In evaluation")&gt;0,IF(ISNUMBER('MiT Strom Pipeline'!I60),'MiT Strom Pipeline'!I60,0),"")</f>
        <v/>
      </c>
      <c r="G193" s="40" t="str">
        <f aca="false">IF(('MiT Strom Pipeline'!R60="follow-up")+('MiT Strom Pipeline'!R60="Evaluation")+('MiT Strom Pipeline'!R60="tbd")+('MiT Strom Pipeline'!R60="In evaluation")&gt;0,IF(ISNUMBER('MiT Strom Pipeline'!Q60),'MiT Strom Pipeline'!Q60,0),"")</f>
        <v/>
      </c>
      <c r="H193" s="40" t="str">
        <f aca="false">IF(('MiT Strom Pipeline'!R60="follow-up")+('MiT Strom Pipeline'!R60="Evaluation")+('MiT Strom Pipeline'!R60="tbd")+('MiT Strom Pipeline'!R60="In evaluation")&gt;0,IF(ISNUMBER('MiT Strom Pipeline'!O60),'MiT Strom Pipeline'!O60,0),"")</f>
        <v/>
      </c>
      <c r="I193" s="38" t="str">
        <f aca="false">IF(('MiT Strom Pipeline'!R60="follow-up")+('MiT Strom Pipeline'!R60="Evaluation")+('MiT Strom Pipeline'!R60="tbd")+('MiT Strom Pipeline'!R60="In evaluation")&gt;0,'MiT Strom Pipeline'!R60,"")</f>
        <v/>
      </c>
      <c r="J193" s="38" t="str">
        <f aca="false">IF(('MiT Strom Pipeline'!R60="follow-up")+('MiT Strom Pipeline'!R60="Evaluation")+('MiT Strom Pipeline'!R60="tbd")+('MiT Strom Pipeline'!R60="In evaluation")&gt;0,'MiT Strom Pipeline'!S60,"")</f>
        <v/>
      </c>
      <c r="K193" s="39" t="str">
        <f aca="false">IF(('MiT Strom Pipeline'!R60="follow-up")+('MiT Strom Pipeline'!R60="Evaluation")+('MiT Strom Pipeline'!R60="tbd")+('MiT Strom Pipeline'!R60="In evaluation")&gt;0,IF(LEN('MiT Strom Pipeline'!V60)&gt;0,LEFT('MiT Strom Pipeline'!V60,55),""),"")</f>
        <v/>
      </c>
    </row>
    <row r="194" customFormat="false" ht="15.75" hidden="false" customHeight="true" outlineLevel="0" collapsed="false">
      <c r="A194" s="22" t="str">
        <f aca="false">IF(('MiT Strom Pipeline'!R61="follow-up")+('MiT Strom Pipeline'!R61="Evaluation")+('MiT Strom Pipeline'!R61="tbd")+('MiT Strom Pipeline'!R61="In evaluation")&gt;0,IF(ISNUMBER('MiT Strom Pipeline'!A61),'MiT Strom Pipeline'!A61,""),"")</f>
        <v/>
      </c>
      <c r="B194" s="23" t="str">
        <f aca="false">IF(('MiT Strom Pipeline'!R61="follow-up")+('MiT Strom Pipeline'!R61="Evaluation")+('MiT Strom Pipeline'!R61="tbd")+('MiT Strom Pipeline'!R61="In evaluation")&gt;0,'MiT Strom Pipeline'!B61,"")</f>
        <v/>
      </c>
      <c r="C194" s="22" t="str">
        <f aca="false">IF(('MiT Strom Pipeline'!R61="follow-up")+('MiT Strom Pipeline'!R61="Evaluation")+('MiT Strom Pipeline'!R61="tbd")+('MiT Strom Pipeline'!R61="In evaluation")&gt;0,'MiT Strom Pipeline'!C61,"")</f>
        <v/>
      </c>
      <c r="D194" s="23" t="str">
        <f aca="false">IF(('MiT Strom Pipeline'!R61="follow-up")+('MiT Strom Pipeline'!R61="Evaluation")+('MiT Strom Pipeline'!R61="tbd")+('MiT Strom Pipeline'!R61="In evaluation")&gt;0,'MiT Strom Pipeline'!D61,"")</f>
        <v/>
      </c>
      <c r="E194" s="23" t="str">
        <f aca="false">IF(('MiT Strom Pipeline'!R61="follow-up")+('MiT Strom Pipeline'!R61="Evaluation")+('MiT Strom Pipeline'!R61="tbd")+('MiT Strom Pipeline'!R61="In evaluation")&gt;0,'MiT Strom Pipeline'!E61,"")</f>
        <v/>
      </c>
      <c r="F194" s="24" t="str">
        <f aca="false">IF(('MiT Strom Pipeline'!R61="follow-up")+('MiT Strom Pipeline'!R61="Evaluation")+('MiT Strom Pipeline'!R61="tbd")+('MiT Strom Pipeline'!R61="In evaluation")&gt;0,IF(ISNUMBER('MiT Strom Pipeline'!I61),'MiT Strom Pipeline'!I61,0),"")</f>
        <v/>
      </c>
      <c r="G194" s="24" t="str">
        <f aca="false">IF(('MiT Strom Pipeline'!R61="follow-up")+('MiT Strom Pipeline'!R61="Evaluation")+('MiT Strom Pipeline'!R61="tbd")+('MiT Strom Pipeline'!R61="In evaluation")&gt;0,IF(ISNUMBER('MiT Strom Pipeline'!Q61),'MiT Strom Pipeline'!Q61,0),"")</f>
        <v/>
      </c>
      <c r="H194" s="24" t="str">
        <f aca="false">IF(('MiT Strom Pipeline'!R61="follow-up")+('MiT Strom Pipeline'!R61="Evaluation")+('MiT Strom Pipeline'!R61="tbd")+('MiT Strom Pipeline'!R61="In evaluation")&gt;0,IF(ISNUMBER('MiT Strom Pipeline'!O61),'MiT Strom Pipeline'!O61,0),"")</f>
        <v/>
      </c>
      <c r="I194" s="22" t="str">
        <f aca="false">IF(('MiT Strom Pipeline'!R61="follow-up")+('MiT Strom Pipeline'!R61="Evaluation")+('MiT Strom Pipeline'!R61="tbd")+('MiT Strom Pipeline'!R61="In evaluation")&gt;0,'MiT Strom Pipeline'!R61,"")</f>
        <v/>
      </c>
      <c r="J194" s="22" t="str">
        <f aca="false">IF(('MiT Strom Pipeline'!R61="follow-up")+('MiT Strom Pipeline'!R61="Evaluation")+('MiT Strom Pipeline'!R61="tbd")+('MiT Strom Pipeline'!R61="In evaluation")&gt;0,'MiT Strom Pipeline'!S61,"")</f>
        <v/>
      </c>
      <c r="K194" s="23" t="str">
        <f aca="false">IF(('MiT Strom Pipeline'!R61="follow-up")+('MiT Strom Pipeline'!R61="Evaluation")+('MiT Strom Pipeline'!R61="tbd")+('MiT Strom Pipeline'!R61="In evaluation")&gt;0,IF(LEN('MiT Strom Pipeline'!V61)&gt;0,LEFT('MiT Strom Pipeline'!V61,55),""),"")</f>
        <v/>
      </c>
    </row>
    <row r="195" customFormat="false" ht="15.75" hidden="false" customHeight="true" outlineLevel="0" collapsed="false">
      <c r="A195" s="38" t="str">
        <f aca="false">IF(('MiT Strom Pipeline'!R62="follow-up")+('MiT Strom Pipeline'!R62="Evaluation")+('MiT Strom Pipeline'!R62="tbd")+('MiT Strom Pipeline'!R62="In evaluation")&gt;0,IF(ISNUMBER('MiT Strom Pipeline'!A62),'MiT Strom Pipeline'!A62,""),"")</f>
        <v/>
      </c>
      <c r="B195" s="39" t="str">
        <f aca="false">IF(('MiT Strom Pipeline'!R62="follow-up")+('MiT Strom Pipeline'!R62="Evaluation")+('MiT Strom Pipeline'!R62="tbd")+('MiT Strom Pipeline'!R62="In evaluation")&gt;0,'MiT Strom Pipeline'!B62,"")</f>
        <v/>
      </c>
      <c r="C195" s="38" t="str">
        <f aca="false">IF(('MiT Strom Pipeline'!R62="follow-up")+('MiT Strom Pipeline'!R62="Evaluation")+('MiT Strom Pipeline'!R62="tbd")+('MiT Strom Pipeline'!R62="In evaluation")&gt;0,'MiT Strom Pipeline'!C62,"")</f>
        <v/>
      </c>
      <c r="D195" s="39" t="str">
        <f aca="false">IF(('MiT Strom Pipeline'!R62="follow-up")+('MiT Strom Pipeline'!R62="Evaluation")+('MiT Strom Pipeline'!R62="tbd")+('MiT Strom Pipeline'!R62="In evaluation")&gt;0,'MiT Strom Pipeline'!D62,"")</f>
        <v/>
      </c>
      <c r="E195" s="39" t="str">
        <f aca="false">IF(('MiT Strom Pipeline'!R62="follow-up")+('MiT Strom Pipeline'!R62="Evaluation")+('MiT Strom Pipeline'!R62="tbd")+('MiT Strom Pipeline'!R62="In evaluation")&gt;0,'MiT Strom Pipeline'!E62,"")</f>
        <v/>
      </c>
      <c r="F195" s="40" t="str">
        <f aca="false">IF(('MiT Strom Pipeline'!R62="follow-up")+('MiT Strom Pipeline'!R62="Evaluation")+('MiT Strom Pipeline'!R62="tbd")+('MiT Strom Pipeline'!R62="In evaluation")&gt;0,IF(ISNUMBER('MiT Strom Pipeline'!I62),'MiT Strom Pipeline'!I62,0),"")</f>
        <v/>
      </c>
      <c r="G195" s="40" t="str">
        <f aca="false">IF(('MiT Strom Pipeline'!R62="follow-up")+('MiT Strom Pipeline'!R62="Evaluation")+('MiT Strom Pipeline'!R62="tbd")+('MiT Strom Pipeline'!R62="In evaluation")&gt;0,IF(ISNUMBER('MiT Strom Pipeline'!Q62),'MiT Strom Pipeline'!Q62,0),"")</f>
        <v/>
      </c>
      <c r="H195" s="40" t="str">
        <f aca="false">IF(('MiT Strom Pipeline'!R62="follow-up")+('MiT Strom Pipeline'!R62="Evaluation")+('MiT Strom Pipeline'!R62="tbd")+('MiT Strom Pipeline'!R62="In evaluation")&gt;0,IF(ISNUMBER('MiT Strom Pipeline'!O62),'MiT Strom Pipeline'!O62,0),"")</f>
        <v/>
      </c>
      <c r="I195" s="38" t="str">
        <f aca="false">IF(('MiT Strom Pipeline'!R62="follow-up")+('MiT Strom Pipeline'!R62="Evaluation")+('MiT Strom Pipeline'!R62="tbd")+('MiT Strom Pipeline'!R62="In evaluation")&gt;0,'MiT Strom Pipeline'!R62,"")</f>
        <v/>
      </c>
      <c r="J195" s="38" t="str">
        <f aca="false">IF(('MiT Strom Pipeline'!R62="follow-up")+('MiT Strom Pipeline'!R62="Evaluation")+('MiT Strom Pipeline'!R62="tbd")+('MiT Strom Pipeline'!R62="In evaluation")&gt;0,'MiT Strom Pipeline'!S62,"")</f>
        <v/>
      </c>
      <c r="K195" s="39" t="str">
        <f aca="false">IF(('MiT Strom Pipeline'!R62="follow-up")+('MiT Strom Pipeline'!R62="Evaluation")+('MiT Strom Pipeline'!R62="tbd")+('MiT Strom Pipeline'!R62="In evaluation")&gt;0,IF(LEN('MiT Strom Pipeline'!V62)&gt;0,LEFT('MiT Strom Pipeline'!V62,55),""),"")</f>
        <v/>
      </c>
    </row>
    <row r="196" customFormat="false" ht="15.75" hidden="false" customHeight="true" outlineLevel="0" collapsed="false">
      <c r="A196" s="22" t="str">
        <f aca="false">IF(('MiT Strom Pipeline'!R63="follow-up")+('MiT Strom Pipeline'!R63="Evaluation")+('MiT Strom Pipeline'!R63="tbd")+('MiT Strom Pipeline'!R63="In evaluation")&gt;0,IF(ISNUMBER('MiT Strom Pipeline'!A63),'MiT Strom Pipeline'!A63,""),"")</f>
        <v/>
      </c>
      <c r="B196" s="23" t="str">
        <f aca="false">IF(('MiT Strom Pipeline'!R63="follow-up")+('MiT Strom Pipeline'!R63="Evaluation")+('MiT Strom Pipeline'!R63="tbd")+('MiT Strom Pipeline'!R63="In evaluation")&gt;0,'MiT Strom Pipeline'!B63,"")</f>
        <v/>
      </c>
      <c r="C196" s="22" t="str">
        <f aca="false">IF(('MiT Strom Pipeline'!R63="follow-up")+('MiT Strom Pipeline'!R63="Evaluation")+('MiT Strom Pipeline'!R63="tbd")+('MiT Strom Pipeline'!R63="In evaluation")&gt;0,'MiT Strom Pipeline'!C63,"")</f>
        <v/>
      </c>
      <c r="D196" s="23" t="str">
        <f aca="false">IF(('MiT Strom Pipeline'!R63="follow-up")+('MiT Strom Pipeline'!R63="Evaluation")+('MiT Strom Pipeline'!R63="tbd")+('MiT Strom Pipeline'!R63="In evaluation")&gt;0,'MiT Strom Pipeline'!D63,"")</f>
        <v/>
      </c>
      <c r="E196" s="23" t="str">
        <f aca="false">IF(('MiT Strom Pipeline'!R63="follow-up")+('MiT Strom Pipeline'!R63="Evaluation")+('MiT Strom Pipeline'!R63="tbd")+('MiT Strom Pipeline'!R63="In evaluation")&gt;0,'MiT Strom Pipeline'!E63,"")</f>
        <v/>
      </c>
      <c r="F196" s="24" t="str">
        <f aca="false">IF(('MiT Strom Pipeline'!R63="follow-up")+('MiT Strom Pipeline'!R63="Evaluation")+('MiT Strom Pipeline'!R63="tbd")+('MiT Strom Pipeline'!R63="In evaluation")&gt;0,IF(ISNUMBER('MiT Strom Pipeline'!I63),'MiT Strom Pipeline'!I63,0),"")</f>
        <v/>
      </c>
      <c r="G196" s="24" t="str">
        <f aca="false">IF(('MiT Strom Pipeline'!R63="follow-up")+('MiT Strom Pipeline'!R63="Evaluation")+('MiT Strom Pipeline'!R63="tbd")+('MiT Strom Pipeline'!R63="In evaluation")&gt;0,IF(ISNUMBER('MiT Strom Pipeline'!Q63),'MiT Strom Pipeline'!Q63,0),"")</f>
        <v/>
      </c>
      <c r="H196" s="24" t="str">
        <f aca="false">IF(('MiT Strom Pipeline'!R63="follow-up")+('MiT Strom Pipeline'!R63="Evaluation")+('MiT Strom Pipeline'!R63="tbd")+('MiT Strom Pipeline'!R63="In evaluation")&gt;0,IF(ISNUMBER('MiT Strom Pipeline'!O63),'MiT Strom Pipeline'!O63,0),"")</f>
        <v/>
      </c>
      <c r="I196" s="22" t="str">
        <f aca="false">IF(('MiT Strom Pipeline'!R63="follow-up")+('MiT Strom Pipeline'!R63="Evaluation")+('MiT Strom Pipeline'!R63="tbd")+('MiT Strom Pipeline'!R63="In evaluation")&gt;0,'MiT Strom Pipeline'!R63,"")</f>
        <v/>
      </c>
      <c r="J196" s="22" t="str">
        <f aca="false">IF(('MiT Strom Pipeline'!R63="follow-up")+('MiT Strom Pipeline'!R63="Evaluation")+('MiT Strom Pipeline'!R63="tbd")+('MiT Strom Pipeline'!R63="In evaluation")&gt;0,'MiT Strom Pipeline'!S63,"")</f>
        <v/>
      </c>
      <c r="K196" s="23" t="str">
        <f aca="false">IF(('MiT Strom Pipeline'!R63="follow-up")+('MiT Strom Pipeline'!R63="Evaluation")+('MiT Strom Pipeline'!R63="tbd")+('MiT Strom Pipeline'!R63="In evaluation")&gt;0,IF(LEN('MiT Strom Pipeline'!V63)&gt;0,LEFT('MiT Strom Pipeline'!V63,55),""),"")</f>
        <v/>
      </c>
    </row>
    <row r="197" customFormat="false" ht="15.75" hidden="false" customHeight="true" outlineLevel="0" collapsed="false">
      <c r="A197" s="38" t="str">
        <f aca="false">IF(('MiT Strom Pipeline'!R64="follow-up")+('MiT Strom Pipeline'!R64="Evaluation")+('MiT Strom Pipeline'!R64="tbd")+('MiT Strom Pipeline'!R64="In evaluation")&gt;0,IF(ISNUMBER('MiT Strom Pipeline'!A64),'MiT Strom Pipeline'!A64,""),"")</f>
        <v/>
      </c>
      <c r="B197" s="39" t="str">
        <f aca="false">IF(('MiT Strom Pipeline'!R64="follow-up")+('MiT Strom Pipeline'!R64="Evaluation")+('MiT Strom Pipeline'!R64="tbd")+('MiT Strom Pipeline'!R64="In evaluation")&gt;0,'MiT Strom Pipeline'!B64,"")</f>
        <v/>
      </c>
      <c r="C197" s="38" t="str">
        <f aca="false">IF(('MiT Strom Pipeline'!R64="follow-up")+('MiT Strom Pipeline'!R64="Evaluation")+('MiT Strom Pipeline'!R64="tbd")+('MiT Strom Pipeline'!R64="In evaluation")&gt;0,'MiT Strom Pipeline'!C64,"")</f>
        <v/>
      </c>
      <c r="D197" s="39" t="str">
        <f aca="false">IF(('MiT Strom Pipeline'!R64="follow-up")+('MiT Strom Pipeline'!R64="Evaluation")+('MiT Strom Pipeline'!R64="tbd")+('MiT Strom Pipeline'!R64="In evaluation")&gt;0,'MiT Strom Pipeline'!D64,"")</f>
        <v/>
      </c>
      <c r="E197" s="39" t="str">
        <f aca="false">IF(('MiT Strom Pipeline'!R64="follow-up")+('MiT Strom Pipeline'!R64="Evaluation")+('MiT Strom Pipeline'!R64="tbd")+('MiT Strom Pipeline'!R64="In evaluation")&gt;0,'MiT Strom Pipeline'!E64,"")</f>
        <v/>
      </c>
      <c r="F197" s="40" t="str">
        <f aca="false">IF(('MiT Strom Pipeline'!R64="follow-up")+('MiT Strom Pipeline'!R64="Evaluation")+('MiT Strom Pipeline'!R64="tbd")+('MiT Strom Pipeline'!R64="In evaluation")&gt;0,IF(ISNUMBER('MiT Strom Pipeline'!I64),'MiT Strom Pipeline'!I64,0),"")</f>
        <v/>
      </c>
      <c r="G197" s="40" t="str">
        <f aca="false">IF(('MiT Strom Pipeline'!R64="follow-up")+('MiT Strom Pipeline'!R64="Evaluation")+('MiT Strom Pipeline'!R64="tbd")+('MiT Strom Pipeline'!R64="In evaluation")&gt;0,IF(ISNUMBER('MiT Strom Pipeline'!Q64),'MiT Strom Pipeline'!Q64,0),"")</f>
        <v/>
      </c>
      <c r="H197" s="40" t="str">
        <f aca="false">IF(('MiT Strom Pipeline'!R64="follow-up")+('MiT Strom Pipeline'!R64="Evaluation")+('MiT Strom Pipeline'!R64="tbd")+('MiT Strom Pipeline'!R64="In evaluation")&gt;0,IF(ISNUMBER('MiT Strom Pipeline'!O64),'MiT Strom Pipeline'!O64,0),"")</f>
        <v/>
      </c>
      <c r="I197" s="38" t="str">
        <f aca="false">IF(('MiT Strom Pipeline'!R64="follow-up")+('MiT Strom Pipeline'!R64="Evaluation")+('MiT Strom Pipeline'!R64="tbd")+('MiT Strom Pipeline'!R64="In evaluation")&gt;0,'MiT Strom Pipeline'!R64,"")</f>
        <v/>
      </c>
      <c r="J197" s="38" t="str">
        <f aca="false">IF(('MiT Strom Pipeline'!R64="follow-up")+('MiT Strom Pipeline'!R64="Evaluation")+('MiT Strom Pipeline'!R64="tbd")+('MiT Strom Pipeline'!R64="In evaluation")&gt;0,'MiT Strom Pipeline'!S64,"")</f>
        <v/>
      </c>
      <c r="K197" s="39" t="str">
        <f aca="false">IF(('MiT Strom Pipeline'!R64="follow-up")+('MiT Strom Pipeline'!R64="Evaluation")+('MiT Strom Pipeline'!R64="tbd")+('MiT Strom Pipeline'!R64="In evaluation")&gt;0,IF(LEN('MiT Strom Pipeline'!V64)&gt;0,LEFT('MiT Strom Pipeline'!V64,55),""),"")</f>
        <v/>
      </c>
    </row>
    <row r="198" customFormat="false" ht="15.75" hidden="false" customHeight="true" outlineLevel="0" collapsed="false">
      <c r="A198" s="22" t="str">
        <f aca="false">IF(('MiT Strom Pipeline'!R65="follow-up")+('MiT Strom Pipeline'!R65="Evaluation")+('MiT Strom Pipeline'!R65="tbd")+('MiT Strom Pipeline'!R65="In evaluation")&gt;0,IF(ISNUMBER('MiT Strom Pipeline'!A65),'MiT Strom Pipeline'!A65,""),"")</f>
        <v/>
      </c>
      <c r="B198" s="23" t="str">
        <f aca="false">IF(('MiT Strom Pipeline'!R65="follow-up")+('MiT Strom Pipeline'!R65="Evaluation")+('MiT Strom Pipeline'!R65="tbd")+('MiT Strom Pipeline'!R65="In evaluation")&gt;0,'MiT Strom Pipeline'!B65,"")</f>
        <v/>
      </c>
      <c r="C198" s="22" t="str">
        <f aca="false">IF(('MiT Strom Pipeline'!R65="follow-up")+('MiT Strom Pipeline'!R65="Evaluation")+('MiT Strom Pipeline'!R65="tbd")+('MiT Strom Pipeline'!R65="In evaluation")&gt;0,'MiT Strom Pipeline'!C65,"")</f>
        <v/>
      </c>
      <c r="D198" s="23" t="str">
        <f aca="false">IF(('MiT Strom Pipeline'!R65="follow-up")+('MiT Strom Pipeline'!R65="Evaluation")+('MiT Strom Pipeline'!R65="tbd")+('MiT Strom Pipeline'!R65="In evaluation")&gt;0,'MiT Strom Pipeline'!D65,"")</f>
        <v/>
      </c>
      <c r="E198" s="23" t="str">
        <f aca="false">IF(('MiT Strom Pipeline'!R65="follow-up")+('MiT Strom Pipeline'!R65="Evaluation")+('MiT Strom Pipeline'!R65="tbd")+('MiT Strom Pipeline'!R65="In evaluation")&gt;0,'MiT Strom Pipeline'!E65,"")</f>
        <v/>
      </c>
      <c r="F198" s="24" t="str">
        <f aca="false">IF(('MiT Strom Pipeline'!R65="follow-up")+('MiT Strom Pipeline'!R65="Evaluation")+('MiT Strom Pipeline'!R65="tbd")+('MiT Strom Pipeline'!R65="In evaluation")&gt;0,IF(ISNUMBER('MiT Strom Pipeline'!I65),'MiT Strom Pipeline'!I65,0),"")</f>
        <v/>
      </c>
      <c r="G198" s="24" t="str">
        <f aca="false">IF(('MiT Strom Pipeline'!R65="follow-up")+('MiT Strom Pipeline'!R65="Evaluation")+('MiT Strom Pipeline'!R65="tbd")+('MiT Strom Pipeline'!R65="In evaluation")&gt;0,IF(ISNUMBER('MiT Strom Pipeline'!Q65),'MiT Strom Pipeline'!Q65,0),"")</f>
        <v/>
      </c>
      <c r="H198" s="24" t="str">
        <f aca="false">IF(('MiT Strom Pipeline'!R65="follow-up")+('MiT Strom Pipeline'!R65="Evaluation")+('MiT Strom Pipeline'!R65="tbd")+('MiT Strom Pipeline'!R65="In evaluation")&gt;0,IF(ISNUMBER('MiT Strom Pipeline'!O65),'MiT Strom Pipeline'!O65,0),"")</f>
        <v/>
      </c>
      <c r="I198" s="22" t="str">
        <f aca="false">IF(('MiT Strom Pipeline'!R65="follow-up")+('MiT Strom Pipeline'!R65="Evaluation")+('MiT Strom Pipeline'!R65="tbd")+('MiT Strom Pipeline'!R65="In evaluation")&gt;0,'MiT Strom Pipeline'!R65,"")</f>
        <v/>
      </c>
      <c r="J198" s="22" t="str">
        <f aca="false">IF(('MiT Strom Pipeline'!R65="follow-up")+('MiT Strom Pipeline'!R65="Evaluation")+('MiT Strom Pipeline'!R65="tbd")+('MiT Strom Pipeline'!R65="In evaluation")&gt;0,'MiT Strom Pipeline'!S65,"")</f>
        <v/>
      </c>
      <c r="K198" s="23" t="str">
        <f aca="false">IF(('MiT Strom Pipeline'!R65="follow-up")+('MiT Strom Pipeline'!R65="Evaluation")+('MiT Strom Pipeline'!R65="tbd")+('MiT Strom Pipeline'!R65="In evaluation")&gt;0,IF(LEN('MiT Strom Pipeline'!V65)&gt;0,LEFT('MiT Strom Pipeline'!V65,55),""),"")</f>
        <v/>
      </c>
    </row>
    <row r="199" customFormat="false" ht="21.75" hidden="false" customHeight="true" outlineLevel="0" collapsed="false">
      <c r="A199" s="41" t="str">
        <f aca="false">IF(('MiT Strom Pipeline'!R66="follow-up")+('MiT Strom Pipeline'!R66="Evaluation")+('MiT Strom Pipeline'!R66="tbd")+('MiT Strom Pipeline'!R66="In evaluation")&gt;0,IF(ISNUMBER('MiT Strom Pipeline'!A66),'MiT Strom Pipeline'!A66,""),"")</f>
        <v/>
      </c>
      <c r="B199" s="42" t="str">
        <f aca="false">IF(('MiT Strom Pipeline'!R66="follow-up")+('MiT Strom Pipeline'!R66="Evaluation")+('MiT Strom Pipeline'!R66="tbd")+('MiT Strom Pipeline'!R66="In evaluation")&gt;0,'MiT Strom Pipeline'!B66,"")</f>
        <v/>
      </c>
      <c r="C199" s="42"/>
      <c r="D199" s="42"/>
      <c r="E199" s="42"/>
      <c r="F199" s="43" t="str">
        <f aca="false">IF(('MiT Strom Pipeline'!R66="follow-up")+('MiT Strom Pipeline'!R66="Evaluation")+('MiT Strom Pipeline'!R66="tbd")+('MiT Strom Pipeline'!R66="In evaluation")&gt;0,IF(ISNUMBER('MiT Strom Pipeline'!I66),'MiT Strom Pipeline'!I66,0),"")</f>
        <v/>
      </c>
      <c r="G199" s="41" t="str">
        <f aca="false">IF(('MiT Strom Pipeline'!R66="follow-up")+('MiT Strom Pipeline'!R66="Evaluation")+('MiT Strom Pipeline'!R66="tbd")+('MiT Strom Pipeline'!R66="In evaluation")&gt;0,IF(ISNUMBER('MiT Strom Pipeline'!Q66),'MiT Strom Pipeline'!Q66,0),"")</f>
        <v/>
      </c>
      <c r="H199" s="41" t="str">
        <f aca="false">IF(('MiT Strom Pipeline'!R66="follow-up")+('MiT Strom Pipeline'!R66="Evaluation")+('MiT Strom Pipeline'!R66="tbd")+('MiT Strom Pipeline'!R66="In evaluation")&gt;0,IF(ISNUMBER('MiT Strom Pipeline'!O66),'MiT Strom Pipeline'!O66,0),"")</f>
        <v/>
      </c>
      <c r="I199" s="41" t="str">
        <f aca="false">IF(('MiT Strom Pipeline'!R66="follow-up")+('MiT Strom Pipeline'!R66="Evaluation")+('MiT Strom Pipeline'!R66="tbd")+('MiT Strom Pipeline'!R66="In evaluation")&gt;0,'MiT Strom Pipeline'!R66,"")</f>
        <v/>
      </c>
      <c r="J199" s="41" t="str">
        <f aca="false">IF(('MiT Strom Pipeline'!R66="follow-up")+('MiT Strom Pipeline'!R66="Evaluation")+('MiT Strom Pipeline'!R66="tbd")+('MiT Strom Pipeline'!R66="In evaluation")&gt;0,'MiT Strom Pipeline'!S66,"")</f>
        <v/>
      </c>
      <c r="K199" s="41" t="str">
        <f aca="false">IF(('MiT Strom Pipeline'!R66="follow-up")+('MiT Strom Pipeline'!R66="Evaluation")+('MiT Strom Pipeline'!R66="tbd")+('MiT Strom Pipeline'!R66="In evaluation")&gt;0,IF(LEN('MiT Strom Pipeline'!V66)&gt;0,LEFT('MiT Strom Pipeline'!V66,55),""),"")</f>
        <v/>
      </c>
    </row>
    <row r="200" customFormat="false" ht="3.75" hidden="false" customHeight="true" outlineLevel="0" collapsed="false">
      <c r="A200" s="1" t="str">
        <f aca="false">IF(('MiT Strom Pipeline'!R67="follow-up")+('MiT Strom Pipeline'!R67="Evaluation")+('MiT Strom Pipeline'!R67="tbd")+('MiT Strom Pipeline'!R67="In evaluation")&gt;0,IF(ISNUMBER('MiT Strom Pipeline'!A67),'MiT Strom Pipeline'!A67,""),"")</f>
        <v/>
      </c>
      <c r="B200" s="1" t="str">
        <f aca="false">IF(('MiT Strom Pipeline'!R67="follow-up")+('MiT Strom Pipeline'!R67="Evaluation")+('MiT Strom Pipeline'!R67="tbd")+('MiT Strom Pipeline'!R67="In evaluation")&gt;0,'MiT Strom Pipeline'!B67,"")</f>
        <v/>
      </c>
      <c r="C200" s="1" t="str">
        <f aca="false">IF(('MiT Strom Pipeline'!R67="follow-up")+('MiT Strom Pipeline'!R67="Evaluation")+('MiT Strom Pipeline'!R67="tbd")+('MiT Strom Pipeline'!R67="In evaluation")&gt;0,'MiT Strom Pipeline'!C67,"")</f>
        <v/>
      </c>
      <c r="D200" s="1" t="str">
        <f aca="false">IF(('MiT Strom Pipeline'!R67="follow-up")+('MiT Strom Pipeline'!R67="Evaluation")+('MiT Strom Pipeline'!R67="tbd")+('MiT Strom Pipeline'!R67="In evaluation")&gt;0,'MiT Strom Pipeline'!D67,"")</f>
        <v/>
      </c>
      <c r="E200" s="1" t="str">
        <f aca="false">IF(('MiT Strom Pipeline'!R67="follow-up")+('MiT Strom Pipeline'!R67="Evaluation")+('MiT Strom Pipeline'!R67="tbd")+('MiT Strom Pipeline'!R67="In evaluation")&gt;0,'MiT Strom Pipeline'!E67,"")</f>
        <v/>
      </c>
      <c r="F200" s="1" t="str">
        <f aca="false">IF(('MiT Strom Pipeline'!R67="follow-up")+('MiT Strom Pipeline'!R67="Evaluation")+('MiT Strom Pipeline'!R67="tbd")+('MiT Strom Pipeline'!R67="In evaluation")&gt;0,IF(ISNUMBER('MiT Strom Pipeline'!I67),'MiT Strom Pipeline'!I67,0),"")</f>
        <v/>
      </c>
      <c r="G200" s="1" t="str">
        <f aca="false">IF(('MiT Strom Pipeline'!R67="follow-up")+('MiT Strom Pipeline'!R67="Evaluation")+('MiT Strom Pipeline'!R67="tbd")+('MiT Strom Pipeline'!R67="In evaluation")&gt;0,IF(ISNUMBER('MiT Strom Pipeline'!Q67),'MiT Strom Pipeline'!Q67,0),"")</f>
        <v/>
      </c>
      <c r="H200" s="1" t="str">
        <f aca="false">IF(('MiT Strom Pipeline'!R67="follow-up")+('MiT Strom Pipeline'!R67="Evaluation")+('MiT Strom Pipeline'!R67="tbd")+('MiT Strom Pipeline'!R67="In evaluation")&gt;0,IF(ISNUMBER('MiT Strom Pipeline'!O67),'MiT Strom Pipeline'!O67,0),"")</f>
        <v/>
      </c>
      <c r="I200" s="1" t="str">
        <f aca="false">IF(('MiT Strom Pipeline'!R67="follow-up")+('MiT Strom Pipeline'!R67="Evaluation")+('MiT Strom Pipeline'!R67="tbd")+('MiT Strom Pipeline'!R67="In evaluation")&gt;0,'MiT Strom Pipeline'!R67,"")</f>
        <v/>
      </c>
      <c r="J200" s="1" t="str">
        <f aca="false">IF(('MiT Strom Pipeline'!R67="follow-up")+('MiT Strom Pipeline'!R67="Evaluation")+('MiT Strom Pipeline'!R67="tbd")+('MiT Strom Pipeline'!R67="In evaluation")&gt;0,'MiT Strom Pipeline'!S67,"")</f>
        <v/>
      </c>
      <c r="K200" s="1" t="str">
        <f aca="false">IF(('MiT Strom Pipeline'!R67="follow-up")+('MiT Strom Pipeline'!R67="Evaluation")+('MiT Strom Pipeline'!R67="tbd")+('MiT Strom Pipeline'!R67="In evaluation")&gt;0,IF(LEN('MiT Strom Pipeline'!V67)&gt;0,LEFT('MiT Strom Pipeline'!V67,55),""),"")</f>
        <v/>
      </c>
    </row>
    <row r="201" customFormat="false" ht="27.75" hidden="false" customHeight="true" outlineLevel="0" collapsed="false">
      <c r="A201" s="44" t="s">
        <v>19</v>
      </c>
      <c r="B201" s="44"/>
      <c r="C201" s="44"/>
      <c r="D201" s="44"/>
      <c r="E201" s="44"/>
      <c r="F201" s="45" t="n">
        <f aca="false">SUMIFS('MiT Strom Pipeline'!I$6:I$904,'MiT Strom Pipeline'!R$6:R$904,"WON")+SUMIFS('MiT Strom Pipeline'!I$6:I$904,'MiT Strom Pipeline'!R$6:R$904,"offered")+SUMIFS('MiT Strom Pipeline'!I$6:I$904,'MiT Strom Pipeline'!R$6:R$904,"to be offered")+SUMIFS('MiT Strom Pipeline'!I$6:I$904,'MiT Strom Pipeline'!R$6:R$904,"on hold")+SUMIFS('MiT Strom Pipeline'!I$6:I$904,'MiT Strom Pipeline'!R$6:R$904,"follow-up")+SUMIFS('MiT Strom Pipeline'!I$6:I$904,'MiT Strom Pipeline'!R$6:R$904,"Evaluation")+SUMIFS('MiT Strom Pipeline'!I$6:I$904,'MiT Strom Pipeline'!R$6:R$904,"tbd")+SUMIFS('MiT Strom Pipeline'!I$6:I$904,'MiT Strom Pipeline'!R$6:R$904,"In evaluation")</f>
        <v>4872116.31</v>
      </c>
      <c r="G201" s="46"/>
      <c r="H201" s="46"/>
      <c r="I201" s="46"/>
      <c r="J201" s="46"/>
      <c r="K201" s="46"/>
    </row>
    <row r="202" customFormat="false" ht="18" hidden="false" customHeight="true" outlineLevel="0" collapsed="false">
      <c r="A202" s="47" t="s">
        <v>20</v>
      </c>
      <c r="B202" s="47"/>
      <c r="C202" s="47"/>
      <c r="D202" s="47"/>
      <c r="E202" s="47"/>
      <c r="F202" s="48" t="n">
        <f aca="false">SUMIFS('MiT Strom Pipeline'!I$6:I$904,'MiT Strom Pipeline'!R$6:R$904,"WON")</f>
        <v>333100</v>
      </c>
      <c r="G202" s="49"/>
      <c r="H202" s="49"/>
      <c r="I202" s="49"/>
      <c r="J202" s="49"/>
      <c r="K202" s="49"/>
    </row>
    <row r="203" customFormat="false" ht="18" hidden="false" customHeight="true" outlineLevel="0" collapsed="false">
      <c r="A203" s="47" t="s">
        <v>21</v>
      </c>
      <c r="B203" s="47"/>
      <c r="C203" s="47"/>
      <c r="D203" s="47"/>
      <c r="E203" s="47"/>
      <c r="F203" s="50" t="n">
        <f aca="false">SUMIFS('MiT Strom Pipeline'!I$6:I$904,'MiT Strom Pipeline'!R$6:R$904,"offered")+SUMIFS('MiT Strom Pipeline'!I$6:I$904,'MiT Strom Pipeline'!R$6:R$904,"to be offered")+SUMIFS('MiT Strom Pipeline'!I$6:I$904,'MiT Strom Pipeline'!R$6:R$904,"on hold")</f>
        <v>3866028.62</v>
      </c>
      <c r="G203" s="49"/>
      <c r="H203" s="49"/>
      <c r="I203" s="49"/>
      <c r="J203" s="49"/>
      <c r="K203" s="49"/>
    </row>
    <row r="204" customFormat="false" ht="18" hidden="false" customHeight="true" outlineLevel="0" collapsed="false">
      <c r="A204" s="47" t="s">
        <v>22</v>
      </c>
      <c r="B204" s="47"/>
      <c r="C204" s="47"/>
      <c r="D204" s="47"/>
      <c r="E204" s="47"/>
      <c r="F204" s="51" t="n">
        <f aca="false">SUMIFS('MiT Strom Pipeline'!I$6:I$904,'MiT Strom Pipeline'!R$6:R$904,"follow-up")+SUMIFS('MiT Strom Pipeline'!I$6:I$904,'MiT Strom Pipeline'!R$6:R$904,"Evaluation")+SUMIFS('MiT Strom Pipeline'!I$6:I$904,'MiT Strom Pipeline'!R$6:R$904,"tbd")+SUMIFS('MiT Strom Pipeline'!I$6:I$904,'MiT Strom Pipeline'!R$6:R$904,"In evaluation")</f>
        <v>672987.69</v>
      </c>
      <c r="G204" s="49"/>
      <c r="H204" s="49"/>
      <c r="I204" s="49"/>
      <c r="J204" s="49"/>
      <c r="K204" s="49"/>
    </row>
    <row r="206" customFormat="false" ht="13.5" hidden="false" customHeight="true" outlineLevel="0" collapsed="false">
      <c r="A206" s="52" t="s">
        <v>23</v>
      </c>
      <c r="B206" s="52"/>
      <c r="C206" s="52"/>
      <c r="D206" s="52"/>
      <c r="E206" s="52"/>
      <c r="F206" s="52"/>
      <c r="G206" s="52"/>
      <c r="H206" s="52"/>
      <c r="I206" s="52"/>
      <c r="J206" s="52"/>
      <c r="K206" s="52"/>
    </row>
  </sheetData>
  <mergeCells count="23">
    <mergeCell ref="A1:K1"/>
    <mergeCell ref="A2:K2"/>
    <mergeCell ref="A3:K3"/>
    <mergeCell ref="A5:D5"/>
    <mergeCell ref="E5:H5"/>
    <mergeCell ref="I5:K5"/>
    <mergeCell ref="A6:D6"/>
    <mergeCell ref="E6:H6"/>
    <mergeCell ref="I6:K6"/>
    <mergeCell ref="A7:D7"/>
    <mergeCell ref="E7:H7"/>
    <mergeCell ref="I7:K7"/>
    <mergeCell ref="A9:K9"/>
    <mergeCell ref="B71:E71"/>
    <mergeCell ref="A73:K73"/>
    <mergeCell ref="B135:E135"/>
    <mergeCell ref="A137:K137"/>
    <mergeCell ref="B199:E199"/>
    <mergeCell ref="A201:E201"/>
    <mergeCell ref="A202:E202"/>
    <mergeCell ref="A203:E203"/>
    <mergeCell ref="A204:E204"/>
    <mergeCell ref="A206:K20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true"/>
  </sheetPr>
  <dimension ref="A1:J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92" activePane="bottomLeft" state="frozen"/>
      <selection pane="topLeft" activeCell="A1" activeCellId="0" sqref="A1"/>
      <selection pane="bottomLeft" activeCell="H106" activeCellId="0" sqref="H106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28"/>
    <col collapsed="false" customWidth="true" hidden="false" outlineLevel="0" max="3" min="3" style="1" width="9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53" width="14"/>
    <col collapsed="false" customWidth="true" hidden="false" outlineLevel="0" max="7" min="7" style="53" width="15"/>
    <col collapsed="false" customWidth="true" hidden="false" outlineLevel="0" max="9" min="8" style="1" width="14"/>
    <col collapsed="false" customWidth="true" hidden="false" outlineLevel="0" max="10" min="10" style="1" width="52.57"/>
  </cols>
  <sheetData>
    <row r="1" customFormat="false" ht="39.75" hidden="false" customHeight="true" outlineLevel="0" collapsed="false">
      <c r="A1" s="54" t="s">
        <v>24</v>
      </c>
      <c r="B1" s="54"/>
      <c r="C1" s="54"/>
      <c r="D1" s="54"/>
      <c r="E1" s="54"/>
      <c r="F1" s="54"/>
      <c r="G1" s="54"/>
      <c r="H1" s="54"/>
      <c r="I1" s="54"/>
      <c r="J1" s="54"/>
    </row>
    <row r="2" customFormat="false" ht="15.75" hidden="false" customHeight="true" outlineLevel="0" collapsed="false">
      <c r="A2" s="3" t="s">
        <v>25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4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4" customFormat="false" ht="7.5" hidden="false" customHeight="true" outlineLevel="0" collapsed="false"/>
    <row r="5" customFormat="false" ht="21.75" hidden="false" customHeight="true" outlineLevel="0" collapsed="false">
      <c r="A5" s="55" t="s">
        <v>26</v>
      </c>
      <c r="B5" s="55"/>
      <c r="C5" s="55"/>
      <c r="D5" s="56" t="s">
        <v>27</v>
      </c>
      <c r="E5" s="56"/>
      <c r="F5" s="56"/>
      <c r="G5" s="57" t="s">
        <v>28</v>
      </c>
      <c r="H5" s="57"/>
      <c r="I5" s="58" t="s">
        <v>29</v>
      </c>
      <c r="J5" s="58"/>
    </row>
    <row r="6" customFormat="false" ht="36" hidden="false" customHeight="true" outlineLevel="0" collapsed="false">
      <c r="A6" s="59" t="n">
        <f aca="false">SUMIFS('MiT Strom Pipeline'!I$6:I$904,'MiT Strom Pipeline'!R$6:R$904,"WON")</f>
        <v>333100</v>
      </c>
      <c r="B6" s="59"/>
      <c r="C6" s="59"/>
      <c r="D6" s="60" t="n">
        <f aca="false">SUMIFS('MiT Strom Pipeline'!I$6:I$904,'MiT Strom Pipeline'!R$6:R$904,"offered")+SUMIFS('MiT Strom Pipeline'!I$6:I$904,'MiT Strom Pipeline'!R$6:R$904,"to be offered")+SUMIFS('MiT Strom Pipeline'!I$6:I$904,'MiT Strom Pipeline'!R$6:R$904,"on hold")</f>
        <v>3866028.62</v>
      </c>
      <c r="E6" s="60"/>
      <c r="F6" s="60"/>
      <c r="G6" s="61" t="n">
        <f aca="false">SUMIFS('MiT Strom Pipeline'!I$6:I$904,'MiT Strom Pipeline'!R$6:R$904,"follow-up")+SUMIFS('MiT Strom Pipeline'!I$6:I$904,'MiT Strom Pipeline'!R$6:R$904,"Evaluation")+SUMIFS('MiT Strom Pipeline'!I$6:I$904,'MiT Strom Pipeline'!R$6:R$904,"tbd")+SUMIFS('MiT Strom Pipeline'!I$6:I$904,'MiT Strom Pipeline'!R$6:R$904,"In evaluation")</f>
        <v>672987.69</v>
      </c>
      <c r="H6" s="61"/>
      <c r="I6" s="62" t="n">
        <f aca="false">SUMIFS('MiT Strom Pipeline'!I$6:I$904,'MiT Strom Pipeline'!R$6:R$904,"WON")+SUMIFS('MiT Strom Pipeline'!I$6:I$904,'MiT Strom Pipeline'!R$6:R$904,"offered")+SUMIFS('MiT Strom Pipeline'!I$6:I$904,'MiT Strom Pipeline'!R$6:R$904,"to be offered")+SUMIFS('MiT Strom Pipeline'!I$6:I$904,'MiT Strom Pipeline'!R$6:R$904,"on hold")+SUMIFS('MiT Strom Pipeline'!I$6:I$904,'MiT Strom Pipeline'!R$6:R$904,"follow-up")+SUMIFS('MiT Strom Pipeline'!I$6:I$904,'MiT Strom Pipeline'!R$6:R$904,"Evaluation")+SUMIFS('MiT Strom Pipeline'!I$6:I$904,'MiT Strom Pipeline'!R$6:R$904,"tbd")+SUMIFS('MiT Strom Pipeline'!I$6:I$904,'MiT Strom Pipeline'!R$6:R$904,"In evaluation")</f>
        <v>4872116.31</v>
      </c>
      <c r="J6" s="62"/>
    </row>
    <row r="7" customFormat="false" ht="19.5" hidden="false" customHeight="true" outlineLevel="0" collapsed="false">
      <c r="A7" s="63" t="n">
        <f aca="false">COUNTIF('MiT Strom Pipeline'!R$6:R$904,"WON")</f>
        <v>4</v>
      </c>
      <c r="B7" s="63"/>
      <c r="C7" s="63"/>
      <c r="D7" s="64" t="n">
        <f aca="false">COUNTIF('MiT Strom Pipeline'!R$6:R$904,"offered")+COUNTIF('MiT Strom Pipeline'!R$6:R$904,"to be offered")+COUNTIF('MiT Strom Pipeline'!R$6:R$904,"on hold")</f>
        <v>12</v>
      </c>
      <c r="E7" s="64"/>
      <c r="F7" s="64"/>
      <c r="G7" s="65" t="n">
        <f aca="false">COUNTIF('MiT Strom Pipeline'!R$6:R$904,"follow-up")+COUNTIF('MiT Strom Pipeline'!R$6:R$904,"Evaluation")+COUNTIF('MiT Strom Pipeline'!R$6:R$904,"tbd")+COUNTIF('MiT Strom Pipeline'!R$6:R$904,"In evaluation")</f>
        <v>16</v>
      </c>
      <c r="H7" s="65"/>
      <c r="I7" s="66" t="n">
        <f aca="false">COUNTIF('MiT Strom Pipeline'!R$6:R$904,"WON")+COUNTIF('MiT Strom Pipeline'!R$6:R$904,"offered")+COUNTIF('MiT Strom Pipeline'!R$6:R$904,"to be offered")+COUNTIF('MiT Strom Pipeline'!R$6:R$904,"on hold")+COUNTIF('MiT Strom Pipeline'!R$6:R$904,"follow-up")+COUNTIF('MiT Strom Pipeline'!R$6:R$904,"Evaluation")+COUNTIF('MiT Strom Pipeline'!R$6:R$904,"tbd")+COUNTIF('MiT Strom Pipeline'!R$6:R$904,"In evaluation")</f>
        <v>32</v>
      </c>
      <c r="J7" s="66"/>
    </row>
    <row r="8" customFormat="false" ht="7.5" hidden="false" customHeight="true" outlineLevel="0" collapsed="false">
      <c r="A8" s="14"/>
      <c r="B8" s="14"/>
      <c r="C8" s="14"/>
      <c r="D8" s="14"/>
      <c r="E8" s="14"/>
      <c r="F8" s="67"/>
      <c r="G8" s="67"/>
      <c r="H8" s="14"/>
      <c r="I8" s="14"/>
      <c r="J8" s="14"/>
    </row>
    <row r="9" customFormat="false" ht="24" hidden="false" customHeight="true" outlineLevel="0" collapsed="false">
      <c r="A9" s="15" t="s">
        <v>30</v>
      </c>
      <c r="B9" s="15"/>
      <c r="C9" s="15"/>
      <c r="D9" s="15"/>
      <c r="E9" s="15"/>
      <c r="F9" s="15"/>
      <c r="G9" s="15"/>
      <c r="H9" s="15"/>
      <c r="I9" s="15"/>
      <c r="J9" s="15"/>
    </row>
    <row r="10" customFormat="false" ht="19.5" hidden="false" customHeight="true" outlineLevel="0" collapsed="false">
      <c r="A10" s="16" t="s">
        <v>6</v>
      </c>
      <c r="B10" s="17" t="s">
        <v>7</v>
      </c>
      <c r="C10" s="16" t="s">
        <v>8</v>
      </c>
      <c r="D10" s="17" t="s">
        <v>9</v>
      </c>
      <c r="E10" s="17" t="s">
        <v>10</v>
      </c>
      <c r="F10" s="68" t="s">
        <v>11</v>
      </c>
      <c r="G10" s="68" t="s">
        <v>12</v>
      </c>
      <c r="H10" s="16" t="s">
        <v>14</v>
      </c>
      <c r="I10" s="16" t="s">
        <v>15</v>
      </c>
      <c r="J10" s="17" t="s">
        <v>16</v>
      </c>
    </row>
    <row r="11" customFormat="false" ht="15.75" hidden="false" customHeight="true" outlineLevel="0" collapsed="false">
      <c r="A11" s="19" t="n">
        <f aca="false">IF('MiT Strom Pipeline'!R6="WON",IF(ISNUMBER('MiT Strom Pipeline'!A6),'MiT Strom Pipeline'!A6,""),"")</f>
        <v>1</v>
      </c>
      <c r="B11" s="20" t="str">
        <f aca="false">IF('MiT Strom Pipeline'!R6="WON",'MiT Strom Pipeline'!B6,"")</f>
        <v>Ice Hockey Championship</v>
      </c>
      <c r="C11" s="19" t="str">
        <f aca="false">IF('MiT Strom Pipeline'!R6="WON",'MiT Strom Pipeline'!C6,"")</f>
        <v>ZH</v>
      </c>
      <c r="D11" s="20" t="str">
        <f aca="false">IF('MiT Strom Pipeline'!R6="WON",'MiT Strom Pipeline'!D6,"")</f>
        <v>Events &amp; Sport</v>
      </c>
      <c r="E11" s="20" t="str">
        <f aca="false">IF('MiT Strom Pipeline'!R6="WON",'MiT Strom Pipeline'!E6,"")</f>
        <v>2×600+2×200 kVA</v>
      </c>
      <c r="F11" s="69" t="n">
        <f aca="false">IF('MiT Strom Pipeline'!R6="WON",IF(ISNUMBER('MiT Strom Pipeline'!I6),'MiT Strom Pipeline'!I6,0),"")</f>
        <v>310000</v>
      </c>
      <c r="G11" s="69" t="n">
        <f aca="false">IF('MiT Strom Pipeline'!R6="WON",IF(ISNUMBER('MiT Strom Pipeline'!Q6),'MiT Strom Pipeline'!Q6,0),"")</f>
        <v>3100</v>
      </c>
      <c r="H11" s="19" t="str">
        <f aca="false">IF('MiT Strom Pipeline'!R6="WON",'MiT Strom Pipeline'!R6,"")</f>
        <v>WON</v>
      </c>
      <c r="I11" s="19" t="str">
        <f aca="false">IF('MiT Strom Pipeline'!R6="WON",'MiT Strom Pipeline'!S6,"")</f>
        <v>100%</v>
      </c>
      <c r="J11" s="20" t="str">
        <f aca="false">IF('MiT Strom Pipeline'!R6="WON",IF(LEN('MiT Strom Pipeline'!V6)&gt;0,LEFT('MiT Strom Pipeline'!V6,55),""),"")</f>
        <v>✅ Einsatzplanung läuft – Logistik finalisieren</v>
      </c>
    </row>
    <row r="12" customFormat="false" ht="15.75" hidden="false" customHeight="true" outlineLevel="0" collapsed="false">
      <c r="A12" s="22" t="n">
        <f aca="false">IF('MiT Strom Pipeline'!R7="WON",IF(ISNUMBER('MiT Strom Pipeline'!A7),'MiT Strom Pipeline'!A7,""),"")</f>
        <v>2</v>
      </c>
      <c r="B12" s="23" t="str">
        <f aca="false">IF('MiT Strom Pipeline'!R7="WON",'MiT Strom Pipeline'!B7,"")</f>
        <v>Oerlikon Metco Wohlen</v>
      </c>
      <c r="C12" s="22" t="str">
        <f aca="false">IF('MiT Strom Pipeline'!R7="WON",'MiT Strom Pipeline'!C7,"")</f>
        <v>AG</v>
      </c>
      <c r="D12" s="23" t="str">
        <f aca="false">IF('MiT Strom Pipeline'!R7="WON",'MiT Strom Pipeline'!D7,"")</f>
        <v>Industrie / Oberfläche</v>
      </c>
      <c r="E12" s="23" t="str">
        <f aca="false">IF('MiT Strom Pipeline'!R7="WON",'MiT Strom Pipeline'!E7,"")</f>
        <v>240 kVA Generator</v>
      </c>
      <c r="F12" s="70" t="n">
        <f aca="false">IF('MiT Strom Pipeline'!R7="WON",IF(ISNUMBER('MiT Strom Pipeline'!I7),'MiT Strom Pipeline'!I7,0),"")</f>
        <v>13100</v>
      </c>
      <c r="G12" s="70" t="n">
        <f aca="false">IF('MiT Strom Pipeline'!R7="WON",IF(ISNUMBER('MiT Strom Pipeline'!Q7),'MiT Strom Pipeline'!Q7,0),"")</f>
        <v>131</v>
      </c>
      <c r="H12" s="22" t="str">
        <f aca="false">IF('MiT Strom Pipeline'!R7="WON",'MiT Strom Pipeline'!R7,"")</f>
        <v>WON</v>
      </c>
      <c r="I12" s="22" t="str">
        <f aca="false">IF('MiT Strom Pipeline'!R7="WON",'MiT Strom Pipeline'!S7,"")</f>
        <v>100%</v>
      </c>
      <c r="J12" s="23" t="str">
        <f aca="false">IF('MiT Strom Pipeline'!R7="WON",IF(LEN('MiT Strom Pipeline'!V7)&gt;0,LEFT('MiT Strom Pipeline'!V7,55),""),"")</f>
        <v>✅ Abgeschlossen – Invoice prüfen, Referenz sichern</v>
      </c>
    </row>
    <row r="13" customFormat="false" ht="15.75" hidden="false" customHeight="true" outlineLevel="0" collapsed="false">
      <c r="A13" s="19" t="n">
        <f aca="false">IF('MiT Strom Pipeline'!R8="WON",IF(ISNUMBER('MiT Strom Pipeline'!A8),'MiT Strom Pipeline'!A8,""),"")</f>
        <v>3</v>
      </c>
      <c r="B13" s="20" t="str">
        <f aca="false">IF('MiT Strom Pipeline'!R8="WON",'MiT Strom Pipeline'!B8,"")</f>
        <v>Siemens</v>
      </c>
      <c r="C13" s="19" t="str">
        <f aca="false">IF('MiT Strom Pipeline'!R8="WON",'MiT Strom Pipeline'!C8,"")</f>
        <v>ZH</v>
      </c>
      <c r="D13" s="20" t="str">
        <f aca="false">IF('MiT Strom Pipeline'!R8="WON",'MiT Strom Pipeline'!D8,"")</f>
        <v>Industrie / Elektro</v>
      </c>
      <c r="E13" s="20" t="str">
        <f aca="false">IF('MiT Strom Pipeline'!R8="WON",'MiT Strom Pipeline'!E8,"")</f>
        <v>600 kVA Generator</v>
      </c>
      <c r="F13" s="69" t="n">
        <f aca="false">IF('MiT Strom Pipeline'!R8="WON",IF(ISNUMBER('MiT Strom Pipeline'!I8),'MiT Strom Pipeline'!I8,0),"")</f>
        <v>10000</v>
      </c>
      <c r="G13" s="69" t="n">
        <f aca="false">IF('MiT Strom Pipeline'!R8="WON",IF(ISNUMBER('MiT Strom Pipeline'!Q8),'MiT Strom Pipeline'!Q8,0),"")</f>
        <v>100</v>
      </c>
      <c r="H13" s="19" t="str">
        <f aca="false">IF('MiT Strom Pipeline'!R8="WON",'MiT Strom Pipeline'!R8,"")</f>
        <v>WON</v>
      </c>
      <c r="I13" s="19" t="str">
        <f aca="false">IF('MiT Strom Pipeline'!R8="WON",'MiT Strom Pipeline'!S8,"")</f>
        <v>100%</v>
      </c>
      <c r="J13" s="20" t="str">
        <f aca="false">IF('MiT Strom Pipeline'!R8="WON",IF(LEN('MiT Strom Pipeline'!V8)&gt;0,LEFT('MiT Strom Pipeline'!V8,55),""),"")</f>
        <v>✅ Referenzschreiben anfordern</v>
      </c>
    </row>
    <row r="14" customFormat="false" ht="15.75" hidden="false" customHeight="true" outlineLevel="0" collapsed="false">
      <c r="A14" s="22" t="str">
        <f aca="false">IF('MiT Strom Pipeline'!R9="WON",IF(ISNUMBER('MiT Strom Pipeline'!A9),'MiT Strom Pipeline'!A9,""),"")</f>
        <v/>
      </c>
      <c r="B14" s="23" t="str">
        <f aca="false">IF('MiT Strom Pipeline'!R9="WON",'MiT Strom Pipeline'!B9,"")</f>
        <v/>
      </c>
      <c r="C14" s="22" t="str">
        <f aca="false">IF('MiT Strom Pipeline'!R9="WON",'MiT Strom Pipeline'!C9,"")</f>
        <v/>
      </c>
      <c r="D14" s="23" t="str">
        <f aca="false">IF('MiT Strom Pipeline'!R9="WON",'MiT Strom Pipeline'!D9,"")</f>
        <v/>
      </c>
      <c r="E14" s="23" t="str">
        <f aca="false">IF('MiT Strom Pipeline'!R9="WON",'MiT Strom Pipeline'!E9,"")</f>
        <v/>
      </c>
      <c r="F14" s="70" t="str">
        <f aca="false">IF('MiT Strom Pipeline'!R9="WON",IF(ISNUMBER('MiT Strom Pipeline'!I9),'MiT Strom Pipeline'!I9,0),"")</f>
        <v/>
      </c>
      <c r="G14" s="70" t="str">
        <f aca="false">IF('MiT Strom Pipeline'!R9="WON",IF(ISNUMBER('MiT Strom Pipeline'!Q9),'MiT Strom Pipeline'!Q9,0),"")</f>
        <v/>
      </c>
      <c r="H14" s="22" t="str">
        <f aca="false">IF('MiT Strom Pipeline'!R9="WON",'MiT Strom Pipeline'!R9,"")</f>
        <v/>
      </c>
      <c r="I14" s="22" t="str">
        <f aca="false">IF('MiT Strom Pipeline'!R9="WON",'MiT Strom Pipeline'!S9,"")</f>
        <v/>
      </c>
      <c r="J14" s="23" t="str">
        <f aca="false">IF('MiT Strom Pipeline'!R9="WON",IF(LEN('MiT Strom Pipeline'!V9)&gt;0,LEFT('MiT Strom Pipeline'!V9,55),""),"")</f>
        <v/>
      </c>
    </row>
    <row r="15" customFormat="false" ht="15.75" hidden="false" customHeight="true" outlineLevel="0" collapsed="false">
      <c r="A15" s="19" t="str">
        <f aca="false">IF('MiT Strom Pipeline'!R10="WON",IF(ISNUMBER('MiT Strom Pipeline'!A10),'MiT Strom Pipeline'!A10,""),"")</f>
        <v/>
      </c>
      <c r="B15" s="20" t="str">
        <f aca="false">IF('MiT Strom Pipeline'!R10="WON",'MiT Strom Pipeline'!B10,"")</f>
        <v/>
      </c>
      <c r="C15" s="19" t="str">
        <f aca="false">IF('MiT Strom Pipeline'!R10="WON",'MiT Strom Pipeline'!C10,"")</f>
        <v/>
      </c>
      <c r="D15" s="20" t="str">
        <f aca="false">IF('MiT Strom Pipeline'!R10="WON",'MiT Strom Pipeline'!D10,"")</f>
        <v/>
      </c>
      <c r="E15" s="20" t="str">
        <f aca="false">IF('MiT Strom Pipeline'!R10="WON",'MiT Strom Pipeline'!E10,"")</f>
        <v/>
      </c>
      <c r="F15" s="69" t="str">
        <f aca="false">IF('MiT Strom Pipeline'!R10="WON",IF(ISNUMBER('MiT Strom Pipeline'!I10),'MiT Strom Pipeline'!I10,0),"")</f>
        <v/>
      </c>
      <c r="G15" s="69" t="str">
        <f aca="false">IF('MiT Strom Pipeline'!R10="WON",IF(ISNUMBER('MiT Strom Pipeline'!Q10),'MiT Strom Pipeline'!Q10,0),"")</f>
        <v/>
      </c>
      <c r="H15" s="19" t="str">
        <f aca="false">IF('MiT Strom Pipeline'!R10="WON",'MiT Strom Pipeline'!R10,"")</f>
        <v/>
      </c>
      <c r="I15" s="19" t="str">
        <f aca="false">IF('MiT Strom Pipeline'!R10="WON",'MiT Strom Pipeline'!S10,"")</f>
        <v/>
      </c>
      <c r="J15" s="20" t="str">
        <f aca="false">IF('MiT Strom Pipeline'!R10="WON",IF(LEN('MiT Strom Pipeline'!V10)&gt;0,LEFT('MiT Strom Pipeline'!V10,55),""),"")</f>
        <v/>
      </c>
    </row>
    <row r="16" customFormat="false" ht="15.75" hidden="false" customHeight="true" outlineLevel="0" collapsed="false">
      <c r="A16" s="22" t="str">
        <f aca="false">IF('MiT Strom Pipeline'!R11="WON",IF(ISNUMBER('MiT Strom Pipeline'!A11),'MiT Strom Pipeline'!A11,""),"")</f>
        <v/>
      </c>
      <c r="B16" s="23" t="str">
        <f aca="false">IF('MiT Strom Pipeline'!R11="WON",'MiT Strom Pipeline'!B11,"")</f>
        <v/>
      </c>
      <c r="C16" s="22" t="str">
        <f aca="false">IF('MiT Strom Pipeline'!R11="WON",'MiT Strom Pipeline'!C11,"")</f>
        <v/>
      </c>
      <c r="D16" s="23" t="str">
        <f aca="false">IF('MiT Strom Pipeline'!R11="WON",'MiT Strom Pipeline'!D11,"")</f>
        <v/>
      </c>
      <c r="E16" s="23" t="str">
        <f aca="false">IF('MiT Strom Pipeline'!R11="WON",'MiT Strom Pipeline'!E11,"")</f>
        <v/>
      </c>
      <c r="F16" s="70" t="str">
        <f aca="false">IF('MiT Strom Pipeline'!R11="WON",IF(ISNUMBER('MiT Strom Pipeline'!I11),'MiT Strom Pipeline'!I11,0),"")</f>
        <v/>
      </c>
      <c r="G16" s="70" t="str">
        <f aca="false">IF('MiT Strom Pipeline'!R11="WON",IF(ISNUMBER('MiT Strom Pipeline'!Q11),'MiT Strom Pipeline'!Q11,0),"")</f>
        <v/>
      </c>
      <c r="H16" s="22" t="str">
        <f aca="false">IF('MiT Strom Pipeline'!R11="WON",'MiT Strom Pipeline'!R11,"")</f>
        <v/>
      </c>
      <c r="I16" s="22" t="str">
        <f aca="false">IF('MiT Strom Pipeline'!R11="WON",'MiT Strom Pipeline'!S11,"")</f>
        <v/>
      </c>
      <c r="J16" s="23" t="str">
        <f aca="false">IF('MiT Strom Pipeline'!R11="WON",IF(LEN('MiT Strom Pipeline'!V11)&gt;0,LEFT('MiT Strom Pipeline'!V11,55),""),"")</f>
        <v/>
      </c>
    </row>
    <row r="17" customFormat="false" ht="15.75" hidden="false" customHeight="true" outlineLevel="0" collapsed="false">
      <c r="A17" s="19" t="str">
        <f aca="false">IF('MiT Strom Pipeline'!R12="WON",IF(ISNUMBER('MiT Strom Pipeline'!A12),'MiT Strom Pipeline'!A12,""),"")</f>
        <v/>
      </c>
      <c r="B17" s="20" t="str">
        <f aca="false">IF('MiT Strom Pipeline'!R12="WON",'MiT Strom Pipeline'!B12,"")</f>
        <v/>
      </c>
      <c r="C17" s="19" t="str">
        <f aca="false">IF('MiT Strom Pipeline'!R12="WON",'MiT Strom Pipeline'!C12,"")</f>
        <v/>
      </c>
      <c r="D17" s="20" t="str">
        <f aca="false">IF('MiT Strom Pipeline'!R12="WON",'MiT Strom Pipeline'!D12,"")</f>
        <v/>
      </c>
      <c r="E17" s="20" t="str">
        <f aca="false">IF('MiT Strom Pipeline'!R12="WON",'MiT Strom Pipeline'!E12,"")</f>
        <v/>
      </c>
      <c r="F17" s="69" t="str">
        <f aca="false">IF('MiT Strom Pipeline'!R12="WON",IF(ISNUMBER('MiT Strom Pipeline'!I12),'MiT Strom Pipeline'!I12,0),"")</f>
        <v/>
      </c>
      <c r="G17" s="69" t="str">
        <f aca="false">IF('MiT Strom Pipeline'!R12="WON",IF(ISNUMBER('MiT Strom Pipeline'!Q12),'MiT Strom Pipeline'!Q12,0),"")</f>
        <v/>
      </c>
      <c r="H17" s="19" t="str">
        <f aca="false">IF('MiT Strom Pipeline'!R12="WON",'MiT Strom Pipeline'!R12,"")</f>
        <v/>
      </c>
      <c r="I17" s="19" t="str">
        <f aca="false">IF('MiT Strom Pipeline'!R12="WON",'MiT Strom Pipeline'!S12,"")</f>
        <v/>
      </c>
      <c r="J17" s="20" t="str">
        <f aca="false">IF('MiT Strom Pipeline'!R12="WON",IF(LEN('MiT Strom Pipeline'!V12)&gt;0,LEFT('MiT Strom Pipeline'!V12,55),""),"")</f>
        <v/>
      </c>
    </row>
    <row r="18" customFormat="false" ht="15.75" hidden="false" customHeight="true" outlineLevel="0" collapsed="false">
      <c r="A18" s="22" t="str">
        <f aca="false">IF('MiT Strom Pipeline'!R13="WON",IF(ISNUMBER('MiT Strom Pipeline'!A13),'MiT Strom Pipeline'!A13,""),"")</f>
        <v/>
      </c>
      <c r="B18" s="23" t="str">
        <f aca="false">IF('MiT Strom Pipeline'!R13="WON",'MiT Strom Pipeline'!B13,"")</f>
        <v/>
      </c>
      <c r="C18" s="22" t="str">
        <f aca="false">IF('MiT Strom Pipeline'!R13="WON",'MiT Strom Pipeline'!C13,"")</f>
        <v/>
      </c>
      <c r="D18" s="23" t="str">
        <f aca="false">IF('MiT Strom Pipeline'!R13="WON",'MiT Strom Pipeline'!D13,"")</f>
        <v/>
      </c>
      <c r="E18" s="23" t="str">
        <f aca="false">IF('MiT Strom Pipeline'!R13="WON",'MiT Strom Pipeline'!E13,"")</f>
        <v/>
      </c>
      <c r="F18" s="70" t="str">
        <f aca="false">IF('MiT Strom Pipeline'!R13="WON",IF(ISNUMBER('MiT Strom Pipeline'!I13),'MiT Strom Pipeline'!I13,0),"")</f>
        <v/>
      </c>
      <c r="G18" s="70" t="str">
        <f aca="false">IF('MiT Strom Pipeline'!R13="WON",IF(ISNUMBER('MiT Strom Pipeline'!Q13),'MiT Strom Pipeline'!Q13,0),"")</f>
        <v/>
      </c>
      <c r="H18" s="22" t="str">
        <f aca="false">IF('MiT Strom Pipeline'!R13="WON",'MiT Strom Pipeline'!R13,"")</f>
        <v/>
      </c>
      <c r="I18" s="22" t="str">
        <f aca="false">IF('MiT Strom Pipeline'!R13="WON",'MiT Strom Pipeline'!S13,"")</f>
        <v/>
      </c>
      <c r="J18" s="23" t="str">
        <f aca="false">IF('MiT Strom Pipeline'!R13="WON",IF(LEN('MiT Strom Pipeline'!V13)&gt;0,LEFT('MiT Strom Pipeline'!V13,55),""),"")</f>
        <v/>
      </c>
    </row>
    <row r="19" customFormat="false" ht="15.75" hidden="false" customHeight="true" outlineLevel="0" collapsed="false">
      <c r="A19" s="19" t="str">
        <f aca="false">IF('MiT Strom Pipeline'!R14="WON",IF(ISNUMBER('MiT Strom Pipeline'!A14),'MiT Strom Pipeline'!A14,""),"")</f>
        <v/>
      </c>
      <c r="B19" s="20" t="str">
        <f aca="false">IF('MiT Strom Pipeline'!R14="WON",'MiT Strom Pipeline'!B14,"")</f>
        <v/>
      </c>
      <c r="C19" s="19" t="str">
        <f aca="false">IF('MiT Strom Pipeline'!R14="WON",'MiT Strom Pipeline'!C14,"")</f>
        <v/>
      </c>
      <c r="D19" s="20" t="str">
        <f aca="false">IF('MiT Strom Pipeline'!R14="WON",'MiT Strom Pipeline'!D14,"")</f>
        <v/>
      </c>
      <c r="E19" s="20" t="str">
        <f aca="false">IF('MiT Strom Pipeline'!R14="WON",'MiT Strom Pipeline'!E14,"")</f>
        <v/>
      </c>
      <c r="F19" s="69" t="str">
        <f aca="false">IF('MiT Strom Pipeline'!R14="WON",IF(ISNUMBER('MiT Strom Pipeline'!I14),'MiT Strom Pipeline'!I14,0),"")</f>
        <v/>
      </c>
      <c r="G19" s="69" t="str">
        <f aca="false">IF('MiT Strom Pipeline'!R14="WON",IF(ISNUMBER('MiT Strom Pipeline'!Q14),'MiT Strom Pipeline'!Q14,0),"")</f>
        <v/>
      </c>
      <c r="H19" s="19" t="str">
        <f aca="false">IF('MiT Strom Pipeline'!R14="WON",'MiT Strom Pipeline'!R14,"")</f>
        <v/>
      </c>
      <c r="I19" s="19" t="str">
        <f aca="false">IF('MiT Strom Pipeline'!R14="WON",'MiT Strom Pipeline'!S14,"")</f>
        <v/>
      </c>
      <c r="J19" s="20" t="str">
        <f aca="false">IF('MiT Strom Pipeline'!R14="WON",IF(LEN('MiT Strom Pipeline'!V14)&gt;0,LEFT('MiT Strom Pipeline'!V14,55),""),"")</f>
        <v/>
      </c>
    </row>
    <row r="20" customFormat="false" ht="15.75" hidden="false" customHeight="true" outlineLevel="0" collapsed="false">
      <c r="A20" s="22" t="str">
        <f aca="false">IF('MiT Strom Pipeline'!R15="WON",IF(ISNUMBER('MiT Strom Pipeline'!A15),'MiT Strom Pipeline'!A15,""),"")</f>
        <v/>
      </c>
      <c r="B20" s="23" t="str">
        <f aca="false">IF('MiT Strom Pipeline'!R15="WON",'MiT Strom Pipeline'!B15,"")</f>
        <v/>
      </c>
      <c r="C20" s="22" t="str">
        <f aca="false">IF('MiT Strom Pipeline'!R15="WON",'MiT Strom Pipeline'!C15,"")</f>
        <v/>
      </c>
      <c r="D20" s="23" t="str">
        <f aca="false">IF('MiT Strom Pipeline'!R15="WON",'MiT Strom Pipeline'!D15,"")</f>
        <v/>
      </c>
      <c r="E20" s="23" t="str">
        <f aca="false">IF('MiT Strom Pipeline'!R15="WON",'MiT Strom Pipeline'!E15,"")</f>
        <v/>
      </c>
      <c r="F20" s="70" t="str">
        <f aca="false">IF('MiT Strom Pipeline'!R15="WON",IF(ISNUMBER('MiT Strom Pipeline'!I15),'MiT Strom Pipeline'!I15,0),"")</f>
        <v/>
      </c>
      <c r="G20" s="70" t="str">
        <f aca="false">IF('MiT Strom Pipeline'!R15="WON",IF(ISNUMBER('MiT Strom Pipeline'!Q15),'MiT Strom Pipeline'!Q15,0),"")</f>
        <v/>
      </c>
      <c r="H20" s="22" t="str">
        <f aca="false">IF('MiT Strom Pipeline'!R15="WON",'MiT Strom Pipeline'!R15,"")</f>
        <v/>
      </c>
      <c r="I20" s="22" t="str">
        <f aca="false">IF('MiT Strom Pipeline'!R15="WON",'MiT Strom Pipeline'!S15,"")</f>
        <v/>
      </c>
      <c r="J20" s="23" t="str">
        <f aca="false">IF('MiT Strom Pipeline'!R15="WON",IF(LEN('MiT Strom Pipeline'!V15)&gt;0,LEFT('MiT Strom Pipeline'!V15,55),""),"")</f>
        <v/>
      </c>
    </row>
    <row r="21" customFormat="false" ht="15.75" hidden="false" customHeight="true" outlineLevel="0" collapsed="false">
      <c r="A21" s="19" t="str">
        <f aca="false">IF('MiT Strom Pipeline'!R16="WON",IF(ISNUMBER('MiT Strom Pipeline'!A16),'MiT Strom Pipeline'!A16,""),"")</f>
        <v/>
      </c>
      <c r="B21" s="20" t="str">
        <f aca="false">IF('MiT Strom Pipeline'!R16="WON",'MiT Strom Pipeline'!B16,"")</f>
        <v/>
      </c>
      <c r="C21" s="19" t="str">
        <f aca="false">IF('MiT Strom Pipeline'!R16="WON",'MiT Strom Pipeline'!C16,"")</f>
        <v/>
      </c>
      <c r="D21" s="20" t="str">
        <f aca="false">IF('MiT Strom Pipeline'!R16="WON",'MiT Strom Pipeline'!D16,"")</f>
        <v/>
      </c>
      <c r="E21" s="20" t="str">
        <f aca="false">IF('MiT Strom Pipeline'!R16="WON",'MiT Strom Pipeline'!E16,"")</f>
        <v/>
      </c>
      <c r="F21" s="69" t="str">
        <f aca="false">IF('MiT Strom Pipeline'!R16="WON",IF(ISNUMBER('MiT Strom Pipeline'!I16),'MiT Strom Pipeline'!I16,0),"")</f>
        <v/>
      </c>
      <c r="G21" s="69" t="str">
        <f aca="false">IF('MiT Strom Pipeline'!R16="WON",IF(ISNUMBER('MiT Strom Pipeline'!Q16),'MiT Strom Pipeline'!Q16,0),"")</f>
        <v/>
      </c>
      <c r="H21" s="19" t="str">
        <f aca="false">IF('MiT Strom Pipeline'!R16="WON",'MiT Strom Pipeline'!R16,"")</f>
        <v/>
      </c>
      <c r="I21" s="19" t="str">
        <f aca="false">IF('MiT Strom Pipeline'!R16="WON",'MiT Strom Pipeline'!S16,"")</f>
        <v/>
      </c>
      <c r="J21" s="20" t="str">
        <f aca="false">IF('MiT Strom Pipeline'!R16="WON",IF(LEN('MiT Strom Pipeline'!V16)&gt;0,LEFT('MiT Strom Pipeline'!V16,55),""),"")</f>
        <v/>
      </c>
    </row>
    <row r="22" customFormat="false" ht="15.75" hidden="false" customHeight="true" outlineLevel="0" collapsed="false">
      <c r="A22" s="22" t="str">
        <f aca="false">IF('MiT Strom Pipeline'!R17="WON",IF(ISNUMBER('MiT Strom Pipeline'!A17),'MiT Strom Pipeline'!A17,""),"")</f>
        <v/>
      </c>
      <c r="B22" s="23" t="str">
        <f aca="false">IF('MiT Strom Pipeline'!R17="WON",'MiT Strom Pipeline'!B17,"")</f>
        <v/>
      </c>
      <c r="C22" s="22" t="str">
        <f aca="false">IF('MiT Strom Pipeline'!R17="WON",'MiT Strom Pipeline'!C17,"")</f>
        <v/>
      </c>
      <c r="D22" s="23" t="str">
        <f aca="false">IF('MiT Strom Pipeline'!R17="WON",'MiT Strom Pipeline'!D17,"")</f>
        <v/>
      </c>
      <c r="E22" s="23" t="str">
        <f aca="false">IF('MiT Strom Pipeline'!R17="WON",'MiT Strom Pipeline'!E17,"")</f>
        <v/>
      </c>
      <c r="F22" s="70" t="str">
        <f aca="false">IF('MiT Strom Pipeline'!R17="WON",IF(ISNUMBER('MiT Strom Pipeline'!I17),'MiT Strom Pipeline'!I17,0),"")</f>
        <v/>
      </c>
      <c r="G22" s="70" t="str">
        <f aca="false">IF('MiT Strom Pipeline'!R17="WON",IF(ISNUMBER('MiT Strom Pipeline'!Q17),'MiT Strom Pipeline'!Q17,0),"")</f>
        <v/>
      </c>
      <c r="H22" s="22" t="str">
        <f aca="false">IF('MiT Strom Pipeline'!R17="WON",'MiT Strom Pipeline'!R17,"")</f>
        <v/>
      </c>
      <c r="I22" s="22" t="str">
        <f aca="false">IF('MiT Strom Pipeline'!R17="WON",'MiT Strom Pipeline'!S17,"")</f>
        <v/>
      </c>
      <c r="J22" s="23" t="str">
        <f aca="false">IF('MiT Strom Pipeline'!R17="WON",IF(LEN('MiT Strom Pipeline'!V17)&gt;0,LEFT('MiT Strom Pipeline'!V17,55),""),"")</f>
        <v/>
      </c>
    </row>
    <row r="23" customFormat="false" ht="15.75" hidden="false" customHeight="true" outlineLevel="0" collapsed="false">
      <c r="A23" s="19" t="str">
        <f aca="false">IF('MiT Strom Pipeline'!R18="WON",IF(ISNUMBER('MiT Strom Pipeline'!A18),'MiT Strom Pipeline'!A18,""),"")</f>
        <v/>
      </c>
      <c r="B23" s="20" t="str">
        <f aca="false">IF('MiT Strom Pipeline'!R18="WON",'MiT Strom Pipeline'!B18,"")</f>
        <v/>
      </c>
      <c r="C23" s="19" t="str">
        <f aca="false">IF('MiT Strom Pipeline'!R18="WON",'MiT Strom Pipeline'!C18,"")</f>
        <v/>
      </c>
      <c r="D23" s="20" t="str">
        <f aca="false">IF('MiT Strom Pipeline'!R18="WON",'MiT Strom Pipeline'!D18,"")</f>
        <v/>
      </c>
      <c r="E23" s="20" t="str">
        <f aca="false">IF('MiT Strom Pipeline'!R18="WON",'MiT Strom Pipeline'!E18,"")</f>
        <v/>
      </c>
      <c r="F23" s="69" t="str">
        <f aca="false">IF('MiT Strom Pipeline'!R18="WON",IF(ISNUMBER('MiT Strom Pipeline'!I18),'MiT Strom Pipeline'!I18,0),"")</f>
        <v/>
      </c>
      <c r="G23" s="69" t="str">
        <f aca="false">IF('MiT Strom Pipeline'!R18="WON",IF(ISNUMBER('MiT Strom Pipeline'!Q18),'MiT Strom Pipeline'!Q18,0),"")</f>
        <v/>
      </c>
      <c r="H23" s="19" t="str">
        <f aca="false">IF('MiT Strom Pipeline'!R18="WON",'MiT Strom Pipeline'!R18,"")</f>
        <v/>
      </c>
      <c r="I23" s="19" t="str">
        <f aca="false">IF('MiT Strom Pipeline'!R18="WON",'MiT Strom Pipeline'!S18,"")</f>
        <v/>
      </c>
      <c r="J23" s="20" t="str">
        <f aca="false">IF('MiT Strom Pipeline'!R18="WON",IF(LEN('MiT Strom Pipeline'!V18)&gt;0,LEFT('MiT Strom Pipeline'!V18,55),""),"")</f>
        <v/>
      </c>
    </row>
    <row r="24" customFormat="false" ht="15.75" hidden="false" customHeight="true" outlineLevel="0" collapsed="false">
      <c r="A24" s="22" t="str">
        <f aca="false">IF('MiT Strom Pipeline'!R19="WON",IF(ISNUMBER('MiT Strom Pipeline'!A19),'MiT Strom Pipeline'!A19,""),"")</f>
        <v/>
      </c>
      <c r="B24" s="23" t="str">
        <f aca="false">IF('MiT Strom Pipeline'!R19="WON",'MiT Strom Pipeline'!B19,"")</f>
        <v/>
      </c>
      <c r="C24" s="22" t="str">
        <f aca="false">IF('MiT Strom Pipeline'!R19="WON",'MiT Strom Pipeline'!C19,"")</f>
        <v/>
      </c>
      <c r="D24" s="23" t="str">
        <f aca="false">IF('MiT Strom Pipeline'!R19="WON",'MiT Strom Pipeline'!D19,"")</f>
        <v/>
      </c>
      <c r="E24" s="23" t="str">
        <f aca="false">IF('MiT Strom Pipeline'!R19="WON",'MiT Strom Pipeline'!E19,"")</f>
        <v/>
      </c>
      <c r="F24" s="70" t="str">
        <f aca="false">IF('MiT Strom Pipeline'!R19="WON",IF(ISNUMBER('MiT Strom Pipeline'!I19),'MiT Strom Pipeline'!I19,0),"")</f>
        <v/>
      </c>
      <c r="G24" s="70" t="str">
        <f aca="false">IF('MiT Strom Pipeline'!R19="WON",IF(ISNUMBER('MiT Strom Pipeline'!Q19),'MiT Strom Pipeline'!Q19,0),"")</f>
        <v/>
      </c>
      <c r="H24" s="22" t="str">
        <f aca="false">IF('MiT Strom Pipeline'!R19="WON",'MiT Strom Pipeline'!R19,"")</f>
        <v/>
      </c>
      <c r="I24" s="22" t="str">
        <f aca="false">IF('MiT Strom Pipeline'!R19="WON",'MiT Strom Pipeline'!S19,"")</f>
        <v/>
      </c>
      <c r="J24" s="23" t="str">
        <f aca="false">IF('MiT Strom Pipeline'!R19="WON",IF(LEN('MiT Strom Pipeline'!V19)&gt;0,LEFT('MiT Strom Pipeline'!V19,55),""),"")</f>
        <v/>
      </c>
    </row>
    <row r="25" customFormat="false" ht="15.75" hidden="false" customHeight="true" outlineLevel="0" collapsed="false">
      <c r="A25" s="19" t="str">
        <f aca="false">IF('MiT Strom Pipeline'!R20="WON",IF(ISNUMBER('MiT Strom Pipeline'!A20),'MiT Strom Pipeline'!A20,""),"")</f>
        <v/>
      </c>
      <c r="B25" s="20" t="str">
        <f aca="false">IF('MiT Strom Pipeline'!R20="WON",'MiT Strom Pipeline'!B20,"")</f>
        <v/>
      </c>
      <c r="C25" s="19" t="str">
        <f aca="false">IF('MiT Strom Pipeline'!R20="WON",'MiT Strom Pipeline'!C20,"")</f>
        <v/>
      </c>
      <c r="D25" s="20" t="str">
        <f aca="false">IF('MiT Strom Pipeline'!R20="WON",'MiT Strom Pipeline'!D20,"")</f>
        <v/>
      </c>
      <c r="E25" s="20" t="str">
        <f aca="false">IF('MiT Strom Pipeline'!R20="WON",'MiT Strom Pipeline'!E20,"")</f>
        <v/>
      </c>
      <c r="F25" s="69" t="str">
        <f aca="false">IF('MiT Strom Pipeline'!R20="WON",IF(ISNUMBER('MiT Strom Pipeline'!I20),'MiT Strom Pipeline'!I20,0),"")</f>
        <v/>
      </c>
      <c r="G25" s="69" t="str">
        <f aca="false">IF('MiT Strom Pipeline'!R20="WON",IF(ISNUMBER('MiT Strom Pipeline'!Q20),'MiT Strom Pipeline'!Q20,0),"")</f>
        <v/>
      </c>
      <c r="H25" s="19" t="str">
        <f aca="false">IF('MiT Strom Pipeline'!R20="WON",'MiT Strom Pipeline'!R20,"")</f>
        <v/>
      </c>
      <c r="I25" s="19" t="str">
        <f aca="false">IF('MiT Strom Pipeline'!R20="WON",'MiT Strom Pipeline'!S20,"")</f>
        <v/>
      </c>
      <c r="J25" s="20" t="str">
        <f aca="false">IF('MiT Strom Pipeline'!R20="WON",IF(LEN('MiT Strom Pipeline'!V20)&gt;0,LEFT('MiT Strom Pipeline'!V20,55),""),"")</f>
        <v/>
      </c>
    </row>
    <row r="26" customFormat="false" ht="15.75" hidden="false" customHeight="true" outlineLevel="0" collapsed="false">
      <c r="A26" s="22" t="str">
        <f aca="false">IF('MiT Strom Pipeline'!R21="WON",IF(ISNUMBER('MiT Strom Pipeline'!A21),'MiT Strom Pipeline'!A21,""),"")</f>
        <v/>
      </c>
      <c r="B26" s="23" t="str">
        <f aca="false">IF('MiT Strom Pipeline'!R21="WON",'MiT Strom Pipeline'!B21,"")</f>
        <v/>
      </c>
      <c r="C26" s="22" t="str">
        <f aca="false">IF('MiT Strom Pipeline'!R21="WON",'MiT Strom Pipeline'!C21,"")</f>
        <v/>
      </c>
      <c r="D26" s="23" t="str">
        <f aca="false">IF('MiT Strom Pipeline'!R21="WON",'MiT Strom Pipeline'!D21,"")</f>
        <v/>
      </c>
      <c r="E26" s="23" t="str">
        <f aca="false">IF('MiT Strom Pipeline'!R21="WON",'MiT Strom Pipeline'!E21,"")</f>
        <v/>
      </c>
      <c r="F26" s="70" t="str">
        <f aca="false">IF('MiT Strom Pipeline'!R21="WON",IF(ISNUMBER('MiT Strom Pipeline'!I21),'MiT Strom Pipeline'!I21,0),"")</f>
        <v/>
      </c>
      <c r="G26" s="70" t="str">
        <f aca="false">IF('MiT Strom Pipeline'!R21="WON",IF(ISNUMBER('MiT Strom Pipeline'!Q21),'MiT Strom Pipeline'!Q21,0),"")</f>
        <v/>
      </c>
      <c r="H26" s="22" t="str">
        <f aca="false">IF('MiT Strom Pipeline'!R21="WON",'MiT Strom Pipeline'!R21,"")</f>
        <v/>
      </c>
      <c r="I26" s="22" t="str">
        <f aca="false">IF('MiT Strom Pipeline'!R21="WON",'MiT Strom Pipeline'!S21,"")</f>
        <v/>
      </c>
      <c r="J26" s="23" t="str">
        <f aca="false">IF('MiT Strom Pipeline'!R21="WON",IF(LEN('MiT Strom Pipeline'!V21)&gt;0,LEFT('MiT Strom Pipeline'!V21,55),""),"")</f>
        <v/>
      </c>
    </row>
    <row r="27" customFormat="false" ht="15.75" hidden="false" customHeight="true" outlineLevel="0" collapsed="false">
      <c r="A27" s="19" t="str">
        <f aca="false">IF('MiT Strom Pipeline'!R22="WON",IF(ISNUMBER('MiT Strom Pipeline'!A22),'MiT Strom Pipeline'!A22,""),"")</f>
        <v/>
      </c>
      <c r="B27" s="20" t="str">
        <f aca="false">IF('MiT Strom Pipeline'!R22="WON",'MiT Strom Pipeline'!B22,"")</f>
        <v/>
      </c>
      <c r="C27" s="19" t="str">
        <f aca="false">IF('MiT Strom Pipeline'!R22="WON",'MiT Strom Pipeline'!C22,"")</f>
        <v/>
      </c>
      <c r="D27" s="20" t="str">
        <f aca="false">IF('MiT Strom Pipeline'!R22="WON",'MiT Strom Pipeline'!D22,"")</f>
        <v/>
      </c>
      <c r="E27" s="20" t="str">
        <f aca="false">IF('MiT Strom Pipeline'!R22="WON",'MiT Strom Pipeline'!E22,"")</f>
        <v/>
      </c>
      <c r="F27" s="69" t="str">
        <f aca="false">IF('MiT Strom Pipeline'!R22="WON",IF(ISNUMBER('MiT Strom Pipeline'!I22),'MiT Strom Pipeline'!I22,0),"")</f>
        <v/>
      </c>
      <c r="G27" s="69" t="str">
        <f aca="false">IF('MiT Strom Pipeline'!R22="WON",IF(ISNUMBER('MiT Strom Pipeline'!Q22),'MiT Strom Pipeline'!Q22,0),"")</f>
        <v/>
      </c>
      <c r="H27" s="19" t="str">
        <f aca="false">IF('MiT Strom Pipeline'!R22="WON",'MiT Strom Pipeline'!R22,"")</f>
        <v/>
      </c>
      <c r="I27" s="19" t="str">
        <f aca="false">IF('MiT Strom Pipeline'!R22="WON",'MiT Strom Pipeline'!S22,"")</f>
        <v/>
      </c>
      <c r="J27" s="20" t="str">
        <f aca="false">IF('MiT Strom Pipeline'!R22="WON",IF(LEN('MiT Strom Pipeline'!V22)&gt;0,LEFT('MiT Strom Pipeline'!V22,55),""),"")</f>
        <v/>
      </c>
    </row>
    <row r="28" customFormat="false" ht="15.75" hidden="false" customHeight="true" outlineLevel="0" collapsed="false">
      <c r="A28" s="22" t="str">
        <f aca="false">IF('MiT Strom Pipeline'!R23="WON",IF(ISNUMBER('MiT Strom Pipeline'!A23),'MiT Strom Pipeline'!A23,""),"")</f>
        <v/>
      </c>
      <c r="B28" s="23" t="str">
        <f aca="false">IF('MiT Strom Pipeline'!R23="WON",'MiT Strom Pipeline'!B23,"")</f>
        <v/>
      </c>
      <c r="C28" s="22" t="str">
        <f aca="false">IF('MiT Strom Pipeline'!R23="WON",'MiT Strom Pipeline'!C23,"")</f>
        <v/>
      </c>
      <c r="D28" s="23" t="str">
        <f aca="false">IF('MiT Strom Pipeline'!R23="WON",'MiT Strom Pipeline'!D23,"")</f>
        <v/>
      </c>
      <c r="E28" s="23" t="str">
        <f aca="false">IF('MiT Strom Pipeline'!R23="WON",'MiT Strom Pipeline'!E23,"")</f>
        <v/>
      </c>
      <c r="F28" s="70" t="str">
        <f aca="false">IF('MiT Strom Pipeline'!R23="WON",IF(ISNUMBER('MiT Strom Pipeline'!I23),'MiT Strom Pipeline'!I23,0),"")</f>
        <v/>
      </c>
      <c r="G28" s="70" t="str">
        <f aca="false">IF('MiT Strom Pipeline'!R23="WON",IF(ISNUMBER('MiT Strom Pipeline'!Q23),'MiT Strom Pipeline'!Q23,0),"")</f>
        <v/>
      </c>
      <c r="H28" s="22" t="str">
        <f aca="false">IF('MiT Strom Pipeline'!R23="WON",'MiT Strom Pipeline'!R23,"")</f>
        <v/>
      </c>
      <c r="I28" s="22" t="str">
        <f aca="false">IF('MiT Strom Pipeline'!R23="WON",'MiT Strom Pipeline'!S23,"")</f>
        <v/>
      </c>
      <c r="J28" s="23" t="str">
        <f aca="false">IF('MiT Strom Pipeline'!R23="WON",IF(LEN('MiT Strom Pipeline'!V23)&gt;0,LEFT('MiT Strom Pipeline'!V23,55),""),"")</f>
        <v/>
      </c>
    </row>
    <row r="29" customFormat="false" ht="15.75" hidden="false" customHeight="true" outlineLevel="0" collapsed="false">
      <c r="A29" s="19" t="str">
        <f aca="false">IF('MiT Strom Pipeline'!R24="WON",IF(ISNUMBER('MiT Strom Pipeline'!A24),'MiT Strom Pipeline'!A24,""),"")</f>
        <v/>
      </c>
      <c r="B29" s="20" t="str">
        <f aca="false">IF('MiT Strom Pipeline'!R24="WON",'MiT Strom Pipeline'!B24,"")</f>
        <v/>
      </c>
      <c r="C29" s="19" t="str">
        <f aca="false">IF('MiT Strom Pipeline'!R24="WON",'MiT Strom Pipeline'!C24,"")</f>
        <v/>
      </c>
      <c r="D29" s="20" t="str">
        <f aca="false">IF('MiT Strom Pipeline'!R24="WON",'MiT Strom Pipeline'!D24,"")</f>
        <v/>
      </c>
      <c r="E29" s="20" t="str">
        <f aca="false">IF('MiT Strom Pipeline'!R24="WON",'MiT Strom Pipeline'!E24,"")</f>
        <v/>
      </c>
      <c r="F29" s="69" t="str">
        <f aca="false">IF('MiT Strom Pipeline'!R24="WON",IF(ISNUMBER('MiT Strom Pipeline'!I24),'MiT Strom Pipeline'!I24,0),"")</f>
        <v/>
      </c>
      <c r="G29" s="69" t="str">
        <f aca="false">IF('MiT Strom Pipeline'!R24="WON",IF(ISNUMBER('MiT Strom Pipeline'!Q24),'MiT Strom Pipeline'!Q24,0),"")</f>
        <v/>
      </c>
      <c r="H29" s="19" t="str">
        <f aca="false">IF('MiT Strom Pipeline'!R24="WON",'MiT Strom Pipeline'!R24,"")</f>
        <v/>
      </c>
      <c r="I29" s="19" t="str">
        <f aca="false">IF('MiT Strom Pipeline'!R24="WON",'MiT Strom Pipeline'!S24,"")</f>
        <v/>
      </c>
      <c r="J29" s="20" t="str">
        <f aca="false">IF('MiT Strom Pipeline'!R24="WON",IF(LEN('MiT Strom Pipeline'!V24)&gt;0,LEFT('MiT Strom Pipeline'!V24,55),""),"")</f>
        <v/>
      </c>
    </row>
    <row r="30" customFormat="false" ht="15.75" hidden="false" customHeight="true" outlineLevel="0" collapsed="false">
      <c r="A30" s="22" t="str">
        <f aca="false">IF('MiT Strom Pipeline'!R25="WON",IF(ISNUMBER('MiT Strom Pipeline'!A25),'MiT Strom Pipeline'!A25,""),"")</f>
        <v/>
      </c>
      <c r="B30" s="23" t="str">
        <f aca="false">IF('MiT Strom Pipeline'!R25="WON",'MiT Strom Pipeline'!B25,"")</f>
        <v/>
      </c>
      <c r="C30" s="22" t="str">
        <f aca="false">IF('MiT Strom Pipeline'!R25="WON",'MiT Strom Pipeline'!C25,"")</f>
        <v/>
      </c>
      <c r="D30" s="23" t="str">
        <f aca="false">IF('MiT Strom Pipeline'!R25="WON",'MiT Strom Pipeline'!D25,"")</f>
        <v/>
      </c>
      <c r="E30" s="23" t="str">
        <f aca="false">IF('MiT Strom Pipeline'!R25="WON",'MiT Strom Pipeline'!E25,"")</f>
        <v/>
      </c>
      <c r="F30" s="70" t="str">
        <f aca="false">IF('MiT Strom Pipeline'!R25="WON",IF(ISNUMBER('MiT Strom Pipeline'!I25),'MiT Strom Pipeline'!I25,0),"")</f>
        <v/>
      </c>
      <c r="G30" s="70" t="str">
        <f aca="false">IF('MiT Strom Pipeline'!R25="WON",IF(ISNUMBER('MiT Strom Pipeline'!Q25),'MiT Strom Pipeline'!Q25,0),"")</f>
        <v/>
      </c>
      <c r="H30" s="22" t="str">
        <f aca="false">IF('MiT Strom Pipeline'!R25="WON",'MiT Strom Pipeline'!R25,"")</f>
        <v/>
      </c>
      <c r="I30" s="22" t="str">
        <f aca="false">IF('MiT Strom Pipeline'!R25="WON",'MiT Strom Pipeline'!S25,"")</f>
        <v/>
      </c>
      <c r="J30" s="23" t="str">
        <f aca="false">IF('MiT Strom Pipeline'!R25="WON",IF(LEN('MiT Strom Pipeline'!V25)&gt;0,LEFT('MiT Strom Pipeline'!V25,55),""),"")</f>
        <v/>
      </c>
    </row>
    <row r="31" customFormat="false" ht="15.75" hidden="false" customHeight="true" outlineLevel="0" collapsed="false">
      <c r="A31" s="19" t="str">
        <f aca="false">IF('MiT Strom Pipeline'!R26="WON",IF(ISNUMBER('MiT Strom Pipeline'!A26),'MiT Strom Pipeline'!A26,""),"")</f>
        <v/>
      </c>
      <c r="B31" s="20" t="str">
        <f aca="false">IF('MiT Strom Pipeline'!R26="WON",'MiT Strom Pipeline'!B26,"")</f>
        <v/>
      </c>
      <c r="C31" s="19" t="str">
        <f aca="false">IF('MiT Strom Pipeline'!R26="WON",'MiT Strom Pipeline'!C26,"")</f>
        <v/>
      </c>
      <c r="D31" s="20" t="str">
        <f aca="false">IF('MiT Strom Pipeline'!R26="WON",'MiT Strom Pipeline'!D26,"")</f>
        <v/>
      </c>
      <c r="E31" s="20" t="str">
        <f aca="false">IF('MiT Strom Pipeline'!R26="WON",'MiT Strom Pipeline'!E26,"")</f>
        <v/>
      </c>
      <c r="F31" s="69" t="str">
        <f aca="false">IF('MiT Strom Pipeline'!R26="WON",IF(ISNUMBER('MiT Strom Pipeline'!I26),'MiT Strom Pipeline'!I26,0),"")</f>
        <v/>
      </c>
      <c r="G31" s="69" t="str">
        <f aca="false">IF('MiT Strom Pipeline'!R26="WON",IF(ISNUMBER('MiT Strom Pipeline'!Q26),'MiT Strom Pipeline'!Q26,0),"")</f>
        <v/>
      </c>
      <c r="H31" s="19" t="str">
        <f aca="false">IF('MiT Strom Pipeline'!R26="WON",'MiT Strom Pipeline'!R26,"")</f>
        <v/>
      </c>
      <c r="I31" s="19" t="str">
        <f aca="false">IF('MiT Strom Pipeline'!R26="WON",'MiT Strom Pipeline'!S26,"")</f>
        <v/>
      </c>
      <c r="J31" s="20" t="str">
        <f aca="false">IF('MiT Strom Pipeline'!R26="WON",IF(LEN('MiT Strom Pipeline'!V26)&gt;0,LEFT('MiT Strom Pipeline'!V26,55),""),"")</f>
        <v/>
      </c>
    </row>
    <row r="32" customFormat="false" ht="23.25" hidden="false" customHeight="true" outlineLevel="0" collapsed="false">
      <c r="A32" s="22" t="n">
        <f aca="false">IF('MiT Strom Pipeline'!R27="WON",IF(ISNUMBER('MiT Strom Pipeline'!A27),'MiT Strom Pipeline'!A27,""),"")</f>
        <v>21</v>
      </c>
      <c r="B32" s="23" t="str">
        <f aca="false">IF('MiT Strom Pipeline'!R27="WON",'MiT Strom Pipeline'!B27,"")</f>
        <v>X-Event</v>
      </c>
      <c r="C32" s="22" t="str">
        <f aca="false">IF('MiT Strom Pipeline'!R27="WON",'MiT Strom Pipeline'!C27,"")</f>
        <v>SH</v>
      </c>
      <c r="D32" s="23" t="str">
        <f aca="false">IF('MiT Strom Pipeline'!R27="WON",'MiT Strom Pipeline'!D27,"")</f>
        <v>Events / Medien</v>
      </c>
      <c r="E32" s="23" t="str">
        <f aca="false">IF('MiT Strom Pipeline'!R27="WON",'MiT Strom Pipeline'!E27,"")</f>
        <v>100 kVA Generator</v>
      </c>
      <c r="F32" s="70" t="n">
        <f aca="false">IF('MiT Strom Pipeline'!R27="WON",IF(ISNUMBER('MiT Strom Pipeline'!I27),'MiT Strom Pipeline'!I27,0),"")</f>
        <v>0</v>
      </c>
      <c r="G32" s="70" t="n">
        <f aca="false">IF('MiT Strom Pipeline'!R27="WON",IF(ISNUMBER('MiT Strom Pipeline'!Q27),'MiT Strom Pipeline'!Q27,0),"")</f>
        <v>0</v>
      </c>
      <c r="H32" s="22" t="str">
        <f aca="false">IF('MiT Strom Pipeline'!R27="WON",'MiT Strom Pipeline'!R27,"")</f>
        <v>WON</v>
      </c>
      <c r="I32" s="22" t="n">
        <f aca="false">IF('MiT Strom Pipeline'!R27="WON",'MiT Strom Pipeline'!S27,"")</f>
        <v>1</v>
      </c>
      <c r="J32" s="25" t="str">
        <f aca="false">IF('MiT Strom Pipeline'!R27="WON",IF(LEN('MiT Strom Pipeline'!V27)&gt;0,LEFT('MiT Strom Pipeline'!V27,55),""),"")</f>
        <v>Kunde Telefon Kontaktiert und Vor Ort 
Besichtigung und</v>
      </c>
    </row>
    <row r="33" customFormat="false" ht="15.75" hidden="false" customHeight="true" outlineLevel="0" collapsed="false">
      <c r="A33" s="19" t="str">
        <f aca="false">IF('MiT Strom Pipeline'!R28="WON",IF(ISNUMBER('MiT Strom Pipeline'!A28),'MiT Strom Pipeline'!A28,""),"")</f>
        <v/>
      </c>
      <c r="B33" s="20" t="str">
        <f aca="false">IF('MiT Strom Pipeline'!R28="WON",'MiT Strom Pipeline'!B28,"")</f>
        <v/>
      </c>
      <c r="C33" s="19" t="str">
        <f aca="false">IF('MiT Strom Pipeline'!R28="WON",'MiT Strom Pipeline'!C28,"")</f>
        <v/>
      </c>
      <c r="D33" s="20" t="str">
        <f aca="false">IF('MiT Strom Pipeline'!R28="WON",'MiT Strom Pipeline'!D28,"")</f>
        <v/>
      </c>
      <c r="E33" s="20" t="str">
        <f aca="false">IF('MiT Strom Pipeline'!R28="WON",'MiT Strom Pipeline'!E28,"")</f>
        <v/>
      </c>
      <c r="F33" s="69" t="str">
        <f aca="false">IF('MiT Strom Pipeline'!R28="WON",IF(ISNUMBER('MiT Strom Pipeline'!I28),'MiT Strom Pipeline'!I28,0),"")</f>
        <v/>
      </c>
      <c r="G33" s="69" t="str">
        <f aca="false">IF('MiT Strom Pipeline'!R28="WON",IF(ISNUMBER('MiT Strom Pipeline'!Q28),'MiT Strom Pipeline'!Q28,0),"")</f>
        <v/>
      </c>
      <c r="H33" s="19" t="str">
        <f aca="false">IF('MiT Strom Pipeline'!R28="WON",'MiT Strom Pipeline'!R28,"")</f>
        <v/>
      </c>
      <c r="I33" s="19" t="str">
        <f aca="false">IF('MiT Strom Pipeline'!R28="WON",'MiT Strom Pipeline'!S28,"")</f>
        <v/>
      </c>
      <c r="J33" s="20" t="str">
        <f aca="false">IF('MiT Strom Pipeline'!R28="WON",IF(LEN('MiT Strom Pipeline'!V28)&gt;0,LEFT('MiT Strom Pipeline'!V28,55),""),"")</f>
        <v/>
      </c>
    </row>
    <row r="34" customFormat="false" ht="15.75" hidden="false" customHeight="true" outlineLevel="0" collapsed="false">
      <c r="A34" s="22" t="str">
        <f aca="false">IF('MiT Strom Pipeline'!R29="WON",IF(ISNUMBER('MiT Strom Pipeline'!A29),'MiT Strom Pipeline'!A29,""),"")</f>
        <v/>
      </c>
      <c r="B34" s="23" t="str">
        <f aca="false">IF('MiT Strom Pipeline'!R29="WON",'MiT Strom Pipeline'!B29,"")</f>
        <v/>
      </c>
      <c r="C34" s="22" t="str">
        <f aca="false">IF('MiT Strom Pipeline'!R29="WON",'MiT Strom Pipeline'!C29,"")</f>
        <v/>
      </c>
      <c r="D34" s="23" t="str">
        <f aca="false">IF('MiT Strom Pipeline'!R29="WON",'MiT Strom Pipeline'!D29,"")</f>
        <v/>
      </c>
      <c r="E34" s="23" t="str">
        <f aca="false">IF('MiT Strom Pipeline'!R29="WON",'MiT Strom Pipeline'!E29,"")</f>
        <v/>
      </c>
      <c r="F34" s="70" t="str">
        <f aca="false">IF('MiT Strom Pipeline'!R29="WON",IF(ISNUMBER('MiT Strom Pipeline'!I29),'MiT Strom Pipeline'!I29,0),"")</f>
        <v/>
      </c>
      <c r="G34" s="70" t="str">
        <f aca="false">IF('MiT Strom Pipeline'!R29="WON",IF(ISNUMBER('MiT Strom Pipeline'!Q29),'MiT Strom Pipeline'!Q29,0),"")</f>
        <v/>
      </c>
      <c r="H34" s="22" t="str">
        <f aca="false">IF('MiT Strom Pipeline'!R29="WON",'MiT Strom Pipeline'!R29,"")</f>
        <v/>
      </c>
      <c r="I34" s="22" t="str">
        <f aca="false">IF('MiT Strom Pipeline'!R29="WON",'MiT Strom Pipeline'!S29,"")</f>
        <v/>
      </c>
      <c r="J34" s="23" t="str">
        <f aca="false">IF('MiT Strom Pipeline'!R29="WON",IF(LEN('MiT Strom Pipeline'!V29)&gt;0,LEFT('MiT Strom Pipeline'!V29,55),""),"")</f>
        <v/>
      </c>
    </row>
    <row r="35" customFormat="false" ht="15.75" hidden="false" customHeight="true" outlineLevel="0" collapsed="false">
      <c r="A35" s="19" t="str">
        <f aca="false">IF('MiT Strom Pipeline'!R30="WON",IF(ISNUMBER('MiT Strom Pipeline'!A30),'MiT Strom Pipeline'!A30,""),"")</f>
        <v/>
      </c>
      <c r="B35" s="20" t="str">
        <f aca="false">IF('MiT Strom Pipeline'!R30="WON",'MiT Strom Pipeline'!B30,"")</f>
        <v/>
      </c>
      <c r="C35" s="19" t="str">
        <f aca="false">IF('MiT Strom Pipeline'!R30="WON",'MiT Strom Pipeline'!C30,"")</f>
        <v/>
      </c>
      <c r="D35" s="20" t="str">
        <f aca="false">IF('MiT Strom Pipeline'!R30="WON",'MiT Strom Pipeline'!D30,"")</f>
        <v/>
      </c>
      <c r="E35" s="20" t="str">
        <f aca="false">IF('MiT Strom Pipeline'!R30="WON",'MiT Strom Pipeline'!E30,"")</f>
        <v/>
      </c>
      <c r="F35" s="69" t="str">
        <f aca="false">IF('MiT Strom Pipeline'!R30="WON",IF(ISNUMBER('MiT Strom Pipeline'!I30),'MiT Strom Pipeline'!I30,0),"")</f>
        <v/>
      </c>
      <c r="G35" s="69" t="str">
        <f aca="false">IF('MiT Strom Pipeline'!R30="WON",IF(ISNUMBER('MiT Strom Pipeline'!Q30),'MiT Strom Pipeline'!Q30,0),"")</f>
        <v/>
      </c>
      <c r="H35" s="19" t="str">
        <f aca="false">IF('MiT Strom Pipeline'!R30="WON",'MiT Strom Pipeline'!R30,"")</f>
        <v/>
      </c>
      <c r="I35" s="19" t="str">
        <f aca="false">IF('MiT Strom Pipeline'!R30="WON",'MiT Strom Pipeline'!S30,"")</f>
        <v/>
      </c>
      <c r="J35" s="20" t="str">
        <f aca="false">IF('MiT Strom Pipeline'!R30="WON",IF(LEN('MiT Strom Pipeline'!V30)&gt;0,LEFT('MiT Strom Pipeline'!V30,55),""),"")</f>
        <v/>
      </c>
    </row>
    <row r="36" customFormat="false" ht="15.75" hidden="false" customHeight="true" outlineLevel="0" collapsed="false">
      <c r="A36" s="22" t="str">
        <f aca="false">IF('MiT Strom Pipeline'!R31="WON",IF(ISNUMBER('MiT Strom Pipeline'!A31),'MiT Strom Pipeline'!A31,""),"")</f>
        <v/>
      </c>
      <c r="B36" s="23" t="str">
        <f aca="false">IF('MiT Strom Pipeline'!R31="WON",'MiT Strom Pipeline'!B31,"")</f>
        <v/>
      </c>
      <c r="C36" s="22" t="str">
        <f aca="false">IF('MiT Strom Pipeline'!R31="WON",'MiT Strom Pipeline'!C31,"")</f>
        <v/>
      </c>
      <c r="D36" s="23" t="str">
        <f aca="false">IF('MiT Strom Pipeline'!R31="WON",'MiT Strom Pipeline'!D31,"")</f>
        <v/>
      </c>
      <c r="E36" s="23" t="str">
        <f aca="false">IF('MiT Strom Pipeline'!R31="WON",'MiT Strom Pipeline'!E31,"")</f>
        <v/>
      </c>
      <c r="F36" s="70" t="str">
        <f aca="false">IF('MiT Strom Pipeline'!R31="WON",IF(ISNUMBER('MiT Strom Pipeline'!I31),'MiT Strom Pipeline'!I31,0),"")</f>
        <v/>
      </c>
      <c r="G36" s="70" t="str">
        <f aca="false">IF('MiT Strom Pipeline'!R31="WON",IF(ISNUMBER('MiT Strom Pipeline'!Q31),'MiT Strom Pipeline'!Q31,0),"")</f>
        <v/>
      </c>
      <c r="H36" s="22" t="str">
        <f aca="false">IF('MiT Strom Pipeline'!R31="WON",'MiT Strom Pipeline'!R31,"")</f>
        <v/>
      </c>
      <c r="I36" s="22" t="str">
        <f aca="false">IF('MiT Strom Pipeline'!R31="WON",'MiT Strom Pipeline'!S31,"")</f>
        <v/>
      </c>
      <c r="J36" s="23" t="str">
        <f aca="false">IF('MiT Strom Pipeline'!R31="WON",IF(LEN('MiT Strom Pipeline'!V31)&gt;0,LEFT('MiT Strom Pipeline'!V31,55),""),"")</f>
        <v/>
      </c>
    </row>
    <row r="37" customFormat="false" ht="15.75" hidden="false" customHeight="true" outlineLevel="0" collapsed="false">
      <c r="A37" s="19" t="str">
        <f aca="false">IF('MiT Strom Pipeline'!R32="WON",IF(ISNUMBER('MiT Strom Pipeline'!A32),'MiT Strom Pipeline'!A32,""),"")</f>
        <v/>
      </c>
      <c r="B37" s="20" t="str">
        <f aca="false">IF('MiT Strom Pipeline'!R32="WON",'MiT Strom Pipeline'!B32,"")</f>
        <v/>
      </c>
      <c r="C37" s="19" t="str">
        <f aca="false">IF('MiT Strom Pipeline'!R32="WON",'MiT Strom Pipeline'!C32,"")</f>
        <v/>
      </c>
      <c r="D37" s="20" t="str">
        <f aca="false">IF('MiT Strom Pipeline'!R32="WON",'MiT Strom Pipeline'!D32,"")</f>
        <v/>
      </c>
      <c r="E37" s="20" t="str">
        <f aca="false">IF('MiT Strom Pipeline'!R32="WON",'MiT Strom Pipeline'!E32,"")</f>
        <v/>
      </c>
      <c r="F37" s="69" t="str">
        <f aca="false">IF('MiT Strom Pipeline'!R32="WON",IF(ISNUMBER('MiT Strom Pipeline'!I32),'MiT Strom Pipeline'!I32,0),"")</f>
        <v/>
      </c>
      <c r="G37" s="69" t="str">
        <f aca="false">IF('MiT Strom Pipeline'!R32="WON",IF(ISNUMBER('MiT Strom Pipeline'!Q32),'MiT Strom Pipeline'!Q32,0),"")</f>
        <v/>
      </c>
      <c r="H37" s="19" t="str">
        <f aca="false">IF('MiT Strom Pipeline'!R32="WON",'MiT Strom Pipeline'!R32,"")</f>
        <v/>
      </c>
      <c r="I37" s="19" t="str">
        <f aca="false">IF('MiT Strom Pipeline'!R32="WON",'MiT Strom Pipeline'!S32,"")</f>
        <v/>
      </c>
      <c r="J37" s="20" t="str">
        <f aca="false">IF('MiT Strom Pipeline'!R32="WON",IF(LEN('MiT Strom Pipeline'!V32)&gt;0,LEFT('MiT Strom Pipeline'!V32,55),""),"")</f>
        <v/>
      </c>
    </row>
    <row r="38" customFormat="false" ht="15.75" hidden="false" customHeight="true" outlineLevel="0" collapsed="false">
      <c r="A38" s="22" t="str">
        <f aca="false">IF('MiT Strom Pipeline'!R33="WON",IF(ISNUMBER('MiT Strom Pipeline'!A33),'MiT Strom Pipeline'!A33,""),"")</f>
        <v/>
      </c>
      <c r="B38" s="23" t="str">
        <f aca="false">IF('MiT Strom Pipeline'!R33="WON",'MiT Strom Pipeline'!B33,"")</f>
        <v/>
      </c>
      <c r="C38" s="22" t="str">
        <f aca="false">IF('MiT Strom Pipeline'!R33="WON",'MiT Strom Pipeline'!C33,"")</f>
        <v/>
      </c>
      <c r="D38" s="23" t="str">
        <f aca="false">IF('MiT Strom Pipeline'!R33="WON",'MiT Strom Pipeline'!D33,"")</f>
        <v/>
      </c>
      <c r="E38" s="23" t="str">
        <f aca="false">IF('MiT Strom Pipeline'!R33="WON",'MiT Strom Pipeline'!E33,"")</f>
        <v/>
      </c>
      <c r="F38" s="70" t="str">
        <f aca="false">IF('MiT Strom Pipeline'!R33="WON",IF(ISNUMBER('MiT Strom Pipeline'!I33),'MiT Strom Pipeline'!I33,0),"")</f>
        <v/>
      </c>
      <c r="G38" s="70" t="str">
        <f aca="false">IF('MiT Strom Pipeline'!R33="WON",IF(ISNUMBER('MiT Strom Pipeline'!Q33),'MiT Strom Pipeline'!Q33,0),"")</f>
        <v/>
      </c>
      <c r="H38" s="22" t="str">
        <f aca="false">IF('MiT Strom Pipeline'!R33="WON",'MiT Strom Pipeline'!R33,"")</f>
        <v/>
      </c>
      <c r="I38" s="22" t="str">
        <f aca="false">IF('MiT Strom Pipeline'!R33="WON",'MiT Strom Pipeline'!S33,"")</f>
        <v/>
      </c>
      <c r="J38" s="23" t="str">
        <f aca="false">IF('MiT Strom Pipeline'!R33="WON",IF(LEN('MiT Strom Pipeline'!V33)&gt;0,LEFT('MiT Strom Pipeline'!V33,55),""),"")</f>
        <v/>
      </c>
    </row>
    <row r="39" customFormat="false" ht="15.75" hidden="false" customHeight="true" outlineLevel="0" collapsed="false">
      <c r="A39" s="19" t="str">
        <f aca="false">IF('MiT Strom Pipeline'!R34="WON",IF(ISNUMBER('MiT Strom Pipeline'!A34),'MiT Strom Pipeline'!A34,""),"")</f>
        <v/>
      </c>
      <c r="B39" s="20" t="str">
        <f aca="false">IF('MiT Strom Pipeline'!R34="WON",'MiT Strom Pipeline'!B34,"")</f>
        <v/>
      </c>
      <c r="C39" s="19" t="str">
        <f aca="false">IF('MiT Strom Pipeline'!R34="WON",'MiT Strom Pipeline'!C34,"")</f>
        <v/>
      </c>
      <c r="D39" s="20" t="str">
        <f aca="false">IF('MiT Strom Pipeline'!R34="WON",'MiT Strom Pipeline'!D34,"")</f>
        <v/>
      </c>
      <c r="E39" s="20" t="str">
        <f aca="false">IF('MiT Strom Pipeline'!R34="WON",'MiT Strom Pipeline'!E34,"")</f>
        <v/>
      </c>
      <c r="F39" s="69" t="str">
        <f aca="false">IF('MiT Strom Pipeline'!R34="WON",IF(ISNUMBER('MiT Strom Pipeline'!I34),'MiT Strom Pipeline'!I34,0),"")</f>
        <v/>
      </c>
      <c r="G39" s="69" t="str">
        <f aca="false">IF('MiT Strom Pipeline'!R34="WON",IF(ISNUMBER('MiT Strom Pipeline'!Q34),'MiT Strom Pipeline'!Q34,0),"")</f>
        <v/>
      </c>
      <c r="H39" s="19" t="str">
        <f aca="false">IF('MiT Strom Pipeline'!R34="WON",'MiT Strom Pipeline'!R34,"")</f>
        <v/>
      </c>
      <c r="I39" s="19" t="str">
        <f aca="false">IF('MiT Strom Pipeline'!R34="WON",'MiT Strom Pipeline'!S34,"")</f>
        <v/>
      </c>
      <c r="J39" s="20" t="str">
        <f aca="false">IF('MiT Strom Pipeline'!R34="WON",IF(LEN('MiT Strom Pipeline'!V34)&gt;0,LEFT('MiT Strom Pipeline'!V34,55),""),"")</f>
        <v/>
      </c>
    </row>
    <row r="40" customFormat="false" ht="15.75" hidden="false" customHeight="true" outlineLevel="0" collapsed="false">
      <c r="A40" s="22" t="str">
        <f aca="false">IF('MiT Strom Pipeline'!R35="WON",IF(ISNUMBER('MiT Strom Pipeline'!A35),'MiT Strom Pipeline'!A35,""),"")</f>
        <v/>
      </c>
      <c r="B40" s="23" t="str">
        <f aca="false">IF('MiT Strom Pipeline'!R35="WON",'MiT Strom Pipeline'!B35,"")</f>
        <v/>
      </c>
      <c r="C40" s="22" t="str">
        <f aca="false">IF('MiT Strom Pipeline'!R35="WON",'MiT Strom Pipeline'!C35,"")</f>
        <v/>
      </c>
      <c r="D40" s="23" t="str">
        <f aca="false">IF('MiT Strom Pipeline'!R35="WON",'MiT Strom Pipeline'!D35,"")</f>
        <v/>
      </c>
      <c r="E40" s="23" t="str">
        <f aca="false">IF('MiT Strom Pipeline'!R35="WON",'MiT Strom Pipeline'!E35,"")</f>
        <v/>
      </c>
      <c r="F40" s="70" t="str">
        <f aca="false">IF('MiT Strom Pipeline'!R35="WON",IF(ISNUMBER('MiT Strom Pipeline'!I35),'MiT Strom Pipeline'!I35,0),"")</f>
        <v/>
      </c>
      <c r="G40" s="70" t="str">
        <f aca="false">IF('MiT Strom Pipeline'!R35="WON",IF(ISNUMBER('MiT Strom Pipeline'!Q35),'MiT Strom Pipeline'!Q35,0),"")</f>
        <v/>
      </c>
      <c r="H40" s="22" t="str">
        <f aca="false">IF('MiT Strom Pipeline'!R35="WON",'MiT Strom Pipeline'!R35,"")</f>
        <v/>
      </c>
      <c r="I40" s="22" t="str">
        <f aca="false">IF('MiT Strom Pipeline'!R35="WON",'MiT Strom Pipeline'!S35,"")</f>
        <v/>
      </c>
      <c r="J40" s="23" t="str">
        <f aca="false">IF('MiT Strom Pipeline'!R35="WON",IF(LEN('MiT Strom Pipeline'!V35)&gt;0,LEFT('MiT Strom Pipeline'!V35,55),""),"")</f>
        <v/>
      </c>
    </row>
    <row r="41" customFormat="false" ht="15.75" hidden="false" customHeight="true" outlineLevel="0" collapsed="false">
      <c r="A41" s="19" t="str">
        <f aca="false">IF('MiT Strom Pipeline'!R36="WON",IF(ISNUMBER('MiT Strom Pipeline'!A36),'MiT Strom Pipeline'!A36,""),"")</f>
        <v/>
      </c>
      <c r="B41" s="20" t="str">
        <f aca="false">IF('MiT Strom Pipeline'!R36="WON",'MiT Strom Pipeline'!B36,"")</f>
        <v/>
      </c>
      <c r="C41" s="19" t="str">
        <f aca="false">IF('MiT Strom Pipeline'!R36="WON",'MiT Strom Pipeline'!C36,"")</f>
        <v/>
      </c>
      <c r="D41" s="20" t="str">
        <f aca="false">IF('MiT Strom Pipeline'!R36="WON",'MiT Strom Pipeline'!D36,"")</f>
        <v/>
      </c>
      <c r="E41" s="20" t="str">
        <f aca="false">IF('MiT Strom Pipeline'!R36="WON",'MiT Strom Pipeline'!E36,"")</f>
        <v/>
      </c>
      <c r="F41" s="69" t="str">
        <f aca="false">IF('MiT Strom Pipeline'!R36="WON",IF(ISNUMBER('MiT Strom Pipeline'!I36),'MiT Strom Pipeline'!I36,0),"")</f>
        <v/>
      </c>
      <c r="G41" s="69" t="str">
        <f aca="false">IF('MiT Strom Pipeline'!R36="WON",IF(ISNUMBER('MiT Strom Pipeline'!Q36),'MiT Strom Pipeline'!Q36,0),"")</f>
        <v/>
      </c>
      <c r="H41" s="19" t="str">
        <f aca="false">IF('MiT Strom Pipeline'!R36="WON",'MiT Strom Pipeline'!R36,"")</f>
        <v/>
      </c>
      <c r="I41" s="19" t="str">
        <f aca="false">IF('MiT Strom Pipeline'!R36="WON",'MiT Strom Pipeline'!S36,"")</f>
        <v/>
      </c>
      <c r="J41" s="20" t="str">
        <f aca="false">IF('MiT Strom Pipeline'!R36="WON",IF(LEN('MiT Strom Pipeline'!V36)&gt;0,LEFT('MiT Strom Pipeline'!V36,55),""),"")</f>
        <v/>
      </c>
    </row>
    <row r="42" customFormat="false" ht="15.75" hidden="false" customHeight="true" outlineLevel="0" collapsed="false">
      <c r="A42" s="22" t="str">
        <f aca="false">IF('MiT Strom Pipeline'!R37="WON",IF(ISNUMBER('MiT Strom Pipeline'!A37),'MiT Strom Pipeline'!A37,""),"")</f>
        <v/>
      </c>
      <c r="B42" s="23" t="str">
        <f aca="false">IF('MiT Strom Pipeline'!R37="WON",'MiT Strom Pipeline'!B37,"")</f>
        <v/>
      </c>
      <c r="C42" s="22" t="str">
        <f aca="false">IF('MiT Strom Pipeline'!R37="WON",'MiT Strom Pipeline'!C37,"")</f>
        <v/>
      </c>
      <c r="D42" s="23" t="str">
        <f aca="false">IF('MiT Strom Pipeline'!R37="WON",'MiT Strom Pipeline'!D37,"")</f>
        <v/>
      </c>
      <c r="E42" s="23" t="str">
        <f aca="false">IF('MiT Strom Pipeline'!R37="WON",'MiT Strom Pipeline'!E37,"")</f>
        <v/>
      </c>
      <c r="F42" s="70" t="str">
        <f aca="false">IF('MiT Strom Pipeline'!R37="WON",IF(ISNUMBER('MiT Strom Pipeline'!I37),'MiT Strom Pipeline'!I37,0),"")</f>
        <v/>
      </c>
      <c r="G42" s="70" t="str">
        <f aca="false">IF('MiT Strom Pipeline'!R37="WON",IF(ISNUMBER('MiT Strom Pipeline'!Q37),'MiT Strom Pipeline'!Q37,0),"")</f>
        <v/>
      </c>
      <c r="H42" s="22" t="str">
        <f aca="false">IF('MiT Strom Pipeline'!R37="WON",'MiT Strom Pipeline'!R37,"")</f>
        <v/>
      </c>
      <c r="I42" s="22" t="str">
        <f aca="false">IF('MiT Strom Pipeline'!R37="WON",'MiT Strom Pipeline'!S37,"")</f>
        <v/>
      </c>
      <c r="J42" s="23" t="str">
        <f aca="false">IF('MiT Strom Pipeline'!R37="WON",IF(LEN('MiT Strom Pipeline'!V37)&gt;0,LEFT('MiT Strom Pipeline'!V37,55),""),"")</f>
        <v/>
      </c>
    </row>
    <row r="43" customFormat="false" ht="15.75" hidden="false" customHeight="true" outlineLevel="0" collapsed="false">
      <c r="A43" s="19" t="str">
        <f aca="false">IF('MiT Strom Pipeline'!R38="WON",IF(ISNUMBER('MiT Strom Pipeline'!A38),'MiT Strom Pipeline'!A38,""),"")</f>
        <v/>
      </c>
      <c r="B43" s="20" t="str">
        <f aca="false">IF('MiT Strom Pipeline'!R38="WON",'MiT Strom Pipeline'!B38,"")</f>
        <v/>
      </c>
      <c r="C43" s="19" t="str">
        <f aca="false">IF('MiT Strom Pipeline'!R38="WON",'MiT Strom Pipeline'!C38,"")</f>
        <v/>
      </c>
      <c r="D43" s="20" t="str">
        <f aca="false">IF('MiT Strom Pipeline'!R38="WON",'MiT Strom Pipeline'!D38,"")</f>
        <v/>
      </c>
      <c r="E43" s="20" t="str">
        <f aca="false">IF('MiT Strom Pipeline'!R38="WON",'MiT Strom Pipeline'!E38,"")</f>
        <v/>
      </c>
      <c r="F43" s="69" t="str">
        <f aca="false">IF('MiT Strom Pipeline'!R38="WON",IF(ISNUMBER('MiT Strom Pipeline'!I38),'MiT Strom Pipeline'!I38,0),"")</f>
        <v/>
      </c>
      <c r="G43" s="69" t="str">
        <f aca="false">IF('MiT Strom Pipeline'!R38="WON",IF(ISNUMBER('MiT Strom Pipeline'!Q38),'MiT Strom Pipeline'!Q38,0),"")</f>
        <v/>
      </c>
      <c r="H43" s="19" t="str">
        <f aca="false">IF('MiT Strom Pipeline'!R38="WON",'MiT Strom Pipeline'!R38,"")</f>
        <v/>
      </c>
      <c r="I43" s="19" t="str">
        <f aca="false">IF('MiT Strom Pipeline'!R38="WON",'MiT Strom Pipeline'!S38,"")</f>
        <v/>
      </c>
      <c r="J43" s="20" t="str">
        <f aca="false">IF('MiT Strom Pipeline'!R38="WON",IF(LEN('MiT Strom Pipeline'!V38)&gt;0,LEFT('MiT Strom Pipeline'!V38,55),""),"")</f>
        <v/>
      </c>
    </row>
    <row r="44" customFormat="false" ht="15.75" hidden="false" customHeight="true" outlineLevel="0" collapsed="false">
      <c r="A44" s="22" t="str">
        <f aca="false">IF('MiT Strom Pipeline'!R39="WON",IF(ISNUMBER('MiT Strom Pipeline'!A39),'MiT Strom Pipeline'!A39,""),"")</f>
        <v/>
      </c>
      <c r="B44" s="23" t="str">
        <f aca="false">IF('MiT Strom Pipeline'!R39="WON",'MiT Strom Pipeline'!B39,"")</f>
        <v/>
      </c>
      <c r="C44" s="22" t="str">
        <f aca="false">IF('MiT Strom Pipeline'!R39="WON",'MiT Strom Pipeline'!C39,"")</f>
        <v/>
      </c>
      <c r="D44" s="23" t="str">
        <f aca="false">IF('MiT Strom Pipeline'!R39="WON",'MiT Strom Pipeline'!D39,"")</f>
        <v/>
      </c>
      <c r="E44" s="23" t="str">
        <f aca="false">IF('MiT Strom Pipeline'!R39="WON",'MiT Strom Pipeline'!E39,"")</f>
        <v/>
      </c>
      <c r="F44" s="70" t="str">
        <f aca="false">IF('MiT Strom Pipeline'!R39="WON",IF(ISNUMBER('MiT Strom Pipeline'!I39),'MiT Strom Pipeline'!I39,0),"")</f>
        <v/>
      </c>
      <c r="G44" s="70" t="str">
        <f aca="false">IF('MiT Strom Pipeline'!R39="WON",IF(ISNUMBER('MiT Strom Pipeline'!Q39),'MiT Strom Pipeline'!Q39,0),"")</f>
        <v/>
      </c>
      <c r="H44" s="22" t="str">
        <f aca="false">IF('MiT Strom Pipeline'!R39="WON",'MiT Strom Pipeline'!R39,"")</f>
        <v/>
      </c>
      <c r="I44" s="22" t="str">
        <f aca="false">IF('MiT Strom Pipeline'!R39="WON",'MiT Strom Pipeline'!S39,"")</f>
        <v/>
      </c>
      <c r="J44" s="23" t="str">
        <f aca="false">IF('MiT Strom Pipeline'!R39="WON",IF(LEN('MiT Strom Pipeline'!V39)&gt;0,LEFT('MiT Strom Pipeline'!V39,55),""),"")</f>
        <v/>
      </c>
    </row>
    <row r="45" customFormat="false" ht="15.75" hidden="false" customHeight="true" outlineLevel="0" collapsed="false">
      <c r="A45" s="19" t="str">
        <f aca="false">IF('MiT Strom Pipeline'!R40="WON",IF(ISNUMBER('MiT Strom Pipeline'!A40),'MiT Strom Pipeline'!A40,""),"")</f>
        <v/>
      </c>
      <c r="B45" s="20" t="str">
        <f aca="false">IF('MiT Strom Pipeline'!R40="WON",'MiT Strom Pipeline'!B40,"")</f>
        <v/>
      </c>
      <c r="C45" s="19" t="str">
        <f aca="false">IF('MiT Strom Pipeline'!R40="WON",'MiT Strom Pipeline'!C40,"")</f>
        <v/>
      </c>
      <c r="D45" s="20" t="str">
        <f aca="false">IF('MiT Strom Pipeline'!R40="WON",'MiT Strom Pipeline'!D40,"")</f>
        <v/>
      </c>
      <c r="E45" s="20" t="str">
        <f aca="false">IF('MiT Strom Pipeline'!R40="WON",'MiT Strom Pipeline'!E40,"")</f>
        <v/>
      </c>
      <c r="F45" s="69" t="str">
        <f aca="false">IF('MiT Strom Pipeline'!R40="WON",IF(ISNUMBER('MiT Strom Pipeline'!I40),'MiT Strom Pipeline'!I40,0),"")</f>
        <v/>
      </c>
      <c r="G45" s="69" t="str">
        <f aca="false">IF('MiT Strom Pipeline'!R40="WON",IF(ISNUMBER('MiT Strom Pipeline'!Q40),'MiT Strom Pipeline'!Q40,0),"")</f>
        <v/>
      </c>
      <c r="H45" s="19" t="str">
        <f aca="false">IF('MiT Strom Pipeline'!R40="WON",'MiT Strom Pipeline'!R40,"")</f>
        <v/>
      </c>
      <c r="I45" s="19" t="str">
        <f aca="false">IF('MiT Strom Pipeline'!R40="WON",'MiT Strom Pipeline'!S40,"")</f>
        <v/>
      </c>
      <c r="J45" s="20" t="str">
        <f aca="false">IF('MiT Strom Pipeline'!R40="WON",IF(LEN('MiT Strom Pipeline'!V40)&gt;0,LEFT('MiT Strom Pipeline'!V40,55),""),"")</f>
        <v/>
      </c>
    </row>
    <row r="46" customFormat="false" ht="15.75" hidden="false" customHeight="true" outlineLevel="0" collapsed="false">
      <c r="A46" s="22" t="str">
        <f aca="false">IF('MiT Strom Pipeline'!R41="WON",IF(ISNUMBER('MiT Strom Pipeline'!A41),'MiT Strom Pipeline'!A41,""),"")</f>
        <v/>
      </c>
      <c r="B46" s="23" t="str">
        <f aca="false">IF('MiT Strom Pipeline'!R41="WON",'MiT Strom Pipeline'!B41,"")</f>
        <v/>
      </c>
      <c r="C46" s="22" t="str">
        <f aca="false">IF('MiT Strom Pipeline'!R41="WON",'MiT Strom Pipeline'!C41,"")</f>
        <v/>
      </c>
      <c r="D46" s="23" t="str">
        <f aca="false">IF('MiT Strom Pipeline'!R41="WON",'MiT Strom Pipeline'!D41,"")</f>
        <v/>
      </c>
      <c r="E46" s="23" t="str">
        <f aca="false">IF('MiT Strom Pipeline'!R41="WON",'MiT Strom Pipeline'!E41,"")</f>
        <v/>
      </c>
      <c r="F46" s="70" t="str">
        <f aca="false">IF('MiT Strom Pipeline'!R41="WON",IF(ISNUMBER('MiT Strom Pipeline'!I41),'MiT Strom Pipeline'!I41,0),"")</f>
        <v/>
      </c>
      <c r="G46" s="70" t="str">
        <f aca="false">IF('MiT Strom Pipeline'!R41="WON",IF(ISNUMBER('MiT Strom Pipeline'!Q41),'MiT Strom Pipeline'!Q41,0),"")</f>
        <v/>
      </c>
      <c r="H46" s="22" t="str">
        <f aca="false">IF('MiT Strom Pipeline'!R41="WON",'MiT Strom Pipeline'!R41,"")</f>
        <v/>
      </c>
      <c r="I46" s="22" t="str">
        <f aca="false">IF('MiT Strom Pipeline'!R41="WON",'MiT Strom Pipeline'!S41,"")</f>
        <v/>
      </c>
      <c r="J46" s="23" t="str">
        <f aca="false">IF('MiT Strom Pipeline'!R41="WON",IF(LEN('MiT Strom Pipeline'!V41)&gt;0,LEFT('MiT Strom Pipeline'!V41,55),""),"")</f>
        <v/>
      </c>
    </row>
    <row r="47" customFormat="false" ht="15.75" hidden="false" customHeight="true" outlineLevel="0" collapsed="false">
      <c r="A47" s="19" t="str">
        <f aca="false">IF('MiT Strom Pipeline'!R42="WON",IF(ISNUMBER('MiT Strom Pipeline'!A42),'MiT Strom Pipeline'!A42,""),"")</f>
        <v/>
      </c>
      <c r="B47" s="20" t="str">
        <f aca="false">IF('MiT Strom Pipeline'!R42="WON",'MiT Strom Pipeline'!B42,"")</f>
        <v/>
      </c>
      <c r="C47" s="19" t="str">
        <f aca="false">IF('MiT Strom Pipeline'!R42="WON",'MiT Strom Pipeline'!C42,"")</f>
        <v/>
      </c>
      <c r="D47" s="20" t="str">
        <f aca="false">IF('MiT Strom Pipeline'!R42="WON",'MiT Strom Pipeline'!D42,"")</f>
        <v/>
      </c>
      <c r="E47" s="20" t="str">
        <f aca="false">IF('MiT Strom Pipeline'!R42="WON",'MiT Strom Pipeline'!E42,"")</f>
        <v/>
      </c>
      <c r="F47" s="69" t="str">
        <f aca="false">IF('MiT Strom Pipeline'!R42="WON",IF(ISNUMBER('MiT Strom Pipeline'!I42),'MiT Strom Pipeline'!I42,0),"")</f>
        <v/>
      </c>
      <c r="G47" s="69" t="str">
        <f aca="false">IF('MiT Strom Pipeline'!R42="WON",IF(ISNUMBER('MiT Strom Pipeline'!Q42),'MiT Strom Pipeline'!Q42,0),"")</f>
        <v/>
      </c>
      <c r="H47" s="19" t="str">
        <f aca="false">IF('MiT Strom Pipeline'!R42="WON",'MiT Strom Pipeline'!R42,"")</f>
        <v/>
      </c>
      <c r="I47" s="19" t="str">
        <f aca="false">IF('MiT Strom Pipeline'!R42="WON",'MiT Strom Pipeline'!S42,"")</f>
        <v/>
      </c>
      <c r="J47" s="20" t="str">
        <f aca="false">IF('MiT Strom Pipeline'!R42="WON",IF(LEN('MiT Strom Pipeline'!V42)&gt;0,LEFT('MiT Strom Pipeline'!V42,55),""),"")</f>
        <v/>
      </c>
    </row>
    <row r="48" customFormat="false" ht="15.75" hidden="false" customHeight="true" outlineLevel="0" collapsed="false">
      <c r="A48" s="22" t="str">
        <f aca="false">IF('MiT Strom Pipeline'!R43="WON",IF(ISNUMBER('MiT Strom Pipeline'!A43),'MiT Strom Pipeline'!A43,""),"")</f>
        <v/>
      </c>
      <c r="B48" s="23" t="str">
        <f aca="false">IF('MiT Strom Pipeline'!R43="WON",'MiT Strom Pipeline'!B43,"")</f>
        <v/>
      </c>
      <c r="C48" s="22" t="str">
        <f aca="false">IF('MiT Strom Pipeline'!R43="WON",'MiT Strom Pipeline'!C43,"")</f>
        <v/>
      </c>
      <c r="D48" s="23" t="str">
        <f aca="false">IF('MiT Strom Pipeline'!R43="WON",'MiT Strom Pipeline'!D43,"")</f>
        <v/>
      </c>
      <c r="E48" s="23" t="str">
        <f aca="false">IF('MiT Strom Pipeline'!R43="WON",'MiT Strom Pipeline'!E43,"")</f>
        <v/>
      </c>
      <c r="F48" s="70" t="str">
        <f aca="false">IF('MiT Strom Pipeline'!R43="WON",IF(ISNUMBER('MiT Strom Pipeline'!I43),'MiT Strom Pipeline'!I43,0),"")</f>
        <v/>
      </c>
      <c r="G48" s="70" t="str">
        <f aca="false">IF('MiT Strom Pipeline'!R43="WON",IF(ISNUMBER('MiT Strom Pipeline'!Q43),'MiT Strom Pipeline'!Q43,0),"")</f>
        <v/>
      </c>
      <c r="H48" s="22" t="str">
        <f aca="false">IF('MiT Strom Pipeline'!R43="WON",'MiT Strom Pipeline'!R43,"")</f>
        <v/>
      </c>
      <c r="I48" s="22" t="str">
        <f aca="false">IF('MiT Strom Pipeline'!R43="WON",'MiT Strom Pipeline'!S43,"")</f>
        <v/>
      </c>
      <c r="J48" s="23" t="str">
        <f aca="false">IF('MiT Strom Pipeline'!R43="WON",IF(LEN('MiT Strom Pipeline'!V43)&gt;0,LEFT('MiT Strom Pipeline'!V43,55),""),"")</f>
        <v/>
      </c>
    </row>
    <row r="49" customFormat="false" ht="15.75" hidden="false" customHeight="true" outlineLevel="0" collapsed="false">
      <c r="A49" s="19" t="str">
        <f aca="false">IF('MiT Strom Pipeline'!R44="WON",IF(ISNUMBER('MiT Strom Pipeline'!A44),'MiT Strom Pipeline'!A44,""),"")</f>
        <v/>
      </c>
      <c r="B49" s="20" t="str">
        <f aca="false">IF('MiT Strom Pipeline'!R44="WON",'MiT Strom Pipeline'!B44,"")</f>
        <v/>
      </c>
      <c r="C49" s="19" t="str">
        <f aca="false">IF('MiT Strom Pipeline'!R44="WON",'MiT Strom Pipeline'!C44,"")</f>
        <v/>
      </c>
      <c r="D49" s="20" t="str">
        <f aca="false">IF('MiT Strom Pipeline'!R44="WON",'MiT Strom Pipeline'!D44,"")</f>
        <v/>
      </c>
      <c r="E49" s="20" t="str">
        <f aca="false">IF('MiT Strom Pipeline'!R44="WON",'MiT Strom Pipeline'!E44,"")</f>
        <v/>
      </c>
      <c r="F49" s="69" t="str">
        <f aca="false">IF('MiT Strom Pipeline'!R44="WON",IF(ISNUMBER('MiT Strom Pipeline'!I44),'MiT Strom Pipeline'!I44,0),"")</f>
        <v/>
      </c>
      <c r="G49" s="69" t="str">
        <f aca="false">IF('MiT Strom Pipeline'!R44="WON",IF(ISNUMBER('MiT Strom Pipeline'!Q44),'MiT Strom Pipeline'!Q44,0),"")</f>
        <v/>
      </c>
      <c r="H49" s="19" t="str">
        <f aca="false">IF('MiT Strom Pipeline'!R44="WON",'MiT Strom Pipeline'!R44,"")</f>
        <v/>
      </c>
      <c r="I49" s="19" t="str">
        <f aca="false">IF('MiT Strom Pipeline'!R44="WON",'MiT Strom Pipeline'!S44,"")</f>
        <v/>
      </c>
      <c r="J49" s="20" t="str">
        <f aca="false">IF('MiT Strom Pipeline'!R44="WON",IF(LEN('MiT Strom Pipeline'!V44)&gt;0,LEFT('MiT Strom Pipeline'!V44,55),""),"")</f>
        <v/>
      </c>
    </row>
    <row r="50" customFormat="false" ht="15.75" hidden="false" customHeight="true" outlineLevel="0" collapsed="false">
      <c r="A50" s="22" t="str">
        <f aca="false">IF('MiT Strom Pipeline'!R45="WON",IF(ISNUMBER('MiT Strom Pipeline'!A45),'MiT Strom Pipeline'!A45,""),"")</f>
        <v/>
      </c>
      <c r="B50" s="23" t="str">
        <f aca="false">IF('MiT Strom Pipeline'!R45="WON",'MiT Strom Pipeline'!B45,"")</f>
        <v/>
      </c>
      <c r="C50" s="22" t="str">
        <f aca="false">IF('MiT Strom Pipeline'!R45="WON",'MiT Strom Pipeline'!C45,"")</f>
        <v/>
      </c>
      <c r="D50" s="23" t="str">
        <f aca="false">IF('MiT Strom Pipeline'!R45="WON",'MiT Strom Pipeline'!D45,"")</f>
        <v/>
      </c>
      <c r="E50" s="23" t="str">
        <f aca="false">IF('MiT Strom Pipeline'!R45="WON",'MiT Strom Pipeline'!E45,"")</f>
        <v/>
      </c>
      <c r="F50" s="70" t="str">
        <f aca="false">IF('MiT Strom Pipeline'!R45="WON",IF(ISNUMBER('MiT Strom Pipeline'!I45),'MiT Strom Pipeline'!I45,0),"")</f>
        <v/>
      </c>
      <c r="G50" s="70" t="str">
        <f aca="false">IF('MiT Strom Pipeline'!R45="WON",IF(ISNUMBER('MiT Strom Pipeline'!Q45),'MiT Strom Pipeline'!Q45,0),"")</f>
        <v/>
      </c>
      <c r="H50" s="22" t="str">
        <f aca="false">IF('MiT Strom Pipeline'!R45="WON",'MiT Strom Pipeline'!R45,"")</f>
        <v/>
      </c>
      <c r="I50" s="22" t="str">
        <f aca="false">IF('MiT Strom Pipeline'!R45="WON",'MiT Strom Pipeline'!S45,"")</f>
        <v/>
      </c>
      <c r="J50" s="23" t="str">
        <f aca="false">IF('MiT Strom Pipeline'!R45="WON",IF(LEN('MiT Strom Pipeline'!V45)&gt;0,LEFT('MiT Strom Pipeline'!V45,55),""),"")</f>
        <v/>
      </c>
    </row>
    <row r="51" customFormat="false" ht="15.75" hidden="false" customHeight="true" outlineLevel="0" collapsed="false">
      <c r="A51" s="19" t="str">
        <f aca="false">IF('MiT Strom Pipeline'!R46="WON",IF(ISNUMBER('MiT Strom Pipeline'!A46),'MiT Strom Pipeline'!A46,""),"")</f>
        <v/>
      </c>
      <c r="B51" s="20" t="str">
        <f aca="false">IF('MiT Strom Pipeline'!R46="WON",'MiT Strom Pipeline'!B46,"")</f>
        <v/>
      </c>
      <c r="C51" s="19" t="str">
        <f aca="false">IF('MiT Strom Pipeline'!R46="WON",'MiT Strom Pipeline'!C46,"")</f>
        <v/>
      </c>
      <c r="D51" s="20" t="str">
        <f aca="false">IF('MiT Strom Pipeline'!R46="WON",'MiT Strom Pipeline'!D46,"")</f>
        <v/>
      </c>
      <c r="E51" s="20" t="str">
        <f aca="false">IF('MiT Strom Pipeline'!R46="WON",'MiT Strom Pipeline'!E46,"")</f>
        <v/>
      </c>
      <c r="F51" s="69" t="str">
        <f aca="false">IF('MiT Strom Pipeline'!R46="WON",IF(ISNUMBER('MiT Strom Pipeline'!I46),'MiT Strom Pipeline'!I46,0),"")</f>
        <v/>
      </c>
      <c r="G51" s="69" t="str">
        <f aca="false">IF('MiT Strom Pipeline'!R46="WON",IF(ISNUMBER('MiT Strom Pipeline'!Q46),'MiT Strom Pipeline'!Q46,0),"")</f>
        <v/>
      </c>
      <c r="H51" s="19" t="str">
        <f aca="false">IF('MiT Strom Pipeline'!R46="WON",'MiT Strom Pipeline'!R46,"")</f>
        <v/>
      </c>
      <c r="I51" s="19" t="str">
        <f aca="false">IF('MiT Strom Pipeline'!R46="WON",'MiT Strom Pipeline'!S46,"")</f>
        <v/>
      </c>
      <c r="J51" s="20" t="str">
        <f aca="false">IF('MiT Strom Pipeline'!R46="WON",IF(LEN('MiT Strom Pipeline'!V46)&gt;0,LEFT('MiT Strom Pipeline'!V46,55),""),"")</f>
        <v/>
      </c>
    </row>
    <row r="52" customFormat="false" ht="15.75" hidden="false" customHeight="true" outlineLevel="0" collapsed="false">
      <c r="A52" s="22" t="str">
        <f aca="false">IF('MiT Strom Pipeline'!R47="WON",IF(ISNUMBER('MiT Strom Pipeline'!A47),'MiT Strom Pipeline'!A47,""),"")</f>
        <v/>
      </c>
      <c r="B52" s="23" t="str">
        <f aca="false">IF('MiT Strom Pipeline'!R47="WON",'MiT Strom Pipeline'!B47,"")</f>
        <v/>
      </c>
      <c r="C52" s="22" t="str">
        <f aca="false">IF('MiT Strom Pipeline'!R47="WON",'MiT Strom Pipeline'!C47,"")</f>
        <v/>
      </c>
      <c r="D52" s="23" t="str">
        <f aca="false">IF('MiT Strom Pipeline'!R47="WON",'MiT Strom Pipeline'!D47,"")</f>
        <v/>
      </c>
      <c r="E52" s="23" t="str">
        <f aca="false">IF('MiT Strom Pipeline'!R47="WON",'MiT Strom Pipeline'!E47,"")</f>
        <v/>
      </c>
      <c r="F52" s="70" t="str">
        <f aca="false">IF('MiT Strom Pipeline'!R47="WON",IF(ISNUMBER('MiT Strom Pipeline'!I47),'MiT Strom Pipeline'!I47,0),"")</f>
        <v/>
      </c>
      <c r="G52" s="70" t="str">
        <f aca="false">IF('MiT Strom Pipeline'!R47="WON",IF(ISNUMBER('MiT Strom Pipeline'!Q47),'MiT Strom Pipeline'!Q47,0),"")</f>
        <v/>
      </c>
      <c r="H52" s="22" t="str">
        <f aca="false">IF('MiT Strom Pipeline'!R47="WON",'MiT Strom Pipeline'!R47,"")</f>
        <v/>
      </c>
      <c r="I52" s="22" t="str">
        <f aca="false">IF('MiT Strom Pipeline'!R47="WON",'MiT Strom Pipeline'!S47,"")</f>
        <v/>
      </c>
      <c r="J52" s="23" t="str">
        <f aca="false">IF('MiT Strom Pipeline'!R47="WON",IF(LEN('MiT Strom Pipeline'!V47)&gt;0,LEFT('MiT Strom Pipeline'!V47,55),""),"")</f>
        <v/>
      </c>
    </row>
    <row r="53" customFormat="false" ht="15.75" hidden="false" customHeight="true" outlineLevel="0" collapsed="false">
      <c r="A53" s="19" t="str">
        <f aca="false">IF('MiT Strom Pipeline'!R48="WON",IF(ISNUMBER('MiT Strom Pipeline'!A48),'MiT Strom Pipeline'!A48,""),"")</f>
        <v/>
      </c>
      <c r="B53" s="20" t="str">
        <f aca="false">IF('MiT Strom Pipeline'!R48="WON",'MiT Strom Pipeline'!B48,"")</f>
        <v/>
      </c>
      <c r="C53" s="19" t="str">
        <f aca="false">IF('MiT Strom Pipeline'!R48="WON",'MiT Strom Pipeline'!C48,"")</f>
        <v/>
      </c>
      <c r="D53" s="20" t="str">
        <f aca="false">IF('MiT Strom Pipeline'!R48="WON",'MiT Strom Pipeline'!D48,"")</f>
        <v/>
      </c>
      <c r="E53" s="20" t="str">
        <f aca="false">IF('MiT Strom Pipeline'!R48="WON",'MiT Strom Pipeline'!E48,"")</f>
        <v/>
      </c>
      <c r="F53" s="69" t="str">
        <f aca="false">IF('MiT Strom Pipeline'!R48="WON",IF(ISNUMBER('MiT Strom Pipeline'!I48),'MiT Strom Pipeline'!I48,0),"")</f>
        <v/>
      </c>
      <c r="G53" s="69" t="str">
        <f aca="false">IF('MiT Strom Pipeline'!R48="WON",IF(ISNUMBER('MiT Strom Pipeline'!Q48),'MiT Strom Pipeline'!Q48,0),"")</f>
        <v/>
      </c>
      <c r="H53" s="19" t="str">
        <f aca="false">IF('MiT Strom Pipeline'!R48="WON",'MiT Strom Pipeline'!R48,"")</f>
        <v/>
      </c>
      <c r="I53" s="19" t="str">
        <f aca="false">IF('MiT Strom Pipeline'!R48="WON",'MiT Strom Pipeline'!S48,"")</f>
        <v/>
      </c>
      <c r="J53" s="20" t="str">
        <f aca="false">IF('MiT Strom Pipeline'!R48="WON",IF(LEN('MiT Strom Pipeline'!V48)&gt;0,LEFT('MiT Strom Pipeline'!V48,55),""),"")</f>
        <v/>
      </c>
    </row>
    <row r="54" customFormat="false" ht="15.75" hidden="false" customHeight="true" outlineLevel="0" collapsed="false">
      <c r="A54" s="22" t="str">
        <f aca="false">IF('MiT Strom Pipeline'!R49="WON",IF(ISNUMBER('MiT Strom Pipeline'!A49),'MiT Strom Pipeline'!A49,""),"")</f>
        <v/>
      </c>
      <c r="B54" s="23" t="str">
        <f aca="false">IF('MiT Strom Pipeline'!R49="WON",'MiT Strom Pipeline'!B49,"")</f>
        <v/>
      </c>
      <c r="C54" s="22" t="str">
        <f aca="false">IF('MiT Strom Pipeline'!R49="WON",'MiT Strom Pipeline'!C49,"")</f>
        <v/>
      </c>
      <c r="D54" s="23" t="str">
        <f aca="false">IF('MiT Strom Pipeline'!R49="WON",'MiT Strom Pipeline'!D49,"")</f>
        <v/>
      </c>
      <c r="E54" s="23" t="str">
        <f aca="false">IF('MiT Strom Pipeline'!R49="WON",'MiT Strom Pipeline'!E49,"")</f>
        <v/>
      </c>
      <c r="F54" s="70" t="str">
        <f aca="false">IF('MiT Strom Pipeline'!R49="WON",IF(ISNUMBER('MiT Strom Pipeline'!I49),'MiT Strom Pipeline'!I49,0),"")</f>
        <v/>
      </c>
      <c r="G54" s="70" t="str">
        <f aca="false">IF('MiT Strom Pipeline'!R49="WON",IF(ISNUMBER('MiT Strom Pipeline'!Q49),'MiT Strom Pipeline'!Q49,0),"")</f>
        <v/>
      </c>
      <c r="H54" s="22" t="str">
        <f aca="false">IF('MiT Strom Pipeline'!R49="WON",'MiT Strom Pipeline'!R49,"")</f>
        <v/>
      </c>
      <c r="I54" s="22" t="str">
        <f aca="false">IF('MiT Strom Pipeline'!R49="WON",'MiT Strom Pipeline'!S49,"")</f>
        <v/>
      </c>
      <c r="J54" s="23" t="str">
        <f aca="false">IF('MiT Strom Pipeline'!R49="WON",IF(LEN('MiT Strom Pipeline'!V49)&gt;0,LEFT('MiT Strom Pipeline'!V49,55),""),"")</f>
        <v/>
      </c>
    </row>
    <row r="55" customFormat="false" ht="15.75" hidden="false" customHeight="true" outlineLevel="0" collapsed="false">
      <c r="A55" s="19" t="str">
        <f aca="false">IF('MiT Strom Pipeline'!R50="WON",IF(ISNUMBER('MiT Strom Pipeline'!A50),'MiT Strom Pipeline'!A50,""),"")</f>
        <v/>
      </c>
      <c r="B55" s="20" t="str">
        <f aca="false">IF('MiT Strom Pipeline'!R50="WON",'MiT Strom Pipeline'!B50,"")</f>
        <v/>
      </c>
      <c r="C55" s="19" t="str">
        <f aca="false">IF('MiT Strom Pipeline'!R50="WON",'MiT Strom Pipeline'!C50,"")</f>
        <v/>
      </c>
      <c r="D55" s="20" t="str">
        <f aca="false">IF('MiT Strom Pipeline'!R50="WON",'MiT Strom Pipeline'!D50,"")</f>
        <v/>
      </c>
      <c r="E55" s="20" t="str">
        <f aca="false">IF('MiT Strom Pipeline'!R50="WON",'MiT Strom Pipeline'!E50,"")</f>
        <v/>
      </c>
      <c r="F55" s="69" t="str">
        <f aca="false">IF('MiT Strom Pipeline'!R50="WON",IF(ISNUMBER('MiT Strom Pipeline'!I50),'MiT Strom Pipeline'!I50,0),"")</f>
        <v/>
      </c>
      <c r="G55" s="69" t="str">
        <f aca="false">IF('MiT Strom Pipeline'!R50="WON",IF(ISNUMBER('MiT Strom Pipeline'!Q50),'MiT Strom Pipeline'!Q50,0),"")</f>
        <v/>
      </c>
      <c r="H55" s="19" t="str">
        <f aca="false">IF('MiT Strom Pipeline'!R50="WON",'MiT Strom Pipeline'!R50,"")</f>
        <v/>
      </c>
      <c r="I55" s="19" t="str">
        <f aca="false">IF('MiT Strom Pipeline'!R50="WON",'MiT Strom Pipeline'!S50,"")</f>
        <v/>
      </c>
      <c r="J55" s="20" t="str">
        <f aca="false">IF('MiT Strom Pipeline'!R50="WON",IF(LEN('MiT Strom Pipeline'!V50)&gt;0,LEFT('MiT Strom Pipeline'!V50,55),""),"")</f>
        <v/>
      </c>
    </row>
    <row r="56" customFormat="false" ht="15.75" hidden="false" customHeight="true" outlineLevel="0" collapsed="false">
      <c r="A56" s="22" t="str">
        <f aca="false">IF('MiT Strom Pipeline'!R51="WON",IF(ISNUMBER('MiT Strom Pipeline'!A51),'MiT Strom Pipeline'!A51,""),"")</f>
        <v/>
      </c>
      <c r="B56" s="23" t="str">
        <f aca="false">IF('MiT Strom Pipeline'!R51="WON",'MiT Strom Pipeline'!B51,"")</f>
        <v/>
      </c>
      <c r="C56" s="22" t="str">
        <f aca="false">IF('MiT Strom Pipeline'!R51="WON",'MiT Strom Pipeline'!C51,"")</f>
        <v/>
      </c>
      <c r="D56" s="23" t="str">
        <f aca="false">IF('MiT Strom Pipeline'!R51="WON",'MiT Strom Pipeline'!D51,"")</f>
        <v/>
      </c>
      <c r="E56" s="23" t="str">
        <f aca="false">IF('MiT Strom Pipeline'!R51="WON",'MiT Strom Pipeline'!E51,"")</f>
        <v/>
      </c>
      <c r="F56" s="70" t="str">
        <f aca="false">IF('MiT Strom Pipeline'!R51="WON",IF(ISNUMBER('MiT Strom Pipeline'!I51),'MiT Strom Pipeline'!I51,0),"")</f>
        <v/>
      </c>
      <c r="G56" s="70" t="str">
        <f aca="false">IF('MiT Strom Pipeline'!R51="WON",IF(ISNUMBER('MiT Strom Pipeline'!Q51),'MiT Strom Pipeline'!Q51,0),"")</f>
        <v/>
      </c>
      <c r="H56" s="22" t="str">
        <f aca="false">IF('MiT Strom Pipeline'!R51="WON",'MiT Strom Pipeline'!R51,"")</f>
        <v/>
      </c>
      <c r="I56" s="22" t="str">
        <f aca="false">IF('MiT Strom Pipeline'!R51="WON",'MiT Strom Pipeline'!S51,"")</f>
        <v/>
      </c>
      <c r="J56" s="23" t="str">
        <f aca="false">IF('MiT Strom Pipeline'!R51="WON",IF(LEN('MiT Strom Pipeline'!V51)&gt;0,LEFT('MiT Strom Pipeline'!V51,55),""),"")</f>
        <v/>
      </c>
    </row>
    <row r="57" customFormat="false" ht="15.75" hidden="false" customHeight="true" outlineLevel="0" collapsed="false">
      <c r="A57" s="19" t="str">
        <f aca="false">IF('MiT Strom Pipeline'!R52="WON",IF(ISNUMBER('MiT Strom Pipeline'!A52),'MiT Strom Pipeline'!A52,""),"")</f>
        <v/>
      </c>
      <c r="B57" s="20" t="str">
        <f aca="false">IF('MiT Strom Pipeline'!R52="WON",'MiT Strom Pipeline'!B52,"")</f>
        <v/>
      </c>
      <c r="C57" s="19" t="str">
        <f aca="false">IF('MiT Strom Pipeline'!R52="WON",'MiT Strom Pipeline'!C52,"")</f>
        <v/>
      </c>
      <c r="D57" s="20" t="str">
        <f aca="false">IF('MiT Strom Pipeline'!R52="WON",'MiT Strom Pipeline'!D52,"")</f>
        <v/>
      </c>
      <c r="E57" s="20" t="str">
        <f aca="false">IF('MiT Strom Pipeline'!R52="WON",'MiT Strom Pipeline'!E52,"")</f>
        <v/>
      </c>
      <c r="F57" s="69" t="str">
        <f aca="false">IF('MiT Strom Pipeline'!R52="WON",IF(ISNUMBER('MiT Strom Pipeline'!I52),'MiT Strom Pipeline'!I52,0),"")</f>
        <v/>
      </c>
      <c r="G57" s="69" t="str">
        <f aca="false">IF('MiT Strom Pipeline'!R52="WON",IF(ISNUMBER('MiT Strom Pipeline'!Q52),'MiT Strom Pipeline'!Q52,0),"")</f>
        <v/>
      </c>
      <c r="H57" s="19" t="str">
        <f aca="false">IF('MiT Strom Pipeline'!R52="WON",'MiT Strom Pipeline'!R52,"")</f>
        <v/>
      </c>
      <c r="I57" s="19" t="str">
        <f aca="false">IF('MiT Strom Pipeline'!R52="WON",'MiT Strom Pipeline'!S52,"")</f>
        <v/>
      </c>
      <c r="J57" s="20" t="str">
        <f aca="false">IF('MiT Strom Pipeline'!R52="WON",IF(LEN('MiT Strom Pipeline'!V52)&gt;0,LEFT('MiT Strom Pipeline'!V52,55),""),"")</f>
        <v/>
      </c>
    </row>
    <row r="58" customFormat="false" ht="15.75" hidden="false" customHeight="true" outlineLevel="0" collapsed="false">
      <c r="A58" s="22" t="str">
        <f aca="false">IF('MiT Strom Pipeline'!R53="WON",IF(ISNUMBER('MiT Strom Pipeline'!A53),'MiT Strom Pipeline'!A53,""),"")</f>
        <v/>
      </c>
      <c r="B58" s="23" t="str">
        <f aca="false">IF('MiT Strom Pipeline'!R53="WON",'MiT Strom Pipeline'!B53,"")</f>
        <v/>
      </c>
      <c r="C58" s="22" t="str">
        <f aca="false">IF('MiT Strom Pipeline'!R53="WON",'MiT Strom Pipeline'!C53,"")</f>
        <v/>
      </c>
      <c r="D58" s="23" t="str">
        <f aca="false">IF('MiT Strom Pipeline'!R53="WON",'MiT Strom Pipeline'!D53,"")</f>
        <v/>
      </c>
      <c r="E58" s="23" t="str">
        <f aca="false">IF('MiT Strom Pipeline'!R53="WON",'MiT Strom Pipeline'!E53,"")</f>
        <v/>
      </c>
      <c r="F58" s="70" t="str">
        <f aca="false">IF('MiT Strom Pipeline'!R53="WON",IF(ISNUMBER('MiT Strom Pipeline'!I53),'MiT Strom Pipeline'!I53,0),"")</f>
        <v/>
      </c>
      <c r="G58" s="70" t="str">
        <f aca="false">IF('MiT Strom Pipeline'!R53="WON",IF(ISNUMBER('MiT Strom Pipeline'!Q53),'MiT Strom Pipeline'!Q53,0),"")</f>
        <v/>
      </c>
      <c r="H58" s="22" t="str">
        <f aca="false">IF('MiT Strom Pipeline'!R53="WON",'MiT Strom Pipeline'!R53,"")</f>
        <v/>
      </c>
      <c r="I58" s="22" t="str">
        <f aca="false">IF('MiT Strom Pipeline'!R53="WON",'MiT Strom Pipeline'!S53,"")</f>
        <v/>
      </c>
      <c r="J58" s="23" t="str">
        <f aca="false">IF('MiT Strom Pipeline'!R53="WON",IF(LEN('MiT Strom Pipeline'!V53)&gt;0,LEFT('MiT Strom Pipeline'!V53,55),""),"")</f>
        <v/>
      </c>
    </row>
    <row r="59" customFormat="false" ht="15.75" hidden="false" customHeight="true" outlineLevel="0" collapsed="false">
      <c r="A59" s="19" t="str">
        <f aca="false">IF('MiT Strom Pipeline'!R54="WON",IF(ISNUMBER('MiT Strom Pipeline'!A54),'MiT Strom Pipeline'!A54,""),"")</f>
        <v/>
      </c>
      <c r="B59" s="20" t="str">
        <f aca="false">IF('MiT Strom Pipeline'!R54="WON",'MiT Strom Pipeline'!B54,"")</f>
        <v/>
      </c>
      <c r="C59" s="19" t="str">
        <f aca="false">IF('MiT Strom Pipeline'!R54="WON",'MiT Strom Pipeline'!C54,"")</f>
        <v/>
      </c>
      <c r="D59" s="20" t="str">
        <f aca="false">IF('MiT Strom Pipeline'!R54="WON",'MiT Strom Pipeline'!D54,"")</f>
        <v/>
      </c>
      <c r="E59" s="20" t="str">
        <f aca="false">IF('MiT Strom Pipeline'!R54="WON",'MiT Strom Pipeline'!E54,"")</f>
        <v/>
      </c>
      <c r="F59" s="69" t="str">
        <f aca="false">IF('MiT Strom Pipeline'!R54="WON",IF(ISNUMBER('MiT Strom Pipeline'!I54),'MiT Strom Pipeline'!I54,0),"")</f>
        <v/>
      </c>
      <c r="G59" s="69" t="str">
        <f aca="false">IF('MiT Strom Pipeline'!R54="WON",IF(ISNUMBER('MiT Strom Pipeline'!Q54),'MiT Strom Pipeline'!Q54,0),"")</f>
        <v/>
      </c>
      <c r="H59" s="19" t="str">
        <f aca="false">IF('MiT Strom Pipeline'!R54="WON",'MiT Strom Pipeline'!R54,"")</f>
        <v/>
      </c>
      <c r="I59" s="19" t="str">
        <f aca="false">IF('MiT Strom Pipeline'!R54="WON",'MiT Strom Pipeline'!S54,"")</f>
        <v/>
      </c>
      <c r="J59" s="20" t="str">
        <f aca="false">IF('MiT Strom Pipeline'!R54="WON",IF(LEN('MiT Strom Pipeline'!V54)&gt;0,LEFT('MiT Strom Pipeline'!V54,55),""),"")</f>
        <v/>
      </c>
    </row>
    <row r="60" customFormat="false" ht="15.75" hidden="false" customHeight="true" outlineLevel="0" collapsed="false">
      <c r="A60" s="22" t="str">
        <f aca="false">IF('MiT Strom Pipeline'!R55="WON",IF(ISNUMBER('MiT Strom Pipeline'!A55),'MiT Strom Pipeline'!A55,""),"")</f>
        <v/>
      </c>
      <c r="B60" s="23" t="str">
        <f aca="false">IF('MiT Strom Pipeline'!R55="WON",'MiT Strom Pipeline'!B55,"")</f>
        <v/>
      </c>
      <c r="C60" s="22" t="str">
        <f aca="false">IF('MiT Strom Pipeline'!R55="WON",'MiT Strom Pipeline'!C55,"")</f>
        <v/>
      </c>
      <c r="D60" s="23" t="str">
        <f aca="false">IF('MiT Strom Pipeline'!R55="WON",'MiT Strom Pipeline'!D55,"")</f>
        <v/>
      </c>
      <c r="E60" s="23" t="str">
        <f aca="false">IF('MiT Strom Pipeline'!R55="WON",'MiT Strom Pipeline'!E55,"")</f>
        <v/>
      </c>
      <c r="F60" s="70" t="str">
        <f aca="false">IF('MiT Strom Pipeline'!R55="WON",IF(ISNUMBER('MiT Strom Pipeline'!I55),'MiT Strom Pipeline'!I55,0),"")</f>
        <v/>
      </c>
      <c r="G60" s="70" t="str">
        <f aca="false">IF('MiT Strom Pipeline'!R55="WON",IF(ISNUMBER('MiT Strom Pipeline'!Q55),'MiT Strom Pipeline'!Q55,0),"")</f>
        <v/>
      </c>
      <c r="H60" s="22" t="str">
        <f aca="false">IF('MiT Strom Pipeline'!R55="WON",'MiT Strom Pipeline'!R55,"")</f>
        <v/>
      </c>
      <c r="I60" s="22" t="str">
        <f aca="false">IF('MiT Strom Pipeline'!R55="WON",'MiT Strom Pipeline'!S55,"")</f>
        <v/>
      </c>
      <c r="J60" s="23" t="str">
        <f aca="false">IF('MiT Strom Pipeline'!R55="WON",IF(LEN('MiT Strom Pipeline'!V55)&gt;0,LEFT('MiT Strom Pipeline'!V55,55),""),"")</f>
        <v/>
      </c>
    </row>
    <row r="61" customFormat="false" ht="15.75" hidden="false" customHeight="true" outlineLevel="0" collapsed="false">
      <c r="A61" s="19" t="str">
        <f aca="false">IF('MiT Strom Pipeline'!R56="WON",IF(ISNUMBER('MiT Strom Pipeline'!A56),'MiT Strom Pipeline'!A56,""),"")</f>
        <v/>
      </c>
      <c r="B61" s="20" t="str">
        <f aca="false">IF('MiT Strom Pipeline'!R56="WON",'MiT Strom Pipeline'!B56,"")</f>
        <v/>
      </c>
      <c r="C61" s="19" t="str">
        <f aca="false">IF('MiT Strom Pipeline'!R56="WON",'MiT Strom Pipeline'!C56,"")</f>
        <v/>
      </c>
      <c r="D61" s="20" t="str">
        <f aca="false">IF('MiT Strom Pipeline'!R56="WON",'MiT Strom Pipeline'!D56,"")</f>
        <v/>
      </c>
      <c r="E61" s="20" t="str">
        <f aca="false">IF('MiT Strom Pipeline'!R56="WON",'MiT Strom Pipeline'!E56,"")</f>
        <v/>
      </c>
      <c r="F61" s="69" t="str">
        <f aca="false">IF('MiT Strom Pipeline'!R56="WON",IF(ISNUMBER('MiT Strom Pipeline'!I56),'MiT Strom Pipeline'!I56,0),"")</f>
        <v/>
      </c>
      <c r="G61" s="69" t="str">
        <f aca="false">IF('MiT Strom Pipeline'!R56="WON",IF(ISNUMBER('MiT Strom Pipeline'!Q56),'MiT Strom Pipeline'!Q56,0),"")</f>
        <v/>
      </c>
      <c r="H61" s="19" t="str">
        <f aca="false">IF('MiT Strom Pipeline'!R56="WON",'MiT Strom Pipeline'!R56,"")</f>
        <v/>
      </c>
      <c r="I61" s="19" t="str">
        <f aca="false">IF('MiT Strom Pipeline'!R56="WON",'MiT Strom Pipeline'!S56,"")</f>
        <v/>
      </c>
      <c r="J61" s="20" t="str">
        <f aca="false">IF('MiT Strom Pipeline'!R56="WON",IF(LEN('MiT Strom Pipeline'!V56)&gt;0,LEFT('MiT Strom Pipeline'!V56,55),""),"")</f>
        <v/>
      </c>
    </row>
    <row r="62" customFormat="false" ht="15.75" hidden="false" customHeight="true" outlineLevel="0" collapsed="false">
      <c r="A62" s="22" t="str">
        <f aca="false">IF('MiT Strom Pipeline'!R57="WON",IF(ISNUMBER('MiT Strom Pipeline'!A57),'MiT Strom Pipeline'!A57,""),"")</f>
        <v/>
      </c>
      <c r="B62" s="23" t="str">
        <f aca="false">IF('MiT Strom Pipeline'!R57="WON",'MiT Strom Pipeline'!B57,"")</f>
        <v/>
      </c>
      <c r="C62" s="22" t="str">
        <f aca="false">IF('MiT Strom Pipeline'!R57="WON",'MiT Strom Pipeline'!C57,"")</f>
        <v/>
      </c>
      <c r="D62" s="23" t="str">
        <f aca="false">IF('MiT Strom Pipeline'!R57="WON",'MiT Strom Pipeline'!D57,"")</f>
        <v/>
      </c>
      <c r="E62" s="23" t="str">
        <f aca="false">IF('MiT Strom Pipeline'!R57="WON",'MiT Strom Pipeline'!E57,"")</f>
        <v/>
      </c>
      <c r="F62" s="70" t="str">
        <f aca="false">IF('MiT Strom Pipeline'!R57="WON",IF(ISNUMBER('MiT Strom Pipeline'!I57),'MiT Strom Pipeline'!I57,0),"")</f>
        <v/>
      </c>
      <c r="G62" s="70" t="str">
        <f aca="false">IF('MiT Strom Pipeline'!R57="WON",IF(ISNUMBER('MiT Strom Pipeline'!Q57),'MiT Strom Pipeline'!Q57,0),"")</f>
        <v/>
      </c>
      <c r="H62" s="22" t="str">
        <f aca="false">IF('MiT Strom Pipeline'!R57="WON",'MiT Strom Pipeline'!R57,"")</f>
        <v/>
      </c>
      <c r="I62" s="22" t="str">
        <f aca="false">IF('MiT Strom Pipeline'!R57="WON",'MiT Strom Pipeline'!S57,"")</f>
        <v/>
      </c>
      <c r="J62" s="23" t="str">
        <f aca="false">IF('MiT Strom Pipeline'!R57="WON",IF(LEN('MiT Strom Pipeline'!V57)&gt;0,LEFT('MiT Strom Pipeline'!V57,55),""),"")</f>
        <v/>
      </c>
    </row>
    <row r="63" customFormat="false" ht="15.75" hidden="false" customHeight="true" outlineLevel="0" collapsed="false">
      <c r="A63" s="19" t="str">
        <f aca="false">IF('MiT Strom Pipeline'!R58="WON",IF(ISNUMBER('MiT Strom Pipeline'!A58),'MiT Strom Pipeline'!A58,""),"")</f>
        <v/>
      </c>
      <c r="B63" s="20" t="str">
        <f aca="false">IF('MiT Strom Pipeline'!R58="WON",'MiT Strom Pipeline'!B58,"")</f>
        <v/>
      </c>
      <c r="C63" s="19" t="str">
        <f aca="false">IF('MiT Strom Pipeline'!R58="WON",'MiT Strom Pipeline'!C58,"")</f>
        <v/>
      </c>
      <c r="D63" s="20" t="str">
        <f aca="false">IF('MiT Strom Pipeline'!R58="WON",'MiT Strom Pipeline'!D58,"")</f>
        <v/>
      </c>
      <c r="E63" s="20" t="str">
        <f aca="false">IF('MiT Strom Pipeline'!R58="WON",'MiT Strom Pipeline'!E58,"")</f>
        <v/>
      </c>
      <c r="F63" s="69" t="str">
        <f aca="false">IF('MiT Strom Pipeline'!R58="WON",IF(ISNUMBER('MiT Strom Pipeline'!I58),'MiT Strom Pipeline'!I58,0),"")</f>
        <v/>
      </c>
      <c r="G63" s="69" t="str">
        <f aca="false">IF('MiT Strom Pipeline'!R58="WON",IF(ISNUMBER('MiT Strom Pipeline'!Q58),'MiT Strom Pipeline'!Q58,0),"")</f>
        <v/>
      </c>
      <c r="H63" s="19" t="str">
        <f aca="false">IF('MiT Strom Pipeline'!R58="WON",'MiT Strom Pipeline'!R58,"")</f>
        <v/>
      </c>
      <c r="I63" s="19" t="str">
        <f aca="false">IF('MiT Strom Pipeline'!R58="WON",'MiT Strom Pipeline'!S58,"")</f>
        <v/>
      </c>
      <c r="J63" s="20" t="str">
        <f aca="false">IF('MiT Strom Pipeline'!R58="WON",IF(LEN('MiT Strom Pipeline'!V58)&gt;0,LEFT('MiT Strom Pipeline'!V58,55),""),"")</f>
        <v/>
      </c>
    </row>
    <row r="64" customFormat="false" ht="15.75" hidden="false" customHeight="true" outlineLevel="0" collapsed="false">
      <c r="A64" s="22" t="str">
        <f aca="false">IF('MiT Strom Pipeline'!R59="WON",IF(ISNUMBER('MiT Strom Pipeline'!A59),'MiT Strom Pipeline'!A59,""),"")</f>
        <v/>
      </c>
      <c r="B64" s="23" t="str">
        <f aca="false">IF('MiT Strom Pipeline'!R59="WON",'MiT Strom Pipeline'!B59,"")</f>
        <v/>
      </c>
      <c r="C64" s="22" t="str">
        <f aca="false">IF('MiT Strom Pipeline'!R59="WON",'MiT Strom Pipeline'!C59,"")</f>
        <v/>
      </c>
      <c r="D64" s="23" t="str">
        <f aca="false">IF('MiT Strom Pipeline'!R59="WON",'MiT Strom Pipeline'!D59,"")</f>
        <v/>
      </c>
      <c r="E64" s="23" t="str">
        <f aca="false">IF('MiT Strom Pipeline'!R59="WON",'MiT Strom Pipeline'!E59,"")</f>
        <v/>
      </c>
      <c r="F64" s="70" t="str">
        <f aca="false">IF('MiT Strom Pipeline'!R59="WON",IF(ISNUMBER('MiT Strom Pipeline'!I59),'MiT Strom Pipeline'!I59,0),"")</f>
        <v/>
      </c>
      <c r="G64" s="70" t="str">
        <f aca="false">IF('MiT Strom Pipeline'!R59="WON",IF(ISNUMBER('MiT Strom Pipeline'!Q59),'MiT Strom Pipeline'!Q59,0),"")</f>
        <v/>
      </c>
      <c r="H64" s="22" t="str">
        <f aca="false">IF('MiT Strom Pipeline'!R59="WON",'MiT Strom Pipeline'!R59,"")</f>
        <v/>
      </c>
      <c r="I64" s="22" t="str">
        <f aca="false">IF('MiT Strom Pipeline'!R59="WON",'MiT Strom Pipeline'!S59,"")</f>
        <v/>
      </c>
      <c r="J64" s="23" t="str">
        <f aca="false">IF('MiT Strom Pipeline'!R59="WON",IF(LEN('MiT Strom Pipeline'!V59)&gt;0,LEFT('MiT Strom Pipeline'!V59,55),""),"")</f>
        <v/>
      </c>
    </row>
    <row r="65" customFormat="false" ht="15.75" hidden="false" customHeight="true" outlineLevel="0" collapsed="false">
      <c r="A65" s="19" t="str">
        <f aca="false">IF('MiT Strom Pipeline'!R60="WON",IF(ISNUMBER('MiT Strom Pipeline'!A60),'MiT Strom Pipeline'!A60,""),"")</f>
        <v/>
      </c>
      <c r="B65" s="20" t="str">
        <f aca="false">IF('MiT Strom Pipeline'!R60="WON",'MiT Strom Pipeline'!B60,"")</f>
        <v/>
      </c>
      <c r="C65" s="19" t="str">
        <f aca="false">IF('MiT Strom Pipeline'!R60="WON",'MiT Strom Pipeline'!C60,"")</f>
        <v/>
      </c>
      <c r="D65" s="20" t="str">
        <f aca="false">IF('MiT Strom Pipeline'!R60="WON",'MiT Strom Pipeline'!D60,"")</f>
        <v/>
      </c>
      <c r="E65" s="20" t="str">
        <f aca="false">IF('MiT Strom Pipeline'!R60="WON",'MiT Strom Pipeline'!E60,"")</f>
        <v/>
      </c>
      <c r="F65" s="69" t="str">
        <f aca="false">IF('MiT Strom Pipeline'!R60="WON",IF(ISNUMBER('MiT Strom Pipeline'!I60),'MiT Strom Pipeline'!I60,0),"")</f>
        <v/>
      </c>
      <c r="G65" s="69" t="str">
        <f aca="false">IF('MiT Strom Pipeline'!R60="WON",IF(ISNUMBER('MiT Strom Pipeline'!Q60),'MiT Strom Pipeline'!Q60,0),"")</f>
        <v/>
      </c>
      <c r="H65" s="19" t="str">
        <f aca="false">IF('MiT Strom Pipeline'!R60="WON",'MiT Strom Pipeline'!R60,"")</f>
        <v/>
      </c>
      <c r="I65" s="19" t="str">
        <f aca="false">IF('MiT Strom Pipeline'!R60="WON",'MiT Strom Pipeline'!S60,"")</f>
        <v/>
      </c>
      <c r="J65" s="20" t="str">
        <f aca="false">IF('MiT Strom Pipeline'!R60="WON",IF(LEN('MiT Strom Pipeline'!V60)&gt;0,LEFT('MiT Strom Pipeline'!V60,55),""),"")</f>
        <v/>
      </c>
    </row>
    <row r="66" customFormat="false" ht="15.75" hidden="false" customHeight="true" outlineLevel="0" collapsed="false">
      <c r="A66" s="22" t="str">
        <f aca="false">IF('MiT Strom Pipeline'!R61="WON",IF(ISNUMBER('MiT Strom Pipeline'!A61),'MiT Strom Pipeline'!A61,""),"")</f>
        <v/>
      </c>
      <c r="B66" s="23" t="str">
        <f aca="false">IF('MiT Strom Pipeline'!R61="WON",'MiT Strom Pipeline'!B61,"")</f>
        <v/>
      </c>
      <c r="C66" s="22" t="str">
        <f aca="false">IF('MiT Strom Pipeline'!R61="WON",'MiT Strom Pipeline'!C61,"")</f>
        <v/>
      </c>
      <c r="D66" s="23" t="str">
        <f aca="false">IF('MiT Strom Pipeline'!R61="WON",'MiT Strom Pipeline'!D61,"")</f>
        <v/>
      </c>
      <c r="E66" s="23" t="str">
        <f aca="false">IF('MiT Strom Pipeline'!R61="WON",'MiT Strom Pipeline'!E61,"")</f>
        <v/>
      </c>
      <c r="F66" s="70" t="str">
        <f aca="false">IF('MiT Strom Pipeline'!R61="WON",IF(ISNUMBER('MiT Strom Pipeline'!I61),'MiT Strom Pipeline'!I61,0),"")</f>
        <v/>
      </c>
      <c r="G66" s="70" t="str">
        <f aca="false">IF('MiT Strom Pipeline'!R61="WON",IF(ISNUMBER('MiT Strom Pipeline'!Q61),'MiT Strom Pipeline'!Q61,0),"")</f>
        <v/>
      </c>
      <c r="H66" s="22" t="str">
        <f aca="false">IF('MiT Strom Pipeline'!R61="WON",'MiT Strom Pipeline'!R61,"")</f>
        <v/>
      </c>
      <c r="I66" s="22" t="str">
        <f aca="false">IF('MiT Strom Pipeline'!R61="WON",'MiT Strom Pipeline'!S61,"")</f>
        <v/>
      </c>
      <c r="J66" s="23" t="str">
        <f aca="false">IF('MiT Strom Pipeline'!R61="WON",IF(LEN('MiT Strom Pipeline'!V61)&gt;0,LEFT('MiT Strom Pipeline'!V61,55),""),"")</f>
        <v/>
      </c>
    </row>
    <row r="67" customFormat="false" ht="15.75" hidden="false" customHeight="true" outlineLevel="0" collapsed="false">
      <c r="A67" s="19" t="str">
        <f aca="false">IF('MiT Strom Pipeline'!R62="WON",IF(ISNUMBER('MiT Strom Pipeline'!A62),'MiT Strom Pipeline'!A62,""),"")</f>
        <v/>
      </c>
      <c r="B67" s="20" t="str">
        <f aca="false">IF('MiT Strom Pipeline'!R62="WON",'MiT Strom Pipeline'!B62,"")</f>
        <v/>
      </c>
      <c r="C67" s="19" t="str">
        <f aca="false">IF('MiT Strom Pipeline'!R62="WON",'MiT Strom Pipeline'!C62,"")</f>
        <v/>
      </c>
      <c r="D67" s="20" t="str">
        <f aca="false">IF('MiT Strom Pipeline'!R62="WON",'MiT Strom Pipeline'!D62,"")</f>
        <v/>
      </c>
      <c r="E67" s="20" t="str">
        <f aca="false">IF('MiT Strom Pipeline'!R62="WON",'MiT Strom Pipeline'!E62,"")</f>
        <v/>
      </c>
      <c r="F67" s="69" t="str">
        <f aca="false">IF('MiT Strom Pipeline'!R62="WON",IF(ISNUMBER('MiT Strom Pipeline'!I62),'MiT Strom Pipeline'!I62,0),"")</f>
        <v/>
      </c>
      <c r="G67" s="69" t="str">
        <f aca="false">IF('MiT Strom Pipeline'!R62="WON",IF(ISNUMBER('MiT Strom Pipeline'!Q62),'MiT Strom Pipeline'!Q62,0),"")</f>
        <v/>
      </c>
      <c r="H67" s="19" t="str">
        <f aca="false">IF('MiT Strom Pipeline'!R62="WON",'MiT Strom Pipeline'!R62,"")</f>
        <v/>
      </c>
      <c r="I67" s="19" t="str">
        <f aca="false">IF('MiT Strom Pipeline'!R62="WON",'MiT Strom Pipeline'!S62,"")</f>
        <v/>
      </c>
      <c r="J67" s="20" t="str">
        <f aca="false">IF('MiT Strom Pipeline'!R62="WON",IF(LEN('MiT Strom Pipeline'!V62)&gt;0,LEFT('MiT Strom Pipeline'!V62,55),""),"")</f>
        <v/>
      </c>
    </row>
    <row r="68" customFormat="false" ht="15.75" hidden="false" customHeight="true" outlineLevel="0" collapsed="false">
      <c r="A68" s="22" t="str">
        <f aca="false">IF('MiT Strom Pipeline'!R63="WON",IF(ISNUMBER('MiT Strom Pipeline'!A63),'MiT Strom Pipeline'!A63,""),"")</f>
        <v/>
      </c>
      <c r="B68" s="23" t="str">
        <f aca="false">IF('MiT Strom Pipeline'!R63="WON",'MiT Strom Pipeline'!B63,"")</f>
        <v/>
      </c>
      <c r="C68" s="22" t="str">
        <f aca="false">IF('MiT Strom Pipeline'!R63="WON",'MiT Strom Pipeline'!C63,"")</f>
        <v/>
      </c>
      <c r="D68" s="23" t="str">
        <f aca="false">IF('MiT Strom Pipeline'!R63="WON",'MiT Strom Pipeline'!D63,"")</f>
        <v/>
      </c>
      <c r="E68" s="23" t="str">
        <f aca="false">IF('MiT Strom Pipeline'!R63="WON",'MiT Strom Pipeline'!E63,"")</f>
        <v/>
      </c>
      <c r="F68" s="70" t="str">
        <f aca="false">IF('MiT Strom Pipeline'!R63="WON",IF(ISNUMBER('MiT Strom Pipeline'!I63),'MiT Strom Pipeline'!I63,0),"")</f>
        <v/>
      </c>
      <c r="G68" s="70" t="str">
        <f aca="false">IF('MiT Strom Pipeline'!R63="WON",IF(ISNUMBER('MiT Strom Pipeline'!Q63),'MiT Strom Pipeline'!Q63,0),"")</f>
        <v/>
      </c>
      <c r="H68" s="22" t="str">
        <f aca="false">IF('MiT Strom Pipeline'!R63="WON",'MiT Strom Pipeline'!R63,"")</f>
        <v/>
      </c>
      <c r="I68" s="22" t="str">
        <f aca="false">IF('MiT Strom Pipeline'!R63="WON",'MiT Strom Pipeline'!S63,"")</f>
        <v/>
      </c>
      <c r="J68" s="23" t="str">
        <f aca="false">IF('MiT Strom Pipeline'!R63="WON",IF(LEN('MiT Strom Pipeline'!V63)&gt;0,LEFT('MiT Strom Pipeline'!V63,55),""),"")</f>
        <v/>
      </c>
    </row>
    <row r="69" customFormat="false" ht="15.75" hidden="false" customHeight="true" outlineLevel="0" collapsed="false">
      <c r="A69" s="19" t="str">
        <f aca="false">IF('MiT Strom Pipeline'!R64="WON",IF(ISNUMBER('MiT Strom Pipeline'!A64),'MiT Strom Pipeline'!A64,""),"")</f>
        <v/>
      </c>
      <c r="B69" s="20" t="str">
        <f aca="false">IF('MiT Strom Pipeline'!R64="WON",'MiT Strom Pipeline'!B64,"")</f>
        <v/>
      </c>
      <c r="C69" s="19" t="str">
        <f aca="false">IF('MiT Strom Pipeline'!R64="WON",'MiT Strom Pipeline'!C64,"")</f>
        <v/>
      </c>
      <c r="D69" s="20" t="str">
        <f aca="false">IF('MiT Strom Pipeline'!R64="WON",'MiT Strom Pipeline'!D64,"")</f>
        <v/>
      </c>
      <c r="E69" s="20" t="str">
        <f aca="false">IF('MiT Strom Pipeline'!R64="WON",'MiT Strom Pipeline'!E64,"")</f>
        <v/>
      </c>
      <c r="F69" s="69" t="str">
        <f aca="false">IF('MiT Strom Pipeline'!R64="WON",IF(ISNUMBER('MiT Strom Pipeline'!I64),'MiT Strom Pipeline'!I64,0),"")</f>
        <v/>
      </c>
      <c r="G69" s="69" t="str">
        <f aca="false">IF('MiT Strom Pipeline'!R64="WON",IF(ISNUMBER('MiT Strom Pipeline'!Q64),'MiT Strom Pipeline'!Q64,0),"")</f>
        <v/>
      </c>
      <c r="H69" s="19" t="str">
        <f aca="false">IF('MiT Strom Pipeline'!R64="WON",'MiT Strom Pipeline'!R64,"")</f>
        <v/>
      </c>
      <c r="I69" s="19" t="str">
        <f aca="false">IF('MiT Strom Pipeline'!R64="WON",'MiT Strom Pipeline'!S64,"")</f>
        <v/>
      </c>
      <c r="J69" s="20" t="str">
        <f aca="false">IF('MiT Strom Pipeline'!R64="WON",IF(LEN('MiT Strom Pipeline'!V64)&gt;0,LEFT('MiT Strom Pipeline'!V64,55),""),"")</f>
        <v/>
      </c>
    </row>
    <row r="70" customFormat="false" ht="15.75" hidden="false" customHeight="true" outlineLevel="0" collapsed="false">
      <c r="A70" s="22" t="str">
        <f aca="false">IF('MiT Strom Pipeline'!R65="WON",IF(ISNUMBER('MiT Strom Pipeline'!A65),'MiT Strom Pipeline'!A65,""),"")</f>
        <v/>
      </c>
      <c r="B70" s="23" t="str">
        <f aca="false">IF('MiT Strom Pipeline'!R65="WON",'MiT Strom Pipeline'!B65,"")</f>
        <v/>
      </c>
      <c r="C70" s="22" t="str">
        <f aca="false">IF('MiT Strom Pipeline'!R65="WON",'MiT Strom Pipeline'!C65,"")</f>
        <v/>
      </c>
      <c r="D70" s="23" t="str">
        <f aca="false">IF('MiT Strom Pipeline'!R65="WON",'MiT Strom Pipeline'!D65,"")</f>
        <v/>
      </c>
      <c r="E70" s="23" t="str">
        <f aca="false">IF('MiT Strom Pipeline'!R65="WON",'MiT Strom Pipeline'!E65,"")</f>
        <v/>
      </c>
      <c r="F70" s="70" t="str">
        <f aca="false">IF('MiT Strom Pipeline'!R65="WON",IF(ISNUMBER('MiT Strom Pipeline'!I65),'MiT Strom Pipeline'!I65,0),"")</f>
        <v/>
      </c>
      <c r="G70" s="70" t="str">
        <f aca="false">IF('MiT Strom Pipeline'!R65="WON",IF(ISNUMBER('MiT Strom Pipeline'!Q65),'MiT Strom Pipeline'!Q65,0),"")</f>
        <v/>
      </c>
      <c r="H70" s="22" t="str">
        <f aca="false">IF('MiT Strom Pipeline'!R65="WON",'MiT Strom Pipeline'!R65,"")</f>
        <v/>
      </c>
      <c r="I70" s="22" t="str">
        <f aca="false">IF('MiT Strom Pipeline'!R65="WON",'MiT Strom Pipeline'!S65,"")</f>
        <v/>
      </c>
      <c r="J70" s="23" t="str">
        <f aca="false">IF('MiT Strom Pipeline'!R65="WON",IF(LEN('MiT Strom Pipeline'!V65)&gt;0,LEFT('MiT Strom Pipeline'!V65,55),""),"")</f>
        <v/>
      </c>
    </row>
    <row r="71" customFormat="false" ht="21.75" hidden="false" customHeight="true" outlineLevel="0" collapsed="false">
      <c r="A71" s="26" t="str">
        <f aca="false">IF('MiT Strom Pipeline'!R66="WON",IF(ISNUMBER('MiT Strom Pipeline'!A66),'MiT Strom Pipeline'!A66,""),"")</f>
        <v/>
      </c>
      <c r="B71" s="27" t="str">
        <f aca="false">IF('MiT Strom Pipeline'!R66="WON",'MiT Strom Pipeline'!B66,"")</f>
        <v/>
      </c>
      <c r="C71" s="27"/>
      <c r="D71" s="27"/>
      <c r="E71" s="27"/>
      <c r="F71" s="71" t="str">
        <f aca="false">IF('MiT Strom Pipeline'!R66="WON",IF(ISNUMBER('MiT Strom Pipeline'!I66),'MiT Strom Pipeline'!I66,0),"")</f>
        <v/>
      </c>
      <c r="G71" s="72" t="str">
        <f aca="false">IF('MiT Strom Pipeline'!R66="WON",IF(ISNUMBER('MiT Strom Pipeline'!Q66),'MiT Strom Pipeline'!Q66,0),"")</f>
        <v/>
      </c>
      <c r="H71" s="26" t="str">
        <f aca="false">IF('MiT Strom Pipeline'!R66="WON",'MiT Strom Pipeline'!R66,"")</f>
        <v/>
      </c>
      <c r="I71" s="26" t="str">
        <f aca="false">IF('MiT Strom Pipeline'!R66="WON",'MiT Strom Pipeline'!S66,"")</f>
        <v/>
      </c>
      <c r="J71" s="26" t="str">
        <f aca="false">IF('MiT Strom Pipeline'!R66="WON",IF(LEN('MiT Strom Pipeline'!V66)&gt;0,LEFT('MiT Strom Pipeline'!V66,55),""),"")</f>
        <v/>
      </c>
    </row>
    <row r="72" customFormat="false" ht="3.75" hidden="false" customHeight="true" outlineLevel="0" collapsed="false">
      <c r="A72" s="1" t="str">
        <f aca="false">IF('MiT Strom Pipeline'!R67="WON",IF(ISNUMBER('MiT Strom Pipeline'!A67),'MiT Strom Pipeline'!A67,""),"")</f>
        <v/>
      </c>
      <c r="B72" s="1" t="str">
        <f aca="false">IF('MiT Strom Pipeline'!R67="WON",'MiT Strom Pipeline'!B67,"")</f>
        <v/>
      </c>
      <c r="C72" s="1" t="str">
        <f aca="false">IF('MiT Strom Pipeline'!R67="WON",'MiT Strom Pipeline'!C67,"")</f>
        <v/>
      </c>
      <c r="D72" s="1" t="str">
        <f aca="false">IF('MiT Strom Pipeline'!R67="WON",'MiT Strom Pipeline'!D67,"")</f>
        <v/>
      </c>
      <c r="E72" s="1" t="str">
        <f aca="false">IF('MiT Strom Pipeline'!R67="WON",'MiT Strom Pipeline'!E67,"")</f>
        <v/>
      </c>
      <c r="F72" s="53" t="str">
        <f aca="false">IF('MiT Strom Pipeline'!R67="WON",IF(ISNUMBER('MiT Strom Pipeline'!I67),'MiT Strom Pipeline'!I67,0),"")</f>
        <v/>
      </c>
      <c r="G72" s="53" t="str">
        <f aca="false">IF('MiT Strom Pipeline'!R67="WON",IF(ISNUMBER('MiT Strom Pipeline'!Q67),'MiT Strom Pipeline'!Q67,0),"")</f>
        <v/>
      </c>
      <c r="H72" s="1" t="str">
        <f aca="false">IF('MiT Strom Pipeline'!R67="WON",'MiT Strom Pipeline'!R67,"")</f>
        <v/>
      </c>
      <c r="I72" s="1" t="str">
        <f aca="false">IF('MiT Strom Pipeline'!R67="WON",'MiT Strom Pipeline'!S67,"")</f>
        <v/>
      </c>
      <c r="J72" s="1" t="str">
        <f aca="false">IF('MiT Strom Pipeline'!R67="WON",IF(LEN('MiT Strom Pipeline'!V67)&gt;0,LEFT('MiT Strom Pipeline'!V67,55),""),"")</f>
        <v/>
      </c>
    </row>
    <row r="73" customFormat="false" ht="24" hidden="false" customHeight="true" outlineLevel="0" collapsed="false">
      <c r="A73" s="29" t="s">
        <v>17</v>
      </c>
      <c r="B73" s="29"/>
      <c r="C73" s="29"/>
      <c r="D73" s="29"/>
      <c r="E73" s="29"/>
      <c r="F73" s="29"/>
      <c r="G73" s="29"/>
      <c r="H73" s="29"/>
      <c r="I73" s="29"/>
      <c r="J73" s="29"/>
    </row>
    <row r="74" customFormat="false" ht="19.5" hidden="false" customHeight="true" outlineLevel="0" collapsed="false">
      <c r="A74" s="16" t="s">
        <v>6</v>
      </c>
      <c r="B74" s="17" t="s">
        <v>7</v>
      </c>
      <c r="C74" s="16" t="s">
        <v>8</v>
      </c>
      <c r="D74" s="17" t="s">
        <v>9</v>
      </c>
      <c r="E74" s="17" t="s">
        <v>10</v>
      </c>
      <c r="F74" s="68" t="s">
        <v>11</v>
      </c>
      <c r="G74" s="68" t="s">
        <v>12</v>
      </c>
      <c r="H74" s="16" t="s">
        <v>14</v>
      </c>
      <c r="I74" s="16" t="s">
        <v>15</v>
      </c>
      <c r="J74" s="17" t="s">
        <v>16</v>
      </c>
    </row>
    <row r="75" customFormat="false" ht="15.75" hidden="false" customHeight="true" outlineLevel="0" collapsed="false">
      <c r="A75" s="30" t="str">
        <f aca="false">IF(('MiT Strom Pipeline'!R6="offered")+('MiT Strom Pipeline'!R6="to be offered")+('MiT Strom Pipeline'!R6="on hold")&gt;0,IF(ISNUMBER('MiT Strom Pipeline'!A6),'MiT Strom Pipeline'!A6,""),"")</f>
        <v/>
      </c>
      <c r="B75" s="31" t="str">
        <f aca="false">IF(('MiT Strom Pipeline'!R6="offered")+('MiT Strom Pipeline'!R6="to be offered")+('MiT Strom Pipeline'!R6="on hold")&gt;0,'MiT Strom Pipeline'!B6,"")</f>
        <v/>
      </c>
      <c r="C75" s="30" t="str">
        <f aca="false">IF(('MiT Strom Pipeline'!R6="offered")+('MiT Strom Pipeline'!R6="to be offered")+('MiT Strom Pipeline'!R6="on hold")&gt;0,'MiT Strom Pipeline'!C6,"")</f>
        <v/>
      </c>
      <c r="D75" s="31" t="str">
        <f aca="false">IF(('MiT Strom Pipeline'!R6="offered")+('MiT Strom Pipeline'!R6="to be offered")+('MiT Strom Pipeline'!R6="on hold")&gt;0,'MiT Strom Pipeline'!D6,"")</f>
        <v/>
      </c>
      <c r="E75" s="31" t="str">
        <f aca="false">IF(('MiT Strom Pipeline'!R6="offered")+('MiT Strom Pipeline'!R6="to be offered")+('MiT Strom Pipeline'!R6="on hold")&gt;0,'MiT Strom Pipeline'!E6,"")</f>
        <v/>
      </c>
      <c r="F75" s="73" t="str">
        <f aca="false">IF(('MiT Strom Pipeline'!R6="offered")+('MiT Strom Pipeline'!R6="to be offered")+('MiT Strom Pipeline'!R6="on hold")&gt;0,IF(ISNUMBER('MiT Strom Pipeline'!I6),'MiT Strom Pipeline'!I6,0),"")</f>
        <v/>
      </c>
      <c r="G75" s="73" t="str">
        <f aca="false">IF(('MiT Strom Pipeline'!R6="offered")+('MiT Strom Pipeline'!R6="to be offered")+('MiT Strom Pipeline'!R6="on hold")&gt;0,IF(ISNUMBER('MiT Strom Pipeline'!Q6),'MiT Strom Pipeline'!Q6,0),"")</f>
        <v/>
      </c>
      <c r="H75" s="30" t="str">
        <f aca="false">IF(('MiT Strom Pipeline'!R6="offered")+('MiT Strom Pipeline'!R6="to be offered")+('MiT Strom Pipeline'!R6="on hold")&gt;0,'MiT Strom Pipeline'!R6,"")</f>
        <v/>
      </c>
      <c r="I75" s="30" t="str">
        <f aca="false">IF(('MiT Strom Pipeline'!R6="offered")+('MiT Strom Pipeline'!R6="to be offered")+('MiT Strom Pipeline'!R6="on hold")&gt;0,'MiT Strom Pipeline'!S6,"")</f>
        <v/>
      </c>
      <c r="J75" s="31" t="str">
        <f aca="false">IF(('MiT Strom Pipeline'!R6="offered")+('MiT Strom Pipeline'!R6="to be offered")+('MiT Strom Pipeline'!R6="on hold")&gt;0,IF(LEN('MiT Strom Pipeline'!V6)&gt;0,LEFT('MiT Strom Pipeline'!V6,55),""),"")</f>
        <v/>
      </c>
    </row>
    <row r="76" customFormat="false" ht="15.75" hidden="false" customHeight="true" outlineLevel="0" collapsed="false">
      <c r="A76" s="22" t="str">
        <f aca="false">IF(('MiT Strom Pipeline'!R7="offered")+('MiT Strom Pipeline'!R7="to be offered")+('MiT Strom Pipeline'!R7="on hold")&gt;0,IF(ISNUMBER('MiT Strom Pipeline'!A7),'MiT Strom Pipeline'!A7,""),"")</f>
        <v/>
      </c>
      <c r="B76" s="23" t="str">
        <f aca="false">IF(('MiT Strom Pipeline'!R7="offered")+('MiT Strom Pipeline'!R7="to be offered")+('MiT Strom Pipeline'!R7="on hold")&gt;0,'MiT Strom Pipeline'!B7,"")</f>
        <v/>
      </c>
      <c r="C76" s="22" t="str">
        <f aca="false">IF(('MiT Strom Pipeline'!R7="offered")+('MiT Strom Pipeline'!R7="to be offered")+('MiT Strom Pipeline'!R7="on hold")&gt;0,'MiT Strom Pipeline'!C7,"")</f>
        <v/>
      </c>
      <c r="D76" s="23" t="str">
        <f aca="false">IF(('MiT Strom Pipeline'!R7="offered")+('MiT Strom Pipeline'!R7="to be offered")+('MiT Strom Pipeline'!R7="on hold")&gt;0,'MiT Strom Pipeline'!D7,"")</f>
        <v/>
      </c>
      <c r="E76" s="23" t="str">
        <f aca="false">IF(('MiT Strom Pipeline'!R7="offered")+('MiT Strom Pipeline'!R7="to be offered")+('MiT Strom Pipeline'!R7="on hold")&gt;0,'MiT Strom Pipeline'!E7,"")</f>
        <v/>
      </c>
      <c r="F76" s="70" t="str">
        <f aca="false">IF(('MiT Strom Pipeline'!R7="offered")+('MiT Strom Pipeline'!R7="to be offered")+('MiT Strom Pipeline'!R7="on hold")&gt;0,IF(ISNUMBER('MiT Strom Pipeline'!I7),'MiT Strom Pipeline'!I7,0),"")</f>
        <v/>
      </c>
      <c r="G76" s="70" t="str">
        <f aca="false">IF(('MiT Strom Pipeline'!R7="offered")+('MiT Strom Pipeline'!R7="to be offered")+('MiT Strom Pipeline'!R7="on hold")&gt;0,IF(ISNUMBER('MiT Strom Pipeline'!Q7),'MiT Strom Pipeline'!Q7,0),"")</f>
        <v/>
      </c>
      <c r="H76" s="22" t="str">
        <f aca="false">IF(('MiT Strom Pipeline'!R7="offered")+('MiT Strom Pipeline'!R7="to be offered")+('MiT Strom Pipeline'!R7="on hold")&gt;0,'MiT Strom Pipeline'!R7,"")</f>
        <v/>
      </c>
      <c r="I76" s="22" t="str">
        <f aca="false">IF(('MiT Strom Pipeline'!R7="offered")+('MiT Strom Pipeline'!R7="to be offered")+('MiT Strom Pipeline'!R7="on hold")&gt;0,'MiT Strom Pipeline'!S7,"")</f>
        <v/>
      </c>
      <c r="J76" s="23" t="str">
        <f aca="false">IF(('MiT Strom Pipeline'!R7="offered")+('MiT Strom Pipeline'!R7="to be offered")+('MiT Strom Pipeline'!R7="on hold")&gt;0,IF(LEN('MiT Strom Pipeline'!V7)&gt;0,LEFT('MiT Strom Pipeline'!V7,55),""),"")</f>
        <v/>
      </c>
    </row>
    <row r="77" customFormat="false" ht="15.75" hidden="false" customHeight="true" outlineLevel="0" collapsed="false">
      <c r="A77" s="30" t="str">
        <f aca="false">IF(('MiT Strom Pipeline'!R8="offered")+('MiT Strom Pipeline'!R8="to be offered")+('MiT Strom Pipeline'!R8="on hold")&gt;0,IF(ISNUMBER('MiT Strom Pipeline'!A8),'MiT Strom Pipeline'!A8,""),"")</f>
        <v/>
      </c>
      <c r="B77" s="31" t="str">
        <f aca="false">IF(('MiT Strom Pipeline'!R8="offered")+('MiT Strom Pipeline'!R8="to be offered")+('MiT Strom Pipeline'!R8="on hold")&gt;0,'MiT Strom Pipeline'!B8,"")</f>
        <v/>
      </c>
      <c r="C77" s="30" t="str">
        <f aca="false">IF(('MiT Strom Pipeline'!R8="offered")+('MiT Strom Pipeline'!R8="to be offered")+('MiT Strom Pipeline'!R8="on hold")&gt;0,'MiT Strom Pipeline'!C8,"")</f>
        <v/>
      </c>
      <c r="D77" s="31" t="str">
        <f aca="false">IF(('MiT Strom Pipeline'!R8="offered")+('MiT Strom Pipeline'!R8="to be offered")+('MiT Strom Pipeline'!R8="on hold")&gt;0,'MiT Strom Pipeline'!D8,"")</f>
        <v/>
      </c>
      <c r="E77" s="31" t="str">
        <f aca="false">IF(('MiT Strom Pipeline'!R8="offered")+('MiT Strom Pipeline'!R8="to be offered")+('MiT Strom Pipeline'!R8="on hold")&gt;0,'MiT Strom Pipeline'!E8,"")</f>
        <v/>
      </c>
      <c r="F77" s="73" t="str">
        <f aca="false">IF(('MiT Strom Pipeline'!R8="offered")+('MiT Strom Pipeline'!R8="to be offered")+('MiT Strom Pipeline'!R8="on hold")&gt;0,IF(ISNUMBER('MiT Strom Pipeline'!I8),'MiT Strom Pipeline'!I8,0),"")</f>
        <v/>
      </c>
      <c r="G77" s="73" t="str">
        <f aca="false">IF(('MiT Strom Pipeline'!R8="offered")+('MiT Strom Pipeline'!R8="to be offered")+('MiT Strom Pipeline'!R8="on hold")&gt;0,IF(ISNUMBER('MiT Strom Pipeline'!Q8),'MiT Strom Pipeline'!Q8,0),"")</f>
        <v/>
      </c>
      <c r="H77" s="30" t="str">
        <f aca="false">IF(('MiT Strom Pipeline'!R8="offered")+('MiT Strom Pipeline'!R8="to be offered")+('MiT Strom Pipeline'!R8="on hold")&gt;0,'MiT Strom Pipeline'!R8,"")</f>
        <v/>
      </c>
      <c r="I77" s="30" t="str">
        <f aca="false">IF(('MiT Strom Pipeline'!R8="offered")+('MiT Strom Pipeline'!R8="to be offered")+('MiT Strom Pipeline'!R8="on hold")&gt;0,'MiT Strom Pipeline'!S8,"")</f>
        <v/>
      </c>
      <c r="J77" s="31" t="str">
        <f aca="false">IF(('MiT Strom Pipeline'!R8="offered")+('MiT Strom Pipeline'!R8="to be offered")+('MiT Strom Pipeline'!R8="on hold")&gt;0,IF(LEN('MiT Strom Pipeline'!V8)&gt;0,LEFT('MiT Strom Pipeline'!V8,55),""),"")</f>
        <v/>
      </c>
    </row>
    <row r="78" customFormat="false" ht="15.75" hidden="false" customHeight="true" outlineLevel="0" collapsed="false">
      <c r="A78" s="22" t="n">
        <f aca="false">IF(('MiT Strom Pipeline'!R9="offered")+('MiT Strom Pipeline'!R9="to be offered")+('MiT Strom Pipeline'!R9="on hold")&gt;0,IF(ISNUMBER('MiT Strom Pipeline'!A9),'MiT Strom Pipeline'!A9,""),"")</f>
        <v>4</v>
      </c>
      <c r="B78" s="23" t="str">
        <f aca="false">IF(('MiT Strom Pipeline'!R9="offered")+('MiT Strom Pipeline'!R9="to be offered")+('MiT Strom Pipeline'!R9="on hold")&gt;0,'MiT Strom Pipeline'!B9,"")</f>
        <v>Stagelight – OpenAir Frauenfeld</v>
      </c>
      <c r="C78" s="22" t="str">
        <f aca="false">IF(('MiT Strom Pipeline'!R9="offered")+('MiT Strom Pipeline'!R9="to be offered")+('MiT Strom Pipeline'!R9="on hold")&gt;0,'MiT Strom Pipeline'!C9,"")</f>
        <v>TG</v>
      </c>
      <c r="D78" s="23" t="str">
        <f aca="false">IF(('MiT Strom Pipeline'!R9="offered")+('MiT Strom Pipeline'!R9="to be offered")+('MiT Strom Pipeline'!R9="on hold")&gt;0,'MiT Strom Pipeline'!D9,"")</f>
        <v>Events &amp; Kultur</v>
      </c>
      <c r="E78" s="23" t="str">
        <f aca="false">IF(('MiT Strom Pipeline'!R9="offered")+('MiT Strom Pipeline'!R9="to be offered")+('MiT Strom Pipeline'!R9="on hold")&gt;0,'MiT Strom Pipeline'!E9,"")</f>
        <v>~500 kVA Generator</v>
      </c>
      <c r="F78" s="70" t="n">
        <f aca="false">IF(('MiT Strom Pipeline'!R9="offered")+('MiT Strom Pipeline'!R9="to be offered")+('MiT Strom Pipeline'!R9="on hold")&gt;0,IF(ISNUMBER('MiT Strom Pipeline'!I9),'MiT Strom Pipeline'!I9,0),"")</f>
        <v>150000</v>
      </c>
      <c r="G78" s="70" t="n">
        <f aca="false">IF(('MiT Strom Pipeline'!R9="offered")+('MiT Strom Pipeline'!R9="to be offered")+('MiT Strom Pipeline'!R9="on hold")&gt;0,IF(ISNUMBER('MiT Strom Pipeline'!Q9),'MiT Strom Pipeline'!Q9,0),"")</f>
        <v>1350</v>
      </c>
      <c r="H78" s="22" t="str">
        <f aca="false">IF(('MiT Strom Pipeline'!R9="offered")+('MiT Strom Pipeline'!R9="to be offered")+('MiT Strom Pipeline'!R9="on hold")&gt;0,'MiT Strom Pipeline'!R9,"")</f>
        <v>offered</v>
      </c>
      <c r="I78" s="22" t="str">
        <f aca="false">IF(('MiT Strom Pipeline'!R9="offered")+('MiT Strom Pipeline'!R9="to be offered")+('MiT Strom Pipeline'!R9="on hold")&gt;0,'MiT Strom Pipeline'!S9,"")</f>
        <v>90%</v>
      </c>
      <c r="J78" s="23" t="str">
        <f aca="false">IF(('MiT Strom Pipeline'!R9="offered")+('MiT Strom Pipeline'!R9="to be offered")+('MiT Strom Pipeline'!R9="on hold")&gt;0,IF(LEN('MiT Strom Pipeline'!V9)&gt;0,LEFT('MiT Strom Pipeline'!V9,55),""),"")</f>
        <v>Follow-up + Vertragsverhandlung initiieren</v>
      </c>
    </row>
    <row r="79" customFormat="false" ht="15.75" hidden="false" customHeight="true" outlineLevel="0" collapsed="false">
      <c r="A79" s="30" t="n">
        <f aca="false">IF(('MiT Strom Pipeline'!R10="offered")+('MiT Strom Pipeline'!R10="to be offered")+('MiT Strom Pipeline'!R10="on hold")&gt;0,IF(ISNUMBER('MiT Strom Pipeline'!A10),'MiT Strom Pipeline'!A10,""),"")</f>
        <v>6</v>
      </c>
      <c r="B79" s="31" t="str">
        <f aca="false">IF(('MiT Strom Pipeline'!R10="offered")+('MiT Strom Pipeline'!R10="to be offered")+('MiT Strom Pipeline'!R10="on hold")&gt;0,'MiT Strom Pipeline'!B10,"")</f>
        <v>Wincasa Solothurn</v>
      </c>
      <c r="C79" s="30" t="str">
        <f aca="false">IF(('MiT Strom Pipeline'!R10="offered")+('MiT Strom Pipeline'!R10="to be offered")+('MiT Strom Pipeline'!R10="on hold")&gt;0,'MiT Strom Pipeline'!C10,"")</f>
        <v>SO</v>
      </c>
      <c r="D79" s="31" t="str">
        <f aca="false">IF(('MiT Strom Pipeline'!R10="offered")+('MiT Strom Pipeline'!R10="to be offered")+('MiT Strom Pipeline'!R10="on hold")&gt;0,'MiT Strom Pipeline'!D10,"")</f>
        <v>Immobilien / FM</v>
      </c>
      <c r="E79" s="31" t="str">
        <f aca="false">IF(('MiT Strom Pipeline'!R10="offered")+('MiT Strom Pipeline'!R10="to be offered")+('MiT Strom Pipeline'!R10="on hold")&gt;0,'MiT Strom Pipeline'!E10,"")</f>
        <v>BESS 1 MWh</v>
      </c>
      <c r="F79" s="73" t="n">
        <f aca="false">IF(('MiT Strom Pipeline'!R10="offered")+('MiT Strom Pipeline'!R10="to be offered")+('MiT Strom Pipeline'!R10="on hold")&gt;0,IF(ISNUMBER('MiT Strom Pipeline'!I10),'MiT Strom Pipeline'!I10,0),"")</f>
        <v>390000</v>
      </c>
      <c r="G79" s="73" t="n">
        <f aca="false">IF(('MiT Strom Pipeline'!R10="offered")+('MiT Strom Pipeline'!R10="to be offered")+('MiT Strom Pipeline'!R10="on hold")&gt;0,IF(ISNUMBER('MiT Strom Pipeline'!Q10),'MiT Strom Pipeline'!Q10,0),"")</f>
        <v>1950</v>
      </c>
      <c r="H79" s="30" t="str">
        <f aca="false">IF(('MiT Strom Pipeline'!R10="offered")+('MiT Strom Pipeline'!R10="to be offered")+('MiT Strom Pipeline'!R10="on hold")&gt;0,'MiT Strom Pipeline'!R10,"")</f>
        <v>on hold</v>
      </c>
      <c r="I79" s="30" t="str">
        <f aca="false">IF(('MiT Strom Pipeline'!R10="offered")+('MiT Strom Pipeline'!R10="to be offered")+('MiT Strom Pipeline'!R10="on hold")&gt;0,'MiT Strom Pipeline'!S10,"")</f>
        <v>50%</v>
      </c>
      <c r="J79" s="31" t="str">
        <f aca="false">IF(('MiT Strom Pipeline'!R10="offered")+('MiT Strom Pipeline'!R10="to be offered")+('MiT Strom Pipeline'!R10="on hold")&gt;0,IF(LEN('MiT Strom Pipeline'!V10)&gt;0,LEFT('MiT Strom Pipeline'!V10,55),""),"")</f>
        <v>Entscheider-Meeting anfordern, Businesscase Energie-ROI</v>
      </c>
    </row>
    <row r="80" customFormat="false" ht="15.75" hidden="false" customHeight="true" outlineLevel="0" collapsed="false">
      <c r="A80" s="22" t="str">
        <f aca="false">IF(('MiT Strom Pipeline'!R11="offered")+('MiT Strom Pipeline'!R11="to be offered")+('MiT Strom Pipeline'!R11="on hold")&gt;0,IF(ISNUMBER('MiT Strom Pipeline'!A11),'MiT Strom Pipeline'!A11,""),"")</f>
        <v/>
      </c>
      <c r="B80" s="23" t="str">
        <f aca="false">IF(('MiT Strom Pipeline'!R11="offered")+('MiT Strom Pipeline'!R11="to be offered")+('MiT Strom Pipeline'!R11="on hold")&gt;0,'MiT Strom Pipeline'!B11,"")</f>
        <v/>
      </c>
      <c r="C80" s="22" t="str">
        <f aca="false">IF(('MiT Strom Pipeline'!R11="offered")+('MiT Strom Pipeline'!R11="to be offered")+('MiT Strom Pipeline'!R11="on hold")&gt;0,'MiT Strom Pipeline'!C11,"")</f>
        <v/>
      </c>
      <c r="D80" s="23" t="str">
        <f aca="false">IF(('MiT Strom Pipeline'!R11="offered")+('MiT Strom Pipeline'!R11="to be offered")+('MiT Strom Pipeline'!R11="on hold")&gt;0,'MiT Strom Pipeline'!D11,"")</f>
        <v/>
      </c>
      <c r="E80" s="23" t="str">
        <f aca="false">IF(('MiT Strom Pipeline'!R11="offered")+('MiT Strom Pipeline'!R11="to be offered")+('MiT Strom Pipeline'!R11="on hold")&gt;0,'MiT Strom Pipeline'!E11,"")</f>
        <v/>
      </c>
      <c r="F80" s="70" t="str">
        <f aca="false">IF(('MiT Strom Pipeline'!R11="offered")+('MiT Strom Pipeline'!R11="to be offered")+('MiT Strom Pipeline'!R11="on hold")&gt;0,IF(ISNUMBER('MiT Strom Pipeline'!I11),'MiT Strom Pipeline'!I11,0),"")</f>
        <v/>
      </c>
      <c r="G80" s="70" t="str">
        <f aca="false">IF(('MiT Strom Pipeline'!R11="offered")+('MiT Strom Pipeline'!R11="to be offered")+('MiT Strom Pipeline'!R11="on hold")&gt;0,IF(ISNUMBER('MiT Strom Pipeline'!Q11),'MiT Strom Pipeline'!Q11,0),"")</f>
        <v/>
      </c>
      <c r="H80" s="22" t="str">
        <f aca="false">IF(('MiT Strom Pipeline'!R11="offered")+('MiT Strom Pipeline'!R11="to be offered")+('MiT Strom Pipeline'!R11="on hold")&gt;0,'MiT Strom Pipeline'!R11,"")</f>
        <v/>
      </c>
      <c r="I80" s="22" t="str">
        <f aca="false">IF(('MiT Strom Pipeline'!R11="offered")+('MiT Strom Pipeline'!R11="to be offered")+('MiT Strom Pipeline'!R11="on hold")&gt;0,'MiT Strom Pipeline'!S11,"")</f>
        <v/>
      </c>
      <c r="J80" s="23" t="str">
        <f aca="false">IF(('MiT Strom Pipeline'!R11="offered")+('MiT Strom Pipeline'!R11="to be offered")+('MiT Strom Pipeline'!R11="on hold")&gt;0,IF(LEN('MiT Strom Pipeline'!V11)&gt;0,LEFT('MiT Strom Pipeline'!V11,55),""),"")</f>
        <v/>
      </c>
    </row>
    <row r="81" customFormat="false" ht="15.75" hidden="false" customHeight="true" outlineLevel="0" collapsed="false">
      <c r="A81" s="30" t="str">
        <f aca="false">IF(('MiT Strom Pipeline'!R12="offered")+('MiT Strom Pipeline'!R12="to be offered")+('MiT Strom Pipeline'!R12="on hold")&gt;0,IF(ISNUMBER('MiT Strom Pipeline'!A12),'MiT Strom Pipeline'!A12,""),"")</f>
        <v/>
      </c>
      <c r="B81" s="31" t="str">
        <f aca="false">IF(('MiT Strom Pipeline'!R12="offered")+('MiT Strom Pipeline'!R12="to be offered")+('MiT Strom Pipeline'!R12="on hold")&gt;0,'MiT Strom Pipeline'!B12,"")</f>
        <v/>
      </c>
      <c r="C81" s="30" t="str">
        <f aca="false">IF(('MiT Strom Pipeline'!R12="offered")+('MiT Strom Pipeline'!R12="to be offered")+('MiT Strom Pipeline'!R12="on hold")&gt;0,'MiT Strom Pipeline'!C12,"")</f>
        <v/>
      </c>
      <c r="D81" s="31" t="str">
        <f aca="false">IF(('MiT Strom Pipeline'!R12="offered")+('MiT Strom Pipeline'!R12="to be offered")+('MiT Strom Pipeline'!R12="on hold")&gt;0,'MiT Strom Pipeline'!D12,"")</f>
        <v/>
      </c>
      <c r="E81" s="31" t="str">
        <f aca="false">IF(('MiT Strom Pipeline'!R12="offered")+('MiT Strom Pipeline'!R12="to be offered")+('MiT Strom Pipeline'!R12="on hold")&gt;0,'MiT Strom Pipeline'!E12,"")</f>
        <v/>
      </c>
      <c r="F81" s="73" t="str">
        <f aca="false">IF(('MiT Strom Pipeline'!R12="offered")+('MiT Strom Pipeline'!R12="to be offered")+('MiT Strom Pipeline'!R12="on hold")&gt;0,IF(ISNUMBER('MiT Strom Pipeline'!I12),'MiT Strom Pipeline'!I12,0),"")</f>
        <v/>
      </c>
      <c r="G81" s="73" t="str">
        <f aca="false">IF(('MiT Strom Pipeline'!R12="offered")+('MiT Strom Pipeline'!R12="to be offered")+('MiT Strom Pipeline'!R12="on hold")&gt;0,IF(ISNUMBER('MiT Strom Pipeline'!Q12),'MiT Strom Pipeline'!Q12,0),"")</f>
        <v/>
      </c>
      <c r="H81" s="30" t="str">
        <f aca="false">IF(('MiT Strom Pipeline'!R12="offered")+('MiT Strom Pipeline'!R12="to be offered")+('MiT Strom Pipeline'!R12="on hold")&gt;0,'MiT Strom Pipeline'!R12,"")</f>
        <v/>
      </c>
      <c r="I81" s="30" t="str">
        <f aca="false">IF(('MiT Strom Pipeline'!R12="offered")+('MiT Strom Pipeline'!R12="to be offered")+('MiT Strom Pipeline'!R12="on hold")&gt;0,'MiT Strom Pipeline'!S12,"")</f>
        <v/>
      </c>
      <c r="J81" s="31" t="str">
        <f aca="false">IF(('MiT Strom Pipeline'!R12="offered")+('MiT Strom Pipeline'!R12="to be offered")+('MiT Strom Pipeline'!R12="on hold")&gt;0,IF(LEN('MiT Strom Pipeline'!V12)&gt;0,LEFT('MiT Strom Pipeline'!V12,55),""),"")</f>
        <v/>
      </c>
    </row>
    <row r="82" customFormat="false" ht="15.75" hidden="false" customHeight="true" outlineLevel="0" collapsed="false">
      <c r="A82" s="22" t="str">
        <f aca="false">IF(('MiT Strom Pipeline'!R13="offered")+('MiT Strom Pipeline'!R13="to be offered")+('MiT Strom Pipeline'!R13="on hold")&gt;0,IF(ISNUMBER('MiT Strom Pipeline'!A13),'MiT Strom Pipeline'!A13,""),"")</f>
        <v/>
      </c>
      <c r="B82" s="23" t="str">
        <f aca="false">IF(('MiT Strom Pipeline'!R13="offered")+('MiT Strom Pipeline'!R13="to be offered")+('MiT Strom Pipeline'!R13="on hold")&gt;0,'MiT Strom Pipeline'!B13,"")</f>
        <v/>
      </c>
      <c r="C82" s="22" t="str">
        <f aca="false">IF(('MiT Strom Pipeline'!R13="offered")+('MiT Strom Pipeline'!R13="to be offered")+('MiT Strom Pipeline'!R13="on hold")&gt;0,'MiT Strom Pipeline'!C13,"")</f>
        <v/>
      </c>
      <c r="D82" s="23" t="str">
        <f aca="false">IF(('MiT Strom Pipeline'!R13="offered")+('MiT Strom Pipeline'!R13="to be offered")+('MiT Strom Pipeline'!R13="on hold")&gt;0,'MiT Strom Pipeline'!D13,"")</f>
        <v/>
      </c>
      <c r="E82" s="23" t="str">
        <f aca="false">IF(('MiT Strom Pipeline'!R13="offered")+('MiT Strom Pipeline'!R13="to be offered")+('MiT Strom Pipeline'!R13="on hold")&gt;0,'MiT Strom Pipeline'!E13,"")</f>
        <v/>
      </c>
      <c r="F82" s="70" t="str">
        <f aca="false">IF(('MiT Strom Pipeline'!R13="offered")+('MiT Strom Pipeline'!R13="to be offered")+('MiT Strom Pipeline'!R13="on hold")&gt;0,IF(ISNUMBER('MiT Strom Pipeline'!I13),'MiT Strom Pipeline'!I13,0),"")</f>
        <v/>
      </c>
      <c r="G82" s="70" t="str">
        <f aca="false">IF(('MiT Strom Pipeline'!R13="offered")+('MiT Strom Pipeline'!R13="to be offered")+('MiT Strom Pipeline'!R13="on hold")&gt;0,IF(ISNUMBER('MiT Strom Pipeline'!Q13),'MiT Strom Pipeline'!Q13,0),"")</f>
        <v/>
      </c>
      <c r="H82" s="22" t="str">
        <f aca="false">IF(('MiT Strom Pipeline'!R13="offered")+('MiT Strom Pipeline'!R13="to be offered")+('MiT Strom Pipeline'!R13="on hold")&gt;0,'MiT Strom Pipeline'!R13,"")</f>
        <v/>
      </c>
      <c r="I82" s="22" t="str">
        <f aca="false">IF(('MiT Strom Pipeline'!R13="offered")+('MiT Strom Pipeline'!R13="to be offered")+('MiT Strom Pipeline'!R13="on hold")&gt;0,'MiT Strom Pipeline'!S13,"")</f>
        <v/>
      </c>
      <c r="J82" s="23" t="str">
        <f aca="false">IF(('MiT Strom Pipeline'!R13="offered")+('MiT Strom Pipeline'!R13="to be offered")+('MiT Strom Pipeline'!R13="on hold")&gt;0,IF(LEN('MiT Strom Pipeline'!V13)&gt;0,LEFT('MiT Strom Pipeline'!V13,55),""),"")</f>
        <v/>
      </c>
    </row>
    <row r="83" customFormat="false" ht="15.75" hidden="false" customHeight="true" outlineLevel="0" collapsed="false">
      <c r="A83" s="30" t="str">
        <f aca="false">IF(('MiT Strom Pipeline'!R14="offered")+('MiT Strom Pipeline'!R14="to be offered")+('MiT Strom Pipeline'!R14="on hold")&gt;0,IF(ISNUMBER('MiT Strom Pipeline'!A14),'MiT Strom Pipeline'!A14,""),"")</f>
        <v/>
      </c>
      <c r="B83" s="31" t="str">
        <f aca="false">IF(('MiT Strom Pipeline'!R14="offered")+('MiT Strom Pipeline'!R14="to be offered")+('MiT Strom Pipeline'!R14="on hold")&gt;0,'MiT Strom Pipeline'!B14,"")</f>
        <v/>
      </c>
      <c r="C83" s="30" t="str">
        <f aca="false">IF(('MiT Strom Pipeline'!R14="offered")+('MiT Strom Pipeline'!R14="to be offered")+('MiT Strom Pipeline'!R14="on hold")&gt;0,'MiT Strom Pipeline'!C14,"")</f>
        <v/>
      </c>
      <c r="D83" s="31" t="str">
        <f aca="false">IF(('MiT Strom Pipeline'!R14="offered")+('MiT Strom Pipeline'!R14="to be offered")+('MiT Strom Pipeline'!R14="on hold")&gt;0,'MiT Strom Pipeline'!D14,"")</f>
        <v/>
      </c>
      <c r="E83" s="31" t="str">
        <f aca="false">IF(('MiT Strom Pipeline'!R14="offered")+('MiT Strom Pipeline'!R14="to be offered")+('MiT Strom Pipeline'!R14="on hold")&gt;0,'MiT Strom Pipeline'!E14,"")</f>
        <v/>
      </c>
      <c r="F83" s="73" t="str">
        <f aca="false">IF(('MiT Strom Pipeline'!R14="offered")+('MiT Strom Pipeline'!R14="to be offered")+('MiT Strom Pipeline'!R14="on hold")&gt;0,IF(ISNUMBER('MiT Strom Pipeline'!I14),'MiT Strom Pipeline'!I14,0),"")</f>
        <v/>
      </c>
      <c r="G83" s="73" t="str">
        <f aca="false">IF(('MiT Strom Pipeline'!R14="offered")+('MiT Strom Pipeline'!R14="to be offered")+('MiT Strom Pipeline'!R14="on hold")&gt;0,IF(ISNUMBER('MiT Strom Pipeline'!Q14),'MiT Strom Pipeline'!Q14,0),"")</f>
        <v/>
      </c>
      <c r="H83" s="30" t="str">
        <f aca="false">IF(('MiT Strom Pipeline'!R14="offered")+('MiT Strom Pipeline'!R14="to be offered")+('MiT Strom Pipeline'!R14="on hold")&gt;0,'MiT Strom Pipeline'!R14,"")</f>
        <v/>
      </c>
      <c r="I83" s="30" t="str">
        <f aca="false">IF(('MiT Strom Pipeline'!R14="offered")+('MiT Strom Pipeline'!R14="to be offered")+('MiT Strom Pipeline'!R14="on hold")&gt;0,'MiT Strom Pipeline'!S14,"")</f>
        <v/>
      </c>
      <c r="J83" s="31" t="str">
        <f aca="false">IF(('MiT Strom Pipeline'!R14="offered")+('MiT Strom Pipeline'!R14="to be offered")+('MiT Strom Pipeline'!R14="on hold")&gt;0,IF(LEN('MiT Strom Pipeline'!V14)&gt;0,LEFT('MiT Strom Pipeline'!V14,55),""),"")</f>
        <v/>
      </c>
    </row>
    <row r="84" customFormat="false" ht="15.75" hidden="false" customHeight="true" outlineLevel="0" collapsed="false">
      <c r="A84" s="22" t="str">
        <f aca="false">IF(('MiT Strom Pipeline'!R15="offered")+('MiT Strom Pipeline'!R15="to be offered")+('MiT Strom Pipeline'!R15="on hold")&gt;0,IF(ISNUMBER('MiT Strom Pipeline'!A15),'MiT Strom Pipeline'!A15,""),"")</f>
        <v/>
      </c>
      <c r="B84" s="23" t="str">
        <f aca="false">IF(('MiT Strom Pipeline'!R15="offered")+('MiT Strom Pipeline'!R15="to be offered")+('MiT Strom Pipeline'!R15="on hold")&gt;0,'MiT Strom Pipeline'!B15,"")</f>
        <v/>
      </c>
      <c r="C84" s="22" t="str">
        <f aca="false">IF(('MiT Strom Pipeline'!R15="offered")+('MiT Strom Pipeline'!R15="to be offered")+('MiT Strom Pipeline'!R15="on hold")&gt;0,'MiT Strom Pipeline'!C15,"")</f>
        <v/>
      </c>
      <c r="D84" s="23" t="str">
        <f aca="false">IF(('MiT Strom Pipeline'!R15="offered")+('MiT Strom Pipeline'!R15="to be offered")+('MiT Strom Pipeline'!R15="on hold")&gt;0,'MiT Strom Pipeline'!D15,"")</f>
        <v/>
      </c>
      <c r="E84" s="23" t="str">
        <f aca="false">IF(('MiT Strom Pipeline'!R15="offered")+('MiT Strom Pipeline'!R15="to be offered")+('MiT Strom Pipeline'!R15="on hold")&gt;0,'MiT Strom Pipeline'!E15,"")</f>
        <v/>
      </c>
      <c r="F84" s="70" t="str">
        <f aca="false">IF(('MiT Strom Pipeline'!R15="offered")+('MiT Strom Pipeline'!R15="to be offered")+('MiT Strom Pipeline'!R15="on hold")&gt;0,IF(ISNUMBER('MiT Strom Pipeline'!I15),'MiT Strom Pipeline'!I15,0),"")</f>
        <v/>
      </c>
      <c r="G84" s="70" t="str">
        <f aca="false">IF(('MiT Strom Pipeline'!R15="offered")+('MiT Strom Pipeline'!R15="to be offered")+('MiT Strom Pipeline'!R15="on hold")&gt;0,IF(ISNUMBER('MiT Strom Pipeline'!Q15),'MiT Strom Pipeline'!Q15,0),"")</f>
        <v/>
      </c>
      <c r="H84" s="22" t="str">
        <f aca="false">IF(('MiT Strom Pipeline'!R15="offered")+('MiT Strom Pipeline'!R15="to be offered")+('MiT Strom Pipeline'!R15="on hold")&gt;0,'MiT Strom Pipeline'!R15,"")</f>
        <v/>
      </c>
      <c r="I84" s="22" t="str">
        <f aca="false">IF(('MiT Strom Pipeline'!R15="offered")+('MiT Strom Pipeline'!R15="to be offered")+('MiT Strom Pipeline'!R15="on hold")&gt;0,'MiT Strom Pipeline'!S15,"")</f>
        <v/>
      </c>
      <c r="J84" s="23" t="str">
        <f aca="false">IF(('MiT Strom Pipeline'!R15="offered")+('MiT Strom Pipeline'!R15="to be offered")+('MiT Strom Pipeline'!R15="on hold")&gt;0,IF(LEN('MiT Strom Pipeline'!V15)&gt;0,LEFT('MiT Strom Pipeline'!V15,55),""),"")</f>
        <v/>
      </c>
    </row>
    <row r="85" customFormat="false" ht="15.75" hidden="false" customHeight="true" outlineLevel="0" collapsed="false">
      <c r="A85" s="30" t="str">
        <f aca="false">IF(('MiT Strom Pipeline'!R16="offered")+('MiT Strom Pipeline'!R16="to be offered")+('MiT Strom Pipeline'!R16="on hold")&gt;0,IF(ISNUMBER('MiT Strom Pipeline'!A16),'MiT Strom Pipeline'!A16,""),"")</f>
        <v/>
      </c>
      <c r="B85" s="31" t="str">
        <f aca="false">IF(('MiT Strom Pipeline'!R16="offered")+('MiT Strom Pipeline'!R16="to be offered")+('MiT Strom Pipeline'!R16="on hold")&gt;0,'MiT Strom Pipeline'!B16,"")</f>
        <v/>
      </c>
      <c r="C85" s="30" t="str">
        <f aca="false">IF(('MiT Strom Pipeline'!R16="offered")+('MiT Strom Pipeline'!R16="to be offered")+('MiT Strom Pipeline'!R16="on hold")&gt;0,'MiT Strom Pipeline'!C16,"")</f>
        <v/>
      </c>
      <c r="D85" s="31" t="str">
        <f aca="false">IF(('MiT Strom Pipeline'!R16="offered")+('MiT Strom Pipeline'!R16="to be offered")+('MiT Strom Pipeline'!R16="on hold")&gt;0,'MiT Strom Pipeline'!D16,"")</f>
        <v/>
      </c>
      <c r="E85" s="31" t="str">
        <f aca="false">IF(('MiT Strom Pipeline'!R16="offered")+('MiT Strom Pipeline'!R16="to be offered")+('MiT Strom Pipeline'!R16="on hold")&gt;0,'MiT Strom Pipeline'!E16,"")</f>
        <v/>
      </c>
      <c r="F85" s="73" t="str">
        <f aca="false">IF(('MiT Strom Pipeline'!R16="offered")+('MiT Strom Pipeline'!R16="to be offered")+('MiT Strom Pipeline'!R16="on hold")&gt;0,IF(ISNUMBER('MiT Strom Pipeline'!I16),'MiT Strom Pipeline'!I16,0),"")</f>
        <v/>
      </c>
      <c r="G85" s="73" t="str">
        <f aca="false">IF(('MiT Strom Pipeline'!R16="offered")+('MiT Strom Pipeline'!R16="to be offered")+('MiT Strom Pipeline'!R16="on hold")&gt;0,IF(ISNUMBER('MiT Strom Pipeline'!Q16),'MiT Strom Pipeline'!Q16,0),"")</f>
        <v/>
      </c>
      <c r="H85" s="30" t="str">
        <f aca="false">IF(('MiT Strom Pipeline'!R16="offered")+('MiT Strom Pipeline'!R16="to be offered")+('MiT Strom Pipeline'!R16="on hold")&gt;0,'MiT Strom Pipeline'!R16,"")</f>
        <v/>
      </c>
      <c r="I85" s="30" t="str">
        <f aca="false">IF(('MiT Strom Pipeline'!R16="offered")+('MiT Strom Pipeline'!R16="to be offered")+('MiT Strom Pipeline'!R16="on hold")&gt;0,'MiT Strom Pipeline'!S16,"")</f>
        <v/>
      </c>
      <c r="J85" s="31" t="str">
        <f aca="false">IF(('MiT Strom Pipeline'!R16="offered")+('MiT Strom Pipeline'!R16="to be offered")+('MiT Strom Pipeline'!R16="on hold")&gt;0,IF(LEN('MiT Strom Pipeline'!V16)&gt;0,LEFT('MiT Strom Pipeline'!V16,55),""),"")</f>
        <v/>
      </c>
    </row>
    <row r="86" customFormat="false" ht="15.75" hidden="false" customHeight="true" outlineLevel="0" collapsed="false">
      <c r="A86" s="22" t="n">
        <f aca="false">IF(('MiT Strom Pipeline'!R17="offered")+('MiT Strom Pipeline'!R17="to be offered")+('MiT Strom Pipeline'!R17="on hold")&gt;0,IF(ISNUMBER('MiT Strom Pipeline'!A17),'MiT Strom Pipeline'!A17,""),"")</f>
        <v>13</v>
      </c>
      <c r="B86" s="23" t="str">
        <f aca="false">IF(('MiT Strom Pipeline'!R17="offered")+('MiT Strom Pipeline'!R17="to be offered")+('MiT Strom Pipeline'!R17="on hold")&gt;0,'MiT Strom Pipeline'!B17,"")</f>
        <v>Proxima Fusion AG</v>
      </c>
      <c r="C86" s="22" t="str">
        <f aca="false">IF(('MiT Strom Pipeline'!R17="offered")+('MiT Strom Pipeline'!R17="to be offered")+('MiT Strom Pipeline'!R17="on hold")&gt;0,'MiT Strom Pipeline'!C17,"")</f>
        <v>ZH</v>
      </c>
      <c r="D86" s="23" t="str">
        <f aca="false">IF(('MiT Strom Pipeline'!R17="offered")+('MiT Strom Pipeline'!R17="to be offered")+('MiT Strom Pipeline'!R17="on hold")&gt;0,'MiT Strom Pipeline'!D17,"")</f>
        <v>Forschung / Hightech</v>
      </c>
      <c r="E86" s="23" t="str">
        <f aca="false">IF(('MiT Strom Pipeline'!R17="offered")+('MiT Strom Pipeline'!R17="to be offered")+('MiT Strom Pipeline'!R17="on hold")&gt;0,'MiT Strom Pipeline'!E17,"")</f>
        <v>BESS 1 MWh</v>
      </c>
      <c r="F86" s="70" t="n">
        <f aca="false">IF(('MiT Strom Pipeline'!R17="offered")+('MiT Strom Pipeline'!R17="to be offered")+('MiT Strom Pipeline'!R17="on hold")&gt;0,IF(ISNUMBER('MiT Strom Pipeline'!I17),'MiT Strom Pipeline'!I17,0),"")</f>
        <v>365003</v>
      </c>
      <c r="G86" s="70" t="n">
        <f aca="false">IF(('MiT Strom Pipeline'!R17="offered")+('MiT Strom Pipeline'!R17="to be offered")+('MiT Strom Pipeline'!R17="on hold")&gt;0,IF(ISNUMBER('MiT Strom Pipeline'!Q17),'MiT Strom Pipeline'!Q17,0),"")</f>
        <v>182501.5</v>
      </c>
      <c r="H86" s="22" t="str">
        <f aca="false">IF(('MiT Strom Pipeline'!R17="offered")+('MiT Strom Pipeline'!R17="to be offered")+('MiT Strom Pipeline'!R17="on hold")&gt;0,'MiT Strom Pipeline'!R17,"")</f>
        <v>offered</v>
      </c>
      <c r="I86" s="22" t="n">
        <f aca="false">IF(('MiT Strom Pipeline'!R17="offered")+('MiT Strom Pipeline'!R17="to be offered")+('MiT Strom Pipeline'!R17="on hold")&gt;0,'MiT Strom Pipeline'!S17,"")</f>
        <v>50</v>
      </c>
      <c r="J86" s="23" t="str">
        <f aca="false">IF(('MiT Strom Pipeline'!R17="offered")+('MiT Strom Pipeline'!R17="to be offered")+('MiT Strom Pipeline'!R17="on hold")&gt;0,IF(LEN('MiT Strom Pipeline'!V17)&gt;0,LEFT('MiT Strom Pipeline'!V17,55),""),"")</f>
        <v>Technisches Gespräch – USV + PQ-Anforderungen klären, K</v>
      </c>
    </row>
    <row r="87" customFormat="false" ht="15.75" hidden="false" customHeight="true" outlineLevel="0" collapsed="false">
      <c r="A87" s="30" t="n">
        <f aca="false">IF(('MiT Strom Pipeline'!R18="offered")+('MiT Strom Pipeline'!R18="to be offered")+('MiT Strom Pipeline'!R18="on hold")&gt;0,IF(ISNUMBER('MiT Strom Pipeline'!A18),'MiT Strom Pipeline'!A18,""),"")</f>
        <v>14</v>
      </c>
      <c r="B87" s="31" t="str">
        <f aca="false">IF(('MiT Strom Pipeline'!R18="offered")+('MiT Strom Pipeline'!R18="to be offered")+('MiT Strom Pipeline'!R18="on hold")&gt;0,'MiT Strom Pipeline'!B18,"")</f>
        <v>Trafag AG</v>
      </c>
      <c r="C87" s="30" t="str">
        <f aca="false">IF(('MiT Strom Pipeline'!R18="offered")+('MiT Strom Pipeline'!R18="to be offered")+('MiT Strom Pipeline'!R18="on hold")&gt;0,'MiT Strom Pipeline'!C18,"")</f>
        <v>ZH</v>
      </c>
      <c r="D87" s="31" t="str">
        <f aca="false">IF(('MiT Strom Pipeline'!R18="offered")+('MiT Strom Pipeline'!R18="to be offered")+('MiT Strom Pipeline'!R18="on hold")&gt;0,'MiT Strom Pipeline'!D18,"")</f>
        <v>Industrie / Messtechnik</v>
      </c>
      <c r="E87" s="31" t="str">
        <f aca="false">IF(('MiT Strom Pipeline'!R18="offered")+('MiT Strom Pipeline'!R18="to be offered")+('MiT Strom Pipeline'!R18="on hold")&gt;0,'MiT Strom Pipeline'!E18,"")</f>
        <v>450 kVA Generator</v>
      </c>
      <c r="F87" s="73" t="n">
        <f aca="false">IF(('MiT Strom Pipeline'!R18="offered")+('MiT Strom Pipeline'!R18="to be offered")+('MiT Strom Pipeline'!R18="on hold")&gt;0,IF(ISNUMBER('MiT Strom Pipeline'!I18),'MiT Strom Pipeline'!I18,0),"")</f>
        <v>17300</v>
      </c>
      <c r="G87" s="73" t="n">
        <f aca="false">IF(('MiT Strom Pipeline'!R18="offered")+('MiT Strom Pipeline'!R18="to be offered")+('MiT Strom Pipeline'!R18="on hold")&gt;0,IF(ISNUMBER('MiT Strom Pipeline'!Q18),'MiT Strom Pipeline'!Q18,0),"")</f>
        <v>8650</v>
      </c>
      <c r="H87" s="30" t="str">
        <f aca="false">IF(('MiT Strom Pipeline'!R18="offered")+('MiT Strom Pipeline'!R18="to be offered")+('MiT Strom Pipeline'!R18="on hold")&gt;0,'MiT Strom Pipeline'!R18,"")</f>
        <v>offered</v>
      </c>
      <c r="I87" s="30" t="n">
        <f aca="false">IF(('MiT Strom Pipeline'!R18="offered")+('MiT Strom Pipeline'!R18="to be offered")+('MiT Strom Pipeline'!R18="on hold")&gt;0,'MiT Strom Pipeline'!S18,"")</f>
        <v>0.5</v>
      </c>
      <c r="J87" s="31" t="str">
        <f aca="false">IF(('MiT Strom Pipeline'!R18="offered")+('MiT Strom Pipeline'!R18="to be offered")+('MiT Strom Pipeline'!R18="on hold")&gt;0,IF(LEN('MiT Strom Pipeline'!V18)&gt;0,LEFT('MiT Strom Pipeline'!V18,55),""),"")</f>
        <v>Angebot vorbereiten – PQ-Argument für Messtechnik, Stef</v>
      </c>
    </row>
    <row r="88" customFormat="false" ht="15.75" hidden="false" customHeight="true" outlineLevel="0" collapsed="false">
      <c r="A88" s="22" t="n">
        <f aca="false">IF(('MiT Strom Pipeline'!R19="offered")+('MiT Strom Pipeline'!R19="to be offered")+('MiT Strom Pipeline'!R19="on hold")&gt;0,IF(ISNUMBER('MiT Strom Pipeline'!A19),'MiT Strom Pipeline'!A19,""),"")</f>
        <v>14</v>
      </c>
      <c r="B88" s="23" t="str">
        <f aca="false">IF(('MiT Strom Pipeline'!R19="offered")+('MiT Strom Pipeline'!R19="to be offered")+('MiT Strom Pipeline'!R19="on hold")&gt;0,'MiT Strom Pipeline'!B19,"")</f>
        <v>Trafag AG</v>
      </c>
      <c r="C88" s="22" t="str">
        <f aca="false">IF(('MiT Strom Pipeline'!R19="offered")+('MiT Strom Pipeline'!R19="to be offered")+('MiT Strom Pipeline'!R19="on hold")&gt;0,'MiT Strom Pipeline'!C19,"")</f>
        <v>ZH</v>
      </c>
      <c r="D88" s="23" t="str">
        <f aca="false">IF(('MiT Strom Pipeline'!R19="offered")+('MiT Strom Pipeline'!R19="to be offered")+('MiT Strom Pipeline'!R19="on hold")&gt;0,'MiT Strom Pipeline'!D19,"")</f>
        <v>Industrie / Messtechnik</v>
      </c>
      <c r="E88" s="23" t="str">
        <f aca="false">IF(('MiT Strom Pipeline'!R19="offered")+('MiT Strom Pipeline'!R19="to be offered")+('MiT Strom Pipeline'!R19="on hold")&gt;0,'MiT Strom Pipeline'!E19,"")</f>
        <v>BESS 500 kVA</v>
      </c>
      <c r="F88" s="70" t="n">
        <f aca="false">IF(('MiT Strom Pipeline'!R19="offered")+('MiT Strom Pipeline'!R19="to be offered")+('MiT Strom Pipeline'!R19="on hold")&gt;0,IF(ISNUMBER('MiT Strom Pipeline'!I19),'MiT Strom Pipeline'!I19,0),"")</f>
        <v>21025</v>
      </c>
      <c r="G88" s="70" t="n">
        <f aca="false">IF(('MiT Strom Pipeline'!R19="offered")+('MiT Strom Pipeline'!R19="to be offered")+('MiT Strom Pipeline'!R19="on hold")&gt;0,IF(ISNUMBER('MiT Strom Pipeline'!Q19),'MiT Strom Pipeline'!Q19,0),"")</f>
        <v>10512.5</v>
      </c>
      <c r="H88" s="22" t="str">
        <f aca="false">IF(('MiT Strom Pipeline'!R19="offered")+('MiT Strom Pipeline'!R19="to be offered")+('MiT Strom Pipeline'!R19="on hold")&gt;0,'MiT Strom Pipeline'!R19,"")</f>
        <v>offered</v>
      </c>
      <c r="I88" s="22" t="n">
        <f aca="false">IF(('MiT Strom Pipeline'!R19="offered")+('MiT Strom Pipeline'!R19="to be offered")+('MiT Strom Pipeline'!R19="on hold")&gt;0,'MiT Strom Pipeline'!S19,"")</f>
        <v>0.5</v>
      </c>
      <c r="J88" s="23" t="str">
        <f aca="false">IF(('MiT Strom Pipeline'!R19="offered")+('MiT Strom Pipeline'!R19="to be offered")+('MiT Strom Pipeline'!R19="on hold")&gt;0,IF(LEN('MiT Strom Pipeline'!V19)&gt;0,LEFT('MiT Strom Pipeline'!V19,55),""),"")</f>
        <v>Angebot vorbereiten – PQ-Argument für Messtechnik, Stef</v>
      </c>
    </row>
    <row r="89" customFormat="false" ht="15.75" hidden="false" customHeight="true" outlineLevel="0" collapsed="false">
      <c r="A89" s="30" t="str">
        <f aca="false">IF(('MiT Strom Pipeline'!R20="offered")+('MiT Strom Pipeline'!R20="to be offered")+('MiT Strom Pipeline'!R20="on hold")&gt;0,IF(ISNUMBER('MiT Strom Pipeline'!A20),'MiT Strom Pipeline'!A20,""),"")</f>
        <v/>
      </c>
      <c r="B89" s="31" t="str">
        <f aca="false">IF(('MiT Strom Pipeline'!R20="offered")+('MiT Strom Pipeline'!R20="to be offered")+('MiT Strom Pipeline'!R20="on hold")&gt;0,'MiT Strom Pipeline'!B20,"")</f>
        <v/>
      </c>
      <c r="C89" s="30" t="str">
        <f aca="false">IF(('MiT Strom Pipeline'!R20="offered")+('MiT Strom Pipeline'!R20="to be offered")+('MiT Strom Pipeline'!R20="on hold")&gt;0,'MiT Strom Pipeline'!C20,"")</f>
        <v/>
      </c>
      <c r="D89" s="31" t="str">
        <f aca="false">IF(('MiT Strom Pipeline'!R20="offered")+('MiT Strom Pipeline'!R20="to be offered")+('MiT Strom Pipeline'!R20="on hold")&gt;0,'MiT Strom Pipeline'!D20,"")</f>
        <v/>
      </c>
      <c r="E89" s="31" t="str">
        <f aca="false">IF(('MiT Strom Pipeline'!R20="offered")+('MiT Strom Pipeline'!R20="to be offered")+('MiT Strom Pipeline'!R20="on hold")&gt;0,'MiT Strom Pipeline'!E20,"")</f>
        <v/>
      </c>
      <c r="F89" s="73" t="str">
        <f aca="false">IF(('MiT Strom Pipeline'!R20="offered")+('MiT Strom Pipeline'!R20="to be offered")+('MiT Strom Pipeline'!R20="on hold")&gt;0,IF(ISNUMBER('MiT Strom Pipeline'!I20),'MiT Strom Pipeline'!I20,0),"")</f>
        <v/>
      </c>
      <c r="G89" s="73" t="str">
        <f aca="false">IF(('MiT Strom Pipeline'!R20="offered")+('MiT Strom Pipeline'!R20="to be offered")+('MiT Strom Pipeline'!R20="on hold")&gt;0,IF(ISNUMBER('MiT Strom Pipeline'!Q20),'MiT Strom Pipeline'!Q20,0),"")</f>
        <v/>
      </c>
      <c r="H89" s="30" t="str">
        <f aca="false">IF(('MiT Strom Pipeline'!R20="offered")+('MiT Strom Pipeline'!R20="to be offered")+('MiT Strom Pipeline'!R20="on hold")&gt;0,'MiT Strom Pipeline'!R20,"")</f>
        <v/>
      </c>
      <c r="I89" s="30" t="str">
        <f aca="false">IF(('MiT Strom Pipeline'!R20="offered")+('MiT Strom Pipeline'!R20="to be offered")+('MiT Strom Pipeline'!R20="on hold")&gt;0,'MiT Strom Pipeline'!S20,"")</f>
        <v/>
      </c>
      <c r="J89" s="31" t="str">
        <f aca="false">IF(('MiT Strom Pipeline'!R20="offered")+('MiT Strom Pipeline'!R20="to be offered")+('MiT Strom Pipeline'!R20="on hold")&gt;0,IF(LEN('MiT Strom Pipeline'!V20)&gt;0,LEFT('MiT Strom Pipeline'!V20,55),""),"")</f>
        <v/>
      </c>
    </row>
    <row r="90" customFormat="false" ht="15.75" hidden="false" customHeight="true" outlineLevel="0" collapsed="false">
      <c r="A90" s="22" t="str">
        <f aca="false">IF(('MiT Strom Pipeline'!R21="offered")+('MiT Strom Pipeline'!R21="to be offered")+('MiT Strom Pipeline'!R21="on hold")&gt;0,IF(ISNUMBER('MiT Strom Pipeline'!A21),'MiT Strom Pipeline'!A21,""),"")</f>
        <v/>
      </c>
      <c r="B90" s="23" t="str">
        <f aca="false">IF(('MiT Strom Pipeline'!R21="offered")+('MiT Strom Pipeline'!R21="to be offered")+('MiT Strom Pipeline'!R21="on hold")&gt;0,'MiT Strom Pipeline'!B21,"")</f>
        <v/>
      </c>
      <c r="C90" s="22" t="str">
        <f aca="false">IF(('MiT Strom Pipeline'!R21="offered")+('MiT Strom Pipeline'!R21="to be offered")+('MiT Strom Pipeline'!R21="on hold")&gt;0,'MiT Strom Pipeline'!C21,"")</f>
        <v/>
      </c>
      <c r="D90" s="23" t="str">
        <f aca="false">IF(('MiT Strom Pipeline'!R21="offered")+('MiT Strom Pipeline'!R21="to be offered")+('MiT Strom Pipeline'!R21="on hold")&gt;0,'MiT Strom Pipeline'!D21,"")</f>
        <v/>
      </c>
      <c r="E90" s="23" t="str">
        <f aca="false">IF(('MiT Strom Pipeline'!R21="offered")+('MiT Strom Pipeline'!R21="to be offered")+('MiT Strom Pipeline'!R21="on hold")&gt;0,'MiT Strom Pipeline'!E21,"")</f>
        <v/>
      </c>
      <c r="F90" s="70" t="str">
        <f aca="false">IF(('MiT Strom Pipeline'!R21="offered")+('MiT Strom Pipeline'!R21="to be offered")+('MiT Strom Pipeline'!R21="on hold")&gt;0,IF(ISNUMBER('MiT Strom Pipeline'!I21),'MiT Strom Pipeline'!I21,0),"")</f>
        <v/>
      </c>
      <c r="G90" s="70" t="str">
        <f aca="false">IF(('MiT Strom Pipeline'!R21="offered")+('MiT Strom Pipeline'!R21="to be offered")+('MiT Strom Pipeline'!R21="on hold")&gt;0,IF(ISNUMBER('MiT Strom Pipeline'!Q21),'MiT Strom Pipeline'!Q21,0),"")</f>
        <v/>
      </c>
      <c r="H90" s="22" t="str">
        <f aca="false">IF(('MiT Strom Pipeline'!R21="offered")+('MiT Strom Pipeline'!R21="to be offered")+('MiT Strom Pipeline'!R21="on hold")&gt;0,'MiT Strom Pipeline'!R21,"")</f>
        <v/>
      </c>
      <c r="I90" s="22" t="str">
        <f aca="false">IF(('MiT Strom Pipeline'!R21="offered")+('MiT Strom Pipeline'!R21="to be offered")+('MiT Strom Pipeline'!R21="on hold")&gt;0,'MiT Strom Pipeline'!S21,"")</f>
        <v/>
      </c>
      <c r="J90" s="23" t="str">
        <f aca="false">IF(('MiT Strom Pipeline'!R21="offered")+('MiT Strom Pipeline'!R21="to be offered")+('MiT Strom Pipeline'!R21="on hold")&gt;0,IF(LEN('MiT Strom Pipeline'!V21)&gt;0,LEFT('MiT Strom Pipeline'!V21,55),""),"")</f>
        <v/>
      </c>
    </row>
    <row r="91" customFormat="false" ht="15.75" hidden="false" customHeight="true" outlineLevel="0" collapsed="false">
      <c r="A91" s="30" t="str">
        <f aca="false">IF(('MiT Strom Pipeline'!R22="offered")+('MiT Strom Pipeline'!R22="to be offered")+('MiT Strom Pipeline'!R22="on hold")&gt;0,IF(ISNUMBER('MiT Strom Pipeline'!A22),'MiT Strom Pipeline'!A22,""),"")</f>
        <v/>
      </c>
      <c r="B91" s="31" t="str">
        <f aca="false">IF(('MiT Strom Pipeline'!R22="offered")+('MiT Strom Pipeline'!R22="to be offered")+('MiT Strom Pipeline'!R22="on hold")&gt;0,'MiT Strom Pipeline'!B22,"")</f>
        <v/>
      </c>
      <c r="C91" s="30" t="str">
        <f aca="false">IF(('MiT Strom Pipeline'!R22="offered")+('MiT Strom Pipeline'!R22="to be offered")+('MiT Strom Pipeline'!R22="on hold")&gt;0,'MiT Strom Pipeline'!C22,"")</f>
        <v/>
      </c>
      <c r="D91" s="31" t="str">
        <f aca="false">IF(('MiT Strom Pipeline'!R22="offered")+('MiT Strom Pipeline'!R22="to be offered")+('MiT Strom Pipeline'!R22="on hold")&gt;0,'MiT Strom Pipeline'!D22,"")</f>
        <v/>
      </c>
      <c r="E91" s="31" t="str">
        <f aca="false">IF(('MiT Strom Pipeline'!R22="offered")+('MiT Strom Pipeline'!R22="to be offered")+('MiT Strom Pipeline'!R22="on hold")&gt;0,'MiT Strom Pipeline'!E22,"")</f>
        <v/>
      </c>
      <c r="F91" s="73" t="str">
        <f aca="false">IF(('MiT Strom Pipeline'!R22="offered")+('MiT Strom Pipeline'!R22="to be offered")+('MiT Strom Pipeline'!R22="on hold")&gt;0,IF(ISNUMBER('MiT Strom Pipeline'!I22),'MiT Strom Pipeline'!I22,0),"")</f>
        <v/>
      </c>
      <c r="G91" s="73" t="str">
        <f aca="false">IF(('MiT Strom Pipeline'!R22="offered")+('MiT Strom Pipeline'!R22="to be offered")+('MiT Strom Pipeline'!R22="on hold")&gt;0,IF(ISNUMBER('MiT Strom Pipeline'!Q22),'MiT Strom Pipeline'!Q22,0),"")</f>
        <v/>
      </c>
      <c r="H91" s="30" t="str">
        <f aca="false">IF(('MiT Strom Pipeline'!R22="offered")+('MiT Strom Pipeline'!R22="to be offered")+('MiT Strom Pipeline'!R22="on hold")&gt;0,'MiT Strom Pipeline'!R22,"")</f>
        <v/>
      </c>
      <c r="I91" s="30" t="str">
        <f aca="false">IF(('MiT Strom Pipeline'!R22="offered")+('MiT Strom Pipeline'!R22="to be offered")+('MiT Strom Pipeline'!R22="on hold")&gt;0,'MiT Strom Pipeline'!S22,"")</f>
        <v/>
      </c>
      <c r="J91" s="31" t="str">
        <f aca="false">IF(('MiT Strom Pipeline'!R22="offered")+('MiT Strom Pipeline'!R22="to be offered")+('MiT Strom Pipeline'!R22="on hold")&gt;0,IF(LEN('MiT Strom Pipeline'!V22)&gt;0,LEFT('MiT Strom Pipeline'!V22,55),""),"")</f>
        <v/>
      </c>
    </row>
    <row r="92" customFormat="false" ht="15.75" hidden="false" customHeight="true" outlineLevel="0" collapsed="false">
      <c r="A92" s="22" t="str">
        <f aca="false">IF(('MiT Strom Pipeline'!R23="offered")+('MiT Strom Pipeline'!R23="to be offered")+('MiT Strom Pipeline'!R23="on hold")&gt;0,IF(ISNUMBER('MiT Strom Pipeline'!A23),'MiT Strom Pipeline'!A23,""),"")</f>
        <v/>
      </c>
      <c r="B92" s="23" t="str">
        <f aca="false">IF(('MiT Strom Pipeline'!R23="offered")+('MiT Strom Pipeline'!R23="to be offered")+('MiT Strom Pipeline'!R23="on hold")&gt;0,'MiT Strom Pipeline'!B23,"")</f>
        <v/>
      </c>
      <c r="C92" s="22" t="str">
        <f aca="false">IF(('MiT Strom Pipeline'!R23="offered")+('MiT Strom Pipeline'!R23="to be offered")+('MiT Strom Pipeline'!R23="on hold")&gt;0,'MiT Strom Pipeline'!C23,"")</f>
        <v/>
      </c>
      <c r="D92" s="23" t="str">
        <f aca="false">IF(('MiT Strom Pipeline'!R23="offered")+('MiT Strom Pipeline'!R23="to be offered")+('MiT Strom Pipeline'!R23="on hold")&gt;0,'MiT Strom Pipeline'!D23,"")</f>
        <v/>
      </c>
      <c r="E92" s="23" t="str">
        <f aca="false">IF(('MiT Strom Pipeline'!R23="offered")+('MiT Strom Pipeline'!R23="to be offered")+('MiT Strom Pipeline'!R23="on hold")&gt;0,'MiT Strom Pipeline'!E23,"")</f>
        <v/>
      </c>
      <c r="F92" s="70" t="str">
        <f aca="false">IF(('MiT Strom Pipeline'!R23="offered")+('MiT Strom Pipeline'!R23="to be offered")+('MiT Strom Pipeline'!R23="on hold")&gt;0,IF(ISNUMBER('MiT Strom Pipeline'!I23),'MiT Strom Pipeline'!I23,0),"")</f>
        <v/>
      </c>
      <c r="G92" s="70" t="str">
        <f aca="false">IF(('MiT Strom Pipeline'!R23="offered")+('MiT Strom Pipeline'!R23="to be offered")+('MiT Strom Pipeline'!R23="on hold")&gt;0,IF(ISNUMBER('MiT Strom Pipeline'!Q23),'MiT Strom Pipeline'!Q23,0),"")</f>
        <v/>
      </c>
      <c r="H92" s="22" t="str">
        <f aca="false">IF(('MiT Strom Pipeline'!R23="offered")+('MiT Strom Pipeline'!R23="to be offered")+('MiT Strom Pipeline'!R23="on hold")&gt;0,'MiT Strom Pipeline'!R23,"")</f>
        <v/>
      </c>
      <c r="I92" s="22" t="str">
        <f aca="false">IF(('MiT Strom Pipeline'!R23="offered")+('MiT Strom Pipeline'!R23="to be offered")+('MiT Strom Pipeline'!R23="on hold")&gt;0,'MiT Strom Pipeline'!S23,"")</f>
        <v/>
      </c>
      <c r="J92" s="23" t="str">
        <f aca="false">IF(('MiT Strom Pipeline'!R23="offered")+('MiT Strom Pipeline'!R23="to be offered")+('MiT Strom Pipeline'!R23="on hold")&gt;0,IF(LEN('MiT Strom Pipeline'!V23)&gt;0,LEFT('MiT Strom Pipeline'!V23,55),""),"")</f>
        <v/>
      </c>
    </row>
    <row r="93" customFormat="false" ht="15.75" hidden="false" customHeight="true" outlineLevel="0" collapsed="false">
      <c r="A93" s="30" t="str">
        <f aca="false">IF(('MiT Strom Pipeline'!R24="offered")+('MiT Strom Pipeline'!R24="to be offered")+('MiT Strom Pipeline'!R24="on hold")&gt;0,IF(ISNUMBER('MiT Strom Pipeline'!A24),'MiT Strom Pipeline'!A24,""),"")</f>
        <v/>
      </c>
      <c r="B93" s="31" t="str">
        <f aca="false">IF(('MiT Strom Pipeline'!R24="offered")+('MiT Strom Pipeline'!R24="to be offered")+('MiT Strom Pipeline'!R24="on hold")&gt;0,'MiT Strom Pipeline'!B24,"")</f>
        <v/>
      </c>
      <c r="C93" s="30" t="str">
        <f aca="false">IF(('MiT Strom Pipeline'!R24="offered")+('MiT Strom Pipeline'!R24="to be offered")+('MiT Strom Pipeline'!R24="on hold")&gt;0,'MiT Strom Pipeline'!C24,"")</f>
        <v/>
      </c>
      <c r="D93" s="31" t="str">
        <f aca="false">IF(('MiT Strom Pipeline'!R24="offered")+('MiT Strom Pipeline'!R24="to be offered")+('MiT Strom Pipeline'!R24="on hold")&gt;0,'MiT Strom Pipeline'!D24,"")</f>
        <v/>
      </c>
      <c r="E93" s="31" t="str">
        <f aca="false">IF(('MiT Strom Pipeline'!R24="offered")+('MiT Strom Pipeline'!R24="to be offered")+('MiT Strom Pipeline'!R24="on hold")&gt;0,'MiT Strom Pipeline'!E24,"")</f>
        <v/>
      </c>
      <c r="F93" s="73" t="str">
        <f aca="false">IF(('MiT Strom Pipeline'!R24="offered")+('MiT Strom Pipeline'!R24="to be offered")+('MiT Strom Pipeline'!R24="on hold")&gt;0,IF(ISNUMBER('MiT Strom Pipeline'!I24),'MiT Strom Pipeline'!I24,0),"")</f>
        <v/>
      </c>
      <c r="G93" s="73" t="str">
        <f aca="false">IF(('MiT Strom Pipeline'!R24="offered")+('MiT Strom Pipeline'!R24="to be offered")+('MiT Strom Pipeline'!R24="on hold")&gt;0,IF(ISNUMBER('MiT Strom Pipeline'!Q24),'MiT Strom Pipeline'!Q24,0),"")</f>
        <v/>
      </c>
      <c r="H93" s="30" t="str">
        <f aca="false">IF(('MiT Strom Pipeline'!R24="offered")+('MiT Strom Pipeline'!R24="to be offered")+('MiT Strom Pipeline'!R24="on hold")&gt;0,'MiT Strom Pipeline'!R24,"")</f>
        <v/>
      </c>
      <c r="I93" s="30" t="str">
        <f aca="false">IF(('MiT Strom Pipeline'!R24="offered")+('MiT Strom Pipeline'!R24="to be offered")+('MiT Strom Pipeline'!R24="on hold")&gt;0,'MiT Strom Pipeline'!S24,"")</f>
        <v/>
      </c>
      <c r="J93" s="31" t="str">
        <f aca="false">IF(('MiT Strom Pipeline'!R24="offered")+('MiT Strom Pipeline'!R24="to be offered")+('MiT Strom Pipeline'!R24="on hold")&gt;0,IF(LEN('MiT Strom Pipeline'!V24)&gt;0,LEFT('MiT Strom Pipeline'!V24,55),""),"")</f>
        <v/>
      </c>
    </row>
    <row r="94" customFormat="false" ht="15.75" hidden="false" customHeight="true" outlineLevel="0" collapsed="false">
      <c r="A94" s="22" t="str">
        <f aca="false">IF(('MiT Strom Pipeline'!R25="offered")+('MiT Strom Pipeline'!R25="to be offered")+('MiT Strom Pipeline'!R25="on hold")&gt;0,IF(ISNUMBER('MiT Strom Pipeline'!A25),'MiT Strom Pipeline'!A25,""),"")</f>
        <v/>
      </c>
      <c r="B94" s="23" t="str">
        <f aca="false">IF(('MiT Strom Pipeline'!R25="offered")+('MiT Strom Pipeline'!R25="to be offered")+('MiT Strom Pipeline'!R25="on hold")&gt;0,'MiT Strom Pipeline'!B25,"")</f>
        <v/>
      </c>
      <c r="C94" s="22" t="str">
        <f aca="false">IF(('MiT Strom Pipeline'!R25="offered")+('MiT Strom Pipeline'!R25="to be offered")+('MiT Strom Pipeline'!R25="on hold")&gt;0,'MiT Strom Pipeline'!C25,"")</f>
        <v/>
      </c>
      <c r="D94" s="23" t="str">
        <f aca="false">IF(('MiT Strom Pipeline'!R25="offered")+('MiT Strom Pipeline'!R25="to be offered")+('MiT Strom Pipeline'!R25="on hold")&gt;0,'MiT Strom Pipeline'!D25,"")</f>
        <v/>
      </c>
      <c r="E94" s="23" t="str">
        <f aca="false">IF(('MiT Strom Pipeline'!R25="offered")+('MiT Strom Pipeline'!R25="to be offered")+('MiT Strom Pipeline'!R25="on hold")&gt;0,'MiT Strom Pipeline'!E25,"")</f>
        <v/>
      </c>
      <c r="F94" s="70" t="str">
        <f aca="false">IF(('MiT Strom Pipeline'!R25="offered")+('MiT Strom Pipeline'!R25="to be offered")+('MiT Strom Pipeline'!R25="on hold")&gt;0,IF(ISNUMBER('MiT Strom Pipeline'!I25),'MiT Strom Pipeline'!I25,0),"")</f>
        <v/>
      </c>
      <c r="G94" s="70" t="str">
        <f aca="false">IF(('MiT Strom Pipeline'!R25="offered")+('MiT Strom Pipeline'!R25="to be offered")+('MiT Strom Pipeline'!R25="on hold")&gt;0,IF(ISNUMBER('MiT Strom Pipeline'!Q25),'MiT Strom Pipeline'!Q25,0),"")</f>
        <v/>
      </c>
      <c r="H94" s="22" t="str">
        <f aca="false">IF(('MiT Strom Pipeline'!R25="offered")+('MiT Strom Pipeline'!R25="to be offered")+('MiT Strom Pipeline'!R25="on hold")&gt;0,'MiT Strom Pipeline'!R25,"")</f>
        <v/>
      </c>
      <c r="I94" s="22" t="str">
        <f aca="false">IF(('MiT Strom Pipeline'!R25="offered")+('MiT Strom Pipeline'!R25="to be offered")+('MiT Strom Pipeline'!R25="on hold")&gt;0,'MiT Strom Pipeline'!S25,"")</f>
        <v/>
      </c>
      <c r="J94" s="23" t="str">
        <f aca="false">IF(('MiT Strom Pipeline'!R25="offered")+('MiT Strom Pipeline'!R25="to be offered")+('MiT Strom Pipeline'!R25="on hold")&gt;0,IF(LEN('MiT Strom Pipeline'!V25)&gt;0,LEFT('MiT Strom Pipeline'!V25,55),""),"")</f>
        <v/>
      </c>
    </row>
    <row r="95" customFormat="false" ht="15.75" hidden="false" customHeight="true" outlineLevel="0" collapsed="false">
      <c r="A95" s="30" t="str">
        <f aca="false">IF(('MiT Strom Pipeline'!R26="offered")+('MiT Strom Pipeline'!R26="to be offered")+('MiT Strom Pipeline'!R26="on hold")&gt;0,IF(ISNUMBER('MiT Strom Pipeline'!A26),'MiT Strom Pipeline'!A26,""),"")</f>
        <v/>
      </c>
      <c r="B95" s="31" t="str">
        <f aca="false">IF(('MiT Strom Pipeline'!R26="offered")+('MiT Strom Pipeline'!R26="to be offered")+('MiT Strom Pipeline'!R26="on hold")&gt;0,'MiT Strom Pipeline'!B26,"")</f>
        <v/>
      </c>
      <c r="C95" s="30" t="str">
        <f aca="false">IF(('MiT Strom Pipeline'!R26="offered")+('MiT Strom Pipeline'!R26="to be offered")+('MiT Strom Pipeline'!R26="on hold")&gt;0,'MiT Strom Pipeline'!C26,"")</f>
        <v/>
      </c>
      <c r="D95" s="31" t="str">
        <f aca="false">IF(('MiT Strom Pipeline'!R26="offered")+('MiT Strom Pipeline'!R26="to be offered")+('MiT Strom Pipeline'!R26="on hold")&gt;0,'MiT Strom Pipeline'!D26,"")</f>
        <v/>
      </c>
      <c r="E95" s="31" t="str">
        <f aca="false">IF(('MiT Strom Pipeline'!R26="offered")+('MiT Strom Pipeline'!R26="to be offered")+('MiT Strom Pipeline'!R26="on hold")&gt;0,'MiT Strom Pipeline'!E26,"")</f>
        <v/>
      </c>
      <c r="F95" s="73" t="str">
        <f aca="false">IF(('MiT Strom Pipeline'!R26="offered")+('MiT Strom Pipeline'!R26="to be offered")+('MiT Strom Pipeline'!R26="on hold")&gt;0,IF(ISNUMBER('MiT Strom Pipeline'!I26),'MiT Strom Pipeline'!I26,0),"")</f>
        <v/>
      </c>
      <c r="G95" s="73" t="str">
        <f aca="false">IF(('MiT Strom Pipeline'!R26="offered")+('MiT Strom Pipeline'!R26="to be offered")+('MiT Strom Pipeline'!R26="on hold")&gt;0,IF(ISNUMBER('MiT Strom Pipeline'!Q26),'MiT Strom Pipeline'!Q26,0),"")</f>
        <v/>
      </c>
      <c r="H95" s="30" t="str">
        <f aca="false">IF(('MiT Strom Pipeline'!R26="offered")+('MiT Strom Pipeline'!R26="to be offered")+('MiT Strom Pipeline'!R26="on hold")&gt;0,'MiT Strom Pipeline'!R26,"")</f>
        <v/>
      </c>
      <c r="I95" s="30" t="str">
        <f aca="false">IF(('MiT Strom Pipeline'!R26="offered")+('MiT Strom Pipeline'!R26="to be offered")+('MiT Strom Pipeline'!R26="on hold")&gt;0,'MiT Strom Pipeline'!S26,"")</f>
        <v/>
      </c>
      <c r="J95" s="31" t="str">
        <f aca="false">IF(('MiT Strom Pipeline'!R26="offered")+('MiT Strom Pipeline'!R26="to be offered")+('MiT Strom Pipeline'!R26="on hold")&gt;0,IF(LEN('MiT Strom Pipeline'!V26)&gt;0,LEFT('MiT Strom Pipeline'!V26,55),""),"")</f>
        <v/>
      </c>
    </row>
    <row r="96" customFormat="false" ht="15.75" hidden="false" customHeight="true" outlineLevel="0" collapsed="false">
      <c r="A96" s="22" t="str">
        <f aca="false">IF(('MiT Strom Pipeline'!R27="offered")+('MiT Strom Pipeline'!R27="to be offered")+('MiT Strom Pipeline'!R27="on hold")&gt;0,IF(ISNUMBER('MiT Strom Pipeline'!A27),'MiT Strom Pipeline'!A27,""),"")</f>
        <v/>
      </c>
      <c r="B96" s="23" t="str">
        <f aca="false">IF(('MiT Strom Pipeline'!R27="offered")+('MiT Strom Pipeline'!R27="to be offered")+('MiT Strom Pipeline'!R27="on hold")&gt;0,'MiT Strom Pipeline'!B27,"")</f>
        <v/>
      </c>
      <c r="C96" s="22" t="str">
        <f aca="false">IF(('MiT Strom Pipeline'!R27="offered")+('MiT Strom Pipeline'!R27="to be offered")+('MiT Strom Pipeline'!R27="on hold")&gt;0,'MiT Strom Pipeline'!C27,"")</f>
        <v/>
      </c>
      <c r="D96" s="23" t="str">
        <f aca="false">IF(('MiT Strom Pipeline'!R27="offered")+('MiT Strom Pipeline'!R27="to be offered")+('MiT Strom Pipeline'!R27="on hold")&gt;0,'MiT Strom Pipeline'!D27,"")</f>
        <v/>
      </c>
      <c r="E96" s="23" t="str">
        <f aca="false">IF(('MiT Strom Pipeline'!R27="offered")+('MiT Strom Pipeline'!R27="to be offered")+('MiT Strom Pipeline'!R27="on hold")&gt;0,'MiT Strom Pipeline'!E27,"")</f>
        <v/>
      </c>
      <c r="F96" s="70" t="str">
        <f aca="false">IF(('MiT Strom Pipeline'!R27="offered")+('MiT Strom Pipeline'!R27="to be offered")+('MiT Strom Pipeline'!R27="on hold")&gt;0,IF(ISNUMBER('MiT Strom Pipeline'!I27),'MiT Strom Pipeline'!I27,0),"")</f>
        <v/>
      </c>
      <c r="G96" s="70" t="str">
        <f aca="false">IF(('MiT Strom Pipeline'!R27="offered")+('MiT Strom Pipeline'!R27="to be offered")+('MiT Strom Pipeline'!R27="on hold")&gt;0,IF(ISNUMBER('MiT Strom Pipeline'!Q27),'MiT Strom Pipeline'!Q27,0),"")</f>
        <v/>
      </c>
      <c r="H96" s="22" t="str">
        <f aca="false">IF(('MiT Strom Pipeline'!R27="offered")+('MiT Strom Pipeline'!R27="to be offered")+('MiT Strom Pipeline'!R27="on hold")&gt;0,'MiT Strom Pipeline'!R27,"")</f>
        <v/>
      </c>
      <c r="I96" s="22" t="str">
        <f aca="false">IF(('MiT Strom Pipeline'!R27="offered")+('MiT Strom Pipeline'!R27="to be offered")+('MiT Strom Pipeline'!R27="on hold")&gt;0,'MiT Strom Pipeline'!S27,"")</f>
        <v/>
      </c>
      <c r="J96" s="23" t="str">
        <f aca="false">IF(('MiT Strom Pipeline'!R27="offered")+('MiT Strom Pipeline'!R27="to be offered")+('MiT Strom Pipeline'!R27="on hold")&gt;0,IF(LEN('MiT Strom Pipeline'!V27)&gt;0,LEFT('MiT Strom Pipeline'!V27,55),""),"")</f>
        <v/>
      </c>
    </row>
    <row r="97" customFormat="false" ht="15.75" hidden="false" customHeight="true" outlineLevel="0" collapsed="false">
      <c r="A97" s="30" t="n">
        <f aca="false">IF(('MiT Strom Pipeline'!R28="offered")+('MiT Strom Pipeline'!R28="to be offered")+('MiT Strom Pipeline'!R28="on hold")&gt;0,IF(ISNUMBER('MiT Strom Pipeline'!A28),'MiT Strom Pipeline'!A28,""),"")</f>
        <v>22</v>
      </c>
      <c r="B97" s="31" t="str">
        <f aca="false">IF(('MiT Strom Pipeline'!R28="offered")+('MiT Strom Pipeline'!R28="to be offered")+('MiT Strom Pipeline'!R28="on hold")&gt;0,'MiT Strom Pipeline'!B28,"")</f>
        <v>Coolworld Rentals</v>
      </c>
      <c r="C97" s="30" t="str">
        <f aca="false">IF(('MiT Strom Pipeline'!R28="offered")+('MiT Strom Pipeline'!R28="to be offered")+('MiT Strom Pipeline'!R28="on hold")&gt;0,'MiT Strom Pipeline'!C28,"")</f>
        <v>SH</v>
      </c>
      <c r="D97" s="31" t="str">
        <f aca="false">IF(('MiT Strom Pipeline'!R28="offered")+('MiT Strom Pipeline'!R28="to be offered")+('MiT Strom Pipeline'!R28="on hold")&gt;0,'MiT Strom Pipeline'!D28,"")</f>
        <v>Kühlung / Konkurrenz</v>
      </c>
      <c r="E97" s="31" t="str">
        <f aca="false">IF(('MiT Strom Pipeline'!R28="offered")+('MiT Strom Pipeline'!R28="to be offered")+('MiT Strom Pipeline'!R28="on hold")&gt;0,'MiT Strom Pipeline'!E28,"")</f>
        <v>400 kVA Generator</v>
      </c>
      <c r="F97" s="73" t="n">
        <f aca="false">IF(('MiT Strom Pipeline'!R28="offered")+('MiT Strom Pipeline'!R28="to be offered")+('MiT Strom Pipeline'!R28="on hold")&gt;0,IF(ISNUMBER('MiT Strom Pipeline'!I28),'MiT Strom Pipeline'!I28,0),"")</f>
        <v>0</v>
      </c>
      <c r="G97" s="73" t="n">
        <f aca="false">IF(('MiT Strom Pipeline'!R28="offered")+('MiT Strom Pipeline'!R28="to be offered")+('MiT Strom Pipeline'!R28="on hold")&gt;0,IF(ISNUMBER('MiT Strom Pipeline'!Q28),'MiT Strom Pipeline'!Q28,0),"")</f>
        <v>0</v>
      </c>
      <c r="H97" s="30" t="str">
        <f aca="false">IF(('MiT Strom Pipeline'!R28="offered")+('MiT Strom Pipeline'!R28="to be offered")+('MiT Strom Pipeline'!R28="on hold")&gt;0,'MiT Strom Pipeline'!R28,"")</f>
        <v>offered</v>
      </c>
      <c r="I97" s="30" t="n">
        <f aca="false">IF(('MiT Strom Pipeline'!R28="offered")+('MiT Strom Pipeline'!R28="to be offered")+('MiT Strom Pipeline'!R28="on hold")&gt;0,'MiT Strom Pipeline'!S28,"")</f>
        <v>0.5</v>
      </c>
      <c r="J97" s="31" t="str">
        <f aca="false">IF(('MiT Strom Pipeline'!R28="offered")+('MiT Strom Pipeline'!R28="to be offered")+('MiT Strom Pipeline'!R28="on hold")&gt;0,IF(LEN('MiT Strom Pipeline'!V28)&gt;0,LEFT('MiT Strom Pipeline'!V28,55),""),"")</f>
        <v>Email Kontaktiert, Telefoniert</v>
      </c>
    </row>
    <row r="98" customFormat="false" ht="15.75" hidden="false" customHeight="true" outlineLevel="0" collapsed="false">
      <c r="A98" s="22" t="str">
        <f aca="false">IF(('MiT Strom Pipeline'!R29="offered")+('MiT Strom Pipeline'!R29="to be offered")+('MiT Strom Pipeline'!R29="on hold")&gt;0,IF(ISNUMBER('MiT Strom Pipeline'!A29),'MiT Strom Pipeline'!A29,""),"")</f>
        <v/>
      </c>
      <c r="B98" s="23" t="str">
        <f aca="false">IF(('MiT Strom Pipeline'!R29="offered")+('MiT Strom Pipeline'!R29="to be offered")+('MiT Strom Pipeline'!R29="on hold")&gt;0,'MiT Strom Pipeline'!B29,"")</f>
        <v/>
      </c>
      <c r="C98" s="22" t="str">
        <f aca="false">IF(('MiT Strom Pipeline'!R29="offered")+('MiT Strom Pipeline'!R29="to be offered")+('MiT Strom Pipeline'!R29="on hold")&gt;0,'MiT Strom Pipeline'!C29,"")</f>
        <v/>
      </c>
      <c r="D98" s="23" t="str">
        <f aca="false">IF(('MiT Strom Pipeline'!R29="offered")+('MiT Strom Pipeline'!R29="to be offered")+('MiT Strom Pipeline'!R29="on hold")&gt;0,'MiT Strom Pipeline'!D29,"")</f>
        <v/>
      </c>
      <c r="E98" s="23" t="str">
        <f aca="false">IF(('MiT Strom Pipeline'!R29="offered")+('MiT Strom Pipeline'!R29="to be offered")+('MiT Strom Pipeline'!R29="on hold")&gt;0,'MiT Strom Pipeline'!E29,"")</f>
        <v/>
      </c>
      <c r="F98" s="70" t="str">
        <f aca="false">IF(('MiT Strom Pipeline'!R29="offered")+('MiT Strom Pipeline'!R29="to be offered")+('MiT Strom Pipeline'!R29="on hold")&gt;0,IF(ISNUMBER('MiT Strom Pipeline'!I29),'MiT Strom Pipeline'!I29,0),"")</f>
        <v/>
      </c>
      <c r="G98" s="70" t="str">
        <f aca="false">IF(('MiT Strom Pipeline'!R29="offered")+('MiT Strom Pipeline'!R29="to be offered")+('MiT Strom Pipeline'!R29="on hold")&gt;0,IF(ISNUMBER('MiT Strom Pipeline'!Q29),'MiT Strom Pipeline'!Q29,0),"")</f>
        <v/>
      </c>
      <c r="H98" s="22" t="str">
        <f aca="false">IF(('MiT Strom Pipeline'!R29="offered")+('MiT Strom Pipeline'!R29="to be offered")+('MiT Strom Pipeline'!R29="on hold")&gt;0,'MiT Strom Pipeline'!R29,"")</f>
        <v/>
      </c>
      <c r="I98" s="22" t="str">
        <f aca="false">IF(('MiT Strom Pipeline'!R29="offered")+('MiT Strom Pipeline'!R29="to be offered")+('MiT Strom Pipeline'!R29="on hold")&gt;0,'MiT Strom Pipeline'!S29,"")</f>
        <v/>
      </c>
      <c r="J98" s="23" t="str">
        <f aca="false">IF(('MiT Strom Pipeline'!R29="offered")+('MiT Strom Pipeline'!R29="to be offered")+('MiT Strom Pipeline'!R29="on hold")&gt;0,IF(LEN('MiT Strom Pipeline'!V29)&gt;0,LEFT('MiT Strom Pipeline'!V29,55),""),"")</f>
        <v/>
      </c>
    </row>
    <row r="99" customFormat="false" ht="15" hidden="false" customHeight="true" outlineLevel="0" collapsed="false">
      <c r="A99" s="30" t="str">
        <f aca="false">IF(('MiT Strom Pipeline'!R30="offered")+('MiT Strom Pipeline'!R30="to be offered")+('MiT Strom Pipeline'!R30="on hold")&gt;0,IF(ISNUMBER('MiT Strom Pipeline'!A30),'MiT Strom Pipeline'!A30,""),"")</f>
        <v/>
      </c>
      <c r="B99" s="31" t="str">
        <f aca="false">IF(('MiT Strom Pipeline'!R30="offered")+('MiT Strom Pipeline'!R30="to be offered")+('MiT Strom Pipeline'!R30="on hold")&gt;0,'MiT Strom Pipeline'!B30,"")</f>
        <v/>
      </c>
      <c r="C99" s="30" t="str">
        <f aca="false">IF(('MiT Strom Pipeline'!R30="offered")+('MiT Strom Pipeline'!R30="to be offered")+('MiT Strom Pipeline'!R30="on hold")&gt;0,'MiT Strom Pipeline'!C30,"")</f>
        <v/>
      </c>
      <c r="D99" s="31" t="str">
        <f aca="false">IF(('MiT Strom Pipeline'!R30="offered")+('MiT Strom Pipeline'!R30="to be offered")+('MiT Strom Pipeline'!R30="on hold")&gt;0,'MiT Strom Pipeline'!D30,"")</f>
        <v/>
      </c>
      <c r="E99" s="31" t="str">
        <f aca="false">IF(('MiT Strom Pipeline'!R30="offered")+('MiT Strom Pipeline'!R30="to be offered")+('MiT Strom Pipeline'!R30="on hold")&gt;0,'MiT Strom Pipeline'!E30,"")</f>
        <v/>
      </c>
      <c r="F99" s="73" t="str">
        <f aca="false">IF(('MiT Strom Pipeline'!R30="offered")+('MiT Strom Pipeline'!R30="to be offered")+('MiT Strom Pipeline'!R30="on hold")&gt;0,IF(ISNUMBER('MiT Strom Pipeline'!I30),'MiT Strom Pipeline'!I30,0),"")</f>
        <v/>
      </c>
      <c r="G99" s="73" t="str">
        <f aca="false">IF(('MiT Strom Pipeline'!R30="offered")+('MiT Strom Pipeline'!R30="to be offered")+('MiT Strom Pipeline'!R30="on hold")&gt;0,IF(ISNUMBER('MiT Strom Pipeline'!Q30),'MiT Strom Pipeline'!Q30,0),"")</f>
        <v/>
      </c>
      <c r="H99" s="30" t="str">
        <f aca="false">IF(('MiT Strom Pipeline'!R30="offered")+('MiT Strom Pipeline'!R30="to be offered")+('MiT Strom Pipeline'!R30="on hold")&gt;0,'MiT Strom Pipeline'!R30,"")</f>
        <v/>
      </c>
      <c r="I99" s="30" t="str">
        <f aca="false">IF(('MiT Strom Pipeline'!R30="offered")+('MiT Strom Pipeline'!R30="to be offered")+('MiT Strom Pipeline'!R30="on hold")&gt;0,'MiT Strom Pipeline'!S30,"")</f>
        <v/>
      </c>
      <c r="J99" s="31" t="str">
        <f aca="false">IF(('MiT Strom Pipeline'!R30="offered")+('MiT Strom Pipeline'!R30="to be offered")+('MiT Strom Pipeline'!R30="on hold")&gt;0,IF(LEN('MiT Strom Pipeline'!V30)&gt;0,LEFT('MiT Strom Pipeline'!V30,55),""),"")</f>
        <v/>
      </c>
    </row>
    <row r="100" customFormat="false" ht="23.25" hidden="false" customHeight="true" outlineLevel="0" collapsed="false">
      <c r="A100" s="22" t="n">
        <f aca="false">IF(('MiT Strom Pipeline'!R31="offered")+('MiT Strom Pipeline'!R31="to be offered")+('MiT Strom Pipeline'!R31="on hold")&gt;0,IF(ISNUMBER('MiT Strom Pipeline'!A31),'MiT Strom Pipeline'!A31,""),"")</f>
        <v>25</v>
      </c>
      <c r="B100" s="23" t="str">
        <f aca="false">IF(('MiT Strom Pipeline'!R31="offered")+('MiT Strom Pipeline'!R31="to be offered")+('MiT Strom Pipeline'!R31="on hold")&gt;0,'MiT Strom Pipeline'!B31,"")</f>
        <v>Reto EKAG</v>
      </c>
      <c r="C100" s="22" t="str">
        <f aca="false">IF(('MiT Strom Pipeline'!R31="offered")+('MiT Strom Pipeline'!R31="to be offered")+('MiT Strom Pipeline'!R31="on hold")&gt;0,'MiT Strom Pipeline'!C31,"")</f>
        <v>AG</v>
      </c>
      <c r="D100" s="23" t="str">
        <f aca="false">IF(('MiT Strom Pipeline'!R31="offered")+('MiT Strom Pipeline'!R31="to be offered")+('MiT Strom Pipeline'!R31="on hold")&gt;0,'MiT Strom Pipeline'!D31,"")</f>
        <v>Elektroinstallation</v>
      </c>
      <c r="E100" s="23" t="str">
        <f aca="false">IF(('MiT Strom Pipeline'!R31="offered")+('MiT Strom Pipeline'!R31="to be offered")+('MiT Strom Pipeline'!R31="on hold")&gt;0,'MiT Strom Pipeline'!E31,"")</f>
        <v>Option A 2x 6000 kVA Lastbank, 2x Trafo 6300 kVA</v>
      </c>
      <c r="F100" s="70" t="n">
        <f aca="false">IF(('MiT Strom Pipeline'!R31="offered")+('MiT Strom Pipeline'!R31="to be offered")+('MiT Strom Pipeline'!R31="on hold")&gt;0,IF(ISNUMBER('MiT Strom Pipeline'!I31),'MiT Strom Pipeline'!I31,0),"")</f>
        <v>117860</v>
      </c>
      <c r="G100" s="70" t="n">
        <f aca="false">IF(('MiT Strom Pipeline'!R31="offered")+('MiT Strom Pipeline'!R31="to be offered")+('MiT Strom Pipeline'!R31="on hold")&gt;0,IF(ISNUMBER('MiT Strom Pipeline'!Q31),'MiT Strom Pipeline'!Q31,0),"")</f>
        <v>58930</v>
      </c>
      <c r="H100" s="22" t="str">
        <f aca="false">IF(('MiT Strom Pipeline'!R31="offered")+('MiT Strom Pipeline'!R31="to be offered")+('MiT Strom Pipeline'!R31="on hold")&gt;0,'MiT Strom Pipeline'!R31,"")</f>
        <v>offered</v>
      </c>
      <c r="I100" s="22" t="n">
        <f aca="false">IF(('MiT Strom Pipeline'!R31="offered")+('MiT Strom Pipeline'!R31="to be offered")+('MiT Strom Pipeline'!R31="on hold")&gt;0,'MiT Strom Pipeline'!S31,"")</f>
        <v>0.5</v>
      </c>
      <c r="J100" s="25" t="str">
        <f aca="false">IF(('MiT Strom Pipeline'!R31="offered")+('MiT Strom Pipeline'!R31="to be offered")+('MiT Strom Pipeline'!R31="on hold")&gt;0,IF(LEN('MiT Strom Pipeline'!V31)&gt;0,LEFT('MiT Strom Pipeline'!V31,55),""),"")</f>
        <v>Kunde Telefon Kontaktiert und Vor Ort 
Besichtigung und</v>
      </c>
    </row>
    <row r="101" customFormat="false" ht="23.25" hidden="false" customHeight="true" outlineLevel="0" collapsed="false">
      <c r="A101" s="30" t="n">
        <f aca="false">IF(('MiT Strom Pipeline'!R32="offered")+('MiT Strom Pipeline'!R32="to be offered")+('MiT Strom Pipeline'!R32="on hold")&gt;0,IF(ISNUMBER('MiT Strom Pipeline'!A32),'MiT Strom Pipeline'!A32,""),"")</f>
        <v>25</v>
      </c>
      <c r="B101" s="31" t="str">
        <f aca="false">IF(('MiT Strom Pipeline'!R32="offered")+('MiT Strom Pipeline'!R32="to be offered")+('MiT Strom Pipeline'!R32="on hold")&gt;0,'MiT Strom Pipeline'!B32,"")</f>
        <v>Reto EKAG</v>
      </c>
      <c r="C101" s="30" t="str">
        <f aca="false">IF(('MiT Strom Pipeline'!R32="offered")+('MiT Strom Pipeline'!R32="to be offered")+('MiT Strom Pipeline'!R32="on hold")&gt;0,'MiT Strom Pipeline'!C32,"")</f>
        <v>AG</v>
      </c>
      <c r="D101" s="31" t="str">
        <f aca="false">IF(('MiT Strom Pipeline'!R32="offered")+('MiT Strom Pipeline'!R32="to be offered")+('MiT Strom Pipeline'!R32="on hold")&gt;0,'MiT Strom Pipeline'!D32,"")</f>
        <v>Elektroinstallation</v>
      </c>
      <c r="E101" s="31" t="str">
        <f aca="false">IF(('MiT Strom Pipeline'!R32="offered")+('MiT Strom Pipeline'!R32="to be offered")+('MiT Strom Pipeline'!R32="on hold")&gt;0,'MiT Strom Pipeline'!E32,"")</f>
        <v>Option B 1x 6 kVA Trafo, 1x 3000 kVA Trafo, 1x 6000 kVA Lastbank, 1x 3300 kVA Lastbank</v>
      </c>
      <c r="F101" s="73" t="n">
        <f aca="false">IF(('MiT Strom Pipeline'!R32="offered")+('MiT Strom Pipeline'!R32="to be offered")+('MiT Strom Pipeline'!R32="on hold")&gt;0,IF(ISNUMBER('MiT Strom Pipeline'!I32),'MiT Strom Pipeline'!I32,0),"")</f>
        <v>102800</v>
      </c>
      <c r="G101" s="73" t="n">
        <f aca="false">IF(('MiT Strom Pipeline'!R32="offered")+('MiT Strom Pipeline'!R32="to be offered")+('MiT Strom Pipeline'!R32="on hold")&gt;0,IF(ISNUMBER('MiT Strom Pipeline'!Q32),'MiT Strom Pipeline'!Q32,0),"")</f>
        <v>51400</v>
      </c>
      <c r="H101" s="30" t="str">
        <f aca="false">IF(('MiT Strom Pipeline'!R32="offered")+('MiT Strom Pipeline'!R32="to be offered")+('MiT Strom Pipeline'!R32="on hold")&gt;0,'MiT Strom Pipeline'!R32,"")</f>
        <v>offered</v>
      </c>
      <c r="I101" s="30" t="n">
        <f aca="false">IF(('MiT Strom Pipeline'!R32="offered")+('MiT Strom Pipeline'!R32="to be offered")+('MiT Strom Pipeline'!R32="on hold")&gt;0,'MiT Strom Pipeline'!S32,"")</f>
        <v>0.5</v>
      </c>
      <c r="J101" s="33" t="str">
        <f aca="false">IF(('MiT Strom Pipeline'!R32="offered")+('MiT Strom Pipeline'!R32="to be offered")+('MiT Strom Pipeline'!R32="on hold")&gt;0,IF(LEN('MiT Strom Pipeline'!V32)&gt;0,LEFT('MiT Strom Pipeline'!V32,55),""),"")</f>
        <v>Kunde Telefon Kontaktiert und Vor Ort 
Besichtigung und</v>
      </c>
    </row>
    <row r="102" customFormat="false" ht="15" hidden="false" customHeight="true" outlineLevel="0" collapsed="false">
      <c r="A102" s="22" t="str">
        <f aca="false">IF(('MiT Strom Pipeline'!R33="offered")+('MiT Strom Pipeline'!R33="to be offered")+('MiT Strom Pipeline'!R33="on hold")&gt;0,IF(ISNUMBER('MiT Strom Pipeline'!A33),'MiT Strom Pipeline'!A33,""),"")</f>
        <v/>
      </c>
      <c r="B102" s="23" t="str">
        <f aca="false">IF(('MiT Strom Pipeline'!R33="offered")+('MiT Strom Pipeline'!R33="to be offered")+('MiT Strom Pipeline'!R33="on hold")&gt;0,'MiT Strom Pipeline'!B33,"")</f>
        <v/>
      </c>
      <c r="C102" s="22" t="str">
        <f aca="false">IF(('MiT Strom Pipeline'!R33="offered")+('MiT Strom Pipeline'!R33="to be offered")+('MiT Strom Pipeline'!R33="on hold")&gt;0,'MiT Strom Pipeline'!C33,"")</f>
        <v/>
      </c>
      <c r="D102" s="23" t="str">
        <f aca="false">IF(('MiT Strom Pipeline'!R33="offered")+('MiT Strom Pipeline'!R33="to be offered")+('MiT Strom Pipeline'!R33="on hold")&gt;0,'MiT Strom Pipeline'!D33,"")</f>
        <v/>
      </c>
      <c r="E102" s="23" t="str">
        <f aca="false">IF(('MiT Strom Pipeline'!R33="offered")+('MiT Strom Pipeline'!R33="to be offered")+('MiT Strom Pipeline'!R33="on hold")&gt;0,'MiT Strom Pipeline'!E33,"")</f>
        <v/>
      </c>
      <c r="F102" s="70" t="str">
        <f aca="false">IF(('MiT Strom Pipeline'!R33="offered")+('MiT Strom Pipeline'!R33="to be offered")+('MiT Strom Pipeline'!R33="on hold")&gt;0,IF(ISNUMBER('MiT Strom Pipeline'!I33),'MiT Strom Pipeline'!I33,0),"")</f>
        <v/>
      </c>
      <c r="G102" s="70" t="str">
        <f aca="false">IF(('MiT Strom Pipeline'!R33="offered")+('MiT Strom Pipeline'!R33="to be offered")+('MiT Strom Pipeline'!R33="on hold")&gt;0,IF(ISNUMBER('MiT Strom Pipeline'!Q33),'MiT Strom Pipeline'!Q33,0),"")</f>
        <v/>
      </c>
      <c r="H102" s="22" t="str">
        <f aca="false">IF(('MiT Strom Pipeline'!R33="offered")+('MiT Strom Pipeline'!R33="to be offered")+('MiT Strom Pipeline'!R33="on hold")&gt;0,'MiT Strom Pipeline'!R33,"")</f>
        <v/>
      </c>
      <c r="I102" s="22" t="str">
        <f aca="false">IF(('MiT Strom Pipeline'!R33="offered")+('MiT Strom Pipeline'!R33="to be offered")+('MiT Strom Pipeline'!R33="on hold")&gt;0,'MiT Strom Pipeline'!S33,"")</f>
        <v/>
      </c>
      <c r="J102" s="23" t="str">
        <f aca="false">IF(('MiT Strom Pipeline'!R33="offered")+('MiT Strom Pipeline'!R33="to be offered")+('MiT Strom Pipeline'!R33="on hold")&gt;0,IF(LEN('MiT Strom Pipeline'!V33)&gt;0,LEFT('MiT Strom Pipeline'!V33,55),""),"")</f>
        <v/>
      </c>
    </row>
    <row r="103" customFormat="false" ht="23.25" hidden="false" customHeight="true" outlineLevel="0" collapsed="false">
      <c r="A103" s="30" t="n">
        <f aca="false">IF(('MiT Strom Pipeline'!R34="offered")+('MiT Strom Pipeline'!R34="to be offered")+('MiT Strom Pipeline'!R34="on hold")&gt;0,IF(ISNUMBER('MiT Strom Pipeline'!A34),'MiT Strom Pipeline'!A34,""),"")</f>
        <v>27</v>
      </c>
      <c r="B103" s="31" t="str">
        <f aca="false">IF(('MiT Strom Pipeline'!R34="offered")+('MiT Strom Pipeline'!R34="to be offered")+('MiT Strom Pipeline'!R34="on hold")&gt;0,'MiT Strom Pipeline'!B34,"")</f>
        <v>Rimus &amp; Sstrada</v>
      </c>
      <c r="C103" s="30" t="str">
        <f aca="false">IF(('MiT Strom Pipeline'!R34="offered")+('MiT Strom Pipeline'!R34="to be offered")+('MiT Strom Pipeline'!R34="on hold")&gt;0,'MiT Strom Pipeline'!C34,"")</f>
        <v>SH</v>
      </c>
      <c r="D103" s="31" t="str">
        <f aca="false">IF(('MiT Strom Pipeline'!R34="offered")+('MiT Strom Pipeline'!R34="to be offered")+('MiT Strom Pipeline'!R34="on hold")&gt;0,'MiT Strom Pipeline'!D34,"")</f>
        <v>Industrie</v>
      </c>
      <c r="E103" s="31" t="str">
        <f aca="false">IF(('MiT Strom Pipeline'!R34="offered")+('MiT Strom Pipeline'!R34="to be offered")+('MiT Strom Pipeline'!R34="on hold")&gt;0,'MiT Strom Pipeline'!E34,"")</f>
        <v>500 kWh Small BESS</v>
      </c>
      <c r="F103" s="73" t="n">
        <f aca="false">IF(('MiT Strom Pipeline'!R34="offered")+('MiT Strom Pipeline'!R34="to be offered")+('MiT Strom Pipeline'!R34="on hold")&gt;0,IF(ISNUMBER('MiT Strom Pipeline'!I34),'MiT Strom Pipeline'!I34,0),"")</f>
        <v>425955</v>
      </c>
      <c r="G103" s="73" t="n">
        <f aca="false">IF(('MiT Strom Pipeline'!R34="offered")+('MiT Strom Pipeline'!R34="to be offered")+('MiT Strom Pipeline'!R34="on hold")&gt;0,IF(ISNUMBER('MiT Strom Pipeline'!Q34),'MiT Strom Pipeline'!Q34,0),"")</f>
        <v>212977.5</v>
      </c>
      <c r="H103" s="30" t="str">
        <f aca="false">IF(('MiT Strom Pipeline'!R34="offered")+('MiT Strom Pipeline'!R34="to be offered")+('MiT Strom Pipeline'!R34="on hold")&gt;0,'MiT Strom Pipeline'!R34,"")</f>
        <v>offered</v>
      </c>
      <c r="I103" s="30" t="n">
        <f aca="false">IF(('MiT Strom Pipeline'!R34="offered")+('MiT Strom Pipeline'!R34="to be offered")+('MiT Strom Pipeline'!R34="on hold")&gt;0,'MiT Strom Pipeline'!S34,"")</f>
        <v>0.5</v>
      </c>
      <c r="J103" s="33" t="str">
        <f aca="false">IF(('MiT Strom Pipeline'!R34="offered")+('MiT Strom Pipeline'!R34="to be offered")+('MiT Strom Pipeline'!R34="on hold")&gt;0,IF(LEN('MiT Strom Pipeline'!V34)&gt;0,LEFT('MiT Strom Pipeline'!V34,55),""),"")</f>
        <v>Kunde Telefon Kontaktiert und Vor Ort 
Besichtigung und</v>
      </c>
    </row>
    <row r="104" customFormat="false" ht="23.25" hidden="false" customHeight="true" outlineLevel="0" collapsed="false">
      <c r="A104" s="22" t="n">
        <f aca="false">IF(('MiT Strom Pipeline'!R35="offered")+('MiT Strom Pipeline'!R35="to be offered")+('MiT Strom Pipeline'!R35="on hold")&gt;0,IF(ISNUMBER('MiT Strom Pipeline'!A35),'MiT Strom Pipeline'!A35,""),"")</f>
        <v>27</v>
      </c>
      <c r="B104" s="23" t="str">
        <f aca="false">IF(('MiT Strom Pipeline'!R35="offered")+('MiT Strom Pipeline'!R35="to be offered")+('MiT Strom Pipeline'!R35="on hold")&gt;0,'MiT Strom Pipeline'!B35,"")</f>
        <v>Rimus &amp; Sstrada</v>
      </c>
      <c r="C104" s="22" t="str">
        <f aca="false">IF(('MiT Strom Pipeline'!R35="offered")+('MiT Strom Pipeline'!R35="to be offered")+('MiT Strom Pipeline'!R35="on hold")&gt;0,'MiT Strom Pipeline'!C35,"")</f>
        <v>SH</v>
      </c>
      <c r="D104" s="23" t="str">
        <f aca="false">IF(('MiT Strom Pipeline'!R35="offered")+('MiT Strom Pipeline'!R35="to be offered")+('MiT Strom Pipeline'!R35="on hold")&gt;0,'MiT Strom Pipeline'!D35,"")</f>
        <v>Industrie</v>
      </c>
      <c r="E104" s="23" t="str">
        <f aca="false">IF(('MiT Strom Pipeline'!R35="offered")+('MiT Strom Pipeline'!R35="to be offered")+('MiT Strom Pipeline'!R35="on hold")&gt;0,'MiT Strom Pipeline'!E35,"")</f>
        <v>1 MWh Medium BESS</v>
      </c>
      <c r="F104" s="70" t="n">
        <f aca="false">IF(('MiT Strom Pipeline'!R35="offered")+('MiT Strom Pipeline'!R35="to be offered")+('MiT Strom Pipeline'!R35="on hold")&gt;0,IF(ISNUMBER('MiT Strom Pipeline'!I35),'MiT Strom Pipeline'!I35,0),"")</f>
        <v>891330</v>
      </c>
      <c r="G104" s="70" t="n">
        <f aca="false">IF(('MiT Strom Pipeline'!R35="offered")+('MiT Strom Pipeline'!R35="to be offered")+('MiT Strom Pipeline'!R35="on hold")&gt;0,IF(ISNUMBER('MiT Strom Pipeline'!Q35),'MiT Strom Pipeline'!Q35,0),"")</f>
        <v>445665</v>
      </c>
      <c r="H104" s="22" t="str">
        <f aca="false">IF(('MiT Strom Pipeline'!R35="offered")+('MiT Strom Pipeline'!R35="to be offered")+('MiT Strom Pipeline'!R35="on hold")&gt;0,'MiT Strom Pipeline'!R35,"")</f>
        <v>offered</v>
      </c>
      <c r="I104" s="22" t="n">
        <f aca="false">IF(('MiT Strom Pipeline'!R35="offered")+('MiT Strom Pipeline'!R35="to be offered")+('MiT Strom Pipeline'!R35="on hold")&gt;0,'MiT Strom Pipeline'!S35,"")</f>
        <v>0.5</v>
      </c>
      <c r="J104" s="25" t="str">
        <f aca="false">IF(('MiT Strom Pipeline'!R35="offered")+('MiT Strom Pipeline'!R35="to be offered")+('MiT Strom Pipeline'!R35="on hold")&gt;0,IF(LEN('MiT Strom Pipeline'!V35)&gt;0,LEFT('MiT Strom Pipeline'!V35,55),""),"")</f>
        <v>Kunde Telefon Kontaktiert und Vor Ort 
Besichtigung und</v>
      </c>
    </row>
    <row r="105" customFormat="false" ht="23.25" hidden="false" customHeight="true" outlineLevel="0" collapsed="false">
      <c r="A105" s="30" t="n">
        <f aca="false">IF(('MiT Strom Pipeline'!R36="offered")+('MiT Strom Pipeline'!R36="to be offered")+('MiT Strom Pipeline'!R36="on hold")&gt;0,IF(ISNUMBER('MiT Strom Pipeline'!A36),'MiT Strom Pipeline'!A36,""),"")</f>
        <v>27</v>
      </c>
      <c r="B105" s="31" t="str">
        <f aca="false">IF(('MiT Strom Pipeline'!R36="offered")+('MiT Strom Pipeline'!R36="to be offered")+('MiT Strom Pipeline'!R36="on hold")&gt;0,'MiT Strom Pipeline'!B36,"")</f>
        <v>Rimus &amp; Sstrada</v>
      </c>
      <c r="C105" s="30" t="str">
        <f aca="false">IF(('MiT Strom Pipeline'!R36="offered")+('MiT Strom Pipeline'!R36="to be offered")+('MiT Strom Pipeline'!R36="on hold")&gt;0,'MiT Strom Pipeline'!C36,"")</f>
        <v>SH</v>
      </c>
      <c r="D105" s="31" t="str">
        <f aca="false">IF(('MiT Strom Pipeline'!R36="offered")+('MiT Strom Pipeline'!R36="to be offered")+('MiT Strom Pipeline'!R36="on hold")&gt;0,'MiT Strom Pipeline'!D36,"")</f>
        <v>Industrie</v>
      </c>
      <c r="E105" s="31" t="str">
        <f aca="false">IF(('MiT Strom Pipeline'!R36="offered")+('MiT Strom Pipeline'!R36="to be offered")+('MiT Strom Pipeline'!R36="on hold")&gt;0,'MiT Strom Pipeline'!E36,"")</f>
        <v>1,5 MWh Large BESS</v>
      </c>
      <c r="F105" s="73" t="n">
        <f aca="false">IF(('MiT Strom Pipeline'!R36="offered")+('MiT Strom Pipeline'!R36="to be offered")+('MiT Strom Pipeline'!R36="on hold")&gt;0,IF(ISNUMBER('MiT Strom Pipeline'!I36),'MiT Strom Pipeline'!I36,0),"")</f>
        <v>1307430</v>
      </c>
      <c r="G105" s="73" t="n">
        <f aca="false">IF(('MiT Strom Pipeline'!R36="offered")+('MiT Strom Pipeline'!R36="to be offered")+('MiT Strom Pipeline'!R36="on hold")&gt;0,IF(ISNUMBER('MiT Strom Pipeline'!Q36),'MiT Strom Pipeline'!Q36,0),"")</f>
        <v>653715</v>
      </c>
      <c r="H105" s="30" t="str">
        <f aca="false">IF(('MiT Strom Pipeline'!R36="offered")+('MiT Strom Pipeline'!R36="to be offered")+('MiT Strom Pipeline'!R36="on hold")&gt;0,'MiT Strom Pipeline'!R36,"")</f>
        <v>offered</v>
      </c>
      <c r="I105" s="30" t="n">
        <f aca="false">IF(('MiT Strom Pipeline'!R36="offered")+('MiT Strom Pipeline'!R36="to be offered")+('MiT Strom Pipeline'!R36="on hold")&gt;0,'MiT Strom Pipeline'!S36,"")</f>
        <v>0.5</v>
      </c>
      <c r="J105" s="33" t="str">
        <f aca="false">IF(('MiT Strom Pipeline'!R36="offered")+('MiT Strom Pipeline'!R36="to be offered")+('MiT Strom Pipeline'!R36="on hold")&gt;0,IF(LEN('MiT Strom Pipeline'!V36)&gt;0,LEFT('MiT Strom Pipeline'!V36,55),""),"")</f>
        <v>Kunde Telefon Kontaktiert und Vor Ort 
Besichtigung und</v>
      </c>
    </row>
    <row r="106" customFormat="false" ht="15" hidden="false" customHeight="true" outlineLevel="0" collapsed="false">
      <c r="A106" s="22" t="n">
        <f aca="false">IF(('MiT Strom Pipeline'!R37="offered")+('MiT Strom Pipeline'!R37="to be offered")+('MiT Strom Pipeline'!R37="on hold")&gt;0,IF(ISNUMBER('MiT Strom Pipeline'!A37),'MiT Strom Pipeline'!A37,""),"")</f>
        <v>28</v>
      </c>
      <c r="B106" s="23" t="str">
        <f aca="false">IF(('MiT Strom Pipeline'!R37="offered")+('MiT Strom Pipeline'!R37="to be offered")+('MiT Strom Pipeline'!R37="on hold")&gt;0,'MiT Strom Pipeline'!B37,"")</f>
        <v>WEF</v>
      </c>
      <c r="C106" s="22" t="str">
        <f aca="false">IF(('MiT Strom Pipeline'!R37="offered")+('MiT Strom Pipeline'!R37="to be offered")+('MiT Strom Pipeline'!R37="on hold")&gt;0,'MiT Strom Pipeline'!C37,"")</f>
        <v>GR</v>
      </c>
      <c r="D106" s="23" t="str">
        <f aca="false">IF(('MiT Strom Pipeline'!R37="offered")+('MiT Strom Pipeline'!R37="to be offered")+('MiT Strom Pipeline'!R37="on hold")&gt;0,'MiT Strom Pipeline'!D37,"")</f>
        <v>Event</v>
      </c>
      <c r="E106" s="23" t="str">
        <f aca="false">IF(('MiT Strom Pipeline'!R37="offered")+('MiT Strom Pipeline'!R37="to be offered")+('MiT Strom Pipeline'!R37="on hold")&gt;0,'MiT Strom Pipeline'!E37,"")</f>
        <v>1500 kVA, 600 kVA, 450 kVA, 450 kVA</v>
      </c>
      <c r="F106" s="70" t="n">
        <f aca="false">IF(('MiT Strom Pipeline'!R37="offered")+('MiT Strom Pipeline'!R37="to be offered")+('MiT Strom Pipeline'!R37="on hold")&gt;0,IF(ISNUMBER('MiT Strom Pipeline'!I37),'MiT Strom Pipeline'!I37,0),"")</f>
        <v>77325.62</v>
      </c>
      <c r="G106" s="70" t="n">
        <f aca="false">IF(('MiT Strom Pipeline'!R37="offered")+('MiT Strom Pipeline'!R37="to be offered")+('MiT Strom Pipeline'!R37="on hold")&gt;0,IF(ISNUMBER('MiT Strom Pipeline'!Q37),'MiT Strom Pipeline'!Q37,0),"")</f>
        <v>38662.81</v>
      </c>
      <c r="H106" s="22" t="str">
        <f aca="false">IF(('MiT Strom Pipeline'!R37="offered")+('MiT Strom Pipeline'!R37="to be offered")+('MiT Strom Pipeline'!R37="on hold")&gt;0,'MiT Strom Pipeline'!R37,"")</f>
        <v>offered</v>
      </c>
      <c r="I106" s="22" t="n">
        <f aca="false">IF(('MiT Strom Pipeline'!R37="offered")+('MiT Strom Pipeline'!R37="to be offered")+('MiT Strom Pipeline'!R37="on hold")&gt;0,'MiT Strom Pipeline'!S37,"")</f>
        <v>0.5</v>
      </c>
      <c r="J106" s="23" t="str">
        <f aca="false">IF(('MiT Strom Pipeline'!R37="offered")+('MiT Strom Pipeline'!R37="to be offered")+('MiT Strom Pipeline'!R37="on hold")&gt;0,IF(LEN('MiT Strom Pipeline'!V37)&gt;0,LEFT('MiT Strom Pipeline'!V37,55),""),"")</f>
        <v>Offerte erstellt, Stefan hat die Offerte bekommen</v>
      </c>
    </row>
    <row r="107" customFormat="false" ht="15.75" hidden="false" customHeight="true" outlineLevel="0" collapsed="false">
      <c r="A107" s="30" t="str">
        <f aca="false">IF(('MiT Strom Pipeline'!R38="offered")+('MiT Strom Pipeline'!R38="to be offered")+('MiT Strom Pipeline'!R38="on hold")&gt;0,IF(ISNUMBER('MiT Strom Pipeline'!A38),'MiT Strom Pipeline'!A38,""),"")</f>
        <v/>
      </c>
      <c r="B107" s="31" t="str">
        <f aca="false">IF(('MiT Strom Pipeline'!R38="offered")+('MiT Strom Pipeline'!R38="to be offered")+('MiT Strom Pipeline'!R38="on hold")&gt;0,'MiT Strom Pipeline'!B38,"")</f>
        <v/>
      </c>
      <c r="C107" s="30" t="str">
        <f aca="false">IF(('MiT Strom Pipeline'!R38="offered")+('MiT Strom Pipeline'!R38="to be offered")+('MiT Strom Pipeline'!R38="on hold")&gt;0,'MiT Strom Pipeline'!C38,"")</f>
        <v/>
      </c>
      <c r="D107" s="31" t="str">
        <f aca="false">IF(('MiT Strom Pipeline'!R38="offered")+('MiT Strom Pipeline'!R38="to be offered")+('MiT Strom Pipeline'!R38="on hold")&gt;0,'MiT Strom Pipeline'!D38,"")</f>
        <v/>
      </c>
      <c r="E107" s="31" t="str">
        <f aca="false">IF(('MiT Strom Pipeline'!R38="offered")+('MiT Strom Pipeline'!R38="to be offered")+('MiT Strom Pipeline'!R38="on hold")&gt;0,'MiT Strom Pipeline'!E38,"")</f>
        <v/>
      </c>
      <c r="F107" s="73" t="str">
        <f aca="false">IF(('MiT Strom Pipeline'!R38="offered")+('MiT Strom Pipeline'!R38="to be offered")+('MiT Strom Pipeline'!R38="on hold")&gt;0,IF(ISNUMBER('MiT Strom Pipeline'!I38),'MiT Strom Pipeline'!I38,0),"")</f>
        <v/>
      </c>
      <c r="G107" s="73" t="str">
        <f aca="false">IF(('MiT Strom Pipeline'!R38="offered")+('MiT Strom Pipeline'!R38="to be offered")+('MiT Strom Pipeline'!R38="on hold")&gt;0,IF(ISNUMBER('MiT Strom Pipeline'!Q38),'MiT Strom Pipeline'!Q38,0),"")</f>
        <v/>
      </c>
      <c r="H107" s="30" t="str">
        <f aca="false">IF(('MiT Strom Pipeline'!R38="offered")+('MiT Strom Pipeline'!R38="to be offered")+('MiT Strom Pipeline'!R38="on hold")&gt;0,'MiT Strom Pipeline'!R38,"")</f>
        <v/>
      </c>
      <c r="I107" s="30" t="str">
        <f aca="false">IF(('MiT Strom Pipeline'!R38="offered")+('MiT Strom Pipeline'!R38="to be offered")+('MiT Strom Pipeline'!R38="on hold")&gt;0,'MiT Strom Pipeline'!S38,"")</f>
        <v/>
      </c>
      <c r="J107" s="31" t="str">
        <f aca="false">IF(('MiT Strom Pipeline'!R38="offered")+('MiT Strom Pipeline'!R38="to be offered")+('MiT Strom Pipeline'!R38="on hold")&gt;0,IF(LEN('MiT Strom Pipeline'!V38)&gt;0,LEFT('MiT Strom Pipeline'!V38,55),""),"")</f>
        <v/>
      </c>
    </row>
    <row r="108" customFormat="false" ht="15.75" hidden="false" customHeight="true" outlineLevel="0" collapsed="false">
      <c r="A108" s="22" t="str">
        <f aca="false">IF(('MiT Strom Pipeline'!R39="offered")+('MiT Strom Pipeline'!R39="to be offered")+('MiT Strom Pipeline'!R39="on hold")&gt;0,IF(ISNUMBER('MiT Strom Pipeline'!A39),'MiT Strom Pipeline'!A39,""),"")</f>
        <v/>
      </c>
      <c r="B108" s="23" t="str">
        <f aca="false">IF(('MiT Strom Pipeline'!R39="offered")+('MiT Strom Pipeline'!R39="to be offered")+('MiT Strom Pipeline'!R39="on hold")&gt;0,'MiT Strom Pipeline'!B39,"")</f>
        <v/>
      </c>
      <c r="C108" s="22" t="str">
        <f aca="false">IF(('MiT Strom Pipeline'!R39="offered")+('MiT Strom Pipeline'!R39="to be offered")+('MiT Strom Pipeline'!R39="on hold")&gt;0,'MiT Strom Pipeline'!C39,"")</f>
        <v/>
      </c>
      <c r="D108" s="23" t="str">
        <f aca="false">IF(('MiT Strom Pipeline'!R39="offered")+('MiT Strom Pipeline'!R39="to be offered")+('MiT Strom Pipeline'!R39="on hold")&gt;0,'MiT Strom Pipeline'!D39,"")</f>
        <v/>
      </c>
      <c r="E108" s="23" t="str">
        <f aca="false">IF(('MiT Strom Pipeline'!R39="offered")+('MiT Strom Pipeline'!R39="to be offered")+('MiT Strom Pipeline'!R39="on hold")&gt;0,'MiT Strom Pipeline'!E39,"")</f>
        <v/>
      </c>
      <c r="F108" s="70" t="str">
        <f aca="false">IF(('MiT Strom Pipeline'!R39="offered")+('MiT Strom Pipeline'!R39="to be offered")+('MiT Strom Pipeline'!R39="on hold")&gt;0,IF(ISNUMBER('MiT Strom Pipeline'!I39),'MiT Strom Pipeline'!I39,0),"")</f>
        <v/>
      </c>
      <c r="G108" s="70" t="str">
        <f aca="false">IF(('MiT Strom Pipeline'!R39="offered")+('MiT Strom Pipeline'!R39="to be offered")+('MiT Strom Pipeline'!R39="on hold")&gt;0,IF(ISNUMBER('MiT Strom Pipeline'!Q39),'MiT Strom Pipeline'!Q39,0),"")</f>
        <v/>
      </c>
      <c r="H108" s="22" t="str">
        <f aca="false">IF(('MiT Strom Pipeline'!R39="offered")+('MiT Strom Pipeline'!R39="to be offered")+('MiT Strom Pipeline'!R39="on hold")&gt;0,'MiT Strom Pipeline'!R39,"")</f>
        <v/>
      </c>
      <c r="I108" s="22" t="str">
        <f aca="false">IF(('MiT Strom Pipeline'!R39="offered")+('MiT Strom Pipeline'!R39="to be offered")+('MiT Strom Pipeline'!R39="on hold")&gt;0,'MiT Strom Pipeline'!S39,"")</f>
        <v/>
      </c>
      <c r="J108" s="23" t="str">
        <f aca="false">IF(('MiT Strom Pipeline'!R39="offered")+('MiT Strom Pipeline'!R39="to be offered")+('MiT Strom Pipeline'!R39="on hold")&gt;0,IF(LEN('MiT Strom Pipeline'!V39)&gt;0,LEFT('MiT Strom Pipeline'!V39,55),""),"")</f>
        <v/>
      </c>
    </row>
    <row r="109" customFormat="false" ht="15.75" hidden="false" customHeight="true" outlineLevel="0" collapsed="false">
      <c r="A109" s="30" t="str">
        <f aca="false">IF(('MiT Strom Pipeline'!R40="offered")+('MiT Strom Pipeline'!R40="to be offered")+('MiT Strom Pipeline'!R40="on hold")&gt;0,IF(ISNUMBER('MiT Strom Pipeline'!A40),'MiT Strom Pipeline'!A40,""),"")</f>
        <v/>
      </c>
      <c r="B109" s="31" t="str">
        <f aca="false">IF(('MiT Strom Pipeline'!R40="offered")+('MiT Strom Pipeline'!R40="to be offered")+('MiT Strom Pipeline'!R40="on hold")&gt;0,'MiT Strom Pipeline'!B40,"")</f>
        <v/>
      </c>
      <c r="C109" s="30" t="str">
        <f aca="false">IF(('MiT Strom Pipeline'!R40="offered")+('MiT Strom Pipeline'!R40="to be offered")+('MiT Strom Pipeline'!R40="on hold")&gt;0,'MiT Strom Pipeline'!C40,"")</f>
        <v/>
      </c>
      <c r="D109" s="31" t="str">
        <f aca="false">IF(('MiT Strom Pipeline'!R40="offered")+('MiT Strom Pipeline'!R40="to be offered")+('MiT Strom Pipeline'!R40="on hold")&gt;0,'MiT Strom Pipeline'!D40,"")</f>
        <v/>
      </c>
      <c r="E109" s="31" t="str">
        <f aca="false">IF(('MiT Strom Pipeline'!R40="offered")+('MiT Strom Pipeline'!R40="to be offered")+('MiT Strom Pipeline'!R40="on hold")&gt;0,'MiT Strom Pipeline'!E40,"")</f>
        <v/>
      </c>
      <c r="F109" s="73" t="str">
        <f aca="false">IF(('MiT Strom Pipeline'!R40="offered")+('MiT Strom Pipeline'!R40="to be offered")+('MiT Strom Pipeline'!R40="on hold")&gt;0,IF(ISNUMBER('MiT Strom Pipeline'!I40),'MiT Strom Pipeline'!I40,0),"")</f>
        <v/>
      </c>
      <c r="G109" s="73" t="str">
        <f aca="false">IF(('MiT Strom Pipeline'!R40="offered")+('MiT Strom Pipeline'!R40="to be offered")+('MiT Strom Pipeline'!R40="on hold")&gt;0,IF(ISNUMBER('MiT Strom Pipeline'!Q40),'MiT Strom Pipeline'!Q40,0),"")</f>
        <v/>
      </c>
      <c r="H109" s="30" t="str">
        <f aca="false">IF(('MiT Strom Pipeline'!R40="offered")+('MiT Strom Pipeline'!R40="to be offered")+('MiT Strom Pipeline'!R40="on hold")&gt;0,'MiT Strom Pipeline'!R40,"")</f>
        <v/>
      </c>
      <c r="I109" s="30" t="str">
        <f aca="false">IF(('MiT Strom Pipeline'!R40="offered")+('MiT Strom Pipeline'!R40="to be offered")+('MiT Strom Pipeline'!R40="on hold")&gt;0,'MiT Strom Pipeline'!S40,"")</f>
        <v/>
      </c>
      <c r="J109" s="31" t="str">
        <f aca="false">IF(('MiT Strom Pipeline'!R40="offered")+('MiT Strom Pipeline'!R40="to be offered")+('MiT Strom Pipeline'!R40="on hold")&gt;0,IF(LEN('MiT Strom Pipeline'!V40)&gt;0,LEFT('MiT Strom Pipeline'!V40,55),""),"")</f>
        <v/>
      </c>
    </row>
    <row r="110" customFormat="false" ht="15.75" hidden="false" customHeight="true" outlineLevel="0" collapsed="false">
      <c r="A110" s="22" t="str">
        <f aca="false">IF(('MiT Strom Pipeline'!R41="offered")+('MiT Strom Pipeline'!R41="to be offered")+('MiT Strom Pipeline'!R41="on hold")&gt;0,IF(ISNUMBER('MiT Strom Pipeline'!A41),'MiT Strom Pipeline'!A41,""),"")</f>
        <v/>
      </c>
      <c r="B110" s="23" t="str">
        <f aca="false">IF(('MiT Strom Pipeline'!R41="offered")+('MiT Strom Pipeline'!R41="to be offered")+('MiT Strom Pipeline'!R41="on hold")&gt;0,'MiT Strom Pipeline'!B41,"")</f>
        <v/>
      </c>
      <c r="C110" s="22" t="str">
        <f aca="false">IF(('MiT Strom Pipeline'!R41="offered")+('MiT Strom Pipeline'!R41="to be offered")+('MiT Strom Pipeline'!R41="on hold")&gt;0,'MiT Strom Pipeline'!C41,"")</f>
        <v/>
      </c>
      <c r="D110" s="23" t="str">
        <f aca="false">IF(('MiT Strom Pipeline'!R41="offered")+('MiT Strom Pipeline'!R41="to be offered")+('MiT Strom Pipeline'!R41="on hold")&gt;0,'MiT Strom Pipeline'!D41,"")</f>
        <v/>
      </c>
      <c r="E110" s="23" t="str">
        <f aca="false">IF(('MiT Strom Pipeline'!R41="offered")+('MiT Strom Pipeline'!R41="to be offered")+('MiT Strom Pipeline'!R41="on hold")&gt;0,'MiT Strom Pipeline'!E41,"")</f>
        <v/>
      </c>
      <c r="F110" s="70" t="str">
        <f aca="false">IF(('MiT Strom Pipeline'!R41="offered")+('MiT Strom Pipeline'!R41="to be offered")+('MiT Strom Pipeline'!R41="on hold")&gt;0,IF(ISNUMBER('MiT Strom Pipeline'!I41),'MiT Strom Pipeline'!I41,0),"")</f>
        <v/>
      </c>
      <c r="G110" s="70" t="str">
        <f aca="false">IF(('MiT Strom Pipeline'!R41="offered")+('MiT Strom Pipeline'!R41="to be offered")+('MiT Strom Pipeline'!R41="on hold")&gt;0,IF(ISNUMBER('MiT Strom Pipeline'!Q41),'MiT Strom Pipeline'!Q41,0),"")</f>
        <v/>
      </c>
      <c r="H110" s="22" t="str">
        <f aca="false">IF(('MiT Strom Pipeline'!R41="offered")+('MiT Strom Pipeline'!R41="to be offered")+('MiT Strom Pipeline'!R41="on hold")&gt;0,'MiT Strom Pipeline'!R41,"")</f>
        <v/>
      </c>
      <c r="I110" s="22" t="str">
        <f aca="false">IF(('MiT Strom Pipeline'!R41="offered")+('MiT Strom Pipeline'!R41="to be offered")+('MiT Strom Pipeline'!R41="on hold")&gt;0,'MiT Strom Pipeline'!S41,"")</f>
        <v/>
      </c>
      <c r="J110" s="23" t="str">
        <f aca="false">IF(('MiT Strom Pipeline'!R41="offered")+('MiT Strom Pipeline'!R41="to be offered")+('MiT Strom Pipeline'!R41="on hold")&gt;0,IF(LEN('MiT Strom Pipeline'!V41)&gt;0,LEFT('MiT Strom Pipeline'!V41,55),""),"")</f>
        <v/>
      </c>
    </row>
    <row r="111" customFormat="false" ht="15.75" hidden="false" customHeight="true" outlineLevel="0" collapsed="false">
      <c r="A111" s="30" t="str">
        <f aca="false">IF(('MiT Strom Pipeline'!R42="offered")+('MiT Strom Pipeline'!R42="to be offered")+('MiT Strom Pipeline'!R42="on hold")&gt;0,IF(ISNUMBER('MiT Strom Pipeline'!A42),'MiT Strom Pipeline'!A42,""),"")</f>
        <v/>
      </c>
      <c r="B111" s="31" t="str">
        <f aca="false">IF(('MiT Strom Pipeline'!R42="offered")+('MiT Strom Pipeline'!R42="to be offered")+('MiT Strom Pipeline'!R42="on hold")&gt;0,'MiT Strom Pipeline'!B42,"")</f>
        <v/>
      </c>
      <c r="C111" s="30" t="str">
        <f aca="false">IF(('MiT Strom Pipeline'!R42="offered")+('MiT Strom Pipeline'!R42="to be offered")+('MiT Strom Pipeline'!R42="on hold")&gt;0,'MiT Strom Pipeline'!C42,"")</f>
        <v/>
      </c>
      <c r="D111" s="31" t="str">
        <f aca="false">IF(('MiT Strom Pipeline'!R42="offered")+('MiT Strom Pipeline'!R42="to be offered")+('MiT Strom Pipeline'!R42="on hold")&gt;0,'MiT Strom Pipeline'!D42,"")</f>
        <v/>
      </c>
      <c r="E111" s="31" t="str">
        <f aca="false">IF(('MiT Strom Pipeline'!R42="offered")+('MiT Strom Pipeline'!R42="to be offered")+('MiT Strom Pipeline'!R42="on hold")&gt;0,'MiT Strom Pipeline'!E42,"")</f>
        <v/>
      </c>
      <c r="F111" s="73" t="str">
        <f aca="false">IF(('MiT Strom Pipeline'!R42="offered")+('MiT Strom Pipeline'!R42="to be offered")+('MiT Strom Pipeline'!R42="on hold")&gt;0,IF(ISNUMBER('MiT Strom Pipeline'!I42),'MiT Strom Pipeline'!I42,0),"")</f>
        <v/>
      </c>
      <c r="G111" s="73" t="str">
        <f aca="false">IF(('MiT Strom Pipeline'!R42="offered")+('MiT Strom Pipeline'!R42="to be offered")+('MiT Strom Pipeline'!R42="on hold")&gt;0,IF(ISNUMBER('MiT Strom Pipeline'!Q42),'MiT Strom Pipeline'!Q42,0),"")</f>
        <v/>
      </c>
      <c r="H111" s="30" t="str">
        <f aca="false">IF(('MiT Strom Pipeline'!R42="offered")+('MiT Strom Pipeline'!R42="to be offered")+('MiT Strom Pipeline'!R42="on hold")&gt;0,'MiT Strom Pipeline'!R42,"")</f>
        <v/>
      </c>
      <c r="I111" s="30" t="str">
        <f aca="false">IF(('MiT Strom Pipeline'!R42="offered")+('MiT Strom Pipeline'!R42="to be offered")+('MiT Strom Pipeline'!R42="on hold")&gt;0,'MiT Strom Pipeline'!S42,"")</f>
        <v/>
      </c>
      <c r="J111" s="31" t="str">
        <f aca="false">IF(('MiT Strom Pipeline'!R42="offered")+('MiT Strom Pipeline'!R42="to be offered")+('MiT Strom Pipeline'!R42="on hold")&gt;0,IF(LEN('MiT Strom Pipeline'!V42)&gt;0,LEFT('MiT Strom Pipeline'!V42,55),""),"")</f>
        <v/>
      </c>
    </row>
    <row r="112" customFormat="false" ht="15.75" hidden="false" customHeight="true" outlineLevel="0" collapsed="false">
      <c r="A112" s="22" t="str">
        <f aca="false">IF(('MiT Strom Pipeline'!R43="offered")+('MiT Strom Pipeline'!R43="to be offered")+('MiT Strom Pipeline'!R43="on hold")&gt;0,IF(ISNUMBER('MiT Strom Pipeline'!A43),'MiT Strom Pipeline'!A43,""),"")</f>
        <v/>
      </c>
      <c r="B112" s="23" t="str">
        <f aca="false">IF(('MiT Strom Pipeline'!R43="offered")+('MiT Strom Pipeline'!R43="to be offered")+('MiT Strom Pipeline'!R43="on hold")&gt;0,'MiT Strom Pipeline'!B43,"")</f>
        <v/>
      </c>
      <c r="C112" s="22" t="str">
        <f aca="false">IF(('MiT Strom Pipeline'!R43="offered")+('MiT Strom Pipeline'!R43="to be offered")+('MiT Strom Pipeline'!R43="on hold")&gt;0,'MiT Strom Pipeline'!C43,"")</f>
        <v/>
      </c>
      <c r="D112" s="23" t="str">
        <f aca="false">IF(('MiT Strom Pipeline'!R43="offered")+('MiT Strom Pipeline'!R43="to be offered")+('MiT Strom Pipeline'!R43="on hold")&gt;0,'MiT Strom Pipeline'!D43,"")</f>
        <v/>
      </c>
      <c r="E112" s="23" t="str">
        <f aca="false">IF(('MiT Strom Pipeline'!R43="offered")+('MiT Strom Pipeline'!R43="to be offered")+('MiT Strom Pipeline'!R43="on hold")&gt;0,'MiT Strom Pipeline'!E43,"")</f>
        <v/>
      </c>
      <c r="F112" s="70" t="str">
        <f aca="false">IF(('MiT Strom Pipeline'!R43="offered")+('MiT Strom Pipeline'!R43="to be offered")+('MiT Strom Pipeline'!R43="on hold")&gt;0,IF(ISNUMBER('MiT Strom Pipeline'!I43),'MiT Strom Pipeline'!I43,0),"")</f>
        <v/>
      </c>
      <c r="G112" s="70" t="str">
        <f aca="false">IF(('MiT Strom Pipeline'!R43="offered")+('MiT Strom Pipeline'!R43="to be offered")+('MiT Strom Pipeline'!R43="on hold")&gt;0,IF(ISNUMBER('MiT Strom Pipeline'!Q43),'MiT Strom Pipeline'!Q43,0),"")</f>
        <v/>
      </c>
      <c r="H112" s="22" t="str">
        <f aca="false">IF(('MiT Strom Pipeline'!R43="offered")+('MiT Strom Pipeline'!R43="to be offered")+('MiT Strom Pipeline'!R43="on hold")&gt;0,'MiT Strom Pipeline'!R43,"")</f>
        <v/>
      </c>
      <c r="I112" s="22" t="str">
        <f aca="false">IF(('MiT Strom Pipeline'!R43="offered")+('MiT Strom Pipeline'!R43="to be offered")+('MiT Strom Pipeline'!R43="on hold")&gt;0,'MiT Strom Pipeline'!S43,"")</f>
        <v/>
      </c>
      <c r="J112" s="23" t="str">
        <f aca="false">IF(('MiT Strom Pipeline'!R43="offered")+('MiT Strom Pipeline'!R43="to be offered")+('MiT Strom Pipeline'!R43="on hold")&gt;0,IF(LEN('MiT Strom Pipeline'!V43)&gt;0,LEFT('MiT Strom Pipeline'!V43,55),""),"")</f>
        <v/>
      </c>
    </row>
    <row r="113" customFormat="false" ht="15.75" hidden="false" customHeight="true" outlineLevel="0" collapsed="false">
      <c r="A113" s="30" t="str">
        <f aca="false">IF(('MiT Strom Pipeline'!R44="offered")+('MiT Strom Pipeline'!R44="to be offered")+('MiT Strom Pipeline'!R44="on hold")&gt;0,IF(ISNUMBER('MiT Strom Pipeline'!A44),'MiT Strom Pipeline'!A44,""),"")</f>
        <v/>
      </c>
      <c r="B113" s="31" t="str">
        <f aca="false">IF(('MiT Strom Pipeline'!R44="offered")+('MiT Strom Pipeline'!R44="to be offered")+('MiT Strom Pipeline'!R44="on hold")&gt;0,'MiT Strom Pipeline'!B44,"")</f>
        <v/>
      </c>
      <c r="C113" s="30" t="str">
        <f aca="false">IF(('MiT Strom Pipeline'!R44="offered")+('MiT Strom Pipeline'!R44="to be offered")+('MiT Strom Pipeline'!R44="on hold")&gt;0,'MiT Strom Pipeline'!C44,"")</f>
        <v/>
      </c>
      <c r="D113" s="31" t="str">
        <f aca="false">IF(('MiT Strom Pipeline'!R44="offered")+('MiT Strom Pipeline'!R44="to be offered")+('MiT Strom Pipeline'!R44="on hold")&gt;0,'MiT Strom Pipeline'!D44,"")</f>
        <v/>
      </c>
      <c r="E113" s="31" t="str">
        <f aca="false">IF(('MiT Strom Pipeline'!R44="offered")+('MiT Strom Pipeline'!R44="to be offered")+('MiT Strom Pipeline'!R44="on hold")&gt;0,'MiT Strom Pipeline'!E44,"")</f>
        <v/>
      </c>
      <c r="F113" s="73" t="str">
        <f aca="false">IF(('MiT Strom Pipeline'!R44="offered")+('MiT Strom Pipeline'!R44="to be offered")+('MiT Strom Pipeline'!R44="on hold")&gt;0,IF(ISNUMBER('MiT Strom Pipeline'!I44),'MiT Strom Pipeline'!I44,0),"")</f>
        <v/>
      </c>
      <c r="G113" s="73" t="str">
        <f aca="false">IF(('MiT Strom Pipeline'!R44="offered")+('MiT Strom Pipeline'!R44="to be offered")+('MiT Strom Pipeline'!R44="on hold")&gt;0,IF(ISNUMBER('MiT Strom Pipeline'!Q44),'MiT Strom Pipeline'!Q44,0),"")</f>
        <v/>
      </c>
      <c r="H113" s="30" t="str">
        <f aca="false">IF(('MiT Strom Pipeline'!R44="offered")+('MiT Strom Pipeline'!R44="to be offered")+('MiT Strom Pipeline'!R44="on hold")&gt;0,'MiT Strom Pipeline'!R44,"")</f>
        <v/>
      </c>
      <c r="I113" s="30" t="str">
        <f aca="false">IF(('MiT Strom Pipeline'!R44="offered")+('MiT Strom Pipeline'!R44="to be offered")+('MiT Strom Pipeline'!R44="on hold")&gt;0,'MiT Strom Pipeline'!S44,"")</f>
        <v/>
      </c>
      <c r="J113" s="31" t="str">
        <f aca="false">IF(('MiT Strom Pipeline'!R44="offered")+('MiT Strom Pipeline'!R44="to be offered")+('MiT Strom Pipeline'!R44="on hold")&gt;0,IF(LEN('MiT Strom Pipeline'!V44)&gt;0,LEFT('MiT Strom Pipeline'!V44,55),""),"")</f>
        <v/>
      </c>
    </row>
    <row r="114" customFormat="false" ht="15.75" hidden="false" customHeight="true" outlineLevel="0" collapsed="false">
      <c r="A114" s="22" t="str">
        <f aca="false">IF(('MiT Strom Pipeline'!R45="offered")+('MiT Strom Pipeline'!R45="to be offered")+('MiT Strom Pipeline'!R45="on hold")&gt;0,IF(ISNUMBER('MiT Strom Pipeline'!A45),'MiT Strom Pipeline'!A45,""),"")</f>
        <v/>
      </c>
      <c r="B114" s="23" t="str">
        <f aca="false">IF(('MiT Strom Pipeline'!R45="offered")+('MiT Strom Pipeline'!R45="to be offered")+('MiT Strom Pipeline'!R45="on hold")&gt;0,'MiT Strom Pipeline'!B45,"")</f>
        <v/>
      </c>
      <c r="C114" s="22" t="str">
        <f aca="false">IF(('MiT Strom Pipeline'!R45="offered")+('MiT Strom Pipeline'!R45="to be offered")+('MiT Strom Pipeline'!R45="on hold")&gt;0,'MiT Strom Pipeline'!C45,"")</f>
        <v/>
      </c>
      <c r="D114" s="23" t="str">
        <f aca="false">IF(('MiT Strom Pipeline'!R45="offered")+('MiT Strom Pipeline'!R45="to be offered")+('MiT Strom Pipeline'!R45="on hold")&gt;0,'MiT Strom Pipeline'!D45,"")</f>
        <v/>
      </c>
      <c r="E114" s="23" t="str">
        <f aca="false">IF(('MiT Strom Pipeline'!R45="offered")+('MiT Strom Pipeline'!R45="to be offered")+('MiT Strom Pipeline'!R45="on hold")&gt;0,'MiT Strom Pipeline'!E45,"")</f>
        <v/>
      </c>
      <c r="F114" s="70" t="str">
        <f aca="false">IF(('MiT Strom Pipeline'!R45="offered")+('MiT Strom Pipeline'!R45="to be offered")+('MiT Strom Pipeline'!R45="on hold")&gt;0,IF(ISNUMBER('MiT Strom Pipeline'!I45),'MiT Strom Pipeline'!I45,0),"")</f>
        <v/>
      </c>
      <c r="G114" s="70" t="str">
        <f aca="false">IF(('MiT Strom Pipeline'!R45="offered")+('MiT Strom Pipeline'!R45="to be offered")+('MiT Strom Pipeline'!R45="on hold")&gt;0,IF(ISNUMBER('MiT Strom Pipeline'!Q45),'MiT Strom Pipeline'!Q45,0),"")</f>
        <v/>
      </c>
      <c r="H114" s="22" t="str">
        <f aca="false">IF(('MiT Strom Pipeline'!R45="offered")+('MiT Strom Pipeline'!R45="to be offered")+('MiT Strom Pipeline'!R45="on hold")&gt;0,'MiT Strom Pipeline'!R45,"")</f>
        <v/>
      </c>
      <c r="I114" s="22" t="str">
        <f aca="false">IF(('MiT Strom Pipeline'!R45="offered")+('MiT Strom Pipeline'!R45="to be offered")+('MiT Strom Pipeline'!R45="on hold")&gt;0,'MiT Strom Pipeline'!S45,"")</f>
        <v/>
      </c>
      <c r="J114" s="23" t="str">
        <f aca="false">IF(('MiT Strom Pipeline'!R45="offered")+('MiT Strom Pipeline'!R45="to be offered")+('MiT Strom Pipeline'!R45="on hold")&gt;0,IF(LEN('MiT Strom Pipeline'!V45)&gt;0,LEFT('MiT Strom Pipeline'!V45,55),""),"")</f>
        <v/>
      </c>
    </row>
    <row r="115" customFormat="false" ht="15.75" hidden="false" customHeight="true" outlineLevel="0" collapsed="false">
      <c r="A115" s="30" t="str">
        <f aca="false">IF(('MiT Strom Pipeline'!R46="offered")+('MiT Strom Pipeline'!R46="to be offered")+('MiT Strom Pipeline'!R46="on hold")&gt;0,IF(ISNUMBER('MiT Strom Pipeline'!A46),'MiT Strom Pipeline'!A46,""),"")</f>
        <v/>
      </c>
      <c r="B115" s="31" t="str">
        <f aca="false">IF(('MiT Strom Pipeline'!R46="offered")+('MiT Strom Pipeline'!R46="to be offered")+('MiT Strom Pipeline'!R46="on hold")&gt;0,'MiT Strom Pipeline'!B46,"")</f>
        <v/>
      </c>
      <c r="C115" s="30" t="str">
        <f aca="false">IF(('MiT Strom Pipeline'!R46="offered")+('MiT Strom Pipeline'!R46="to be offered")+('MiT Strom Pipeline'!R46="on hold")&gt;0,'MiT Strom Pipeline'!C46,"")</f>
        <v/>
      </c>
      <c r="D115" s="31" t="str">
        <f aca="false">IF(('MiT Strom Pipeline'!R46="offered")+('MiT Strom Pipeline'!R46="to be offered")+('MiT Strom Pipeline'!R46="on hold")&gt;0,'MiT Strom Pipeline'!D46,"")</f>
        <v/>
      </c>
      <c r="E115" s="31" t="str">
        <f aca="false">IF(('MiT Strom Pipeline'!R46="offered")+('MiT Strom Pipeline'!R46="to be offered")+('MiT Strom Pipeline'!R46="on hold")&gt;0,'MiT Strom Pipeline'!E46,"")</f>
        <v/>
      </c>
      <c r="F115" s="73" t="str">
        <f aca="false">IF(('MiT Strom Pipeline'!R46="offered")+('MiT Strom Pipeline'!R46="to be offered")+('MiT Strom Pipeline'!R46="on hold")&gt;0,IF(ISNUMBER('MiT Strom Pipeline'!I46),'MiT Strom Pipeline'!I46,0),"")</f>
        <v/>
      </c>
      <c r="G115" s="73" t="str">
        <f aca="false">IF(('MiT Strom Pipeline'!R46="offered")+('MiT Strom Pipeline'!R46="to be offered")+('MiT Strom Pipeline'!R46="on hold")&gt;0,IF(ISNUMBER('MiT Strom Pipeline'!Q46),'MiT Strom Pipeline'!Q46,0),"")</f>
        <v/>
      </c>
      <c r="H115" s="30" t="str">
        <f aca="false">IF(('MiT Strom Pipeline'!R46="offered")+('MiT Strom Pipeline'!R46="to be offered")+('MiT Strom Pipeline'!R46="on hold")&gt;0,'MiT Strom Pipeline'!R46,"")</f>
        <v/>
      </c>
      <c r="I115" s="30" t="str">
        <f aca="false">IF(('MiT Strom Pipeline'!R46="offered")+('MiT Strom Pipeline'!R46="to be offered")+('MiT Strom Pipeline'!R46="on hold")&gt;0,'MiT Strom Pipeline'!S46,"")</f>
        <v/>
      </c>
      <c r="J115" s="31" t="str">
        <f aca="false">IF(('MiT Strom Pipeline'!R46="offered")+('MiT Strom Pipeline'!R46="to be offered")+('MiT Strom Pipeline'!R46="on hold")&gt;0,IF(LEN('MiT Strom Pipeline'!V46)&gt;0,LEFT('MiT Strom Pipeline'!V46,55),""),"")</f>
        <v/>
      </c>
    </row>
    <row r="116" customFormat="false" ht="15.75" hidden="false" customHeight="true" outlineLevel="0" collapsed="false">
      <c r="A116" s="22" t="str">
        <f aca="false">IF(('MiT Strom Pipeline'!R47="offered")+('MiT Strom Pipeline'!R47="to be offered")+('MiT Strom Pipeline'!R47="on hold")&gt;0,IF(ISNUMBER('MiT Strom Pipeline'!A47),'MiT Strom Pipeline'!A47,""),"")</f>
        <v/>
      </c>
      <c r="B116" s="23" t="str">
        <f aca="false">IF(('MiT Strom Pipeline'!R47="offered")+('MiT Strom Pipeline'!R47="to be offered")+('MiT Strom Pipeline'!R47="on hold")&gt;0,'MiT Strom Pipeline'!B47,"")</f>
        <v/>
      </c>
      <c r="C116" s="22" t="str">
        <f aca="false">IF(('MiT Strom Pipeline'!R47="offered")+('MiT Strom Pipeline'!R47="to be offered")+('MiT Strom Pipeline'!R47="on hold")&gt;0,'MiT Strom Pipeline'!C47,"")</f>
        <v/>
      </c>
      <c r="D116" s="23" t="str">
        <f aca="false">IF(('MiT Strom Pipeline'!R47="offered")+('MiT Strom Pipeline'!R47="to be offered")+('MiT Strom Pipeline'!R47="on hold")&gt;0,'MiT Strom Pipeline'!D47,"")</f>
        <v/>
      </c>
      <c r="E116" s="23" t="str">
        <f aca="false">IF(('MiT Strom Pipeline'!R47="offered")+('MiT Strom Pipeline'!R47="to be offered")+('MiT Strom Pipeline'!R47="on hold")&gt;0,'MiT Strom Pipeline'!E47,"")</f>
        <v/>
      </c>
      <c r="F116" s="70" t="str">
        <f aca="false">IF(('MiT Strom Pipeline'!R47="offered")+('MiT Strom Pipeline'!R47="to be offered")+('MiT Strom Pipeline'!R47="on hold")&gt;0,IF(ISNUMBER('MiT Strom Pipeline'!I47),'MiT Strom Pipeline'!I47,0),"")</f>
        <v/>
      </c>
      <c r="G116" s="70" t="str">
        <f aca="false">IF(('MiT Strom Pipeline'!R47="offered")+('MiT Strom Pipeline'!R47="to be offered")+('MiT Strom Pipeline'!R47="on hold")&gt;0,IF(ISNUMBER('MiT Strom Pipeline'!Q47),'MiT Strom Pipeline'!Q47,0),"")</f>
        <v/>
      </c>
      <c r="H116" s="22" t="str">
        <f aca="false">IF(('MiT Strom Pipeline'!R47="offered")+('MiT Strom Pipeline'!R47="to be offered")+('MiT Strom Pipeline'!R47="on hold")&gt;0,'MiT Strom Pipeline'!R47,"")</f>
        <v/>
      </c>
      <c r="I116" s="22" t="str">
        <f aca="false">IF(('MiT Strom Pipeline'!R47="offered")+('MiT Strom Pipeline'!R47="to be offered")+('MiT Strom Pipeline'!R47="on hold")&gt;0,'MiT Strom Pipeline'!S47,"")</f>
        <v/>
      </c>
      <c r="J116" s="23" t="str">
        <f aca="false">IF(('MiT Strom Pipeline'!R47="offered")+('MiT Strom Pipeline'!R47="to be offered")+('MiT Strom Pipeline'!R47="on hold")&gt;0,IF(LEN('MiT Strom Pipeline'!V47)&gt;0,LEFT('MiT Strom Pipeline'!V47,55),""),"")</f>
        <v/>
      </c>
    </row>
    <row r="117" customFormat="false" ht="15.75" hidden="false" customHeight="true" outlineLevel="0" collapsed="false">
      <c r="A117" s="30" t="str">
        <f aca="false">IF(('MiT Strom Pipeline'!R48="offered")+('MiT Strom Pipeline'!R48="to be offered")+('MiT Strom Pipeline'!R48="on hold")&gt;0,IF(ISNUMBER('MiT Strom Pipeline'!A48),'MiT Strom Pipeline'!A48,""),"")</f>
        <v/>
      </c>
      <c r="B117" s="31" t="str">
        <f aca="false">IF(('MiT Strom Pipeline'!R48="offered")+('MiT Strom Pipeline'!R48="to be offered")+('MiT Strom Pipeline'!R48="on hold")&gt;0,'MiT Strom Pipeline'!B48,"")</f>
        <v/>
      </c>
      <c r="C117" s="30" t="str">
        <f aca="false">IF(('MiT Strom Pipeline'!R48="offered")+('MiT Strom Pipeline'!R48="to be offered")+('MiT Strom Pipeline'!R48="on hold")&gt;0,'MiT Strom Pipeline'!C48,"")</f>
        <v/>
      </c>
      <c r="D117" s="31" t="str">
        <f aca="false">IF(('MiT Strom Pipeline'!R48="offered")+('MiT Strom Pipeline'!R48="to be offered")+('MiT Strom Pipeline'!R48="on hold")&gt;0,'MiT Strom Pipeline'!D48,"")</f>
        <v/>
      </c>
      <c r="E117" s="31" t="str">
        <f aca="false">IF(('MiT Strom Pipeline'!R48="offered")+('MiT Strom Pipeline'!R48="to be offered")+('MiT Strom Pipeline'!R48="on hold")&gt;0,'MiT Strom Pipeline'!E48,"")</f>
        <v/>
      </c>
      <c r="F117" s="73" t="str">
        <f aca="false">IF(('MiT Strom Pipeline'!R48="offered")+('MiT Strom Pipeline'!R48="to be offered")+('MiT Strom Pipeline'!R48="on hold")&gt;0,IF(ISNUMBER('MiT Strom Pipeline'!I48),'MiT Strom Pipeline'!I48,0),"")</f>
        <v/>
      </c>
      <c r="G117" s="73" t="str">
        <f aca="false">IF(('MiT Strom Pipeline'!R48="offered")+('MiT Strom Pipeline'!R48="to be offered")+('MiT Strom Pipeline'!R48="on hold")&gt;0,IF(ISNUMBER('MiT Strom Pipeline'!Q48),'MiT Strom Pipeline'!Q48,0),"")</f>
        <v/>
      </c>
      <c r="H117" s="30" t="str">
        <f aca="false">IF(('MiT Strom Pipeline'!R48="offered")+('MiT Strom Pipeline'!R48="to be offered")+('MiT Strom Pipeline'!R48="on hold")&gt;0,'MiT Strom Pipeline'!R48,"")</f>
        <v/>
      </c>
      <c r="I117" s="30" t="str">
        <f aca="false">IF(('MiT Strom Pipeline'!R48="offered")+('MiT Strom Pipeline'!R48="to be offered")+('MiT Strom Pipeline'!R48="on hold")&gt;0,'MiT Strom Pipeline'!S48,"")</f>
        <v/>
      </c>
      <c r="J117" s="31" t="str">
        <f aca="false">IF(('MiT Strom Pipeline'!R48="offered")+('MiT Strom Pipeline'!R48="to be offered")+('MiT Strom Pipeline'!R48="on hold")&gt;0,IF(LEN('MiT Strom Pipeline'!V48)&gt;0,LEFT('MiT Strom Pipeline'!V48,55),""),"")</f>
        <v/>
      </c>
    </row>
    <row r="118" customFormat="false" ht="15.75" hidden="false" customHeight="true" outlineLevel="0" collapsed="false">
      <c r="A118" s="22" t="str">
        <f aca="false">IF(('MiT Strom Pipeline'!R49="offered")+('MiT Strom Pipeline'!R49="to be offered")+('MiT Strom Pipeline'!R49="on hold")&gt;0,IF(ISNUMBER('MiT Strom Pipeline'!A49),'MiT Strom Pipeline'!A49,""),"")</f>
        <v/>
      </c>
      <c r="B118" s="23" t="str">
        <f aca="false">IF(('MiT Strom Pipeline'!R49="offered")+('MiT Strom Pipeline'!R49="to be offered")+('MiT Strom Pipeline'!R49="on hold")&gt;0,'MiT Strom Pipeline'!B49,"")</f>
        <v/>
      </c>
      <c r="C118" s="22" t="str">
        <f aca="false">IF(('MiT Strom Pipeline'!R49="offered")+('MiT Strom Pipeline'!R49="to be offered")+('MiT Strom Pipeline'!R49="on hold")&gt;0,'MiT Strom Pipeline'!C49,"")</f>
        <v/>
      </c>
      <c r="D118" s="23" t="str">
        <f aca="false">IF(('MiT Strom Pipeline'!R49="offered")+('MiT Strom Pipeline'!R49="to be offered")+('MiT Strom Pipeline'!R49="on hold")&gt;0,'MiT Strom Pipeline'!D49,"")</f>
        <v/>
      </c>
      <c r="E118" s="23" t="str">
        <f aca="false">IF(('MiT Strom Pipeline'!R49="offered")+('MiT Strom Pipeline'!R49="to be offered")+('MiT Strom Pipeline'!R49="on hold")&gt;0,'MiT Strom Pipeline'!E49,"")</f>
        <v/>
      </c>
      <c r="F118" s="70" t="str">
        <f aca="false">IF(('MiT Strom Pipeline'!R49="offered")+('MiT Strom Pipeline'!R49="to be offered")+('MiT Strom Pipeline'!R49="on hold")&gt;0,IF(ISNUMBER('MiT Strom Pipeline'!I49),'MiT Strom Pipeline'!I49,0),"")</f>
        <v/>
      </c>
      <c r="G118" s="70" t="str">
        <f aca="false">IF(('MiT Strom Pipeline'!R49="offered")+('MiT Strom Pipeline'!R49="to be offered")+('MiT Strom Pipeline'!R49="on hold")&gt;0,IF(ISNUMBER('MiT Strom Pipeline'!Q49),'MiT Strom Pipeline'!Q49,0),"")</f>
        <v/>
      </c>
      <c r="H118" s="22" t="str">
        <f aca="false">IF(('MiT Strom Pipeline'!R49="offered")+('MiT Strom Pipeline'!R49="to be offered")+('MiT Strom Pipeline'!R49="on hold")&gt;0,'MiT Strom Pipeline'!R49,"")</f>
        <v/>
      </c>
      <c r="I118" s="22" t="str">
        <f aca="false">IF(('MiT Strom Pipeline'!R49="offered")+('MiT Strom Pipeline'!R49="to be offered")+('MiT Strom Pipeline'!R49="on hold")&gt;0,'MiT Strom Pipeline'!S49,"")</f>
        <v/>
      </c>
      <c r="J118" s="23" t="str">
        <f aca="false">IF(('MiT Strom Pipeline'!R49="offered")+('MiT Strom Pipeline'!R49="to be offered")+('MiT Strom Pipeline'!R49="on hold")&gt;0,IF(LEN('MiT Strom Pipeline'!V49)&gt;0,LEFT('MiT Strom Pipeline'!V49,55),""),"")</f>
        <v/>
      </c>
    </row>
    <row r="119" customFormat="false" ht="15.75" hidden="false" customHeight="true" outlineLevel="0" collapsed="false">
      <c r="A119" s="30" t="str">
        <f aca="false">IF(('MiT Strom Pipeline'!R50="offered")+('MiT Strom Pipeline'!R50="to be offered")+('MiT Strom Pipeline'!R50="on hold")&gt;0,IF(ISNUMBER('MiT Strom Pipeline'!A50),'MiT Strom Pipeline'!A50,""),"")</f>
        <v/>
      </c>
      <c r="B119" s="31" t="str">
        <f aca="false">IF(('MiT Strom Pipeline'!R50="offered")+('MiT Strom Pipeline'!R50="to be offered")+('MiT Strom Pipeline'!R50="on hold")&gt;0,'MiT Strom Pipeline'!B50,"")</f>
        <v/>
      </c>
      <c r="C119" s="30" t="str">
        <f aca="false">IF(('MiT Strom Pipeline'!R50="offered")+('MiT Strom Pipeline'!R50="to be offered")+('MiT Strom Pipeline'!R50="on hold")&gt;0,'MiT Strom Pipeline'!C50,"")</f>
        <v/>
      </c>
      <c r="D119" s="31" t="str">
        <f aca="false">IF(('MiT Strom Pipeline'!R50="offered")+('MiT Strom Pipeline'!R50="to be offered")+('MiT Strom Pipeline'!R50="on hold")&gt;0,'MiT Strom Pipeline'!D50,"")</f>
        <v/>
      </c>
      <c r="E119" s="31" t="str">
        <f aca="false">IF(('MiT Strom Pipeline'!R50="offered")+('MiT Strom Pipeline'!R50="to be offered")+('MiT Strom Pipeline'!R50="on hold")&gt;0,'MiT Strom Pipeline'!E50,"")</f>
        <v/>
      </c>
      <c r="F119" s="73" t="str">
        <f aca="false">IF(('MiT Strom Pipeline'!R50="offered")+('MiT Strom Pipeline'!R50="to be offered")+('MiT Strom Pipeline'!R50="on hold")&gt;0,IF(ISNUMBER('MiT Strom Pipeline'!I50),'MiT Strom Pipeline'!I50,0),"")</f>
        <v/>
      </c>
      <c r="G119" s="73" t="str">
        <f aca="false">IF(('MiT Strom Pipeline'!R50="offered")+('MiT Strom Pipeline'!R50="to be offered")+('MiT Strom Pipeline'!R50="on hold")&gt;0,IF(ISNUMBER('MiT Strom Pipeline'!Q50),'MiT Strom Pipeline'!Q50,0),"")</f>
        <v/>
      </c>
      <c r="H119" s="30" t="str">
        <f aca="false">IF(('MiT Strom Pipeline'!R50="offered")+('MiT Strom Pipeline'!R50="to be offered")+('MiT Strom Pipeline'!R50="on hold")&gt;0,'MiT Strom Pipeline'!R50,"")</f>
        <v/>
      </c>
      <c r="I119" s="30" t="str">
        <f aca="false">IF(('MiT Strom Pipeline'!R50="offered")+('MiT Strom Pipeline'!R50="to be offered")+('MiT Strom Pipeline'!R50="on hold")&gt;0,'MiT Strom Pipeline'!S50,"")</f>
        <v/>
      </c>
      <c r="J119" s="31" t="str">
        <f aca="false">IF(('MiT Strom Pipeline'!R50="offered")+('MiT Strom Pipeline'!R50="to be offered")+('MiT Strom Pipeline'!R50="on hold")&gt;0,IF(LEN('MiT Strom Pipeline'!V50)&gt;0,LEFT('MiT Strom Pipeline'!V50,55),""),"")</f>
        <v/>
      </c>
    </row>
    <row r="120" customFormat="false" ht="15.75" hidden="false" customHeight="true" outlineLevel="0" collapsed="false">
      <c r="A120" s="22" t="str">
        <f aca="false">IF(('MiT Strom Pipeline'!R51="offered")+('MiT Strom Pipeline'!R51="to be offered")+('MiT Strom Pipeline'!R51="on hold")&gt;0,IF(ISNUMBER('MiT Strom Pipeline'!A51),'MiT Strom Pipeline'!A51,""),"")</f>
        <v/>
      </c>
      <c r="B120" s="23" t="str">
        <f aca="false">IF(('MiT Strom Pipeline'!R51="offered")+('MiT Strom Pipeline'!R51="to be offered")+('MiT Strom Pipeline'!R51="on hold")&gt;0,'MiT Strom Pipeline'!B51,"")</f>
        <v/>
      </c>
      <c r="C120" s="22" t="str">
        <f aca="false">IF(('MiT Strom Pipeline'!R51="offered")+('MiT Strom Pipeline'!R51="to be offered")+('MiT Strom Pipeline'!R51="on hold")&gt;0,'MiT Strom Pipeline'!C51,"")</f>
        <v/>
      </c>
      <c r="D120" s="23" t="str">
        <f aca="false">IF(('MiT Strom Pipeline'!R51="offered")+('MiT Strom Pipeline'!R51="to be offered")+('MiT Strom Pipeline'!R51="on hold")&gt;0,'MiT Strom Pipeline'!D51,"")</f>
        <v/>
      </c>
      <c r="E120" s="23" t="str">
        <f aca="false">IF(('MiT Strom Pipeline'!R51="offered")+('MiT Strom Pipeline'!R51="to be offered")+('MiT Strom Pipeline'!R51="on hold")&gt;0,'MiT Strom Pipeline'!E51,"")</f>
        <v/>
      </c>
      <c r="F120" s="70" t="str">
        <f aca="false">IF(('MiT Strom Pipeline'!R51="offered")+('MiT Strom Pipeline'!R51="to be offered")+('MiT Strom Pipeline'!R51="on hold")&gt;0,IF(ISNUMBER('MiT Strom Pipeline'!I51),'MiT Strom Pipeline'!I51,0),"")</f>
        <v/>
      </c>
      <c r="G120" s="70" t="str">
        <f aca="false">IF(('MiT Strom Pipeline'!R51="offered")+('MiT Strom Pipeline'!R51="to be offered")+('MiT Strom Pipeline'!R51="on hold")&gt;0,IF(ISNUMBER('MiT Strom Pipeline'!Q51),'MiT Strom Pipeline'!Q51,0),"")</f>
        <v/>
      </c>
      <c r="H120" s="22" t="str">
        <f aca="false">IF(('MiT Strom Pipeline'!R51="offered")+('MiT Strom Pipeline'!R51="to be offered")+('MiT Strom Pipeline'!R51="on hold")&gt;0,'MiT Strom Pipeline'!R51,"")</f>
        <v/>
      </c>
      <c r="I120" s="22" t="str">
        <f aca="false">IF(('MiT Strom Pipeline'!R51="offered")+('MiT Strom Pipeline'!R51="to be offered")+('MiT Strom Pipeline'!R51="on hold")&gt;0,'MiT Strom Pipeline'!S51,"")</f>
        <v/>
      </c>
      <c r="J120" s="23" t="str">
        <f aca="false">IF(('MiT Strom Pipeline'!R51="offered")+('MiT Strom Pipeline'!R51="to be offered")+('MiT Strom Pipeline'!R51="on hold")&gt;0,IF(LEN('MiT Strom Pipeline'!V51)&gt;0,LEFT('MiT Strom Pipeline'!V51,55),""),"")</f>
        <v/>
      </c>
    </row>
    <row r="121" customFormat="false" ht="15.75" hidden="false" customHeight="true" outlineLevel="0" collapsed="false">
      <c r="A121" s="30" t="str">
        <f aca="false">IF(('MiT Strom Pipeline'!R52="offered")+('MiT Strom Pipeline'!R52="to be offered")+('MiT Strom Pipeline'!R52="on hold")&gt;0,IF(ISNUMBER('MiT Strom Pipeline'!A52),'MiT Strom Pipeline'!A52,""),"")</f>
        <v/>
      </c>
      <c r="B121" s="31" t="str">
        <f aca="false">IF(('MiT Strom Pipeline'!R52="offered")+('MiT Strom Pipeline'!R52="to be offered")+('MiT Strom Pipeline'!R52="on hold")&gt;0,'MiT Strom Pipeline'!B52,"")</f>
        <v/>
      </c>
      <c r="C121" s="30" t="str">
        <f aca="false">IF(('MiT Strom Pipeline'!R52="offered")+('MiT Strom Pipeline'!R52="to be offered")+('MiT Strom Pipeline'!R52="on hold")&gt;0,'MiT Strom Pipeline'!C52,"")</f>
        <v/>
      </c>
      <c r="D121" s="31" t="str">
        <f aca="false">IF(('MiT Strom Pipeline'!R52="offered")+('MiT Strom Pipeline'!R52="to be offered")+('MiT Strom Pipeline'!R52="on hold")&gt;0,'MiT Strom Pipeline'!D52,"")</f>
        <v/>
      </c>
      <c r="E121" s="31" t="str">
        <f aca="false">IF(('MiT Strom Pipeline'!R52="offered")+('MiT Strom Pipeline'!R52="to be offered")+('MiT Strom Pipeline'!R52="on hold")&gt;0,'MiT Strom Pipeline'!E52,"")</f>
        <v/>
      </c>
      <c r="F121" s="73" t="str">
        <f aca="false">IF(('MiT Strom Pipeline'!R52="offered")+('MiT Strom Pipeline'!R52="to be offered")+('MiT Strom Pipeline'!R52="on hold")&gt;0,IF(ISNUMBER('MiT Strom Pipeline'!I52),'MiT Strom Pipeline'!I52,0),"")</f>
        <v/>
      </c>
      <c r="G121" s="73" t="str">
        <f aca="false">IF(('MiT Strom Pipeline'!R52="offered")+('MiT Strom Pipeline'!R52="to be offered")+('MiT Strom Pipeline'!R52="on hold")&gt;0,IF(ISNUMBER('MiT Strom Pipeline'!Q52),'MiT Strom Pipeline'!Q52,0),"")</f>
        <v/>
      </c>
      <c r="H121" s="30" t="str">
        <f aca="false">IF(('MiT Strom Pipeline'!R52="offered")+('MiT Strom Pipeline'!R52="to be offered")+('MiT Strom Pipeline'!R52="on hold")&gt;0,'MiT Strom Pipeline'!R52,"")</f>
        <v/>
      </c>
      <c r="I121" s="30" t="str">
        <f aca="false">IF(('MiT Strom Pipeline'!R52="offered")+('MiT Strom Pipeline'!R52="to be offered")+('MiT Strom Pipeline'!R52="on hold")&gt;0,'MiT Strom Pipeline'!S52,"")</f>
        <v/>
      </c>
      <c r="J121" s="31" t="str">
        <f aca="false">IF(('MiT Strom Pipeline'!R52="offered")+('MiT Strom Pipeline'!R52="to be offered")+('MiT Strom Pipeline'!R52="on hold")&gt;0,IF(LEN('MiT Strom Pipeline'!V52)&gt;0,LEFT('MiT Strom Pipeline'!V52,55),""),"")</f>
        <v/>
      </c>
    </row>
    <row r="122" customFormat="false" ht="15.75" hidden="false" customHeight="true" outlineLevel="0" collapsed="false">
      <c r="A122" s="22" t="str">
        <f aca="false">IF(('MiT Strom Pipeline'!R53="offered")+('MiT Strom Pipeline'!R53="to be offered")+('MiT Strom Pipeline'!R53="on hold")&gt;0,IF(ISNUMBER('MiT Strom Pipeline'!A53),'MiT Strom Pipeline'!A53,""),"")</f>
        <v/>
      </c>
      <c r="B122" s="23" t="str">
        <f aca="false">IF(('MiT Strom Pipeline'!R53="offered")+('MiT Strom Pipeline'!R53="to be offered")+('MiT Strom Pipeline'!R53="on hold")&gt;0,'MiT Strom Pipeline'!B53,"")</f>
        <v/>
      </c>
      <c r="C122" s="22" t="str">
        <f aca="false">IF(('MiT Strom Pipeline'!R53="offered")+('MiT Strom Pipeline'!R53="to be offered")+('MiT Strom Pipeline'!R53="on hold")&gt;0,'MiT Strom Pipeline'!C53,"")</f>
        <v/>
      </c>
      <c r="D122" s="23" t="str">
        <f aca="false">IF(('MiT Strom Pipeline'!R53="offered")+('MiT Strom Pipeline'!R53="to be offered")+('MiT Strom Pipeline'!R53="on hold")&gt;0,'MiT Strom Pipeline'!D53,"")</f>
        <v/>
      </c>
      <c r="E122" s="23" t="str">
        <f aca="false">IF(('MiT Strom Pipeline'!R53="offered")+('MiT Strom Pipeline'!R53="to be offered")+('MiT Strom Pipeline'!R53="on hold")&gt;0,'MiT Strom Pipeline'!E53,"")</f>
        <v/>
      </c>
      <c r="F122" s="70" t="str">
        <f aca="false">IF(('MiT Strom Pipeline'!R53="offered")+('MiT Strom Pipeline'!R53="to be offered")+('MiT Strom Pipeline'!R53="on hold")&gt;0,IF(ISNUMBER('MiT Strom Pipeline'!I53),'MiT Strom Pipeline'!I53,0),"")</f>
        <v/>
      </c>
      <c r="G122" s="70" t="str">
        <f aca="false">IF(('MiT Strom Pipeline'!R53="offered")+('MiT Strom Pipeline'!R53="to be offered")+('MiT Strom Pipeline'!R53="on hold")&gt;0,IF(ISNUMBER('MiT Strom Pipeline'!Q53),'MiT Strom Pipeline'!Q53,0),"")</f>
        <v/>
      </c>
      <c r="H122" s="22" t="str">
        <f aca="false">IF(('MiT Strom Pipeline'!R53="offered")+('MiT Strom Pipeline'!R53="to be offered")+('MiT Strom Pipeline'!R53="on hold")&gt;0,'MiT Strom Pipeline'!R53,"")</f>
        <v/>
      </c>
      <c r="I122" s="22" t="str">
        <f aca="false">IF(('MiT Strom Pipeline'!R53="offered")+('MiT Strom Pipeline'!R53="to be offered")+('MiT Strom Pipeline'!R53="on hold")&gt;0,'MiT Strom Pipeline'!S53,"")</f>
        <v/>
      </c>
      <c r="J122" s="23" t="str">
        <f aca="false">IF(('MiT Strom Pipeline'!R53="offered")+('MiT Strom Pipeline'!R53="to be offered")+('MiT Strom Pipeline'!R53="on hold")&gt;0,IF(LEN('MiT Strom Pipeline'!V53)&gt;0,LEFT('MiT Strom Pipeline'!V53,55),""),"")</f>
        <v/>
      </c>
    </row>
    <row r="123" customFormat="false" ht="15.75" hidden="false" customHeight="true" outlineLevel="0" collapsed="false">
      <c r="A123" s="30" t="str">
        <f aca="false">IF(('MiT Strom Pipeline'!R54="offered")+('MiT Strom Pipeline'!R54="to be offered")+('MiT Strom Pipeline'!R54="on hold")&gt;0,IF(ISNUMBER('MiT Strom Pipeline'!A54),'MiT Strom Pipeline'!A54,""),"")</f>
        <v/>
      </c>
      <c r="B123" s="31" t="str">
        <f aca="false">IF(('MiT Strom Pipeline'!R54="offered")+('MiT Strom Pipeline'!R54="to be offered")+('MiT Strom Pipeline'!R54="on hold")&gt;0,'MiT Strom Pipeline'!B54,"")</f>
        <v/>
      </c>
      <c r="C123" s="30" t="str">
        <f aca="false">IF(('MiT Strom Pipeline'!R54="offered")+('MiT Strom Pipeline'!R54="to be offered")+('MiT Strom Pipeline'!R54="on hold")&gt;0,'MiT Strom Pipeline'!C54,"")</f>
        <v/>
      </c>
      <c r="D123" s="31" t="str">
        <f aca="false">IF(('MiT Strom Pipeline'!R54="offered")+('MiT Strom Pipeline'!R54="to be offered")+('MiT Strom Pipeline'!R54="on hold")&gt;0,'MiT Strom Pipeline'!D54,"")</f>
        <v/>
      </c>
      <c r="E123" s="31" t="str">
        <f aca="false">IF(('MiT Strom Pipeline'!R54="offered")+('MiT Strom Pipeline'!R54="to be offered")+('MiT Strom Pipeline'!R54="on hold")&gt;0,'MiT Strom Pipeline'!E54,"")</f>
        <v/>
      </c>
      <c r="F123" s="73" t="str">
        <f aca="false">IF(('MiT Strom Pipeline'!R54="offered")+('MiT Strom Pipeline'!R54="to be offered")+('MiT Strom Pipeline'!R54="on hold")&gt;0,IF(ISNUMBER('MiT Strom Pipeline'!I54),'MiT Strom Pipeline'!I54,0),"")</f>
        <v/>
      </c>
      <c r="G123" s="73" t="str">
        <f aca="false">IF(('MiT Strom Pipeline'!R54="offered")+('MiT Strom Pipeline'!R54="to be offered")+('MiT Strom Pipeline'!R54="on hold")&gt;0,IF(ISNUMBER('MiT Strom Pipeline'!Q54),'MiT Strom Pipeline'!Q54,0),"")</f>
        <v/>
      </c>
      <c r="H123" s="30" t="str">
        <f aca="false">IF(('MiT Strom Pipeline'!R54="offered")+('MiT Strom Pipeline'!R54="to be offered")+('MiT Strom Pipeline'!R54="on hold")&gt;0,'MiT Strom Pipeline'!R54,"")</f>
        <v/>
      </c>
      <c r="I123" s="30" t="str">
        <f aca="false">IF(('MiT Strom Pipeline'!R54="offered")+('MiT Strom Pipeline'!R54="to be offered")+('MiT Strom Pipeline'!R54="on hold")&gt;0,'MiT Strom Pipeline'!S54,"")</f>
        <v/>
      </c>
      <c r="J123" s="31" t="str">
        <f aca="false">IF(('MiT Strom Pipeline'!R54="offered")+('MiT Strom Pipeline'!R54="to be offered")+('MiT Strom Pipeline'!R54="on hold")&gt;0,IF(LEN('MiT Strom Pipeline'!V54)&gt;0,LEFT('MiT Strom Pipeline'!V54,55),""),"")</f>
        <v/>
      </c>
    </row>
    <row r="124" customFormat="false" ht="15.75" hidden="false" customHeight="true" outlineLevel="0" collapsed="false">
      <c r="A124" s="22" t="str">
        <f aca="false">IF(('MiT Strom Pipeline'!R55="offered")+('MiT Strom Pipeline'!R55="to be offered")+('MiT Strom Pipeline'!R55="on hold")&gt;0,IF(ISNUMBER('MiT Strom Pipeline'!A55),'MiT Strom Pipeline'!A55,""),"")</f>
        <v/>
      </c>
      <c r="B124" s="23" t="str">
        <f aca="false">IF(('MiT Strom Pipeline'!R55="offered")+('MiT Strom Pipeline'!R55="to be offered")+('MiT Strom Pipeline'!R55="on hold")&gt;0,'MiT Strom Pipeline'!B55,"")</f>
        <v/>
      </c>
      <c r="C124" s="22" t="str">
        <f aca="false">IF(('MiT Strom Pipeline'!R55="offered")+('MiT Strom Pipeline'!R55="to be offered")+('MiT Strom Pipeline'!R55="on hold")&gt;0,'MiT Strom Pipeline'!C55,"")</f>
        <v/>
      </c>
      <c r="D124" s="23" t="str">
        <f aca="false">IF(('MiT Strom Pipeline'!R55="offered")+('MiT Strom Pipeline'!R55="to be offered")+('MiT Strom Pipeline'!R55="on hold")&gt;0,'MiT Strom Pipeline'!D55,"")</f>
        <v/>
      </c>
      <c r="E124" s="23" t="str">
        <f aca="false">IF(('MiT Strom Pipeline'!R55="offered")+('MiT Strom Pipeline'!R55="to be offered")+('MiT Strom Pipeline'!R55="on hold")&gt;0,'MiT Strom Pipeline'!E55,"")</f>
        <v/>
      </c>
      <c r="F124" s="70" t="str">
        <f aca="false">IF(('MiT Strom Pipeline'!R55="offered")+('MiT Strom Pipeline'!R55="to be offered")+('MiT Strom Pipeline'!R55="on hold")&gt;0,IF(ISNUMBER('MiT Strom Pipeline'!I55),'MiT Strom Pipeline'!I55,0),"")</f>
        <v/>
      </c>
      <c r="G124" s="70" t="str">
        <f aca="false">IF(('MiT Strom Pipeline'!R55="offered")+('MiT Strom Pipeline'!R55="to be offered")+('MiT Strom Pipeline'!R55="on hold")&gt;0,IF(ISNUMBER('MiT Strom Pipeline'!Q55),'MiT Strom Pipeline'!Q55,0),"")</f>
        <v/>
      </c>
      <c r="H124" s="22" t="str">
        <f aca="false">IF(('MiT Strom Pipeline'!R55="offered")+('MiT Strom Pipeline'!R55="to be offered")+('MiT Strom Pipeline'!R55="on hold")&gt;0,'MiT Strom Pipeline'!R55,"")</f>
        <v/>
      </c>
      <c r="I124" s="22" t="str">
        <f aca="false">IF(('MiT Strom Pipeline'!R55="offered")+('MiT Strom Pipeline'!R55="to be offered")+('MiT Strom Pipeline'!R55="on hold")&gt;0,'MiT Strom Pipeline'!S55,"")</f>
        <v/>
      </c>
      <c r="J124" s="23" t="str">
        <f aca="false">IF(('MiT Strom Pipeline'!R55="offered")+('MiT Strom Pipeline'!R55="to be offered")+('MiT Strom Pipeline'!R55="on hold")&gt;0,IF(LEN('MiT Strom Pipeline'!V55)&gt;0,LEFT('MiT Strom Pipeline'!V55,55),""),"")</f>
        <v/>
      </c>
    </row>
    <row r="125" customFormat="false" ht="15.75" hidden="false" customHeight="true" outlineLevel="0" collapsed="false">
      <c r="A125" s="30" t="str">
        <f aca="false">IF(('MiT Strom Pipeline'!R56="offered")+('MiT Strom Pipeline'!R56="to be offered")+('MiT Strom Pipeline'!R56="on hold")&gt;0,IF(ISNUMBER('MiT Strom Pipeline'!A56),'MiT Strom Pipeline'!A56,""),"")</f>
        <v/>
      </c>
      <c r="B125" s="31" t="str">
        <f aca="false">IF(('MiT Strom Pipeline'!R56="offered")+('MiT Strom Pipeline'!R56="to be offered")+('MiT Strom Pipeline'!R56="on hold")&gt;0,'MiT Strom Pipeline'!B56,"")</f>
        <v/>
      </c>
      <c r="C125" s="30" t="str">
        <f aca="false">IF(('MiT Strom Pipeline'!R56="offered")+('MiT Strom Pipeline'!R56="to be offered")+('MiT Strom Pipeline'!R56="on hold")&gt;0,'MiT Strom Pipeline'!C56,"")</f>
        <v/>
      </c>
      <c r="D125" s="31" t="str">
        <f aca="false">IF(('MiT Strom Pipeline'!R56="offered")+('MiT Strom Pipeline'!R56="to be offered")+('MiT Strom Pipeline'!R56="on hold")&gt;0,'MiT Strom Pipeline'!D56,"")</f>
        <v/>
      </c>
      <c r="E125" s="31" t="str">
        <f aca="false">IF(('MiT Strom Pipeline'!R56="offered")+('MiT Strom Pipeline'!R56="to be offered")+('MiT Strom Pipeline'!R56="on hold")&gt;0,'MiT Strom Pipeline'!E56,"")</f>
        <v/>
      </c>
      <c r="F125" s="73" t="str">
        <f aca="false">IF(('MiT Strom Pipeline'!R56="offered")+('MiT Strom Pipeline'!R56="to be offered")+('MiT Strom Pipeline'!R56="on hold")&gt;0,IF(ISNUMBER('MiT Strom Pipeline'!I56),'MiT Strom Pipeline'!I56,0),"")</f>
        <v/>
      </c>
      <c r="G125" s="73" t="str">
        <f aca="false">IF(('MiT Strom Pipeline'!R56="offered")+('MiT Strom Pipeline'!R56="to be offered")+('MiT Strom Pipeline'!R56="on hold")&gt;0,IF(ISNUMBER('MiT Strom Pipeline'!Q56),'MiT Strom Pipeline'!Q56,0),"")</f>
        <v/>
      </c>
      <c r="H125" s="30" t="str">
        <f aca="false">IF(('MiT Strom Pipeline'!R56="offered")+('MiT Strom Pipeline'!R56="to be offered")+('MiT Strom Pipeline'!R56="on hold")&gt;0,'MiT Strom Pipeline'!R56,"")</f>
        <v/>
      </c>
      <c r="I125" s="30" t="str">
        <f aca="false">IF(('MiT Strom Pipeline'!R56="offered")+('MiT Strom Pipeline'!R56="to be offered")+('MiT Strom Pipeline'!R56="on hold")&gt;0,'MiT Strom Pipeline'!S56,"")</f>
        <v/>
      </c>
      <c r="J125" s="31" t="str">
        <f aca="false">IF(('MiT Strom Pipeline'!R56="offered")+('MiT Strom Pipeline'!R56="to be offered")+('MiT Strom Pipeline'!R56="on hold")&gt;0,IF(LEN('MiT Strom Pipeline'!V56)&gt;0,LEFT('MiT Strom Pipeline'!V56,55),""),"")</f>
        <v/>
      </c>
    </row>
    <row r="126" customFormat="false" ht="15.75" hidden="false" customHeight="true" outlineLevel="0" collapsed="false">
      <c r="A126" s="22" t="str">
        <f aca="false">IF(('MiT Strom Pipeline'!R57="offered")+('MiT Strom Pipeline'!R57="to be offered")+('MiT Strom Pipeline'!R57="on hold")&gt;0,IF(ISNUMBER('MiT Strom Pipeline'!A57),'MiT Strom Pipeline'!A57,""),"")</f>
        <v/>
      </c>
      <c r="B126" s="23" t="str">
        <f aca="false">IF(('MiT Strom Pipeline'!R57="offered")+('MiT Strom Pipeline'!R57="to be offered")+('MiT Strom Pipeline'!R57="on hold")&gt;0,'MiT Strom Pipeline'!B57,"")</f>
        <v/>
      </c>
      <c r="C126" s="22" t="str">
        <f aca="false">IF(('MiT Strom Pipeline'!R57="offered")+('MiT Strom Pipeline'!R57="to be offered")+('MiT Strom Pipeline'!R57="on hold")&gt;0,'MiT Strom Pipeline'!C57,"")</f>
        <v/>
      </c>
      <c r="D126" s="23" t="str">
        <f aca="false">IF(('MiT Strom Pipeline'!R57="offered")+('MiT Strom Pipeline'!R57="to be offered")+('MiT Strom Pipeline'!R57="on hold")&gt;0,'MiT Strom Pipeline'!D57,"")</f>
        <v/>
      </c>
      <c r="E126" s="23" t="str">
        <f aca="false">IF(('MiT Strom Pipeline'!R57="offered")+('MiT Strom Pipeline'!R57="to be offered")+('MiT Strom Pipeline'!R57="on hold")&gt;0,'MiT Strom Pipeline'!E57,"")</f>
        <v/>
      </c>
      <c r="F126" s="70" t="str">
        <f aca="false">IF(('MiT Strom Pipeline'!R57="offered")+('MiT Strom Pipeline'!R57="to be offered")+('MiT Strom Pipeline'!R57="on hold")&gt;0,IF(ISNUMBER('MiT Strom Pipeline'!I57),'MiT Strom Pipeline'!I57,0),"")</f>
        <v/>
      </c>
      <c r="G126" s="70" t="str">
        <f aca="false">IF(('MiT Strom Pipeline'!R57="offered")+('MiT Strom Pipeline'!R57="to be offered")+('MiT Strom Pipeline'!R57="on hold")&gt;0,IF(ISNUMBER('MiT Strom Pipeline'!Q57),'MiT Strom Pipeline'!Q57,0),"")</f>
        <v/>
      </c>
      <c r="H126" s="22" t="str">
        <f aca="false">IF(('MiT Strom Pipeline'!R57="offered")+('MiT Strom Pipeline'!R57="to be offered")+('MiT Strom Pipeline'!R57="on hold")&gt;0,'MiT Strom Pipeline'!R57,"")</f>
        <v/>
      </c>
      <c r="I126" s="22" t="str">
        <f aca="false">IF(('MiT Strom Pipeline'!R57="offered")+('MiT Strom Pipeline'!R57="to be offered")+('MiT Strom Pipeline'!R57="on hold")&gt;0,'MiT Strom Pipeline'!S57,"")</f>
        <v/>
      </c>
      <c r="J126" s="23" t="str">
        <f aca="false">IF(('MiT Strom Pipeline'!R57="offered")+('MiT Strom Pipeline'!R57="to be offered")+('MiT Strom Pipeline'!R57="on hold")&gt;0,IF(LEN('MiT Strom Pipeline'!V57)&gt;0,LEFT('MiT Strom Pipeline'!V57,55),""),"")</f>
        <v/>
      </c>
    </row>
    <row r="127" customFormat="false" ht="15.75" hidden="false" customHeight="true" outlineLevel="0" collapsed="false">
      <c r="A127" s="30" t="str">
        <f aca="false">IF(('MiT Strom Pipeline'!R58="offered")+('MiT Strom Pipeline'!R58="to be offered")+('MiT Strom Pipeline'!R58="on hold")&gt;0,IF(ISNUMBER('MiT Strom Pipeline'!A58),'MiT Strom Pipeline'!A58,""),"")</f>
        <v/>
      </c>
      <c r="B127" s="31" t="str">
        <f aca="false">IF(('MiT Strom Pipeline'!R58="offered")+('MiT Strom Pipeline'!R58="to be offered")+('MiT Strom Pipeline'!R58="on hold")&gt;0,'MiT Strom Pipeline'!B58,"")</f>
        <v/>
      </c>
      <c r="C127" s="30" t="str">
        <f aca="false">IF(('MiT Strom Pipeline'!R58="offered")+('MiT Strom Pipeline'!R58="to be offered")+('MiT Strom Pipeline'!R58="on hold")&gt;0,'MiT Strom Pipeline'!C58,"")</f>
        <v/>
      </c>
      <c r="D127" s="31" t="str">
        <f aca="false">IF(('MiT Strom Pipeline'!R58="offered")+('MiT Strom Pipeline'!R58="to be offered")+('MiT Strom Pipeline'!R58="on hold")&gt;0,'MiT Strom Pipeline'!D58,"")</f>
        <v/>
      </c>
      <c r="E127" s="31" t="str">
        <f aca="false">IF(('MiT Strom Pipeline'!R58="offered")+('MiT Strom Pipeline'!R58="to be offered")+('MiT Strom Pipeline'!R58="on hold")&gt;0,'MiT Strom Pipeline'!E58,"")</f>
        <v/>
      </c>
      <c r="F127" s="73" t="str">
        <f aca="false">IF(('MiT Strom Pipeline'!R58="offered")+('MiT Strom Pipeline'!R58="to be offered")+('MiT Strom Pipeline'!R58="on hold")&gt;0,IF(ISNUMBER('MiT Strom Pipeline'!I58),'MiT Strom Pipeline'!I58,0),"")</f>
        <v/>
      </c>
      <c r="G127" s="73" t="str">
        <f aca="false">IF(('MiT Strom Pipeline'!R58="offered")+('MiT Strom Pipeline'!R58="to be offered")+('MiT Strom Pipeline'!R58="on hold")&gt;0,IF(ISNUMBER('MiT Strom Pipeline'!Q58),'MiT Strom Pipeline'!Q58,0),"")</f>
        <v/>
      </c>
      <c r="H127" s="30" t="str">
        <f aca="false">IF(('MiT Strom Pipeline'!R58="offered")+('MiT Strom Pipeline'!R58="to be offered")+('MiT Strom Pipeline'!R58="on hold")&gt;0,'MiT Strom Pipeline'!R58,"")</f>
        <v/>
      </c>
      <c r="I127" s="30" t="str">
        <f aca="false">IF(('MiT Strom Pipeline'!R58="offered")+('MiT Strom Pipeline'!R58="to be offered")+('MiT Strom Pipeline'!R58="on hold")&gt;0,'MiT Strom Pipeline'!S58,"")</f>
        <v/>
      </c>
      <c r="J127" s="31" t="str">
        <f aca="false">IF(('MiT Strom Pipeline'!R58="offered")+('MiT Strom Pipeline'!R58="to be offered")+('MiT Strom Pipeline'!R58="on hold")&gt;0,IF(LEN('MiT Strom Pipeline'!V58)&gt;0,LEFT('MiT Strom Pipeline'!V58,55),""),"")</f>
        <v/>
      </c>
    </row>
    <row r="128" customFormat="false" ht="15.75" hidden="false" customHeight="true" outlineLevel="0" collapsed="false">
      <c r="A128" s="22" t="str">
        <f aca="false">IF(('MiT Strom Pipeline'!R59="offered")+('MiT Strom Pipeline'!R59="to be offered")+('MiT Strom Pipeline'!R59="on hold")&gt;0,IF(ISNUMBER('MiT Strom Pipeline'!A59),'MiT Strom Pipeline'!A59,""),"")</f>
        <v/>
      </c>
      <c r="B128" s="23" t="str">
        <f aca="false">IF(('MiT Strom Pipeline'!R59="offered")+('MiT Strom Pipeline'!R59="to be offered")+('MiT Strom Pipeline'!R59="on hold")&gt;0,'MiT Strom Pipeline'!B59,"")</f>
        <v/>
      </c>
      <c r="C128" s="22" t="str">
        <f aca="false">IF(('MiT Strom Pipeline'!R59="offered")+('MiT Strom Pipeline'!R59="to be offered")+('MiT Strom Pipeline'!R59="on hold")&gt;0,'MiT Strom Pipeline'!C59,"")</f>
        <v/>
      </c>
      <c r="D128" s="23" t="str">
        <f aca="false">IF(('MiT Strom Pipeline'!R59="offered")+('MiT Strom Pipeline'!R59="to be offered")+('MiT Strom Pipeline'!R59="on hold")&gt;0,'MiT Strom Pipeline'!D59,"")</f>
        <v/>
      </c>
      <c r="E128" s="23" t="str">
        <f aca="false">IF(('MiT Strom Pipeline'!R59="offered")+('MiT Strom Pipeline'!R59="to be offered")+('MiT Strom Pipeline'!R59="on hold")&gt;0,'MiT Strom Pipeline'!E59,"")</f>
        <v/>
      </c>
      <c r="F128" s="70" t="str">
        <f aca="false">IF(('MiT Strom Pipeline'!R59="offered")+('MiT Strom Pipeline'!R59="to be offered")+('MiT Strom Pipeline'!R59="on hold")&gt;0,IF(ISNUMBER('MiT Strom Pipeline'!I59),'MiT Strom Pipeline'!I59,0),"")</f>
        <v/>
      </c>
      <c r="G128" s="70" t="str">
        <f aca="false">IF(('MiT Strom Pipeline'!R59="offered")+('MiT Strom Pipeline'!R59="to be offered")+('MiT Strom Pipeline'!R59="on hold")&gt;0,IF(ISNUMBER('MiT Strom Pipeline'!Q59),'MiT Strom Pipeline'!Q59,0),"")</f>
        <v/>
      </c>
      <c r="H128" s="22" t="str">
        <f aca="false">IF(('MiT Strom Pipeline'!R59="offered")+('MiT Strom Pipeline'!R59="to be offered")+('MiT Strom Pipeline'!R59="on hold")&gt;0,'MiT Strom Pipeline'!R59,"")</f>
        <v/>
      </c>
      <c r="I128" s="22" t="str">
        <f aca="false">IF(('MiT Strom Pipeline'!R59="offered")+('MiT Strom Pipeline'!R59="to be offered")+('MiT Strom Pipeline'!R59="on hold")&gt;0,'MiT Strom Pipeline'!S59,"")</f>
        <v/>
      </c>
      <c r="J128" s="23" t="str">
        <f aca="false">IF(('MiT Strom Pipeline'!R59="offered")+('MiT Strom Pipeline'!R59="to be offered")+('MiT Strom Pipeline'!R59="on hold")&gt;0,IF(LEN('MiT Strom Pipeline'!V59)&gt;0,LEFT('MiT Strom Pipeline'!V59,55),""),"")</f>
        <v/>
      </c>
    </row>
    <row r="129" customFormat="false" ht="15.75" hidden="false" customHeight="true" outlineLevel="0" collapsed="false">
      <c r="A129" s="30" t="str">
        <f aca="false">IF(('MiT Strom Pipeline'!R60="offered")+('MiT Strom Pipeline'!R60="to be offered")+('MiT Strom Pipeline'!R60="on hold")&gt;0,IF(ISNUMBER('MiT Strom Pipeline'!A60),'MiT Strom Pipeline'!A60,""),"")</f>
        <v/>
      </c>
      <c r="B129" s="31" t="str">
        <f aca="false">IF(('MiT Strom Pipeline'!R60="offered")+('MiT Strom Pipeline'!R60="to be offered")+('MiT Strom Pipeline'!R60="on hold")&gt;0,'MiT Strom Pipeline'!B60,"")</f>
        <v/>
      </c>
      <c r="C129" s="30" t="str">
        <f aca="false">IF(('MiT Strom Pipeline'!R60="offered")+('MiT Strom Pipeline'!R60="to be offered")+('MiT Strom Pipeline'!R60="on hold")&gt;0,'MiT Strom Pipeline'!C60,"")</f>
        <v/>
      </c>
      <c r="D129" s="31" t="str">
        <f aca="false">IF(('MiT Strom Pipeline'!R60="offered")+('MiT Strom Pipeline'!R60="to be offered")+('MiT Strom Pipeline'!R60="on hold")&gt;0,'MiT Strom Pipeline'!D60,"")</f>
        <v/>
      </c>
      <c r="E129" s="31" t="str">
        <f aca="false">IF(('MiT Strom Pipeline'!R60="offered")+('MiT Strom Pipeline'!R60="to be offered")+('MiT Strom Pipeline'!R60="on hold")&gt;0,'MiT Strom Pipeline'!E60,"")</f>
        <v/>
      </c>
      <c r="F129" s="73" t="str">
        <f aca="false">IF(('MiT Strom Pipeline'!R60="offered")+('MiT Strom Pipeline'!R60="to be offered")+('MiT Strom Pipeline'!R60="on hold")&gt;0,IF(ISNUMBER('MiT Strom Pipeline'!I60),'MiT Strom Pipeline'!I60,0),"")</f>
        <v/>
      </c>
      <c r="G129" s="73" t="str">
        <f aca="false">IF(('MiT Strom Pipeline'!R60="offered")+('MiT Strom Pipeline'!R60="to be offered")+('MiT Strom Pipeline'!R60="on hold")&gt;0,IF(ISNUMBER('MiT Strom Pipeline'!Q60),'MiT Strom Pipeline'!Q60,0),"")</f>
        <v/>
      </c>
      <c r="H129" s="30" t="str">
        <f aca="false">IF(('MiT Strom Pipeline'!R60="offered")+('MiT Strom Pipeline'!R60="to be offered")+('MiT Strom Pipeline'!R60="on hold")&gt;0,'MiT Strom Pipeline'!R60,"")</f>
        <v/>
      </c>
      <c r="I129" s="30" t="str">
        <f aca="false">IF(('MiT Strom Pipeline'!R60="offered")+('MiT Strom Pipeline'!R60="to be offered")+('MiT Strom Pipeline'!R60="on hold")&gt;0,'MiT Strom Pipeline'!S60,"")</f>
        <v/>
      </c>
      <c r="J129" s="31" t="str">
        <f aca="false">IF(('MiT Strom Pipeline'!R60="offered")+('MiT Strom Pipeline'!R60="to be offered")+('MiT Strom Pipeline'!R60="on hold")&gt;0,IF(LEN('MiT Strom Pipeline'!V60)&gt;0,LEFT('MiT Strom Pipeline'!V60,55),""),"")</f>
        <v/>
      </c>
    </row>
    <row r="130" customFormat="false" ht="15.75" hidden="false" customHeight="true" outlineLevel="0" collapsed="false">
      <c r="A130" s="22" t="str">
        <f aca="false">IF(('MiT Strom Pipeline'!R61="offered")+('MiT Strom Pipeline'!R61="to be offered")+('MiT Strom Pipeline'!R61="on hold")&gt;0,IF(ISNUMBER('MiT Strom Pipeline'!A61),'MiT Strom Pipeline'!A61,""),"")</f>
        <v/>
      </c>
      <c r="B130" s="23" t="str">
        <f aca="false">IF(('MiT Strom Pipeline'!R61="offered")+('MiT Strom Pipeline'!R61="to be offered")+('MiT Strom Pipeline'!R61="on hold")&gt;0,'MiT Strom Pipeline'!B61,"")</f>
        <v/>
      </c>
      <c r="C130" s="22" t="str">
        <f aca="false">IF(('MiT Strom Pipeline'!R61="offered")+('MiT Strom Pipeline'!R61="to be offered")+('MiT Strom Pipeline'!R61="on hold")&gt;0,'MiT Strom Pipeline'!C61,"")</f>
        <v/>
      </c>
      <c r="D130" s="23" t="str">
        <f aca="false">IF(('MiT Strom Pipeline'!R61="offered")+('MiT Strom Pipeline'!R61="to be offered")+('MiT Strom Pipeline'!R61="on hold")&gt;0,'MiT Strom Pipeline'!D61,"")</f>
        <v/>
      </c>
      <c r="E130" s="23" t="str">
        <f aca="false">IF(('MiT Strom Pipeline'!R61="offered")+('MiT Strom Pipeline'!R61="to be offered")+('MiT Strom Pipeline'!R61="on hold")&gt;0,'MiT Strom Pipeline'!E61,"")</f>
        <v/>
      </c>
      <c r="F130" s="70" t="str">
        <f aca="false">IF(('MiT Strom Pipeline'!R61="offered")+('MiT Strom Pipeline'!R61="to be offered")+('MiT Strom Pipeline'!R61="on hold")&gt;0,IF(ISNUMBER('MiT Strom Pipeline'!I61),'MiT Strom Pipeline'!I61,0),"")</f>
        <v/>
      </c>
      <c r="G130" s="70" t="str">
        <f aca="false">IF(('MiT Strom Pipeline'!R61="offered")+('MiT Strom Pipeline'!R61="to be offered")+('MiT Strom Pipeline'!R61="on hold")&gt;0,IF(ISNUMBER('MiT Strom Pipeline'!Q61),'MiT Strom Pipeline'!Q61,0),"")</f>
        <v/>
      </c>
      <c r="H130" s="22" t="str">
        <f aca="false">IF(('MiT Strom Pipeline'!R61="offered")+('MiT Strom Pipeline'!R61="to be offered")+('MiT Strom Pipeline'!R61="on hold")&gt;0,'MiT Strom Pipeline'!R61,"")</f>
        <v/>
      </c>
      <c r="I130" s="22" t="str">
        <f aca="false">IF(('MiT Strom Pipeline'!R61="offered")+('MiT Strom Pipeline'!R61="to be offered")+('MiT Strom Pipeline'!R61="on hold")&gt;0,'MiT Strom Pipeline'!S61,"")</f>
        <v/>
      </c>
      <c r="J130" s="23" t="str">
        <f aca="false">IF(('MiT Strom Pipeline'!R61="offered")+('MiT Strom Pipeline'!R61="to be offered")+('MiT Strom Pipeline'!R61="on hold")&gt;0,IF(LEN('MiT Strom Pipeline'!V61)&gt;0,LEFT('MiT Strom Pipeline'!V61,55),""),"")</f>
        <v/>
      </c>
    </row>
    <row r="131" customFormat="false" ht="15.75" hidden="false" customHeight="true" outlineLevel="0" collapsed="false">
      <c r="A131" s="30" t="str">
        <f aca="false">IF(('MiT Strom Pipeline'!R62="offered")+('MiT Strom Pipeline'!R62="to be offered")+('MiT Strom Pipeline'!R62="on hold")&gt;0,IF(ISNUMBER('MiT Strom Pipeline'!A62),'MiT Strom Pipeline'!A62,""),"")</f>
        <v/>
      </c>
      <c r="B131" s="31" t="str">
        <f aca="false">IF(('MiT Strom Pipeline'!R62="offered")+('MiT Strom Pipeline'!R62="to be offered")+('MiT Strom Pipeline'!R62="on hold")&gt;0,'MiT Strom Pipeline'!B62,"")</f>
        <v/>
      </c>
      <c r="C131" s="30" t="str">
        <f aca="false">IF(('MiT Strom Pipeline'!R62="offered")+('MiT Strom Pipeline'!R62="to be offered")+('MiT Strom Pipeline'!R62="on hold")&gt;0,'MiT Strom Pipeline'!C62,"")</f>
        <v/>
      </c>
      <c r="D131" s="31" t="str">
        <f aca="false">IF(('MiT Strom Pipeline'!R62="offered")+('MiT Strom Pipeline'!R62="to be offered")+('MiT Strom Pipeline'!R62="on hold")&gt;0,'MiT Strom Pipeline'!D62,"")</f>
        <v/>
      </c>
      <c r="E131" s="31" t="str">
        <f aca="false">IF(('MiT Strom Pipeline'!R62="offered")+('MiT Strom Pipeline'!R62="to be offered")+('MiT Strom Pipeline'!R62="on hold")&gt;0,'MiT Strom Pipeline'!E62,"")</f>
        <v/>
      </c>
      <c r="F131" s="73" t="str">
        <f aca="false">IF(('MiT Strom Pipeline'!R62="offered")+('MiT Strom Pipeline'!R62="to be offered")+('MiT Strom Pipeline'!R62="on hold")&gt;0,IF(ISNUMBER('MiT Strom Pipeline'!I62),'MiT Strom Pipeline'!I62,0),"")</f>
        <v/>
      </c>
      <c r="G131" s="73" t="str">
        <f aca="false">IF(('MiT Strom Pipeline'!R62="offered")+('MiT Strom Pipeline'!R62="to be offered")+('MiT Strom Pipeline'!R62="on hold")&gt;0,IF(ISNUMBER('MiT Strom Pipeline'!Q62),'MiT Strom Pipeline'!Q62,0),"")</f>
        <v/>
      </c>
      <c r="H131" s="30" t="str">
        <f aca="false">IF(('MiT Strom Pipeline'!R62="offered")+('MiT Strom Pipeline'!R62="to be offered")+('MiT Strom Pipeline'!R62="on hold")&gt;0,'MiT Strom Pipeline'!R62,"")</f>
        <v/>
      </c>
      <c r="I131" s="30" t="str">
        <f aca="false">IF(('MiT Strom Pipeline'!R62="offered")+('MiT Strom Pipeline'!R62="to be offered")+('MiT Strom Pipeline'!R62="on hold")&gt;0,'MiT Strom Pipeline'!S62,"")</f>
        <v/>
      </c>
      <c r="J131" s="31" t="str">
        <f aca="false">IF(('MiT Strom Pipeline'!R62="offered")+('MiT Strom Pipeline'!R62="to be offered")+('MiT Strom Pipeline'!R62="on hold")&gt;0,IF(LEN('MiT Strom Pipeline'!V62)&gt;0,LEFT('MiT Strom Pipeline'!V62,55),""),"")</f>
        <v/>
      </c>
    </row>
    <row r="132" customFormat="false" ht="15.75" hidden="false" customHeight="true" outlineLevel="0" collapsed="false">
      <c r="A132" s="22" t="str">
        <f aca="false">IF(('MiT Strom Pipeline'!R63="offered")+('MiT Strom Pipeline'!R63="to be offered")+('MiT Strom Pipeline'!R63="on hold")&gt;0,IF(ISNUMBER('MiT Strom Pipeline'!A63),'MiT Strom Pipeline'!A63,""),"")</f>
        <v/>
      </c>
      <c r="B132" s="23" t="str">
        <f aca="false">IF(('MiT Strom Pipeline'!R63="offered")+('MiT Strom Pipeline'!R63="to be offered")+('MiT Strom Pipeline'!R63="on hold")&gt;0,'MiT Strom Pipeline'!B63,"")</f>
        <v/>
      </c>
      <c r="C132" s="22" t="str">
        <f aca="false">IF(('MiT Strom Pipeline'!R63="offered")+('MiT Strom Pipeline'!R63="to be offered")+('MiT Strom Pipeline'!R63="on hold")&gt;0,'MiT Strom Pipeline'!C63,"")</f>
        <v/>
      </c>
      <c r="D132" s="23" t="str">
        <f aca="false">IF(('MiT Strom Pipeline'!R63="offered")+('MiT Strom Pipeline'!R63="to be offered")+('MiT Strom Pipeline'!R63="on hold")&gt;0,'MiT Strom Pipeline'!D63,"")</f>
        <v/>
      </c>
      <c r="E132" s="23" t="str">
        <f aca="false">IF(('MiT Strom Pipeline'!R63="offered")+('MiT Strom Pipeline'!R63="to be offered")+('MiT Strom Pipeline'!R63="on hold")&gt;0,'MiT Strom Pipeline'!E63,"")</f>
        <v/>
      </c>
      <c r="F132" s="70" t="str">
        <f aca="false">IF(('MiT Strom Pipeline'!R63="offered")+('MiT Strom Pipeline'!R63="to be offered")+('MiT Strom Pipeline'!R63="on hold")&gt;0,IF(ISNUMBER('MiT Strom Pipeline'!I63),'MiT Strom Pipeline'!I63,0),"")</f>
        <v/>
      </c>
      <c r="G132" s="70" t="str">
        <f aca="false">IF(('MiT Strom Pipeline'!R63="offered")+('MiT Strom Pipeline'!R63="to be offered")+('MiT Strom Pipeline'!R63="on hold")&gt;0,IF(ISNUMBER('MiT Strom Pipeline'!Q63),'MiT Strom Pipeline'!Q63,0),"")</f>
        <v/>
      </c>
      <c r="H132" s="22" t="str">
        <f aca="false">IF(('MiT Strom Pipeline'!R63="offered")+('MiT Strom Pipeline'!R63="to be offered")+('MiT Strom Pipeline'!R63="on hold")&gt;0,'MiT Strom Pipeline'!R63,"")</f>
        <v/>
      </c>
      <c r="I132" s="22" t="str">
        <f aca="false">IF(('MiT Strom Pipeline'!R63="offered")+('MiT Strom Pipeline'!R63="to be offered")+('MiT Strom Pipeline'!R63="on hold")&gt;0,'MiT Strom Pipeline'!S63,"")</f>
        <v/>
      </c>
      <c r="J132" s="23" t="str">
        <f aca="false">IF(('MiT Strom Pipeline'!R63="offered")+('MiT Strom Pipeline'!R63="to be offered")+('MiT Strom Pipeline'!R63="on hold")&gt;0,IF(LEN('MiT Strom Pipeline'!V63)&gt;0,LEFT('MiT Strom Pipeline'!V63,55),""),"")</f>
        <v/>
      </c>
    </row>
    <row r="133" customFormat="false" ht="15.75" hidden="false" customHeight="true" outlineLevel="0" collapsed="false">
      <c r="A133" s="30" t="str">
        <f aca="false">IF(('MiT Strom Pipeline'!R64="offered")+('MiT Strom Pipeline'!R64="to be offered")+('MiT Strom Pipeline'!R64="on hold")&gt;0,IF(ISNUMBER('MiT Strom Pipeline'!A64),'MiT Strom Pipeline'!A64,""),"")</f>
        <v/>
      </c>
      <c r="B133" s="31" t="str">
        <f aca="false">IF(('MiT Strom Pipeline'!R64="offered")+('MiT Strom Pipeline'!R64="to be offered")+('MiT Strom Pipeline'!R64="on hold")&gt;0,'MiT Strom Pipeline'!B64,"")</f>
        <v/>
      </c>
      <c r="C133" s="30" t="str">
        <f aca="false">IF(('MiT Strom Pipeline'!R64="offered")+('MiT Strom Pipeline'!R64="to be offered")+('MiT Strom Pipeline'!R64="on hold")&gt;0,'MiT Strom Pipeline'!C64,"")</f>
        <v/>
      </c>
      <c r="D133" s="31" t="str">
        <f aca="false">IF(('MiT Strom Pipeline'!R64="offered")+('MiT Strom Pipeline'!R64="to be offered")+('MiT Strom Pipeline'!R64="on hold")&gt;0,'MiT Strom Pipeline'!D64,"")</f>
        <v/>
      </c>
      <c r="E133" s="31" t="str">
        <f aca="false">IF(('MiT Strom Pipeline'!R64="offered")+('MiT Strom Pipeline'!R64="to be offered")+('MiT Strom Pipeline'!R64="on hold")&gt;0,'MiT Strom Pipeline'!E64,"")</f>
        <v/>
      </c>
      <c r="F133" s="73" t="str">
        <f aca="false">IF(('MiT Strom Pipeline'!R64="offered")+('MiT Strom Pipeline'!R64="to be offered")+('MiT Strom Pipeline'!R64="on hold")&gt;0,IF(ISNUMBER('MiT Strom Pipeline'!I64),'MiT Strom Pipeline'!I64,0),"")</f>
        <v/>
      </c>
      <c r="G133" s="73" t="str">
        <f aca="false">IF(('MiT Strom Pipeline'!R64="offered")+('MiT Strom Pipeline'!R64="to be offered")+('MiT Strom Pipeline'!R64="on hold")&gt;0,IF(ISNUMBER('MiT Strom Pipeline'!Q64),'MiT Strom Pipeline'!Q64,0),"")</f>
        <v/>
      </c>
      <c r="H133" s="30" t="str">
        <f aca="false">IF(('MiT Strom Pipeline'!R64="offered")+('MiT Strom Pipeline'!R64="to be offered")+('MiT Strom Pipeline'!R64="on hold")&gt;0,'MiT Strom Pipeline'!R64,"")</f>
        <v/>
      </c>
      <c r="I133" s="30" t="str">
        <f aca="false">IF(('MiT Strom Pipeline'!R64="offered")+('MiT Strom Pipeline'!R64="to be offered")+('MiT Strom Pipeline'!R64="on hold")&gt;0,'MiT Strom Pipeline'!S64,"")</f>
        <v/>
      </c>
      <c r="J133" s="31" t="str">
        <f aca="false">IF(('MiT Strom Pipeline'!R64="offered")+('MiT Strom Pipeline'!R64="to be offered")+('MiT Strom Pipeline'!R64="on hold")&gt;0,IF(LEN('MiT Strom Pipeline'!V64)&gt;0,LEFT('MiT Strom Pipeline'!V64,55),""),"")</f>
        <v/>
      </c>
    </row>
    <row r="134" customFormat="false" ht="15.75" hidden="false" customHeight="true" outlineLevel="0" collapsed="false">
      <c r="A134" s="22" t="str">
        <f aca="false">IF(('MiT Strom Pipeline'!R65="offered")+('MiT Strom Pipeline'!R65="to be offered")+('MiT Strom Pipeline'!R65="on hold")&gt;0,IF(ISNUMBER('MiT Strom Pipeline'!A65),'MiT Strom Pipeline'!A65,""),"")</f>
        <v/>
      </c>
      <c r="B134" s="23" t="str">
        <f aca="false">IF(('MiT Strom Pipeline'!R65="offered")+('MiT Strom Pipeline'!R65="to be offered")+('MiT Strom Pipeline'!R65="on hold")&gt;0,'MiT Strom Pipeline'!B65,"")</f>
        <v/>
      </c>
      <c r="C134" s="22" t="str">
        <f aca="false">IF(('MiT Strom Pipeline'!R65="offered")+('MiT Strom Pipeline'!R65="to be offered")+('MiT Strom Pipeline'!R65="on hold")&gt;0,'MiT Strom Pipeline'!C65,"")</f>
        <v/>
      </c>
      <c r="D134" s="23" t="str">
        <f aca="false">IF(('MiT Strom Pipeline'!R65="offered")+('MiT Strom Pipeline'!R65="to be offered")+('MiT Strom Pipeline'!R65="on hold")&gt;0,'MiT Strom Pipeline'!D65,"")</f>
        <v/>
      </c>
      <c r="E134" s="23" t="str">
        <f aca="false">IF(('MiT Strom Pipeline'!R65="offered")+('MiT Strom Pipeline'!R65="to be offered")+('MiT Strom Pipeline'!R65="on hold")&gt;0,'MiT Strom Pipeline'!E65,"")</f>
        <v/>
      </c>
      <c r="F134" s="70" t="str">
        <f aca="false">IF(('MiT Strom Pipeline'!R65="offered")+('MiT Strom Pipeline'!R65="to be offered")+('MiT Strom Pipeline'!R65="on hold")&gt;0,IF(ISNUMBER('MiT Strom Pipeline'!I65),'MiT Strom Pipeline'!I65,0),"")</f>
        <v/>
      </c>
      <c r="G134" s="70" t="str">
        <f aca="false">IF(('MiT Strom Pipeline'!R65="offered")+('MiT Strom Pipeline'!R65="to be offered")+('MiT Strom Pipeline'!R65="on hold")&gt;0,IF(ISNUMBER('MiT Strom Pipeline'!Q65),'MiT Strom Pipeline'!Q65,0),"")</f>
        <v/>
      </c>
      <c r="H134" s="22" t="str">
        <f aca="false">IF(('MiT Strom Pipeline'!R65="offered")+('MiT Strom Pipeline'!R65="to be offered")+('MiT Strom Pipeline'!R65="on hold")&gt;0,'MiT Strom Pipeline'!R65,"")</f>
        <v/>
      </c>
      <c r="I134" s="22" t="str">
        <f aca="false">IF(('MiT Strom Pipeline'!R65="offered")+('MiT Strom Pipeline'!R65="to be offered")+('MiT Strom Pipeline'!R65="on hold")&gt;0,'MiT Strom Pipeline'!S65,"")</f>
        <v/>
      </c>
      <c r="J134" s="23" t="str">
        <f aca="false">IF(('MiT Strom Pipeline'!R65="offered")+('MiT Strom Pipeline'!R65="to be offered")+('MiT Strom Pipeline'!R65="on hold")&gt;0,IF(LEN('MiT Strom Pipeline'!V65)&gt;0,LEFT('MiT Strom Pipeline'!V65,55),""),"")</f>
        <v/>
      </c>
    </row>
    <row r="135" customFormat="false" ht="21.75" hidden="false" customHeight="true" outlineLevel="0" collapsed="false">
      <c r="A135" s="34" t="str">
        <f aca="false">IF(('MiT Strom Pipeline'!R66="offered")+('MiT Strom Pipeline'!R66="to be offered")+('MiT Strom Pipeline'!R66="on hold")&gt;0,IF(ISNUMBER('MiT Strom Pipeline'!A66),'MiT Strom Pipeline'!A66,""),"")</f>
        <v/>
      </c>
      <c r="B135" s="35" t="str">
        <f aca="false">IF(('MiT Strom Pipeline'!R66="offered")+('MiT Strom Pipeline'!R66="to be offered")+('MiT Strom Pipeline'!R66="on hold")&gt;0,'MiT Strom Pipeline'!B66,"")</f>
        <v/>
      </c>
      <c r="C135" s="35"/>
      <c r="D135" s="35"/>
      <c r="E135" s="35"/>
      <c r="F135" s="74" t="str">
        <f aca="false">IF(('MiT Strom Pipeline'!R66="offered")+('MiT Strom Pipeline'!R66="to be offered")+('MiT Strom Pipeline'!R66="on hold")&gt;0,IF(ISNUMBER('MiT Strom Pipeline'!I66),'MiT Strom Pipeline'!I66,0),"")</f>
        <v/>
      </c>
      <c r="G135" s="75" t="str">
        <f aca="false">IF(('MiT Strom Pipeline'!R66="offered")+('MiT Strom Pipeline'!R66="to be offered")+('MiT Strom Pipeline'!R66="on hold")&gt;0,IF(ISNUMBER('MiT Strom Pipeline'!Q66),'MiT Strom Pipeline'!Q66,0),"")</f>
        <v/>
      </c>
      <c r="H135" s="34" t="str">
        <f aca="false">IF(('MiT Strom Pipeline'!R66="offered")+('MiT Strom Pipeline'!R66="to be offered")+('MiT Strom Pipeline'!R66="on hold")&gt;0,'MiT Strom Pipeline'!R66,"")</f>
        <v/>
      </c>
      <c r="I135" s="34" t="str">
        <f aca="false">IF(('MiT Strom Pipeline'!R66="offered")+('MiT Strom Pipeline'!R66="to be offered")+('MiT Strom Pipeline'!R66="on hold")&gt;0,'MiT Strom Pipeline'!S66,"")</f>
        <v/>
      </c>
      <c r="J135" s="34" t="str">
        <f aca="false">IF(('MiT Strom Pipeline'!R66="offered")+('MiT Strom Pipeline'!R66="to be offered")+('MiT Strom Pipeline'!R66="on hold")&gt;0,IF(LEN('MiT Strom Pipeline'!V66)&gt;0,LEFT('MiT Strom Pipeline'!V66,55),""),"")</f>
        <v/>
      </c>
    </row>
    <row r="136" customFormat="false" ht="3.75" hidden="false" customHeight="true" outlineLevel="0" collapsed="false">
      <c r="A136" s="1" t="str">
        <f aca="false">IF(('MiT Strom Pipeline'!R67="offered")+('MiT Strom Pipeline'!R67="to be offered")+('MiT Strom Pipeline'!R67="on hold")&gt;0,IF(ISNUMBER('MiT Strom Pipeline'!A67),'MiT Strom Pipeline'!A67,""),"")</f>
        <v/>
      </c>
      <c r="B136" s="1" t="str">
        <f aca="false">IF(('MiT Strom Pipeline'!R67="offered")+('MiT Strom Pipeline'!R67="to be offered")+('MiT Strom Pipeline'!R67="on hold")&gt;0,'MiT Strom Pipeline'!B67,"")</f>
        <v/>
      </c>
      <c r="C136" s="1" t="str">
        <f aca="false">IF(('MiT Strom Pipeline'!R67="offered")+('MiT Strom Pipeline'!R67="to be offered")+('MiT Strom Pipeline'!R67="on hold")&gt;0,'MiT Strom Pipeline'!C67,"")</f>
        <v/>
      </c>
      <c r="D136" s="1" t="str">
        <f aca="false">IF(('MiT Strom Pipeline'!R67="offered")+('MiT Strom Pipeline'!R67="to be offered")+('MiT Strom Pipeline'!R67="on hold")&gt;0,'MiT Strom Pipeline'!D67,"")</f>
        <v/>
      </c>
      <c r="E136" s="1" t="str">
        <f aca="false">IF(('MiT Strom Pipeline'!R67="offered")+('MiT Strom Pipeline'!R67="to be offered")+('MiT Strom Pipeline'!R67="on hold")&gt;0,'MiT Strom Pipeline'!E67,"")</f>
        <v/>
      </c>
      <c r="F136" s="53" t="str">
        <f aca="false">IF(('MiT Strom Pipeline'!R67="offered")+('MiT Strom Pipeline'!R67="to be offered")+('MiT Strom Pipeline'!R67="on hold")&gt;0,IF(ISNUMBER('MiT Strom Pipeline'!I67),'MiT Strom Pipeline'!I67,0),"")</f>
        <v/>
      </c>
      <c r="G136" s="53" t="str">
        <f aca="false">IF(('MiT Strom Pipeline'!R67="offered")+('MiT Strom Pipeline'!R67="to be offered")+('MiT Strom Pipeline'!R67="on hold")&gt;0,IF(ISNUMBER('MiT Strom Pipeline'!Q67),'MiT Strom Pipeline'!Q67,0),"")</f>
        <v/>
      </c>
      <c r="H136" s="1" t="str">
        <f aca="false">IF(('MiT Strom Pipeline'!R67="offered")+('MiT Strom Pipeline'!R67="to be offered")+('MiT Strom Pipeline'!R67="on hold")&gt;0,'MiT Strom Pipeline'!R67,"")</f>
        <v/>
      </c>
      <c r="I136" s="1" t="str">
        <f aca="false">IF(('MiT Strom Pipeline'!R67="offered")+('MiT Strom Pipeline'!R67="to be offered")+('MiT Strom Pipeline'!R67="on hold")&gt;0,'MiT Strom Pipeline'!S67,"")</f>
        <v/>
      </c>
      <c r="J136" s="1" t="str">
        <f aca="false">IF(('MiT Strom Pipeline'!R67="offered")+('MiT Strom Pipeline'!R67="to be offered")+('MiT Strom Pipeline'!R67="on hold")&gt;0,IF(LEN('MiT Strom Pipeline'!V67)&gt;0,LEFT('MiT Strom Pipeline'!V67,55),""),"")</f>
        <v/>
      </c>
    </row>
    <row r="137" customFormat="false" ht="24" hidden="false" customHeight="true" outlineLevel="0" collapsed="false">
      <c r="A137" s="37" t="s">
        <v>18</v>
      </c>
      <c r="B137" s="37"/>
      <c r="C137" s="37"/>
      <c r="D137" s="37"/>
      <c r="E137" s="37"/>
      <c r="F137" s="37"/>
      <c r="G137" s="37"/>
      <c r="H137" s="37"/>
      <c r="I137" s="37"/>
      <c r="J137" s="37"/>
    </row>
    <row r="138" customFormat="false" ht="19.5" hidden="false" customHeight="true" outlineLevel="0" collapsed="false">
      <c r="A138" s="16" t="s">
        <v>6</v>
      </c>
      <c r="B138" s="17" t="s">
        <v>7</v>
      </c>
      <c r="C138" s="16" t="s">
        <v>8</v>
      </c>
      <c r="D138" s="17" t="s">
        <v>9</v>
      </c>
      <c r="E138" s="17" t="s">
        <v>10</v>
      </c>
      <c r="F138" s="68" t="s">
        <v>11</v>
      </c>
      <c r="G138" s="68" t="s">
        <v>12</v>
      </c>
      <c r="H138" s="16" t="s">
        <v>14</v>
      </c>
      <c r="I138" s="16" t="s">
        <v>15</v>
      </c>
      <c r="J138" s="17" t="s">
        <v>16</v>
      </c>
    </row>
    <row r="139" customFormat="false" ht="15.75" hidden="false" customHeight="true" outlineLevel="0" collapsed="false">
      <c r="A139" s="38" t="str">
        <f aca="false">IF(('MiT Strom Pipeline'!R6="follow-up")+('MiT Strom Pipeline'!R6="Evaluation")+('MiT Strom Pipeline'!R6="tbd")+('MiT Strom Pipeline'!R6="In evaluation")&gt;0,IF(ISNUMBER('MiT Strom Pipeline'!A6),'MiT Strom Pipeline'!A6,""),"")</f>
        <v/>
      </c>
      <c r="B139" s="39" t="str">
        <f aca="false">IF(('MiT Strom Pipeline'!R6="follow-up")+('MiT Strom Pipeline'!R6="Evaluation")+('MiT Strom Pipeline'!R6="tbd")+('MiT Strom Pipeline'!R6="In evaluation")&gt;0,'MiT Strom Pipeline'!B6,"")</f>
        <v/>
      </c>
      <c r="C139" s="38" t="str">
        <f aca="false">IF(('MiT Strom Pipeline'!R6="follow-up")+('MiT Strom Pipeline'!R6="Evaluation")+('MiT Strom Pipeline'!R6="tbd")+('MiT Strom Pipeline'!R6="In evaluation")&gt;0,'MiT Strom Pipeline'!C6,"")</f>
        <v/>
      </c>
      <c r="D139" s="39" t="str">
        <f aca="false">IF(('MiT Strom Pipeline'!R6="follow-up")+('MiT Strom Pipeline'!R6="Evaluation")+('MiT Strom Pipeline'!R6="tbd")+('MiT Strom Pipeline'!R6="In evaluation")&gt;0,'MiT Strom Pipeline'!D6,"")</f>
        <v/>
      </c>
      <c r="E139" s="39" t="str">
        <f aca="false">IF(('MiT Strom Pipeline'!R6="follow-up")+('MiT Strom Pipeline'!R6="Evaluation")+('MiT Strom Pipeline'!R6="tbd")+('MiT Strom Pipeline'!R6="In evaluation")&gt;0,'MiT Strom Pipeline'!E6,"")</f>
        <v/>
      </c>
      <c r="F139" s="76" t="str">
        <f aca="false">IF(('MiT Strom Pipeline'!R6="follow-up")+('MiT Strom Pipeline'!R6="Evaluation")+('MiT Strom Pipeline'!R6="tbd")+('MiT Strom Pipeline'!R6="In evaluation")&gt;0,IF(ISNUMBER('MiT Strom Pipeline'!I6),'MiT Strom Pipeline'!I6,0),"")</f>
        <v/>
      </c>
      <c r="G139" s="76" t="str">
        <f aca="false">IF(('MiT Strom Pipeline'!R6="follow-up")+('MiT Strom Pipeline'!R6="Evaluation")+('MiT Strom Pipeline'!R6="tbd")+('MiT Strom Pipeline'!R6="In evaluation")&gt;0,IF(ISNUMBER('MiT Strom Pipeline'!Q6),'MiT Strom Pipeline'!Q6,0),"")</f>
        <v/>
      </c>
      <c r="H139" s="38" t="str">
        <f aca="false">IF(('MiT Strom Pipeline'!R6="follow-up")+('MiT Strom Pipeline'!R6="Evaluation")+('MiT Strom Pipeline'!R6="tbd")+('MiT Strom Pipeline'!R6="In evaluation")&gt;0,'MiT Strom Pipeline'!R6,"")</f>
        <v/>
      </c>
      <c r="I139" s="38" t="str">
        <f aca="false">IF(('MiT Strom Pipeline'!R6="follow-up")+('MiT Strom Pipeline'!R6="Evaluation")+('MiT Strom Pipeline'!R6="tbd")+('MiT Strom Pipeline'!R6="In evaluation")&gt;0,'MiT Strom Pipeline'!S6,"")</f>
        <v/>
      </c>
      <c r="J139" s="39" t="str">
        <f aca="false">IF(('MiT Strom Pipeline'!R6="follow-up")+('MiT Strom Pipeline'!R6="Evaluation")+('MiT Strom Pipeline'!R6="tbd")+('MiT Strom Pipeline'!R6="In evaluation")&gt;0,IF(LEN('MiT Strom Pipeline'!V6)&gt;0,LEFT('MiT Strom Pipeline'!V6,55),""),"")</f>
        <v/>
      </c>
    </row>
    <row r="140" customFormat="false" ht="15.75" hidden="false" customHeight="true" outlineLevel="0" collapsed="false">
      <c r="A140" s="22" t="str">
        <f aca="false">IF(('MiT Strom Pipeline'!R7="follow-up")+('MiT Strom Pipeline'!R7="Evaluation")+('MiT Strom Pipeline'!R7="tbd")+('MiT Strom Pipeline'!R7="In evaluation")&gt;0,IF(ISNUMBER('MiT Strom Pipeline'!A7),'MiT Strom Pipeline'!A7,""),"")</f>
        <v/>
      </c>
      <c r="B140" s="23" t="str">
        <f aca="false">IF(('MiT Strom Pipeline'!R7="follow-up")+('MiT Strom Pipeline'!R7="Evaluation")+('MiT Strom Pipeline'!R7="tbd")+('MiT Strom Pipeline'!R7="In evaluation")&gt;0,'MiT Strom Pipeline'!B7,"")</f>
        <v/>
      </c>
      <c r="C140" s="22" t="str">
        <f aca="false">IF(('MiT Strom Pipeline'!R7="follow-up")+('MiT Strom Pipeline'!R7="Evaluation")+('MiT Strom Pipeline'!R7="tbd")+('MiT Strom Pipeline'!R7="In evaluation")&gt;0,'MiT Strom Pipeline'!C7,"")</f>
        <v/>
      </c>
      <c r="D140" s="23" t="str">
        <f aca="false">IF(('MiT Strom Pipeline'!R7="follow-up")+('MiT Strom Pipeline'!R7="Evaluation")+('MiT Strom Pipeline'!R7="tbd")+('MiT Strom Pipeline'!R7="In evaluation")&gt;0,'MiT Strom Pipeline'!D7,"")</f>
        <v/>
      </c>
      <c r="E140" s="23" t="str">
        <f aca="false">IF(('MiT Strom Pipeline'!R7="follow-up")+('MiT Strom Pipeline'!R7="Evaluation")+('MiT Strom Pipeline'!R7="tbd")+('MiT Strom Pipeline'!R7="In evaluation")&gt;0,'MiT Strom Pipeline'!E7,"")</f>
        <v/>
      </c>
      <c r="F140" s="70" t="str">
        <f aca="false">IF(('MiT Strom Pipeline'!R7="follow-up")+('MiT Strom Pipeline'!R7="Evaluation")+('MiT Strom Pipeline'!R7="tbd")+('MiT Strom Pipeline'!R7="In evaluation")&gt;0,IF(ISNUMBER('MiT Strom Pipeline'!I7),'MiT Strom Pipeline'!I7,0),"")</f>
        <v/>
      </c>
      <c r="G140" s="70" t="str">
        <f aca="false">IF(('MiT Strom Pipeline'!R7="follow-up")+('MiT Strom Pipeline'!R7="Evaluation")+('MiT Strom Pipeline'!R7="tbd")+('MiT Strom Pipeline'!R7="In evaluation")&gt;0,IF(ISNUMBER('MiT Strom Pipeline'!Q7),'MiT Strom Pipeline'!Q7,0),"")</f>
        <v/>
      </c>
      <c r="H140" s="22" t="str">
        <f aca="false">IF(('MiT Strom Pipeline'!R7="follow-up")+('MiT Strom Pipeline'!R7="Evaluation")+('MiT Strom Pipeline'!R7="tbd")+('MiT Strom Pipeline'!R7="In evaluation")&gt;0,'MiT Strom Pipeline'!R7,"")</f>
        <v/>
      </c>
      <c r="I140" s="22" t="str">
        <f aca="false">IF(('MiT Strom Pipeline'!R7="follow-up")+('MiT Strom Pipeline'!R7="Evaluation")+('MiT Strom Pipeline'!R7="tbd")+('MiT Strom Pipeline'!R7="In evaluation")&gt;0,'MiT Strom Pipeline'!S7,"")</f>
        <v/>
      </c>
      <c r="J140" s="23" t="str">
        <f aca="false">IF(('MiT Strom Pipeline'!R7="follow-up")+('MiT Strom Pipeline'!R7="Evaluation")+('MiT Strom Pipeline'!R7="tbd")+('MiT Strom Pipeline'!R7="In evaluation")&gt;0,IF(LEN('MiT Strom Pipeline'!V7)&gt;0,LEFT('MiT Strom Pipeline'!V7,55),""),"")</f>
        <v/>
      </c>
    </row>
    <row r="141" customFormat="false" ht="15.75" hidden="false" customHeight="true" outlineLevel="0" collapsed="false">
      <c r="A141" s="38" t="str">
        <f aca="false">IF(('MiT Strom Pipeline'!R8="follow-up")+('MiT Strom Pipeline'!R8="Evaluation")+('MiT Strom Pipeline'!R8="tbd")+('MiT Strom Pipeline'!R8="In evaluation")&gt;0,IF(ISNUMBER('MiT Strom Pipeline'!A8),'MiT Strom Pipeline'!A8,""),"")</f>
        <v/>
      </c>
      <c r="B141" s="39" t="str">
        <f aca="false">IF(('MiT Strom Pipeline'!R8="follow-up")+('MiT Strom Pipeline'!R8="Evaluation")+('MiT Strom Pipeline'!R8="tbd")+('MiT Strom Pipeline'!R8="In evaluation")&gt;0,'MiT Strom Pipeline'!B8,"")</f>
        <v/>
      </c>
      <c r="C141" s="38" t="str">
        <f aca="false">IF(('MiT Strom Pipeline'!R8="follow-up")+('MiT Strom Pipeline'!R8="Evaluation")+('MiT Strom Pipeline'!R8="tbd")+('MiT Strom Pipeline'!R8="In evaluation")&gt;0,'MiT Strom Pipeline'!C8,"")</f>
        <v/>
      </c>
      <c r="D141" s="39" t="str">
        <f aca="false">IF(('MiT Strom Pipeline'!R8="follow-up")+('MiT Strom Pipeline'!R8="Evaluation")+('MiT Strom Pipeline'!R8="tbd")+('MiT Strom Pipeline'!R8="In evaluation")&gt;0,'MiT Strom Pipeline'!D8,"")</f>
        <v/>
      </c>
      <c r="E141" s="39" t="str">
        <f aca="false">IF(('MiT Strom Pipeline'!R8="follow-up")+('MiT Strom Pipeline'!R8="Evaluation")+('MiT Strom Pipeline'!R8="tbd")+('MiT Strom Pipeline'!R8="In evaluation")&gt;0,'MiT Strom Pipeline'!E8,"")</f>
        <v/>
      </c>
      <c r="F141" s="76" t="str">
        <f aca="false">IF(('MiT Strom Pipeline'!R8="follow-up")+('MiT Strom Pipeline'!R8="Evaluation")+('MiT Strom Pipeline'!R8="tbd")+('MiT Strom Pipeline'!R8="In evaluation")&gt;0,IF(ISNUMBER('MiT Strom Pipeline'!I8),'MiT Strom Pipeline'!I8,0),"")</f>
        <v/>
      </c>
      <c r="G141" s="76" t="str">
        <f aca="false">IF(('MiT Strom Pipeline'!R8="follow-up")+('MiT Strom Pipeline'!R8="Evaluation")+('MiT Strom Pipeline'!R8="tbd")+('MiT Strom Pipeline'!R8="In evaluation")&gt;0,IF(ISNUMBER('MiT Strom Pipeline'!Q8),'MiT Strom Pipeline'!Q8,0),"")</f>
        <v/>
      </c>
      <c r="H141" s="38" t="str">
        <f aca="false">IF(('MiT Strom Pipeline'!R8="follow-up")+('MiT Strom Pipeline'!R8="Evaluation")+('MiT Strom Pipeline'!R8="tbd")+('MiT Strom Pipeline'!R8="In evaluation")&gt;0,'MiT Strom Pipeline'!R8,"")</f>
        <v/>
      </c>
      <c r="I141" s="38" t="str">
        <f aca="false">IF(('MiT Strom Pipeline'!R8="follow-up")+('MiT Strom Pipeline'!R8="Evaluation")+('MiT Strom Pipeline'!R8="tbd")+('MiT Strom Pipeline'!R8="In evaluation")&gt;0,'MiT Strom Pipeline'!S8,"")</f>
        <v/>
      </c>
      <c r="J141" s="39" t="str">
        <f aca="false">IF(('MiT Strom Pipeline'!R8="follow-up")+('MiT Strom Pipeline'!R8="Evaluation")+('MiT Strom Pipeline'!R8="tbd")+('MiT Strom Pipeline'!R8="In evaluation")&gt;0,IF(LEN('MiT Strom Pipeline'!V8)&gt;0,LEFT('MiT Strom Pipeline'!V8,55),""),"")</f>
        <v/>
      </c>
    </row>
    <row r="142" customFormat="false" ht="15.75" hidden="false" customHeight="true" outlineLevel="0" collapsed="false">
      <c r="A142" s="22" t="str">
        <f aca="false">IF(('MiT Strom Pipeline'!R9="follow-up")+('MiT Strom Pipeline'!R9="Evaluation")+('MiT Strom Pipeline'!R9="tbd")+('MiT Strom Pipeline'!R9="In evaluation")&gt;0,IF(ISNUMBER('MiT Strom Pipeline'!A9),'MiT Strom Pipeline'!A9,""),"")</f>
        <v/>
      </c>
      <c r="B142" s="23" t="str">
        <f aca="false">IF(('MiT Strom Pipeline'!R9="follow-up")+('MiT Strom Pipeline'!R9="Evaluation")+('MiT Strom Pipeline'!R9="tbd")+('MiT Strom Pipeline'!R9="In evaluation")&gt;0,'MiT Strom Pipeline'!B9,"")</f>
        <v/>
      </c>
      <c r="C142" s="22" t="str">
        <f aca="false">IF(('MiT Strom Pipeline'!R9="follow-up")+('MiT Strom Pipeline'!R9="Evaluation")+('MiT Strom Pipeline'!R9="tbd")+('MiT Strom Pipeline'!R9="In evaluation")&gt;0,'MiT Strom Pipeline'!C9,"")</f>
        <v/>
      </c>
      <c r="D142" s="23" t="str">
        <f aca="false">IF(('MiT Strom Pipeline'!R9="follow-up")+('MiT Strom Pipeline'!R9="Evaluation")+('MiT Strom Pipeline'!R9="tbd")+('MiT Strom Pipeline'!R9="In evaluation")&gt;0,'MiT Strom Pipeline'!D9,"")</f>
        <v/>
      </c>
      <c r="E142" s="23" t="str">
        <f aca="false">IF(('MiT Strom Pipeline'!R9="follow-up")+('MiT Strom Pipeline'!R9="Evaluation")+('MiT Strom Pipeline'!R9="tbd")+('MiT Strom Pipeline'!R9="In evaluation")&gt;0,'MiT Strom Pipeline'!E9,"")</f>
        <v/>
      </c>
      <c r="F142" s="70" t="str">
        <f aca="false">IF(('MiT Strom Pipeline'!R9="follow-up")+('MiT Strom Pipeline'!R9="Evaluation")+('MiT Strom Pipeline'!R9="tbd")+('MiT Strom Pipeline'!R9="In evaluation")&gt;0,IF(ISNUMBER('MiT Strom Pipeline'!I9),'MiT Strom Pipeline'!I9,0),"")</f>
        <v/>
      </c>
      <c r="G142" s="70" t="str">
        <f aca="false">IF(('MiT Strom Pipeline'!R9="follow-up")+('MiT Strom Pipeline'!R9="Evaluation")+('MiT Strom Pipeline'!R9="tbd")+('MiT Strom Pipeline'!R9="In evaluation")&gt;0,IF(ISNUMBER('MiT Strom Pipeline'!Q9),'MiT Strom Pipeline'!Q9,0),"")</f>
        <v/>
      </c>
      <c r="H142" s="22" t="str">
        <f aca="false">IF(('MiT Strom Pipeline'!R9="follow-up")+('MiT Strom Pipeline'!R9="Evaluation")+('MiT Strom Pipeline'!R9="tbd")+('MiT Strom Pipeline'!R9="In evaluation")&gt;0,'MiT Strom Pipeline'!R9,"")</f>
        <v/>
      </c>
      <c r="I142" s="22" t="str">
        <f aca="false">IF(('MiT Strom Pipeline'!R9="follow-up")+('MiT Strom Pipeline'!R9="Evaluation")+('MiT Strom Pipeline'!R9="tbd")+('MiT Strom Pipeline'!R9="In evaluation")&gt;0,'MiT Strom Pipeline'!S9,"")</f>
        <v/>
      </c>
      <c r="J142" s="23" t="str">
        <f aca="false">IF(('MiT Strom Pipeline'!R9="follow-up")+('MiT Strom Pipeline'!R9="Evaluation")+('MiT Strom Pipeline'!R9="tbd")+('MiT Strom Pipeline'!R9="In evaluation")&gt;0,IF(LEN('MiT Strom Pipeline'!V9)&gt;0,LEFT('MiT Strom Pipeline'!V9,55),""),"")</f>
        <v/>
      </c>
    </row>
    <row r="143" customFormat="false" ht="15.75" hidden="false" customHeight="true" outlineLevel="0" collapsed="false">
      <c r="A143" s="38" t="str">
        <f aca="false">IF(('MiT Strom Pipeline'!R10="follow-up")+('MiT Strom Pipeline'!R10="Evaluation")+('MiT Strom Pipeline'!R10="tbd")+('MiT Strom Pipeline'!R10="In evaluation")&gt;0,IF(ISNUMBER('MiT Strom Pipeline'!A10),'MiT Strom Pipeline'!A10,""),"")</f>
        <v/>
      </c>
      <c r="B143" s="39" t="str">
        <f aca="false">IF(('MiT Strom Pipeline'!R10="follow-up")+('MiT Strom Pipeline'!R10="Evaluation")+('MiT Strom Pipeline'!R10="tbd")+('MiT Strom Pipeline'!R10="In evaluation")&gt;0,'MiT Strom Pipeline'!B10,"")</f>
        <v/>
      </c>
      <c r="C143" s="38" t="str">
        <f aca="false">IF(('MiT Strom Pipeline'!R10="follow-up")+('MiT Strom Pipeline'!R10="Evaluation")+('MiT Strom Pipeline'!R10="tbd")+('MiT Strom Pipeline'!R10="In evaluation")&gt;0,'MiT Strom Pipeline'!C10,"")</f>
        <v/>
      </c>
      <c r="D143" s="39" t="str">
        <f aca="false">IF(('MiT Strom Pipeline'!R10="follow-up")+('MiT Strom Pipeline'!R10="Evaluation")+('MiT Strom Pipeline'!R10="tbd")+('MiT Strom Pipeline'!R10="In evaluation")&gt;0,'MiT Strom Pipeline'!D10,"")</f>
        <v/>
      </c>
      <c r="E143" s="39" t="str">
        <f aca="false">IF(('MiT Strom Pipeline'!R10="follow-up")+('MiT Strom Pipeline'!R10="Evaluation")+('MiT Strom Pipeline'!R10="tbd")+('MiT Strom Pipeline'!R10="In evaluation")&gt;0,'MiT Strom Pipeline'!E10,"")</f>
        <v/>
      </c>
      <c r="F143" s="76" t="str">
        <f aca="false">IF(('MiT Strom Pipeline'!R10="follow-up")+('MiT Strom Pipeline'!R10="Evaluation")+('MiT Strom Pipeline'!R10="tbd")+('MiT Strom Pipeline'!R10="In evaluation")&gt;0,IF(ISNUMBER('MiT Strom Pipeline'!I10),'MiT Strom Pipeline'!I10,0),"")</f>
        <v/>
      </c>
      <c r="G143" s="76" t="str">
        <f aca="false">IF(('MiT Strom Pipeline'!R10="follow-up")+('MiT Strom Pipeline'!R10="Evaluation")+('MiT Strom Pipeline'!R10="tbd")+('MiT Strom Pipeline'!R10="In evaluation")&gt;0,IF(ISNUMBER('MiT Strom Pipeline'!Q10),'MiT Strom Pipeline'!Q10,0),"")</f>
        <v/>
      </c>
      <c r="H143" s="38" t="str">
        <f aca="false">IF(('MiT Strom Pipeline'!R10="follow-up")+('MiT Strom Pipeline'!R10="Evaluation")+('MiT Strom Pipeline'!R10="tbd")+('MiT Strom Pipeline'!R10="In evaluation")&gt;0,'MiT Strom Pipeline'!R10,"")</f>
        <v/>
      </c>
      <c r="I143" s="38" t="str">
        <f aca="false">IF(('MiT Strom Pipeline'!R10="follow-up")+('MiT Strom Pipeline'!R10="Evaluation")+('MiT Strom Pipeline'!R10="tbd")+('MiT Strom Pipeline'!R10="In evaluation")&gt;0,'MiT Strom Pipeline'!S10,"")</f>
        <v/>
      </c>
      <c r="J143" s="39" t="str">
        <f aca="false">IF(('MiT Strom Pipeline'!R10="follow-up")+('MiT Strom Pipeline'!R10="Evaluation")+('MiT Strom Pipeline'!R10="tbd")+('MiT Strom Pipeline'!R10="In evaluation")&gt;0,IF(LEN('MiT Strom Pipeline'!V10)&gt;0,LEFT('MiT Strom Pipeline'!V10,55),""),"")</f>
        <v/>
      </c>
    </row>
    <row r="144" customFormat="false" ht="15.75" hidden="false" customHeight="true" outlineLevel="0" collapsed="false">
      <c r="A144" s="22" t="str">
        <f aca="false">IF(('MiT Strom Pipeline'!R11="follow-up")+('MiT Strom Pipeline'!R11="Evaluation")+('MiT Strom Pipeline'!R11="tbd")+('MiT Strom Pipeline'!R11="In evaluation")&gt;0,IF(ISNUMBER('MiT Strom Pipeline'!A11),'MiT Strom Pipeline'!A11,""),"")</f>
        <v/>
      </c>
      <c r="B144" s="23" t="str">
        <f aca="false">IF(('MiT Strom Pipeline'!R11="follow-up")+('MiT Strom Pipeline'!R11="Evaluation")+('MiT Strom Pipeline'!R11="tbd")+('MiT Strom Pipeline'!R11="In evaluation")&gt;0,'MiT Strom Pipeline'!B11,"")</f>
        <v/>
      </c>
      <c r="C144" s="22" t="str">
        <f aca="false">IF(('MiT Strom Pipeline'!R11="follow-up")+('MiT Strom Pipeline'!R11="Evaluation")+('MiT Strom Pipeline'!R11="tbd")+('MiT Strom Pipeline'!R11="In evaluation")&gt;0,'MiT Strom Pipeline'!C11,"")</f>
        <v/>
      </c>
      <c r="D144" s="23" t="str">
        <f aca="false">IF(('MiT Strom Pipeline'!R11="follow-up")+('MiT Strom Pipeline'!R11="Evaluation")+('MiT Strom Pipeline'!R11="tbd")+('MiT Strom Pipeline'!R11="In evaluation")&gt;0,'MiT Strom Pipeline'!D11,"")</f>
        <v/>
      </c>
      <c r="E144" s="23" t="str">
        <f aca="false">IF(('MiT Strom Pipeline'!R11="follow-up")+('MiT Strom Pipeline'!R11="Evaluation")+('MiT Strom Pipeline'!R11="tbd")+('MiT Strom Pipeline'!R11="In evaluation")&gt;0,'MiT Strom Pipeline'!E11,"")</f>
        <v/>
      </c>
      <c r="F144" s="70" t="str">
        <f aca="false">IF(('MiT Strom Pipeline'!R11="follow-up")+('MiT Strom Pipeline'!R11="Evaluation")+('MiT Strom Pipeline'!R11="tbd")+('MiT Strom Pipeline'!R11="In evaluation")&gt;0,IF(ISNUMBER('MiT Strom Pipeline'!I11),'MiT Strom Pipeline'!I11,0),"")</f>
        <v/>
      </c>
      <c r="G144" s="70" t="str">
        <f aca="false">IF(('MiT Strom Pipeline'!R11="follow-up")+('MiT Strom Pipeline'!R11="Evaluation")+('MiT Strom Pipeline'!R11="tbd")+('MiT Strom Pipeline'!R11="In evaluation")&gt;0,IF(ISNUMBER('MiT Strom Pipeline'!Q11),'MiT Strom Pipeline'!Q11,0),"")</f>
        <v/>
      </c>
      <c r="H144" s="22" t="str">
        <f aca="false">IF(('MiT Strom Pipeline'!R11="follow-up")+('MiT Strom Pipeline'!R11="Evaluation")+('MiT Strom Pipeline'!R11="tbd")+('MiT Strom Pipeline'!R11="In evaluation")&gt;0,'MiT Strom Pipeline'!R11,"")</f>
        <v/>
      </c>
      <c r="I144" s="22" t="str">
        <f aca="false">IF(('MiT Strom Pipeline'!R11="follow-up")+('MiT Strom Pipeline'!R11="Evaluation")+('MiT Strom Pipeline'!R11="tbd")+('MiT Strom Pipeline'!R11="In evaluation")&gt;0,'MiT Strom Pipeline'!S11,"")</f>
        <v/>
      </c>
      <c r="J144" s="23" t="str">
        <f aca="false">IF(('MiT Strom Pipeline'!R11="follow-up")+('MiT Strom Pipeline'!R11="Evaluation")+('MiT Strom Pipeline'!R11="tbd")+('MiT Strom Pipeline'!R11="In evaluation")&gt;0,IF(LEN('MiT Strom Pipeline'!V11)&gt;0,LEFT('MiT Strom Pipeline'!V11,55),""),"")</f>
        <v/>
      </c>
    </row>
    <row r="145" customFormat="false" ht="15.75" hidden="false" customHeight="true" outlineLevel="0" collapsed="false">
      <c r="A145" s="38" t="n">
        <f aca="false">IF(('MiT Strom Pipeline'!R12="follow-up")+('MiT Strom Pipeline'!R12="Evaluation")+('MiT Strom Pipeline'!R12="tbd")+('MiT Strom Pipeline'!R12="In evaluation")&gt;0,IF(ISNUMBER('MiT Strom Pipeline'!A12),'MiT Strom Pipeline'!A12,""),"")</f>
        <v>8</v>
      </c>
      <c r="B145" s="39" t="str">
        <f aca="false">IF(('MiT Strom Pipeline'!R12="follow-up")+('MiT Strom Pipeline'!R12="Evaluation")+('MiT Strom Pipeline'!R12="tbd")+('MiT Strom Pipeline'!R12="In evaluation")&gt;0,'MiT Strom Pipeline'!B12,"")</f>
        <v>Sade CGTH (Schweiz)</v>
      </c>
      <c r="C145" s="38" t="str">
        <f aca="false">IF(('MiT Strom Pipeline'!R12="follow-up")+('MiT Strom Pipeline'!R12="Evaluation")+('MiT Strom Pipeline'!R12="tbd")+('MiT Strom Pipeline'!R12="In evaluation")&gt;0,'MiT Strom Pipeline'!C12,"")</f>
        <v>GE</v>
      </c>
      <c r="D145" s="39" t="str">
        <f aca="false">IF(('MiT Strom Pipeline'!R12="follow-up")+('MiT Strom Pipeline'!R12="Evaluation")+('MiT Strom Pipeline'!R12="tbd")+('MiT Strom Pipeline'!R12="In evaluation")&gt;0,'MiT Strom Pipeline'!D12,"")</f>
        <v>Infrastruktur / Bau</v>
      </c>
      <c r="E145" s="39" t="str">
        <f aca="false">IF(('MiT Strom Pipeline'!R12="follow-up")+('MiT Strom Pipeline'!R12="Evaluation")+('MiT Strom Pipeline'!R12="tbd")+('MiT Strom Pipeline'!R12="In evaluation")&gt;0,'MiT Strom Pipeline'!E12,"")</f>
        <v>750 kVA Generator</v>
      </c>
      <c r="F145" s="76" t="n">
        <f aca="false">IF(('MiT Strom Pipeline'!R12="follow-up")+('MiT Strom Pipeline'!R12="Evaluation")+('MiT Strom Pipeline'!R12="tbd")+('MiT Strom Pipeline'!R12="In evaluation")&gt;0,IF(ISNUMBER('MiT Strom Pipeline'!I12),'MiT Strom Pipeline'!I12,0),"")</f>
        <v>38885</v>
      </c>
      <c r="G145" s="76" t="n">
        <f aca="false">IF(('MiT Strom Pipeline'!R12="follow-up")+('MiT Strom Pipeline'!R12="Evaluation")+('MiT Strom Pipeline'!R12="tbd")+('MiT Strom Pipeline'!R12="In evaluation")&gt;0,IF(ISNUMBER('MiT Strom Pipeline'!Q12),'MiT Strom Pipeline'!Q12,0),"")</f>
        <v>19442.5</v>
      </c>
      <c r="H145" s="38" t="str">
        <f aca="false">IF(('MiT Strom Pipeline'!R12="follow-up")+('MiT Strom Pipeline'!R12="Evaluation")+('MiT Strom Pipeline'!R12="tbd")+('MiT Strom Pipeline'!R12="In evaluation")&gt;0,'MiT Strom Pipeline'!R12,"")</f>
        <v>follow-up</v>
      </c>
      <c r="I145" s="38" t="n">
        <f aca="false">IF(('MiT Strom Pipeline'!R12="follow-up")+('MiT Strom Pipeline'!R12="Evaluation")+('MiT Strom Pipeline'!R12="tbd")+('MiT Strom Pipeline'!R12="In evaluation")&gt;0,'MiT Strom Pipeline'!S12,"")</f>
        <v>50</v>
      </c>
      <c r="J145" s="39" t="str">
        <f aca="false">IF(('MiT Strom Pipeline'!R12="follow-up")+('MiT Strom Pipeline'!R12="Evaluation")+('MiT Strom Pipeline'!R12="tbd")+('MiT Strom Pipeline'!R12="In evaluation")&gt;0,IF(LEN('MiT Strom Pipeline'!V12)&gt;0,LEFT('MiT Strom Pipeline'!V12,55),""),"")</f>
        <v>Auftragsbestätigung anfordern – Entscheid steht bevor</v>
      </c>
    </row>
    <row r="146" customFormat="false" ht="15.75" hidden="false" customHeight="true" outlineLevel="0" collapsed="false">
      <c r="A146" s="22" t="n">
        <f aca="false">IF(('MiT Strom Pipeline'!R13="follow-up")+('MiT Strom Pipeline'!R13="Evaluation")+('MiT Strom Pipeline'!R13="tbd")+('MiT Strom Pipeline'!R13="In evaluation")&gt;0,IF(ISNUMBER('MiT Strom Pipeline'!A13),'MiT Strom Pipeline'!A13,""),"")</f>
        <v>9</v>
      </c>
      <c r="B146" s="23" t="str">
        <f aca="false">IF(('MiT Strom Pipeline'!R13="follow-up")+('MiT Strom Pipeline'!R13="Evaluation")+('MiT Strom Pipeline'!R13="tbd")+('MiT Strom Pipeline'!R13="In evaluation")&gt;0,'MiT Strom Pipeline'!B13,"")</f>
        <v>Badermetaux Sàrl (Schweiz)</v>
      </c>
      <c r="C146" s="22" t="str">
        <f aca="false">IF(('MiT Strom Pipeline'!R13="follow-up")+('MiT Strom Pipeline'!R13="Evaluation")+('MiT Strom Pipeline'!R13="tbd")+('MiT Strom Pipeline'!R13="In evaluation")&gt;0,'MiT Strom Pipeline'!C13,"")</f>
        <v>ZH</v>
      </c>
      <c r="D146" s="23" t="str">
        <f aca="false">IF(('MiT Strom Pipeline'!R13="follow-up")+('MiT Strom Pipeline'!R13="Evaluation")+('MiT Strom Pipeline'!R13="tbd")+('MiT Strom Pipeline'!R13="In evaluation")&gt;0,'MiT Strom Pipeline'!D13,"")</f>
        <v>Industrie / Metall</v>
      </c>
      <c r="E146" s="23" t="str">
        <f aca="false">IF(('MiT Strom Pipeline'!R13="follow-up")+('MiT Strom Pipeline'!R13="Evaluation")+('MiT Strom Pipeline'!R13="tbd")+('MiT Strom Pipeline'!R13="In evaluation")&gt;0,'MiT Strom Pipeline'!E13,"")</f>
        <v>600 kVA Langzeitmiete</v>
      </c>
      <c r="F146" s="70" t="n">
        <f aca="false">IF(('MiT Strom Pipeline'!R13="follow-up")+('MiT Strom Pipeline'!R13="Evaluation")+('MiT Strom Pipeline'!R13="tbd")+('MiT Strom Pipeline'!R13="In evaluation")&gt;0,IF(ISNUMBER('MiT Strom Pipeline'!I13),'MiT Strom Pipeline'!I13,0),"")</f>
        <v>500000</v>
      </c>
      <c r="G146" s="70" t="n">
        <f aca="false">IF(('MiT Strom Pipeline'!R13="follow-up")+('MiT Strom Pipeline'!R13="Evaluation")+('MiT Strom Pipeline'!R13="tbd")+('MiT Strom Pipeline'!R13="In evaluation")&gt;0,IF(ISNUMBER('MiT Strom Pipeline'!Q13),'MiT Strom Pipeline'!Q13,0),"")</f>
        <v>50000</v>
      </c>
      <c r="H146" s="22" t="str">
        <f aca="false">IF(('MiT Strom Pipeline'!R13="follow-up")+('MiT Strom Pipeline'!R13="Evaluation")+('MiT Strom Pipeline'!R13="tbd")+('MiT Strom Pipeline'!R13="In evaluation")&gt;0,'MiT Strom Pipeline'!R13,"")</f>
        <v>follow-up</v>
      </c>
      <c r="I146" s="22" t="n">
        <f aca="false">IF(('MiT Strom Pipeline'!R13="follow-up")+('MiT Strom Pipeline'!R13="Evaluation")+('MiT Strom Pipeline'!R13="tbd")+('MiT Strom Pipeline'!R13="In evaluation")&gt;0,'MiT Strom Pipeline'!S13,"")</f>
        <v>10</v>
      </c>
      <c r="J146" s="23" t="str">
        <f aca="false">IF(('MiT Strom Pipeline'!R13="follow-up")+('MiT Strom Pipeline'!R13="Evaluation")+('MiT Strom Pipeline'!R13="tbd")+('MiT Strom Pipeline'!R13="In evaluation")&gt;0,IF(LEN('MiT Strom Pipeline'!V13)&gt;0,LEFT('MiT Strom Pipeline'!V13,55),""),"")</f>
        <v>PQ-Analyse + Langzeitkonzept vorlegen</v>
      </c>
    </row>
    <row r="147" customFormat="false" ht="15.75" hidden="false" customHeight="true" outlineLevel="0" collapsed="false">
      <c r="A147" s="38" t="n">
        <f aca="false">IF(('MiT Strom Pipeline'!R14="follow-up")+('MiT Strom Pipeline'!R14="Evaluation")+('MiT Strom Pipeline'!R14="tbd")+('MiT Strom Pipeline'!R14="In evaluation")&gt;0,IF(ISNUMBER('MiT Strom Pipeline'!A14),'MiT Strom Pipeline'!A14,""),"")</f>
        <v>10</v>
      </c>
      <c r="B147" s="39" t="str">
        <f aca="false">IF(('MiT Strom Pipeline'!R14="follow-up")+('MiT Strom Pipeline'!R14="Evaluation")+('MiT Strom Pipeline'!R14="tbd")+('MiT Strom Pipeline'!R14="In evaluation")&gt;0,'MiT Strom Pipeline'!B14,"")</f>
        <v>Murg Flums Energie</v>
      </c>
      <c r="C147" s="38" t="str">
        <f aca="false">IF(('MiT Strom Pipeline'!R14="follow-up")+('MiT Strom Pipeline'!R14="Evaluation")+('MiT Strom Pipeline'!R14="tbd")+('MiT Strom Pipeline'!R14="In evaluation")&gt;0,'MiT Strom Pipeline'!C14,"")</f>
        <v>SG</v>
      </c>
      <c r="D147" s="39" t="str">
        <f aca="false">IF(('MiT Strom Pipeline'!R14="follow-up")+('MiT Strom Pipeline'!R14="Evaluation")+('MiT Strom Pipeline'!R14="tbd")+('MiT Strom Pipeline'!R14="In evaluation")&gt;0,'MiT Strom Pipeline'!D14,"")</f>
        <v>EVU / Energie</v>
      </c>
      <c r="E147" s="39" t="str">
        <f aca="false">IF(('MiT Strom Pipeline'!R14="follow-up")+('MiT Strom Pipeline'!R14="Evaluation")+('MiT Strom Pipeline'!R14="tbd")+('MiT Strom Pipeline'!R14="In evaluation")&gt;0,'MiT Strom Pipeline'!E14,"")</f>
        <v>250 kVA Generator</v>
      </c>
      <c r="F147" s="76" t="n">
        <f aca="false">IF(('MiT Strom Pipeline'!R14="follow-up")+('MiT Strom Pipeline'!R14="Evaluation")+('MiT Strom Pipeline'!R14="tbd")+('MiT Strom Pipeline'!R14="In evaluation")&gt;0,IF(ISNUMBER('MiT Strom Pipeline'!I14),'MiT Strom Pipeline'!I14,0),"")</f>
        <v>96658.69</v>
      </c>
      <c r="G147" s="76" t="n">
        <f aca="false">IF(('MiT Strom Pipeline'!R14="follow-up")+('MiT Strom Pipeline'!R14="Evaluation")+('MiT Strom Pipeline'!R14="tbd")+('MiT Strom Pipeline'!R14="In evaluation")&gt;0,IF(ISNUMBER('MiT Strom Pipeline'!Q14),'MiT Strom Pipeline'!Q14,0),"")</f>
        <v>48329.345</v>
      </c>
      <c r="H147" s="38" t="str">
        <f aca="false">IF(('MiT Strom Pipeline'!R14="follow-up")+('MiT Strom Pipeline'!R14="Evaluation")+('MiT Strom Pipeline'!R14="tbd")+('MiT Strom Pipeline'!R14="In evaluation")&gt;0,'MiT Strom Pipeline'!R14,"")</f>
        <v>follow-up</v>
      </c>
      <c r="I147" s="38" t="n">
        <f aca="false">IF(('MiT Strom Pipeline'!R14="follow-up")+('MiT Strom Pipeline'!R14="Evaluation")+('MiT Strom Pipeline'!R14="tbd")+('MiT Strom Pipeline'!R14="In evaluation")&gt;0,'MiT Strom Pipeline'!S14,"")</f>
        <v>0.5</v>
      </c>
      <c r="J147" s="39" t="str">
        <f aca="false">IF(('MiT Strom Pipeline'!R14="follow-up")+('MiT Strom Pipeline'!R14="Evaluation")+('MiT Strom Pipeline'!R14="tbd")+('MiT Strom Pipeline'!R14="In evaluation")&gt;0,IF(LEN('MiT Strom Pipeline'!V14)&gt;0,LEFT('MiT Strom Pipeline'!V14,55),""),"")</f>
        <v>Bedarfsanalyse, NEA-Konzept vorschlagen, Termin vor Ort</v>
      </c>
    </row>
    <row r="148" customFormat="false" ht="15.75" hidden="false" customHeight="true" outlineLevel="0" collapsed="false">
      <c r="A148" s="22" t="n">
        <f aca="false">IF(('MiT Strom Pipeline'!R15="follow-up")+('MiT Strom Pipeline'!R15="Evaluation")+('MiT Strom Pipeline'!R15="tbd")+('MiT Strom Pipeline'!R15="In evaluation")&gt;0,IF(ISNUMBER('MiT Strom Pipeline'!A15),'MiT Strom Pipeline'!A15,""),"")</f>
        <v>11</v>
      </c>
      <c r="B148" s="23" t="str">
        <f aca="false">IF(('MiT Strom Pipeline'!R15="follow-up")+('MiT Strom Pipeline'!R15="Evaluation")+('MiT Strom Pipeline'!R15="tbd")+('MiT Strom Pipeline'!R15="In evaluation")&gt;0,'MiT Strom Pipeline'!B15,"")</f>
        <v>Burkhalter Technics AG</v>
      </c>
      <c r="C148" s="22" t="str">
        <f aca="false">IF(('MiT Strom Pipeline'!R15="follow-up")+('MiT Strom Pipeline'!R15="Evaluation")+('MiT Strom Pipeline'!R15="tbd")+('MiT Strom Pipeline'!R15="In evaluation")&gt;0,'MiT Strom Pipeline'!C15,"")</f>
        <v>ZH</v>
      </c>
      <c r="D148" s="23" t="str">
        <f aca="false">IF(('MiT Strom Pipeline'!R15="follow-up")+('MiT Strom Pipeline'!R15="Evaluation")+('MiT Strom Pipeline'!R15="tbd")+('MiT Strom Pipeline'!R15="In evaluation")&gt;0,'MiT Strom Pipeline'!D15,"")</f>
        <v>Elektroinstallation</v>
      </c>
      <c r="E148" s="23" t="str">
        <f aca="false">IF(('MiT Strom Pipeline'!R15="follow-up")+('MiT Strom Pipeline'!R15="Evaluation")+('MiT Strom Pipeline'!R15="tbd")+('MiT Strom Pipeline'!R15="In evaluation")&gt;0,'MiT Strom Pipeline'!E15,"")</f>
        <v>150 kVA Generator</v>
      </c>
      <c r="F148" s="70" t="n">
        <f aca="false">IF(('MiT Strom Pipeline'!R15="follow-up")+('MiT Strom Pipeline'!R15="Evaluation")+('MiT Strom Pipeline'!R15="tbd")+('MiT Strom Pipeline'!R15="In evaluation")&gt;0,IF(ISNUMBER('MiT Strom Pipeline'!I15),'MiT Strom Pipeline'!I15,0),"")</f>
        <v>0</v>
      </c>
      <c r="G148" s="70" t="n">
        <f aca="false">IF(('MiT Strom Pipeline'!R15="follow-up")+('MiT Strom Pipeline'!R15="Evaluation")+('MiT Strom Pipeline'!R15="tbd")+('MiT Strom Pipeline'!R15="In evaluation")&gt;0,IF(ISNUMBER('MiT Strom Pipeline'!Q15),'MiT Strom Pipeline'!Q15,0),"")</f>
        <v>0</v>
      </c>
      <c r="H148" s="22" t="str">
        <f aca="false">IF(('MiT Strom Pipeline'!R15="follow-up")+('MiT Strom Pipeline'!R15="Evaluation")+('MiT Strom Pipeline'!R15="tbd")+('MiT Strom Pipeline'!R15="In evaluation")&gt;0,'MiT Strom Pipeline'!R15,"")</f>
        <v>Evaluation</v>
      </c>
      <c r="I148" s="22" t="str">
        <f aca="false">IF(('MiT Strom Pipeline'!R15="follow-up")+('MiT Strom Pipeline'!R15="Evaluation")+('MiT Strom Pipeline'!R15="tbd")+('MiT Strom Pipeline'!R15="In evaluation")&gt;0,'MiT Strom Pipeline'!S15,"")</f>
        <v>40%</v>
      </c>
      <c r="J148" s="23" t="str">
        <f aca="false">IF(('MiT Strom Pipeline'!R15="follow-up")+('MiT Strom Pipeline'!R15="Evaluation")+('MiT Strom Pipeline'!R15="tbd")+('MiT Strom Pipeline'!R15="In evaluation")&gt;0,IF(LEN('MiT Strom Pipeline'!V15)&gt;0,LEFT('MiT Strom Pipeline'!V15,55),""),"")</f>
        <v>Angebot finalisieren – CBM-Beziehung nutzen, Abrufberei</v>
      </c>
    </row>
    <row r="149" customFormat="false" ht="15.75" hidden="false" customHeight="true" outlineLevel="0" collapsed="false">
      <c r="A149" s="38" t="n">
        <f aca="false">IF(('MiT Strom Pipeline'!R16="follow-up")+('MiT Strom Pipeline'!R16="Evaluation")+('MiT Strom Pipeline'!R16="tbd")+('MiT Strom Pipeline'!R16="In evaluation")&gt;0,IF(ISNUMBER('MiT Strom Pipeline'!A16),'MiT Strom Pipeline'!A16,""),"")</f>
        <v>12</v>
      </c>
      <c r="B149" s="39" t="str">
        <f aca="false">IF(('MiT Strom Pipeline'!R16="follow-up")+('MiT Strom Pipeline'!R16="Evaluation")+('MiT Strom Pipeline'!R16="tbd")+('MiT Strom Pipeline'!R16="In evaluation")&gt;0,'MiT Strom Pipeline'!B16,"")</f>
        <v>Show-Concept.ch AG</v>
      </c>
      <c r="C149" s="38" t="str">
        <f aca="false">IF(('MiT Strom Pipeline'!R16="follow-up")+('MiT Strom Pipeline'!R16="Evaluation")+('MiT Strom Pipeline'!R16="tbd")+('MiT Strom Pipeline'!R16="In evaluation")&gt;0,'MiT Strom Pipeline'!C16,"")</f>
        <v>ZH</v>
      </c>
      <c r="D149" s="39" t="str">
        <f aca="false">IF(('MiT Strom Pipeline'!R16="follow-up")+('MiT Strom Pipeline'!R16="Evaluation")+('MiT Strom Pipeline'!R16="tbd")+('MiT Strom Pipeline'!R16="In evaluation")&gt;0,'MiT Strom Pipeline'!D16,"")</f>
        <v>Events / Medien</v>
      </c>
      <c r="E149" s="39" t="str">
        <f aca="false">IF(('MiT Strom Pipeline'!R16="follow-up")+('MiT Strom Pipeline'!R16="Evaluation")+('MiT Strom Pipeline'!R16="tbd")+('MiT Strom Pipeline'!R16="In evaluation")&gt;0,'MiT Strom Pipeline'!E16,"")</f>
        <v>200 kW Lastbank</v>
      </c>
      <c r="F149" s="76" t="n">
        <f aca="false">IF(('MiT Strom Pipeline'!R16="follow-up")+('MiT Strom Pipeline'!R16="Evaluation")+('MiT Strom Pipeline'!R16="tbd")+('MiT Strom Pipeline'!R16="In evaluation")&gt;0,IF(ISNUMBER('MiT Strom Pipeline'!I16),'MiT Strom Pipeline'!I16,0),"")</f>
        <v>0</v>
      </c>
      <c r="G149" s="76" t="n">
        <f aca="false">IF(('MiT Strom Pipeline'!R16="follow-up")+('MiT Strom Pipeline'!R16="Evaluation")+('MiT Strom Pipeline'!R16="tbd")+('MiT Strom Pipeline'!R16="In evaluation")&gt;0,IF(ISNUMBER('MiT Strom Pipeline'!Q16),'MiT Strom Pipeline'!Q16,0),"")</f>
        <v>0</v>
      </c>
      <c r="H149" s="38" t="str">
        <f aca="false">IF(('MiT Strom Pipeline'!R16="follow-up")+('MiT Strom Pipeline'!R16="Evaluation")+('MiT Strom Pipeline'!R16="tbd")+('MiT Strom Pipeline'!R16="In evaluation")&gt;0,'MiT Strom Pipeline'!R16,"")</f>
        <v>Evaluation</v>
      </c>
      <c r="I149" s="38" t="str">
        <f aca="false">IF(('MiT Strom Pipeline'!R16="follow-up")+('MiT Strom Pipeline'!R16="Evaluation")+('MiT Strom Pipeline'!R16="tbd")+('MiT Strom Pipeline'!R16="In evaluation")&gt;0,'MiT Strom Pipeline'!S16,"")</f>
        <v>35%</v>
      </c>
      <c r="J149" s="39" t="str">
        <f aca="false">IF(('MiT Strom Pipeline'!R16="follow-up")+('MiT Strom Pipeline'!R16="Evaluation")+('MiT Strom Pipeline'!R16="tbd")+('MiT Strom Pipeline'!R16="In evaluation")&gt;0,IF(LEN('MiT Strom Pipeline'!V16)&gt;0,LEFT('MiT Strom Pipeline'!V16,55),""),"")</f>
        <v>Use-Case klären – Lastbank oder Generator?</v>
      </c>
    </row>
    <row r="150" customFormat="false" ht="15.75" hidden="false" customHeight="true" outlineLevel="0" collapsed="false">
      <c r="A150" s="22" t="str">
        <f aca="false">IF(('MiT Strom Pipeline'!R17="follow-up")+('MiT Strom Pipeline'!R17="Evaluation")+('MiT Strom Pipeline'!R17="tbd")+('MiT Strom Pipeline'!R17="In evaluation")&gt;0,IF(ISNUMBER('MiT Strom Pipeline'!A17),'MiT Strom Pipeline'!A17,""),"")</f>
        <v/>
      </c>
      <c r="B150" s="23" t="str">
        <f aca="false">IF(('MiT Strom Pipeline'!R17="follow-up")+('MiT Strom Pipeline'!R17="Evaluation")+('MiT Strom Pipeline'!R17="tbd")+('MiT Strom Pipeline'!R17="In evaluation")&gt;0,'MiT Strom Pipeline'!B17,"")</f>
        <v/>
      </c>
      <c r="C150" s="22" t="str">
        <f aca="false">IF(('MiT Strom Pipeline'!R17="follow-up")+('MiT Strom Pipeline'!R17="Evaluation")+('MiT Strom Pipeline'!R17="tbd")+('MiT Strom Pipeline'!R17="In evaluation")&gt;0,'MiT Strom Pipeline'!C17,"")</f>
        <v/>
      </c>
      <c r="D150" s="23" t="str">
        <f aca="false">IF(('MiT Strom Pipeline'!R17="follow-up")+('MiT Strom Pipeline'!R17="Evaluation")+('MiT Strom Pipeline'!R17="tbd")+('MiT Strom Pipeline'!R17="In evaluation")&gt;0,'MiT Strom Pipeline'!D17,"")</f>
        <v/>
      </c>
      <c r="E150" s="23" t="str">
        <f aca="false">IF(('MiT Strom Pipeline'!R17="follow-up")+('MiT Strom Pipeline'!R17="Evaluation")+('MiT Strom Pipeline'!R17="tbd")+('MiT Strom Pipeline'!R17="In evaluation")&gt;0,'MiT Strom Pipeline'!E17,"")</f>
        <v/>
      </c>
      <c r="F150" s="70" t="str">
        <f aca="false">IF(('MiT Strom Pipeline'!R17="follow-up")+('MiT Strom Pipeline'!R17="Evaluation")+('MiT Strom Pipeline'!R17="tbd")+('MiT Strom Pipeline'!R17="In evaluation")&gt;0,IF(ISNUMBER('MiT Strom Pipeline'!I17),'MiT Strom Pipeline'!I17,0),"")</f>
        <v/>
      </c>
      <c r="G150" s="70" t="str">
        <f aca="false">IF(('MiT Strom Pipeline'!R17="follow-up")+('MiT Strom Pipeline'!R17="Evaluation")+('MiT Strom Pipeline'!R17="tbd")+('MiT Strom Pipeline'!R17="In evaluation")&gt;0,IF(ISNUMBER('MiT Strom Pipeline'!Q17),'MiT Strom Pipeline'!Q17,0),"")</f>
        <v/>
      </c>
      <c r="H150" s="22" t="str">
        <f aca="false">IF(('MiT Strom Pipeline'!R17="follow-up")+('MiT Strom Pipeline'!R17="Evaluation")+('MiT Strom Pipeline'!R17="tbd")+('MiT Strom Pipeline'!R17="In evaluation")&gt;0,'MiT Strom Pipeline'!R17,"")</f>
        <v/>
      </c>
      <c r="I150" s="22" t="str">
        <f aca="false">IF(('MiT Strom Pipeline'!R17="follow-up")+('MiT Strom Pipeline'!R17="Evaluation")+('MiT Strom Pipeline'!R17="tbd")+('MiT Strom Pipeline'!R17="In evaluation")&gt;0,'MiT Strom Pipeline'!S17,"")</f>
        <v/>
      </c>
      <c r="J150" s="23" t="str">
        <f aca="false">IF(('MiT Strom Pipeline'!R17="follow-up")+('MiT Strom Pipeline'!R17="Evaluation")+('MiT Strom Pipeline'!R17="tbd")+('MiT Strom Pipeline'!R17="In evaluation")&gt;0,IF(LEN('MiT Strom Pipeline'!V17)&gt;0,LEFT('MiT Strom Pipeline'!V17,55),""),"")</f>
        <v/>
      </c>
    </row>
    <row r="151" customFormat="false" ht="15.75" hidden="false" customHeight="true" outlineLevel="0" collapsed="false">
      <c r="A151" s="38" t="str">
        <f aca="false">IF(('MiT Strom Pipeline'!R18="follow-up")+('MiT Strom Pipeline'!R18="Evaluation")+('MiT Strom Pipeline'!R18="tbd")+('MiT Strom Pipeline'!R18="In evaluation")&gt;0,IF(ISNUMBER('MiT Strom Pipeline'!A18),'MiT Strom Pipeline'!A18,""),"")</f>
        <v/>
      </c>
      <c r="B151" s="39" t="str">
        <f aca="false">IF(('MiT Strom Pipeline'!R18="follow-up")+('MiT Strom Pipeline'!R18="Evaluation")+('MiT Strom Pipeline'!R18="tbd")+('MiT Strom Pipeline'!R18="In evaluation")&gt;0,'MiT Strom Pipeline'!B18,"")</f>
        <v/>
      </c>
      <c r="C151" s="38" t="str">
        <f aca="false">IF(('MiT Strom Pipeline'!R18="follow-up")+('MiT Strom Pipeline'!R18="Evaluation")+('MiT Strom Pipeline'!R18="tbd")+('MiT Strom Pipeline'!R18="In evaluation")&gt;0,'MiT Strom Pipeline'!C18,"")</f>
        <v/>
      </c>
      <c r="D151" s="39" t="str">
        <f aca="false">IF(('MiT Strom Pipeline'!R18="follow-up")+('MiT Strom Pipeline'!R18="Evaluation")+('MiT Strom Pipeline'!R18="tbd")+('MiT Strom Pipeline'!R18="In evaluation")&gt;0,'MiT Strom Pipeline'!D18,"")</f>
        <v/>
      </c>
      <c r="E151" s="39" t="str">
        <f aca="false">IF(('MiT Strom Pipeline'!R18="follow-up")+('MiT Strom Pipeline'!R18="Evaluation")+('MiT Strom Pipeline'!R18="tbd")+('MiT Strom Pipeline'!R18="In evaluation")&gt;0,'MiT Strom Pipeline'!E18,"")</f>
        <v/>
      </c>
      <c r="F151" s="76" t="str">
        <f aca="false">IF(('MiT Strom Pipeline'!R18="follow-up")+('MiT Strom Pipeline'!R18="Evaluation")+('MiT Strom Pipeline'!R18="tbd")+('MiT Strom Pipeline'!R18="In evaluation")&gt;0,IF(ISNUMBER('MiT Strom Pipeline'!I18),'MiT Strom Pipeline'!I18,0),"")</f>
        <v/>
      </c>
      <c r="G151" s="76" t="str">
        <f aca="false">IF(('MiT Strom Pipeline'!R18="follow-up")+('MiT Strom Pipeline'!R18="Evaluation")+('MiT Strom Pipeline'!R18="tbd")+('MiT Strom Pipeline'!R18="In evaluation")&gt;0,IF(ISNUMBER('MiT Strom Pipeline'!Q18),'MiT Strom Pipeline'!Q18,0),"")</f>
        <v/>
      </c>
      <c r="H151" s="38" t="str">
        <f aca="false">IF(('MiT Strom Pipeline'!R18="follow-up")+('MiT Strom Pipeline'!R18="Evaluation")+('MiT Strom Pipeline'!R18="tbd")+('MiT Strom Pipeline'!R18="In evaluation")&gt;0,'MiT Strom Pipeline'!R18,"")</f>
        <v/>
      </c>
      <c r="I151" s="38" t="str">
        <f aca="false">IF(('MiT Strom Pipeline'!R18="follow-up")+('MiT Strom Pipeline'!R18="Evaluation")+('MiT Strom Pipeline'!R18="tbd")+('MiT Strom Pipeline'!R18="In evaluation")&gt;0,'MiT Strom Pipeline'!S18,"")</f>
        <v/>
      </c>
      <c r="J151" s="39" t="str">
        <f aca="false">IF(('MiT Strom Pipeline'!R18="follow-up")+('MiT Strom Pipeline'!R18="Evaluation")+('MiT Strom Pipeline'!R18="tbd")+('MiT Strom Pipeline'!R18="In evaluation")&gt;0,IF(LEN('MiT Strom Pipeline'!V18)&gt;0,LEFT('MiT Strom Pipeline'!V18,55),""),"")</f>
        <v/>
      </c>
    </row>
    <row r="152" customFormat="false" ht="15.75" hidden="false" customHeight="true" outlineLevel="0" collapsed="false">
      <c r="A152" s="22" t="str">
        <f aca="false">IF(('MiT Strom Pipeline'!R19="follow-up")+('MiT Strom Pipeline'!R19="Evaluation")+('MiT Strom Pipeline'!R19="tbd")+('MiT Strom Pipeline'!R19="In evaluation")&gt;0,IF(ISNUMBER('MiT Strom Pipeline'!A19),'MiT Strom Pipeline'!A19,""),"")</f>
        <v/>
      </c>
      <c r="B152" s="23" t="str">
        <f aca="false">IF(('MiT Strom Pipeline'!R19="follow-up")+('MiT Strom Pipeline'!R19="Evaluation")+('MiT Strom Pipeline'!R19="tbd")+('MiT Strom Pipeline'!R19="In evaluation")&gt;0,'MiT Strom Pipeline'!B19,"")</f>
        <v/>
      </c>
      <c r="C152" s="22" t="str">
        <f aca="false">IF(('MiT Strom Pipeline'!R19="follow-up")+('MiT Strom Pipeline'!R19="Evaluation")+('MiT Strom Pipeline'!R19="tbd")+('MiT Strom Pipeline'!R19="In evaluation")&gt;0,'MiT Strom Pipeline'!C19,"")</f>
        <v/>
      </c>
      <c r="D152" s="23" t="str">
        <f aca="false">IF(('MiT Strom Pipeline'!R19="follow-up")+('MiT Strom Pipeline'!R19="Evaluation")+('MiT Strom Pipeline'!R19="tbd")+('MiT Strom Pipeline'!R19="In evaluation")&gt;0,'MiT Strom Pipeline'!D19,"")</f>
        <v/>
      </c>
      <c r="E152" s="23" t="str">
        <f aca="false">IF(('MiT Strom Pipeline'!R19="follow-up")+('MiT Strom Pipeline'!R19="Evaluation")+('MiT Strom Pipeline'!R19="tbd")+('MiT Strom Pipeline'!R19="In evaluation")&gt;0,'MiT Strom Pipeline'!E19,"")</f>
        <v/>
      </c>
      <c r="F152" s="70" t="str">
        <f aca="false">IF(('MiT Strom Pipeline'!R19="follow-up")+('MiT Strom Pipeline'!R19="Evaluation")+('MiT Strom Pipeline'!R19="tbd")+('MiT Strom Pipeline'!R19="In evaluation")&gt;0,IF(ISNUMBER('MiT Strom Pipeline'!I19),'MiT Strom Pipeline'!I19,0),"")</f>
        <v/>
      </c>
      <c r="G152" s="70" t="str">
        <f aca="false">IF(('MiT Strom Pipeline'!R19="follow-up")+('MiT Strom Pipeline'!R19="Evaluation")+('MiT Strom Pipeline'!R19="tbd")+('MiT Strom Pipeline'!R19="In evaluation")&gt;0,IF(ISNUMBER('MiT Strom Pipeline'!Q19),'MiT Strom Pipeline'!Q19,0),"")</f>
        <v/>
      </c>
      <c r="H152" s="22" t="str">
        <f aca="false">IF(('MiT Strom Pipeline'!R19="follow-up")+('MiT Strom Pipeline'!R19="Evaluation")+('MiT Strom Pipeline'!R19="tbd")+('MiT Strom Pipeline'!R19="In evaluation")&gt;0,'MiT Strom Pipeline'!R19,"")</f>
        <v/>
      </c>
      <c r="I152" s="22" t="str">
        <f aca="false">IF(('MiT Strom Pipeline'!R19="follow-up")+('MiT Strom Pipeline'!R19="Evaluation")+('MiT Strom Pipeline'!R19="tbd")+('MiT Strom Pipeline'!R19="In evaluation")&gt;0,'MiT Strom Pipeline'!S19,"")</f>
        <v/>
      </c>
      <c r="J152" s="23" t="str">
        <f aca="false">IF(('MiT Strom Pipeline'!R19="follow-up")+('MiT Strom Pipeline'!R19="Evaluation")+('MiT Strom Pipeline'!R19="tbd")+('MiT Strom Pipeline'!R19="In evaluation")&gt;0,IF(LEN('MiT Strom Pipeline'!V19)&gt;0,LEFT('MiT Strom Pipeline'!V19,55),""),"")</f>
        <v/>
      </c>
    </row>
    <row r="153" customFormat="false" ht="15.75" hidden="false" customHeight="true" outlineLevel="0" collapsed="false">
      <c r="A153" s="38" t="n">
        <f aca="false">IF(('MiT Strom Pipeline'!R20="follow-up")+('MiT Strom Pipeline'!R20="Evaluation")+('MiT Strom Pipeline'!R20="tbd")+('MiT Strom Pipeline'!R20="In evaluation")&gt;0,IF(ISNUMBER('MiT Strom Pipeline'!A20),'MiT Strom Pipeline'!A20,""),"")</f>
        <v>14</v>
      </c>
      <c r="B153" s="39" t="str">
        <f aca="false">IF(('MiT Strom Pipeline'!R20="follow-up")+('MiT Strom Pipeline'!R20="Evaluation")+('MiT Strom Pipeline'!R20="tbd")+('MiT Strom Pipeline'!R20="In evaluation")&gt;0,'MiT Strom Pipeline'!B20,"")</f>
        <v>Trafag AG</v>
      </c>
      <c r="C153" s="38" t="str">
        <f aca="false">IF(('MiT Strom Pipeline'!R20="follow-up")+('MiT Strom Pipeline'!R20="Evaluation")+('MiT Strom Pipeline'!R20="tbd")+('MiT Strom Pipeline'!R20="In evaluation")&gt;0,'MiT Strom Pipeline'!C20,"")</f>
        <v>ZH</v>
      </c>
      <c r="D153" s="39" t="str">
        <f aca="false">IF(('MiT Strom Pipeline'!R20="follow-up")+('MiT Strom Pipeline'!R20="Evaluation")+('MiT Strom Pipeline'!R20="tbd")+('MiT Strom Pipeline'!R20="In evaluation")&gt;0,'MiT Strom Pipeline'!D20,"")</f>
        <v>Industrie / Messtechnik</v>
      </c>
      <c r="E153" s="39" t="str">
        <f aca="false">IF(('MiT Strom Pipeline'!R20="follow-up")+('MiT Strom Pipeline'!R20="Evaluation")+('MiT Strom Pipeline'!R20="tbd")+('MiT Strom Pipeline'!R20="In evaluation")&gt;0,'MiT Strom Pipeline'!E20,"")</f>
        <v>Kombi 450 kVA Generator / BESS 500 kVA</v>
      </c>
      <c r="F153" s="76" t="n">
        <f aca="false">IF(('MiT Strom Pipeline'!R20="follow-up")+('MiT Strom Pipeline'!R20="Evaluation")+('MiT Strom Pipeline'!R20="tbd")+('MiT Strom Pipeline'!R20="In evaluation")&gt;0,IF(ISNUMBER('MiT Strom Pipeline'!I20),'MiT Strom Pipeline'!I20,0),"")</f>
        <v>37444</v>
      </c>
      <c r="G153" s="76" t="n">
        <f aca="false">IF(('MiT Strom Pipeline'!R20="follow-up")+('MiT Strom Pipeline'!R20="Evaluation")+('MiT Strom Pipeline'!R20="tbd")+('MiT Strom Pipeline'!R20="In evaluation")&gt;0,IF(ISNUMBER('MiT Strom Pipeline'!Q20),'MiT Strom Pipeline'!Q20,0),"")</f>
        <v>18722</v>
      </c>
      <c r="H153" s="38" t="str">
        <f aca="false">IF(('MiT Strom Pipeline'!R20="follow-up")+('MiT Strom Pipeline'!R20="Evaluation")+('MiT Strom Pipeline'!R20="tbd")+('MiT Strom Pipeline'!R20="In evaluation")&gt;0,'MiT Strom Pipeline'!R20,"")</f>
        <v>Evaluation</v>
      </c>
      <c r="I153" s="38" t="n">
        <f aca="false">IF(('MiT Strom Pipeline'!R20="follow-up")+('MiT Strom Pipeline'!R20="Evaluation")+('MiT Strom Pipeline'!R20="tbd")+('MiT Strom Pipeline'!R20="In evaluation")&gt;0,'MiT Strom Pipeline'!S20,"")</f>
        <v>0.5</v>
      </c>
      <c r="J153" s="39" t="str">
        <f aca="false">IF(('MiT Strom Pipeline'!R20="follow-up")+('MiT Strom Pipeline'!R20="Evaluation")+('MiT Strom Pipeline'!R20="tbd")+('MiT Strom Pipeline'!R20="In evaluation")&gt;0,IF(LEN('MiT Strom Pipeline'!V20)&gt;0,LEFT('MiT Strom Pipeline'!V20,55),""),"")</f>
        <v>Angebot vorbereiten – PQ-Argument für Messtechnik, Stef</v>
      </c>
    </row>
    <row r="154" customFormat="false" ht="15.75" hidden="false" customHeight="true" outlineLevel="0" collapsed="false">
      <c r="A154" s="22" t="n">
        <f aca="false">IF(('MiT Strom Pipeline'!R21="follow-up")+('MiT Strom Pipeline'!R21="Evaluation")+('MiT Strom Pipeline'!R21="tbd")+('MiT Strom Pipeline'!R21="In evaluation")&gt;0,IF(ISNUMBER('MiT Strom Pipeline'!A21),'MiT Strom Pipeline'!A21,""),"")</f>
        <v>15</v>
      </c>
      <c r="B154" s="23" t="str">
        <f aca="false">IF(('MiT Strom Pipeline'!R21="follow-up")+('MiT Strom Pipeline'!R21="Evaluation")+('MiT Strom Pipeline'!R21="tbd")+('MiT Strom Pipeline'!R21="In evaluation")&gt;0,'MiT Strom Pipeline'!B21,"")</f>
        <v>Gotthard Base Tunnel</v>
      </c>
      <c r="C154" s="22" t="str">
        <f aca="false">IF(('MiT Strom Pipeline'!R21="follow-up")+('MiT Strom Pipeline'!R21="Evaluation")+('MiT Strom Pipeline'!R21="tbd")+('MiT Strom Pipeline'!R21="In evaluation")&gt;0,'MiT Strom Pipeline'!C21,"")</f>
        <v>UR</v>
      </c>
      <c r="D154" s="23" t="str">
        <f aca="false">IF(('MiT Strom Pipeline'!R21="follow-up")+('MiT Strom Pipeline'!R21="Evaluation")+('MiT Strom Pipeline'!R21="tbd")+('MiT Strom Pipeline'!R21="In evaluation")&gt;0,'MiT Strom Pipeline'!D21,"")</f>
        <v>Infrastruktur / Bahn</v>
      </c>
      <c r="E154" s="23" t="str">
        <f aca="false">IF(('MiT Strom Pipeline'!R21="follow-up")+('MiT Strom Pipeline'!R21="Evaluation")+('MiT Strom Pipeline'!R21="tbd")+('MiT Strom Pipeline'!R21="In evaluation")&gt;0,'MiT Strom Pipeline'!E21,"")</f>
        <v>Grossanlage tbd</v>
      </c>
      <c r="F154" s="70" t="n">
        <f aca="false">IF(('MiT Strom Pipeline'!R21="follow-up")+('MiT Strom Pipeline'!R21="Evaluation")+('MiT Strom Pipeline'!R21="tbd")+('MiT Strom Pipeline'!R21="In evaluation")&gt;0,IF(ISNUMBER('MiT Strom Pipeline'!I21),'MiT Strom Pipeline'!I21,0),"")</f>
        <v>0</v>
      </c>
      <c r="G154" s="70" t="n">
        <f aca="false">IF(('MiT Strom Pipeline'!R21="follow-up")+('MiT Strom Pipeline'!R21="Evaluation")+('MiT Strom Pipeline'!R21="tbd")+('MiT Strom Pipeline'!R21="In evaluation")&gt;0,IF(ISNUMBER('MiT Strom Pipeline'!Q21),'MiT Strom Pipeline'!Q21,0),"")</f>
        <v>0</v>
      </c>
      <c r="H154" s="22" t="str">
        <f aca="false">IF(('MiT Strom Pipeline'!R21="follow-up")+('MiT Strom Pipeline'!R21="Evaluation")+('MiT Strom Pipeline'!R21="tbd")+('MiT Strom Pipeline'!R21="In evaluation")&gt;0,'MiT Strom Pipeline'!R21,"")</f>
        <v>In evaluation</v>
      </c>
      <c r="I154" s="22" t="str">
        <f aca="false">IF(('MiT Strom Pipeline'!R21="follow-up")+('MiT Strom Pipeline'!R21="Evaluation")+('MiT Strom Pipeline'!R21="tbd")+('MiT Strom Pipeline'!R21="In evaluation")&gt;0,'MiT Strom Pipeline'!S21,"")</f>
        <v>20%</v>
      </c>
      <c r="J154" s="23" t="str">
        <f aca="false">IF(('MiT Strom Pipeline'!R21="follow-up")+('MiT Strom Pipeline'!R21="Evaluation")+('MiT Strom Pipeline'!R21="tbd")+('MiT Strom Pipeline'!R21="In evaluation")&gt;0,IF(LEN('MiT Strom Pipeline'!V21)&gt;0,LEFT('MiT Strom Pipeline'!V21,55),""),"")</f>
        <v>Stakeholder identifizieren – AlpTransit/SBB kontaktiere</v>
      </c>
    </row>
    <row r="155" customFormat="false" ht="15.75" hidden="false" customHeight="true" outlineLevel="0" collapsed="false">
      <c r="A155" s="38" t="n">
        <f aca="false">IF(('MiT Strom Pipeline'!R22="follow-up")+('MiT Strom Pipeline'!R22="Evaluation")+('MiT Strom Pipeline'!R22="tbd")+('MiT Strom Pipeline'!R22="In evaluation")&gt;0,IF(ISNUMBER('MiT Strom Pipeline'!A22),'MiT Strom Pipeline'!A22,""),"")</f>
        <v>16</v>
      </c>
      <c r="B155" s="39" t="str">
        <f aca="false">IF(('MiT Strom Pipeline'!R22="follow-up")+('MiT Strom Pipeline'!R22="Evaluation")+('MiT Strom Pipeline'!R22="tbd")+('MiT Strom Pipeline'!R22="In evaluation")&gt;0,'MiT Strom Pipeline'!B22,"")</f>
        <v>Etavis Gossenbacher AG</v>
      </c>
      <c r="C155" s="38" t="str">
        <f aca="false">IF(('MiT Strom Pipeline'!R22="follow-up")+('MiT Strom Pipeline'!R22="Evaluation")+('MiT Strom Pipeline'!R22="tbd")+('MiT Strom Pipeline'!R22="In evaluation")&gt;0,'MiT Strom Pipeline'!C22,"")</f>
        <v>ZH</v>
      </c>
      <c r="D155" s="39" t="str">
        <f aca="false">IF(('MiT Strom Pipeline'!R22="follow-up")+('MiT Strom Pipeline'!R22="Evaluation")+('MiT Strom Pipeline'!R22="tbd")+('MiT Strom Pipeline'!R22="In evaluation")&gt;0,'MiT Strom Pipeline'!D22,"")</f>
        <v>Elektroinstallation</v>
      </c>
      <c r="E155" s="39" t="str">
        <f aca="false">IF(('MiT Strom Pipeline'!R22="follow-up")+('MiT Strom Pipeline'!R22="Evaluation")+('MiT Strom Pipeline'!R22="tbd")+('MiT Strom Pipeline'!R22="In evaluation")&gt;0,'MiT Strom Pipeline'!E22,"")</f>
        <v>30 kVA USV/Generator</v>
      </c>
      <c r="F155" s="76" t="n">
        <f aca="false">IF(('MiT Strom Pipeline'!R22="follow-up")+('MiT Strom Pipeline'!R22="Evaluation")+('MiT Strom Pipeline'!R22="tbd")+('MiT Strom Pipeline'!R22="In evaluation")&gt;0,IF(ISNUMBER('MiT Strom Pipeline'!I22),'MiT Strom Pipeline'!I22,0),"")</f>
        <v>0</v>
      </c>
      <c r="G155" s="76" t="n">
        <f aca="false">IF(('MiT Strom Pipeline'!R22="follow-up")+('MiT Strom Pipeline'!R22="Evaluation")+('MiT Strom Pipeline'!R22="tbd")+('MiT Strom Pipeline'!R22="In evaluation")&gt;0,IF(ISNUMBER('MiT Strom Pipeline'!Q22),'MiT Strom Pipeline'!Q22,0),"")</f>
        <v>0</v>
      </c>
      <c r="H155" s="38" t="str">
        <f aca="false">IF(('MiT Strom Pipeline'!R22="follow-up")+('MiT Strom Pipeline'!R22="Evaluation")+('MiT Strom Pipeline'!R22="tbd")+('MiT Strom Pipeline'!R22="In evaluation")&gt;0,'MiT Strom Pipeline'!R22,"")</f>
        <v>tbd</v>
      </c>
      <c r="I155" s="38" t="str">
        <f aca="false">IF(('MiT Strom Pipeline'!R22="follow-up")+('MiT Strom Pipeline'!R22="Evaluation")+('MiT Strom Pipeline'!R22="tbd")+('MiT Strom Pipeline'!R22="In evaluation")&gt;0,'MiT Strom Pipeline'!S22,"")</f>
        <v>30%</v>
      </c>
      <c r="J155" s="39" t="str">
        <f aca="false">IF(('MiT Strom Pipeline'!R22="follow-up")+('MiT Strom Pipeline'!R22="Evaluation")+('MiT Strom Pipeline'!R22="tbd")+('MiT Strom Pipeline'!R22="In evaluation")&gt;0,IF(LEN('MiT Strom Pipeline'!V22)&gt;0,LEFT('MiT Strom Pipeline'!V22,55),""),"")</f>
        <v>Erstkontakt vertiefen – Bedarf qualifizieren</v>
      </c>
    </row>
    <row r="156" customFormat="false" ht="15.75" hidden="false" customHeight="true" outlineLevel="0" collapsed="false">
      <c r="A156" s="22" t="n">
        <f aca="false">IF(('MiT Strom Pipeline'!R23="follow-up")+('MiT Strom Pipeline'!R23="Evaluation")+('MiT Strom Pipeline'!R23="tbd")+('MiT Strom Pipeline'!R23="In evaluation")&gt;0,IF(ISNUMBER('MiT Strom Pipeline'!A23),'MiT Strom Pipeline'!A23,""),"")</f>
        <v>17</v>
      </c>
      <c r="B156" s="23" t="str">
        <f aca="false">IF(('MiT Strom Pipeline'!R23="follow-up")+('MiT Strom Pipeline'!R23="Evaluation")+('MiT Strom Pipeline'!R23="tbd")+('MiT Strom Pipeline'!R23="In evaluation")&gt;0,'MiT Strom Pipeline'!B23,"")</f>
        <v>MAS ETH Architektur</v>
      </c>
      <c r="C156" s="22" t="str">
        <f aca="false">IF(('MiT Strom Pipeline'!R23="follow-up")+('MiT Strom Pipeline'!R23="Evaluation")+('MiT Strom Pipeline'!R23="tbd")+('MiT Strom Pipeline'!R23="In evaluation")&gt;0,'MiT Strom Pipeline'!C23,"")</f>
        <v>ZH</v>
      </c>
      <c r="D156" s="23" t="str">
        <f aca="false">IF(('MiT Strom Pipeline'!R23="follow-up")+('MiT Strom Pipeline'!R23="Evaluation")+('MiT Strom Pipeline'!R23="tbd")+('MiT Strom Pipeline'!R23="In evaluation")&gt;0,'MiT Strom Pipeline'!D23,"")</f>
        <v>Bildung / Forschung</v>
      </c>
      <c r="E156" s="23" t="str">
        <f aca="false">IF(('MiT Strom Pipeline'!R23="follow-up")+('MiT Strom Pipeline'!R23="Evaluation")+('MiT Strom Pipeline'!R23="tbd")+('MiT Strom Pipeline'!R23="In evaluation")&gt;0,'MiT Strom Pipeline'!E23,"")</f>
        <v>tbd</v>
      </c>
      <c r="F156" s="70" t="n">
        <f aca="false">IF(('MiT Strom Pipeline'!R23="follow-up")+('MiT Strom Pipeline'!R23="Evaluation")+('MiT Strom Pipeline'!R23="tbd")+('MiT Strom Pipeline'!R23="In evaluation")&gt;0,IF(ISNUMBER('MiT Strom Pipeline'!I23),'MiT Strom Pipeline'!I23,0),"")</f>
        <v>0</v>
      </c>
      <c r="G156" s="70" t="n">
        <f aca="false">IF(('MiT Strom Pipeline'!R23="follow-up")+('MiT Strom Pipeline'!R23="Evaluation")+('MiT Strom Pipeline'!R23="tbd")+('MiT Strom Pipeline'!R23="In evaluation")&gt;0,IF(ISNUMBER('MiT Strom Pipeline'!Q23),'MiT Strom Pipeline'!Q23,0),"")</f>
        <v>0</v>
      </c>
      <c r="H156" s="22" t="str">
        <f aca="false">IF(('MiT Strom Pipeline'!R23="follow-up")+('MiT Strom Pipeline'!R23="Evaluation")+('MiT Strom Pipeline'!R23="tbd")+('MiT Strom Pipeline'!R23="In evaluation")&gt;0,'MiT Strom Pipeline'!R23,"")</f>
        <v>tbd</v>
      </c>
      <c r="I156" s="22" t="str">
        <f aca="false">IF(('MiT Strom Pipeline'!R23="follow-up")+('MiT Strom Pipeline'!R23="Evaluation")+('MiT Strom Pipeline'!R23="tbd")+('MiT Strom Pipeline'!R23="In evaluation")&gt;0,'MiT Strom Pipeline'!S23,"")</f>
        <v>20%</v>
      </c>
      <c r="J156" s="23" t="str">
        <f aca="false">IF(('MiT Strom Pipeline'!R23="follow-up")+('MiT Strom Pipeline'!R23="Evaluation")+('MiT Strom Pipeline'!R23="tbd")+('MiT Strom Pipeline'!R23="In evaluation")&gt;0,IF(LEN('MiT Strom Pipeline'!V23)&gt;0,LEFT('MiT Strom Pipeline'!V23,55),""),"")</f>
        <v>Bedarf qualifizieren oder disqualifizieren</v>
      </c>
    </row>
    <row r="157" customFormat="false" ht="15.75" hidden="false" customHeight="true" outlineLevel="0" collapsed="false">
      <c r="A157" s="38" t="n">
        <f aca="false">IF(('MiT Strom Pipeline'!R24="follow-up")+('MiT Strom Pipeline'!R24="Evaluation")+('MiT Strom Pipeline'!R24="tbd")+('MiT Strom Pipeline'!R24="In evaluation")&gt;0,IF(ISNUMBER('MiT Strom Pipeline'!A24),'MiT Strom Pipeline'!A24,""),"")</f>
        <v>18</v>
      </c>
      <c r="B157" s="39" t="str">
        <f aca="false">IF(('MiT Strom Pipeline'!R24="follow-up")+('MiT Strom Pipeline'!R24="Evaluation")+('MiT Strom Pipeline'!R24="tbd")+('MiT Strom Pipeline'!R24="In evaluation")&gt;0,'MiT Strom Pipeline'!B24,"")</f>
        <v>FIP ISA</v>
      </c>
      <c r="C157" s="38" t="str">
        <f aca="false">IF(('MiT Strom Pipeline'!R24="follow-up")+('MiT Strom Pipeline'!R24="Evaluation")+('MiT Strom Pipeline'!R24="tbd")+('MiT Strom Pipeline'!R24="In evaluation")&gt;0,'MiT Strom Pipeline'!C24,"")</f>
        <v>tbd</v>
      </c>
      <c r="D157" s="39" t="str">
        <f aca="false">IF(('MiT Strom Pipeline'!R24="follow-up")+('MiT Strom Pipeline'!R24="Evaluation")+('MiT Strom Pipeline'!R24="tbd")+('MiT Strom Pipeline'!R24="In evaluation")&gt;0,'MiT Strom Pipeline'!D24,"")</f>
        <v>tbd</v>
      </c>
      <c r="E157" s="39" t="str">
        <f aca="false">IF(('MiT Strom Pipeline'!R24="follow-up")+('MiT Strom Pipeline'!R24="Evaluation")+('MiT Strom Pipeline'!R24="tbd")+('MiT Strom Pipeline'!R24="In evaluation")&gt;0,'MiT Strom Pipeline'!E24,"")</f>
        <v>tbd</v>
      </c>
      <c r="F157" s="76" t="n">
        <f aca="false">IF(('MiT Strom Pipeline'!R24="follow-up")+('MiT Strom Pipeline'!R24="Evaluation")+('MiT Strom Pipeline'!R24="tbd")+('MiT Strom Pipeline'!R24="In evaluation")&gt;0,IF(ISNUMBER('MiT Strom Pipeline'!I24),'MiT Strom Pipeline'!I24,0),"")</f>
        <v>0</v>
      </c>
      <c r="G157" s="76" t="n">
        <f aca="false">IF(('MiT Strom Pipeline'!R24="follow-up")+('MiT Strom Pipeline'!R24="Evaluation")+('MiT Strom Pipeline'!R24="tbd")+('MiT Strom Pipeline'!R24="In evaluation")&gt;0,IF(ISNUMBER('MiT Strom Pipeline'!Q24),'MiT Strom Pipeline'!Q24,0),"")</f>
        <v>0</v>
      </c>
      <c r="H157" s="38" t="str">
        <f aca="false">IF(('MiT Strom Pipeline'!R24="follow-up")+('MiT Strom Pipeline'!R24="Evaluation")+('MiT Strom Pipeline'!R24="tbd")+('MiT Strom Pipeline'!R24="In evaluation")&gt;0,'MiT Strom Pipeline'!R24,"")</f>
        <v>tbd</v>
      </c>
      <c r="I157" s="38" t="str">
        <f aca="false">IF(('MiT Strom Pipeline'!R24="follow-up")+('MiT Strom Pipeline'!R24="Evaluation")+('MiT Strom Pipeline'!R24="tbd")+('MiT Strom Pipeline'!R24="In evaluation")&gt;0,'MiT Strom Pipeline'!S24,"")</f>
        <v>20%</v>
      </c>
      <c r="J157" s="39" t="str">
        <f aca="false">IF(('MiT Strom Pipeline'!R24="follow-up")+('MiT Strom Pipeline'!R24="Evaluation")+('MiT Strom Pipeline'!R24="tbd")+('MiT Strom Pipeline'!R24="In evaluation")&gt;0,IF(LEN('MiT Strom Pipeline'!V24)&gt;0,LEFT('MiT Strom Pipeline'!V24,55),""),"")</f>
        <v>Recherche + Erstkontakt – Firma und Bedarf verstehen</v>
      </c>
    </row>
    <row r="158" customFormat="false" ht="15.75" hidden="false" customHeight="true" outlineLevel="0" collapsed="false">
      <c r="A158" s="22" t="str">
        <f aca="false">IF(('MiT Strom Pipeline'!R25="follow-up")+('MiT Strom Pipeline'!R25="Evaluation")+('MiT Strom Pipeline'!R25="tbd")+('MiT Strom Pipeline'!R25="In evaluation")&gt;0,IF(ISNUMBER('MiT Strom Pipeline'!A25),'MiT Strom Pipeline'!A25,""),"")</f>
        <v/>
      </c>
      <c r="B158" s="23" t="str">
        <f aca="false">IF(('MiT Strom Pipeline'!R25="follow-up")+('MiT Strom Pipeline'!R25="Evaluation")+('MiT Strom Pipeline'!R25="tbd")+('MiT Strom Pipeline'!R25="In evaluation")&gt;0,'MiT Strom Pipeline'!B25,"")</f>
        <v/>
      </c>
      <c r="C158" s="22" t="str">
        <f aca="false">IF(('MiT Strom Pipeline'!R25="follow-up")+('MiT Strom Pipeline'!R25="Evaluation")+('MiT Strom Pipeline'!R25="tbd")+('MiT Strom Pipeline'!R25="In evaluation")&gt;0,'MiT Strom Pipeline'!C25,"")</f>
        <v/>
      </c>
      <c r="D158" s="23" t="str">
        <f aca="false">IF(('MiT Strom Pipeline'!R25="follow-up")+('MiT Strom Pipeline'!R25="Evaluation")+('MiT Strom Pipeline'!R25="tbd")+('MiT Strom Pipeline'!R25="In evaluation")&gt;0,'MiT Strom Pipeline'!D25,"")</f>
        <v/>
      </c>
      <c r="E158" s="23" t="str">
        <f aca="false">IF(('MiT Strom Pipeline'!R25="follow-up")+('MiT Strom Pipeline'!R25="Evaluation")+('MiT Strom Pipeline'!R25="tbd")+('MiT Strom Pipeline'!R25="In evaluation")&gt;0,'MiT Strom Pipeline'!E25,"")</f>
        <v/>
      </c>
      <c r="F158" s="70" t="str">
        <f aca="false">IF(('MiT Strom Pipeline'!R25="follow-up")+('MiT Strom Pipeline'!R25="Evaluation")+('MiT Strom Pipeline'!R25="tbd")+('MiT Strom Pipeline'!R25="In evaluation")&gt;0,IF(ISNUMBER('MiT Strom Pipeline'!I25),'MiT Strom Pipeline'!I25,0),"")</f>
        <v/>
      </c>
      <c r="G158" s="70" t="str">
        <f aca="false">IF(('MiT Strom Pipeline'!R25="follow-up")+('MiT Strom Pipeline'!R25="Evaluation")+('MiT Strom Pipeline'!R25="tbd")+('MiT Strom Pipeline'!R25="In evaluation")&gt;0,IF(ISNUMBER('MiT Strom Pipeline'!Q25),'MiT Strom Pipeline'!Q25,0),"")</f>
        <v/>
      </c>
      <c r="H158" s="22" t="str">
        <f aca="false">IF(('MiT Strom Pipeline'!R25="follow-up")+('MiT Strom Pipeline'!R25="Evaluation")+('MiT Strom Pipeline'!R25="tbd")+('MiT Strom Pipeline'!R25="In evaluation")&gt;0,'MiT Strom Pipeline'!R25,"")</f>
        <v/>
      </c>
      <c r="I158" s="22" t="str">
        <f aca="false">IF(('MiT Strom Pipeline'!R25="follow-up")+('MiT Strom Pipeline'!R25="Evaluation")+('MiT Strom Pipeline'!R25="tbd")+('MiT Strom Pipeline'!R25="In evaluation")&gt;0,'MiT Strom Pipeline'!S25,"")</f>
        <v/>
      </c>
      <c r="J158" s="23" t="str">
        <f aca="false">IF(('MiT Strom Pipeline'!R25="follow-up")+('MiT Strom Pipeline'!R25="Evaluation")+('MiT Strom Pipeline'!R25="tbd")+('MiT Strom Pipeline'!R25="In evaluation")&gt;0,IF(LEN('MiT Strom Pipeline'!V25)&gt;0,LEFT('MiT Strom Pipeline'!V25,55),""),"")</f>
        <v/>
      </c>
    </row>
    <row r="159" customFormat="false" ht="15.75" hidden="false" customHeight="true" outlineLevel="0" collapsed="false">
      <c r="A159" s="38" t="str">
        <f aca="false">IF(('MiT Strom Pipeline'!R26="follow-up")+('MiT Strom Pipeline'!R26="Evaluation")+('MiT Strom Pipeline'!R26="tbd")+('MiT Strom Pipeline'!R26="In evaluation")&gt;0,IF(ISNUMBER('MiT Strom Pipeline'!A26),'MiT Strom Pipeline'!A26,""),"")</f>
        <v/>
      </c>
      <c r="B159" s="39" t="str">
        <f aca="false">IF(('MiT Strom Pipeline'!R26="follow-up")+('MiT Strom Pipeline'!R26="Evaluation")+('MiT Strom Pipeline'!R26="tbd")+('MiT Strom Pipeline'!R26="In evaluation")&gt;0,'MiT Strom Pipeline'!B26,"")</f>
        <v/>
      </c>
      <c r="C159" s="38" t="str">
        <f aca="false">IF(('MiT Strom Pipeline'!R26="follow-up")+('MiT Strom Pipeline'!R26="Evaluation")+('MiT Strom Pipeline'!R26="tbd")+('MiT Strom Pipeline'!R26="In evaluation")&gt;0,'MiT Strom Pipeline'!C26,"")</f>
        <v/>
      </c>
      <c r="D159" s="39" t="str">
        <f aca="false">IF(('MiT Strom Pipeline'!R26="follow-up")+('MiT Strom Pipeline'!R26="Evaluation")+('MiT Strom Pipeline'!R26="tbd")+('MiT Strom Pipeline'!R26="In evaluation")&gt;0,'MiT Strom Pipeline'!D26,"")</f>
        <v/>
      </c>
      <c r="E159" s="39" t="str">
        <f aca="false">IF(('MiT Strom Pipeline'!R26="follow-up")+('MiT Strom Pipeline'!R26="Evaluation")+('MiT Strom Pipeline'!R26="tbd")+('MiT Strom Pipeline'!R26="In evaluation")&gt;0,'MiT Strom Pipeline'!E26,"")</f>
        <v/>
      </c>
      <c r="F159" s="76" t="str">
        <f aca="false">IF(('MiT Strom Pipeline'!R26="follow-up")+('MiT Strom Pipeline'!R26="Evaluation")+('MiT Strom Pipeline'!R26="tbd")+('MiT Strom Pipeline'!R26="In evaluation")&gt;0,IF(ISNUMBER('MiT Strom Pipeline'!I26),'MiT Strom Pipeline'!I26,0),"")</f>
        <v/>
      </c>
      <c r="G159" s="76" t="str">
        <f aca="false">IF(('MiT Strom Pipeline'!R26="follow-up")+('MiT Strom Pipeline'!R26="Evaluation")+('MiT Strom Pipeline'!R26="tbd")+('MiT Strom Pipeline'!R26="In evaluation")&gt;0,IF(ISNUMBER('MiT Strom Pipeline'!Q26),'MiT Strom Pipeline'!Q26,0),"")</f>
        <v/>
      </c>
      <c r="H159" s="38" t="str">
        <f aca="false">IF(('MiT Strom Pipeline'!R26="follow-up")+('MiT Strom Pipeline'!R26="Evaluation")+('MiT Strom Pipeline'!R26="tbd")+('MiT Strom Pipeline'!R26="In evaluation")&gt;0,'MiT Strom Pipeline'!R26,"")</f>
        <v/>
      </c>
      <c r="I159" s="38" t="str">
        <f aca="false">IF(('MiT Strom Pipeline'!R26="follow-up")+('MiT Strom Pipeline'!R26="Evaluation")+('MiT Strom Pipeline'!R26="tbd")+('MiT Strom Pipeline'!R26="In evaluation")&gt;0,'MiT Strom Pipeline'!S26,"")</f>
        <v/>
      </c>
      <c r="J159" s="39" t="str">
        <f aca="false">IF(('MiT Strom Pipeline'!R26="follow-up")+('MiT Strom Pipeline'!R26="Evaluation")+('MiT Strom Pipeline'!R26="tbd")+('MiT Strom Pipeline'!R26="In evaluation")&gt;0,IF(LEN('MiT Strom Pipeline'!V26)&gt;0,LEFT('MiT Strom Pipeline'!V26,55),""),"")</f>
        <v/>
      </c>
    </row>
    <row r="160" customFormat="false" ht="15.75" hidden="false" customHeight="true" outlineLevel="0" collapsed="false">
      <c r="A160" s="22" t="str">
        <f aca="false">IF(('MiT Strom Pipeline'!R27="follow-up")+('MiT Strom Pipeline'!R27="Evaluation")+('MiT Strom Pipeline'!R27="tbd")+('MiT Strom Pipeline'!R27="In evaluation")&gt;0,IF(ISNUMBER('MiT Strom Pipeline'!A27),'MiT Strom Pipeline'!A27,""),"")</f>
        <v/>
      </c>
      <c r="B160" s="23" t="str">
        <f aca="false">IF(('MiT Strom Pipeline'!R27="follow-up")+('MiT Strom Pipeline'!R27="Evaluation")+('MiT Strom Pipeline'!R27="tbd")+('MiT Strom Pipeline'!R27="In evaluation")&gt;0,'MiT Strom Pipeline'!B27,"")</f>
        <v/>
      </c>
      <c r="C160" s="22" t="str">
        <f aca="false">IF(('MiT Strom Pipeline'!R27="follow-up")+('MiT Strom Pipeline'!R27="Evaluation")+('MiT Strom Pipeline'!R27="tbd")+('MiT Strom Pipeline'!R27="In evaluation")&gt;0,'MiT Strom Pipeline'!C27,"")</f>
        <v/>
      </c>
      <c r="D160" s="23" t="str">
        <f aca="false">IF(('MiT Strom Pipeline'!R27="follow-up")+('MiT Strom Pipeline'!R27="Evaluation")+('MiT Strom Pipeline'!R27="tbd")+('MiT Strom Pipeline'!R27="In evaluation")&gt;0,'MiT Strom Pipeline'!D27,"")</f>
        <v/>
      </c>
      <c r="E160" s="23" t="str">
        <f aca="false">IF(('MiT Strom Pipeline'!R27="follow-up")+('MiT Strom Pipeline'!R27="Evaluation")+('MiT Strom Pipeline'!R27="tbd")+('MiT Strom Pipeline'!R27="In evaluation")&gt;0,'MiT Strom Pipeline'!E27,"")</f>
        <v/>
      </c>
      <c r="F160" s="70" t="str">
        <f aca="false">IF(('MiT Strom Pipeline'!R27="follow-up")+('MiT Strom Pipeline'!R27="Evaluation")+('MiT Strom Pipeline'!R27="tbd")+('MiT Strom Pipeline'!R27="In evaluation")&gt;0,IF(ISNUMBER('MiT Strom Pipeline'!I27),'MiT Strom Pipeline'!I27,0),"")</f>
        <v/>
      </c>
      <c r="G160" s="70" t="str">
        <f aca="false">IF(('MiT Strom Pipeline'!R27="follow-up")+('MiT Strom Pipeline'!R27="Evaluation")+('MiT Strom Pipeline'!R27="tbd")+('MiT Strom Pipeline'!R27="In evaluation")&gt;0,IF(ISNUMBER('MiT Strom Pipeline'!Q27),'MiT Strom Pipeline'!Q27,0),"")</f>
        <v/>
      </c>
      <c r="H160" s="22" t="str">
        <f aca="false">IF(('MiT Strom Pipeline'!R27="follow-up")+('MiT Strom Pipeline'!R27="Evaluation")+('MiT Strom Pipeline'!R27="tbd")+('MiT Strom Pipeline'!R27="In evaluation")&gt;0,'MiT Strom Pipeline'!R27,"")</f>
        <v/>
      </c>
      <c r="I160" s="22" t="str">
        <f aca="false">IF(('MiT Strom Pipeline'!R27="follow-up")+('MiT Strom Pipeline'!R27="Evaluation")+('MiT Strom Pipeline'!R27="tbd")+('MiT Strom Pipeline'!R27="In evaluation")&gt;0,'MiT Strom Pipeline'!S27,"")</f>
        <v/>
      </c>
      <c r="J160" s="23" t="str">
        <f aca="false">IF(('MiT Strom Pipeline'!R27="follow-up")+('MiT Strom Pipeline'!R27="Evaluation")+('MiT Strom Pipeline'!R27="tbd")+('MiT Strom Pipeline'!R27="In evaluation")&gt;0,IF(LEN('MiT Strom Pipeline'!V27)&gt;0,LEFT('MiT Strom Pipeline'!V27,55),""),"")</f>
        <v/>
      </c>
    </row>
    <row r="161" customFormat="false" ht="15.75" hidden="false" customHeight="true" outlineLevel="0" collapsed="false">
      <c r="A161" s="38" t="str">
        <f aca="false">IF(('MiT Strom Pipeline'!R28="follow-up")+('MiT Strom Pipeline'!R28="Evaluation")+('MiT Strom Pipeline'!R28="tbd")+('MiT Strom Pipeline'!R28="In evaluation")&gt;0,IF(ISNUMBER('MiT Strom Pipeline'!A28),'MiT Strom Pipeline'!A28,""),"")</f>
        <v/>
      </c>
      <c r="B161" s="39" t="str">
        <f aca="false">IF(('MiT Strom Pipeline'!R28="follow-up")+('MiT Strom Pipeline'!R28="Evaluation")+('MiT Strom Pipeline'!R28="tbd")+('MiT Strom Pipeline'!R28="In evaluation")&gt;0,'MiT Strom Pipeline'!B28,"")</f>
        <v/>
      </c>
      <c r="C161" s="38" t="str">
        <f aca="false">IF(('MiT Strom Pipeline'!R28="follow-up")+('MiT Strom Pipeline'!R28="Evaluation")+('MiT Strom Pipeline'!R28="tbd")+('MiT Strom Pipeline'!R28="In evaluation")&gt;0,'MiT Strom Pipeline'!C28,"")</f>
        <v/>
      </c>
      <c r="D161" s="39" t="str">
        <f aca="false">IF(('MiT Strom Pipeline'!R28="follow-up")+('MiT Strom Pipeline'!R28="Evaluation")+('MiT Strom Pipeline'!R28="tbd")+('MiT Strom Pipeline'!R28="In evaluation")&gt;0,'MiT Strom Pipeline'!D28,"")</f>
        <v/>
      </c>
      <c r="E161" s="39" t="str">
        <f aca="false">IF(('MiT Strom Pipeline'!R28="follow-up")+('MiT Strom Pipeline'!R28="Evaluation")+('MiT Strom Pipeline'!R28="tbd")+('MiT Strom Pipeline'!R28="In evaluation")&gt;0,'MiT Strom Pipeline'!E28,"")</f>
        <v/>
      </c>
      <c r="F161" s="76" t="str">
        <f aca="false">IF(('MiT Strom Pipeline'!R28="follow-up")+('MiT Strom Pipeline'!R28="Evaluation")+('MiT Strom Pipeline'!R28="tbd")+('MiT Strom Pipeline'!R28="In evaluation")&gt;0,IF(ISNUMBER('MiT Strom Pipeline'!I28),'MiT Strom Pipeline'!I28,0),"")</f>
        <v/>
      </c>
      <c r="G161" s="76" t="str">
        <f aca="false">IF(('MiT Strom Pipeline'!R28="follow-up")+('MiT Strom Pipeline'!R28="Evaluation")+('MiT Strom Pipeline'!R28="tbd")+('MiT Strom Pipeline'!R28="In evaluation")&gt;0,IF(ISNUMBER('MiT Strom Pipeline'!Q28),'MiT Strom Pipeline'!Q28,0),"")</f>
        <v/>
      </c>
      <c r="H161" s="38" t="str">
        <f aca="false">IF(('MiT Strom Pipeline'!R28="follow-up")+('MiT Strom Pipeline'!R28="Evaluation")+('MiT Strom Pipeline'!R28="tbd")+('MiT Strom Pipeline'!R28="In evaluation")&gt;0,'MiT Strom Pipeline'!R28,"")</f>
        <v/>
      </c>
      <c r="I161" s="38" t="str">
        <f aca="false">IF(('MiT Strom Pipeline'!R28="follow-up")+('MiT Strom Pipeline'!R28="Evaluation")+('MiT Strom Pipeline'!R28="tbd")+('MiT Strom Pipeline'!R28="In evaluation")&gt;0,'MiT Strom Pipeline'!S28,"")</f>
        <v/>
      </c>
      <c r="J161" s="39" t="str">
        <f aca="false">IF(('MiT Strom Pipeline'!R28="follow-up")+('MiT Strom Pipeline'!R28="Evaluation")+('MiT Strom Pipeline'!R28="tbd")+('MiT Strom Pipeline'!R28="In evaluation")&gt;0,IF(LEN('MiT Strom Pipeline'!V28)&gt;0,LEFT('MiT Strom Pipeline'!V28,55),""),"")</f>
        <v/>
      </c>
    </row>
    <row r="162" customFormat="false" ht="15.75" hidden="false" customHeight="true" outlineLevel="0" collapsed="false">
      <c r="A162" s="22" t="n">
        <f aca="false">IF(('MiT Strom Pipeline'!R29="follow-up")+('MiT Strom Pipeline'!R29="Evaluation")+('MiT Strom Pipeline'!R29="tbd")+('MiT Strom Pipeline'!R29="In evaluation")&gt;0,IF(ISNUMBER('MiT Strom Pipeline'!A29),'MiT Strom Pipeline'!A29,""),"")</f>
        <v>23</v>
      </c>
      <c r="B162" s="23" t="str">
        <f aca="false">IF(('MiT Strom Pipeline'!R29="follow-up")+('MiT Strom Pipeline'!R29="Evaluation")+('MiT Strom Pipeline'!R29="tbd")+('MiT Strom Pipeline'!R29="In evaluation")&gt;0,'MiT Strom Pipeline'!B29,"")</f>
        <v>Etavis Chur</v>
      </c>
      <c r="C162" s="22" t="str">
        <f aca="false">IF(('MiT Strom Pipeline'!R29="follow-up")+('MiT Strom Pipeline'!R29="Evaluation")+('MiT Strom Pipeline'!R29="tbd")+('MiT Strom Pipeline'!R29="In evaluation")&gt;0,'MiT Strom Pipeline'!C29,"")</f>
        <v>GR</v>
      </c>
      <c r="D162" s="23" t="str">
        <f aca="false">IF(('MiT Strom Pipeline'!R29="follow-up")+('MiT Strom Pipeline'!R29="Evaluation")+('MiT Strom Pipeline'!R29="tbd")+('MiT Strom Pipeline'!R29="In evaluation")&gt;0,'MiT Strom Pipeline'!D29,"")</f>
        <v>Elektroinstallation</v>
      </c>
      <c r="E162" s="23" t="str">
        <f aca="false">IF(('MiT Strom Pipeline'!R29="follow-up")+('MiT Strom Pipeline'!R29="Evaluation")+('MiT Strom Pipeline'!R29="tbd")+('MiT Strom Pipeline'!R29="In evaluation")&gt;0,'MiT Strom Pipeline'!E29,"")</f>
        <v>30 kVA Generator</v>
      </c>
      <c r="F162" s="70" t="n">
        <f aca="false">IF(('MiT Strom Pipeline'!R29="follow-up")+('MiT Strom Pipeline'!R29="Evaluation")+('MiT Strom Pipeline'!R29="tbd")+('MiT Strom Pipeline'!R29="In evaluation")&gt;0,IF(ISNUMBER('MiT Strom Pipeline'!I29),'MiT Strom Pipeline'!I29,0),"")</f>
        <v>0</v>
      </c>
      <c r="G162" s="70" t="n">
        <f aca="false">IF(('MiT Strom Pipeline'!R29="follow-up")+('MiT Strom Pipeline'!R29="Evaluation")+('MiT Strom Pipeline'!R29="tbd")+('MiT Strom Pipeline'!R29="In evaluation")&gt;0,IF(ISNUMBER('MiT Strom Pipeline'!Q29),'MiT Strom Pipeline'!Q29,0),"")</f>
        <v>0</v>
      </c>
      <c r="H162" s="22" t="str">
        <f aca="false">IF(('MiT Strom Pipeline'!R29="follow-up")+('MiT Strom Pipeline'!R29="Evaluation")+('MiT Strom Pipeline'!R29="tbd")+('MiT Strom Pipeline'!R29="In evaluation")&gt;0,'MiT Strom Pipeline'!R29,"")</f>
        <v>Evaluation</v>
      </c>
      <c r="I162" s="22" t="n">
        <f aca="false">IF(('MiT Strom Pipeline'!R29="follow-up")+('MiT Strom Pipeline'!R29="Evaluation")+('MiT Strom Pipeline'!R29="tbd")+('MiT Strom Pipeline'!R29="In evaluation")&gt;0,'MiT Strom Pipeline'!S29,"")</f>
        <v>0.1</v>
      </c>
      <c r="J162" s="23" t="str">
        <f aca="false">IF(('MiT Strom Pipeline'!R29="follow-up")+('MiT Strom Pipeline'!R29="Evaluation")+('MiT Strom Pipeline'!R29="tbd")+('MiT Strom Pipeline'!R29="In evaluation")&gt;0,IF(LEN('MiT Strom Pipeline'!V29)&gt;0,LEFT('MiT Strom Pipeline'!V29,55),""),"")</f>
        <v>Email Kontaktiert</v>
      </c>
    </row>
    <row r="163" customFormat="false" ht="15.75" hidden="false" customHeight="true" outlineLevel="0" collapsed="false">
      <c r="A163" s="38" t="n">
        <f aca="false">IF(('MiT Strom Pipeline'!R30="follow-up")+('MiT Strom Pipeline'!R30="Evaluation")+('MiT Strom Pipeline'!R30="tbd")+('MiT Strom Pipeline'!R30="In evaluation")&gt;0,IF(ISNUMBER('MiT Strom Pipeline'!A30),'MiT Strom Pipeline'!A30,""),"")</f>
        <v>24</v>
      </c>
      <c r="B163" s="39" t="str">
        <f aca="false">IF(('MiT Strom Pipeline'!R30="follow-up")+('MiT Strom Pipeline'!R30="Evaluation")+('MiT Strom Pipeline'!R30="tbd")+('MiT Strom Pipeline'!R30="In evaluation")&gt;0,'MiT Strom Pipeline'!B30,"")</f>
        <v>Wetzikon</v>
      </c>
      <c r="C163" s="38" t="str">
        <f aca="false">IF(('MiT Strom Pipeline'!R30="follow-up")+('MiT Strom Pipeline'!R30="Evaluation")+('MiT Strom Pipeline'!R30="tbd")+('MiT Strom Pipeline'!R30="In evaluation")&gt;0,'MiT Strom Pipeline'!C30,"")</f>
        <v>ZH</v>
      </c>
      <c r="D163" s="39" t="str">
        <f aca="false">IF(('MiT Strom Pipeline'!R30="follow-up")+('MiT Strom Pipeline'!R30="Evaluation")+('MiT Strom Pipeline'!R30="tbd")+('MiT Strom Pipeline'!R30="In evaluation")&gt;0,'MiT Strom Pipeline'!D30,"")</f>
        <v>Gemeinde</v>
      </c>
      <c r="E163" s="39" t="str">
        <f aca="false">IF(('MiT Strom Pipeline'!R30="follow-up")+('MiT Strom Pipeline'!R30="Evaluation")+('MiT Strom Pipeline'!R30="tbd")+('MiT Strom Pipeline'!R30="In evaluation")&gt;0,'MiT Strom Pipeline'!E30,"")</f>
        <v>tbd (PQ-kritisch)</v>
      </c>
      <c r="F163" s="76" t="n">
        <f aca="false">IF(('MiT Strom Pipeline'!R30="follow-up")+('MiT Strom Pipeline'!R30="Evaluation")+('MiT Strom Pipeline'!R30="tbd")+('MiT Strom Pipeline'!R30="In evaluation")&gt;0,IF(ISNUMBER('MiT Strom Pipeline'!I30),'MiT Strom Pipeline'!I30,0),"")</f>
        <v>0</v>
      </c>
      <c r="G163" s="76" t="n">
        <f aca="false">IF(('MiT Strom Pipeline'!R30="follow-up")+('MiT Strom Pipeline'!R30="Evaluation")+('MiT Strom Pipeline'!R30="tbd")+('MiT Strom Pipeline'!R30="In evaluation")&gt;0,IF(ISNUMBER('MiT Strom Pipeline'!Q30),'MiT Strom Pipeline'!Q30,0),"")</f>
        <v>0</v>
      </c>
      <c r="H163" s="38" t="str">
        <f aca="false">IF(('MiT Strom Pipeline'!R30="follow-up")+('MiT Strom Pipeline'!R30="Evaluation")+('MiT Strom Pipeline'!R30="tbd")+('MiT Strom Pipeline'!R30="In evaluation")&gt;0,'MiT Strom Pipeline'!R30,"")</f>
        <v>Evaluation</v>
      </c>
      <c r="I163" s="38" t="str">
        <f aca="false">IF(('MiT Strom Pipeline'!R30="follow-up")+('MiT Strom Pipeline'!R30="Evaluation")+('MiT Strom Pipeline'!R30="tbd")+('MiT Strom Pipeline'!R30="In evaluation")&gt;0,'MiT Strom Pipeline'!S30,"")</f>
        <v>tbd</v>
      </c>
      <c r="J163" s="39" t="str">
        <f aca="false">IF(('MiT Strom Pipeline'!R30="follow-up")+('MiT Strom Pipeline'!R30="Evaluation")+('MiT Strom Pipeline'!R30="tbd")+('MiT Strom Pipeline'!R30="In evaluation")&gt;0,IF(LEN('MiT Strom Pipeline'!V30)&gt;0,LEFT('MiT Strom Pipeline'!V30,55),""),"")</f>
        <v>Email Kontaktiert</v>
      </c>
    </row>
    <row r="164" customFormat="false" ht="15.75" hidden="false" customHeight="true" outlineLevel="0" collapsed="false">
      <c r="A164" s="22" t="str">
        <f aca="false">IF(('MiT Strom Pipeline'!R31="follow-up")+('MiT Strom Pipeline'!R31="Evaluation")+('MiT Strom Pipeline'!R31="tbd")+('MiT Strom Pipeline'!R31="In evaluation")&gt;0,IF(ISNUMBER('MiT Strom Pipeline'!A31),'MiT Strom Pipeline'!A31,""),"")</f>
        <v/>
      </c>
      <c r="B164" s="23" t="str">
        <f aca="false">IF(('MiT Strom Pipeline'!R31="follow-up")+('MiT Strom Pipeline'!R31="Evaluation")+('MiT Strom Pipeline'!R31="tbd")+('MiT Strom Pipeline'!R31="In evaluation")&gt;0,'MiT Strom Pipeline'!B31,"")</f>
        <v/>
      </c>
      <c r="C164" s="22" t="str">
        <f aca="false">IF(('MiT Strom Pipeline'!R31="follow-up")+('MiT Strom Pipeline'!R31="Evaluation")+('MiT Strom Pipeline'!R31="tbd")+('MiT Strom Pipeline'!R31="In evaluation")&gt;0,'MiT Strom Pipeline'!C31,"")</f>
        <v/>
      </c>
      <c r="D164" s="23" t="str">
        <f aca="false">IF(('MiT Strom Pipeline'!R31="follow-up")+('MiT Strom Pipeline'!R31="Evaluation")+('MiT Strom Pipeline'!R31="tbd")+('MiT Strom Pipeline'!R31="In evaluation")&gt;0,'MiT Strom Pipeline'!D31,"")</f>
        <v/>
      </c>
      <c r="E164" s="23" t="str">
        <f aca="false">IF(('MiT Strom Pipeline'!R31="follow-up")+('MiT Strom Pipeline'!R31="Evaluation")+('MiT Strom Pipeline'!R31="tbd")+('MiT Strom Pipeline'!R31="In evaluation")&gt;0,'MiT Strom Pipeline'!E31,"")</f>
        <v/>
      </c>
      <c r="F164" s="70" t="str">
        <f aca="false">IF(('MiT Strom Pipeline'!R31="follow-up")+('MiT Strom Pipeline'!R31="Evaluation")+('MiT Strom Pipeline'!R31="tbd")+('MiT Strom Pipeline'!R31="In evaluation")&gt;0,IF(ISNUMBER('MiT Strom Pipeline'!I31),'MiT Strom Pipeline'!I31,0),"")</f>
        <v/>
      </c>
      <c r="G164" s="70" t="str">
        <f aca="false">IF(('MiT Strom Pipeline'!R31="follow-up")+('MiT Strom Pipeline'!R31="Evaluation")+('MiT Strom Pipeline'!R31="tbd")+('MiT Strom Pipeline'!R31="In evaluation")&gt;0,IF(ISNUMBER('MiT Strom Pipeline'!Q31),'MiT Strom Pipeline'!Q31,0),"")</f>
        <v/>
      </c>
      <c r="H164" s="22" t="str">
        <f aca="false">IF(('MiT Strom Pipeline'!R31="follow-up")+('MiT Strom Pipeline'!R31="Evaluation")+('MiT Strom Pipeline'!R31="tbd")+('MiT Strom Pipeline'!R31="In evaluation")&gt;0,'MiT Strom Pipeline'!R31,"")</f>
        <v/>
      </c>
      <c r="I164" s="22" t="str">
        <f aca="false">IF(('MiT Strom Pipeline'!R31="follow-up")+('MiT Strom Pipeline'!R31="Evaluation")+('MiT Strom Pipeline'!R31="tbd")+('MiT Strom Pipeline'!R31="In evaluation")&gt;0,'MiT Strom Pipeline'!S31,"")</f>
        <v/>
      </c>
      <c r="J164" s="23" t="str">
        <f aca="false">IF(('MiT Strom Pipeline'!R31="follow-up")+('MiT Strom Pipeline'!R31="Evaluation")+('MiT Strom Pipeline'!R31="tbd")+('MiT Strom Pipeline'!R31="In evaluation")&gt;0,IF(LEN('MiT Strom Pipeline'!V31)&gt;0,LEFT('MiT Strom Pipeline'!V31,55),""),"")</f>
        <v/>
      </c>
    </row>
    <row r="165" customFormat="false" ht="15.75" hidden="false" customHeight="true" outlineLevel="0" collapsed="false">
      <c r="A165" s="38" t="str">
        <f aca="false">IF(('MiT Strom Pipeline'!R32="follow-up")+('MiT Strom Pipeline'!R32="Evaluation")+('MiT Strom Pipeline'!R32="tbd")+('MiT Strom Pipeline'!R32="In evaluation")&gt;0,IF(ISNUMBER('MiT Strom Pipeline'!A32),'MiT Strom Pipeline'!A32,""),"")</f>
        <v/>
      </c>
      <c r="B165" s="39" t="str">
        <f aca="false">IF(('MiT Strom Pipeline'!R32="follow-up")+('MiT Strom Pipeline'!R32="Evaluation")+('MiT Strom Pipeline'!R32="tbd")+('MiT Strom Pipeline'!R32="In evaluation")&gt;0,'MiT Strom Pipeline'!B32,"")</f>
        <v/>
      </c>
      <c r="C165" s="38" t="str">
        <f aca="false">IF(('MiT Strom Pipeline'!R32="follow-up")+('MiT Strom Pipeline'!R32="Evaluation")+('MiT Strom Pipeline'!R32="tbd")+('MiT Strom Pipeline'!R32="In evaluation")&gt;0,'MiT Strom Pipeline'!C32,"")</f>
        <v/>
      </c>
      <c r="D165" s="39" t="str">
        <f aca="false">IF(('MiT Strom Pipeline'!R32="follow-up")+('MiT Strom Pipeline'!R32="Evaluation")+('MiT Strom Pipeline'!R32="tbd")+('MiT Strom Pipeline'!R32="In evaluation")&gt;0,'MiT Strom Pipeline'!D32,"")</f>
        <v/>
      </c>
      <c r="E165" s="39" t="str">
        <f aca="false">IF(('MiT Strom Pipeline'!R32="follow-up")+('MiT Strom Pipeline'!R32="Evaluation")+('MiT Strom Pipeline'!R32="tbd")+('MiT Strom Pipeline'!R32="In evaluation")&gt;0,'MiT Strom Pipeline'!E32,"")</f>
        <v/>
      </c>
      <c r="F165" s="76" t="str">
        <f aca="false">IF(('MiT Strom Pipeline'!R32="follow-up")+('MiT Strom Pipeline'!R32="Evaluation")+('MiT Strom Pipeline'!R32="tbd")+('MiT Strom Pipeline'!R32="In evaluation")&gt;0,IF(ISNUMBER('MiT Strom Pipeline'!I32),'MiT Strom Pipeline'!I32,0),"")</f>
        <v/>
      </c>
      <c r="G165" s="76" t="str">
        <f aca="false">IF(('MiT Strom Pipeline'!R32="follow-up")+('MiT Strom Pipeline'!R32="Evaluation")+('MiT Strom Pipeline'!R32="tbd")+('MiT Strom Pipeline'!R32="In evaluation")&gt;0,IF(ISNUMBER('MiT Strom Pipeline'!Q32),'MiT Strom Pipeline'!Q32,0),"")</f>
        <v/>
      </c>
      <c r="H165" s="38" t="str">
        <f aca="false">IF(('MiT Strom Pipeline'!R32="follow-up")+('MiT Strom Pipeline'!R32="Evaluation")+('MiT Strom Pipeline'!R32="tbd")+('MiT Strom Pipeline'!R32="In evaluation")&gt;0,'MiT Strom Pipeline'!R32,"")</f>
        <v/>
      </c>
      <c r="I165" s="38" t="str">
        <f aca="false">IF(('MiT Strom Pipeline'!R32="follow-up")+('MiT Strom Pipeline'!R32="Evaluation")+('MiT Strom Pipeline'!R32="tbd")+('MiT Strom Pipeline'!R32="In evaluation")&gt;0,'MiT Strom Pipeline'!S32,"")</f>
        <v/>
      </c>
      <c r="J165" s="39" t="str">
        <f aca="false">IF(('MiT Strom Pipeline'!R32="follow-up")+('MiT Strom Pipeline'!R32="Evaluation")+('MiT Strom Pipeline'!R32="tbd")+('MiT Strom Pipeline'!R32="In evaluation")&gt;0,IF(LEN('MiT Strom Pipeline'!V32)&gt;0,LEFT('MiT Strom Pipeline'!V32,55),""),"")</f>
        <v/>
      </c>
    </row>
    <row r="166" customFormat="false" ht="15.75" hidden="false" customHeight="true" outlineLevel="0" collapsed="false">
      <c r="A166" s="22" t="str">
        <f aca="false">IF(('MiT Strom Pipeline'!R33="follow-up")+('MiT Strom Pipeline'!R33="Evaluation")+('MiT Strom Pipeline'!R33="tbd")+('MiT Strom Pipeline'!R33="In evaluation")&gt;0,IF(ISNUMBER('MiT Strom Pipeline'!A33),'MiT Strom Pipeline'!A33,""),"")</f>
        <v/>
      </c>
      <c r="B166" s="23" t="str">
        <f aca="false">IF(('MiT Strom Pipeline'!R33="follow-up")+('MiT Strom Pipeline'!R33="Evaluation")+('MiT Strom Pipeline'!R33="tbd")+('MiT Strom Pipeline'!R33="In evaluation")&gt;0,'MiT Strom Pipeline'!B33,"")</f>
        <v/>
      </c>
      <c r="C166" s="22" t="str">
        <f aca="false">IF(('MiT Strom Pipeline'!R33="follow-up")+('MiT Strom Pipeline'!R33="Evaluation")+('MiT Strom Pipeline'!R33="tbd")+('MiT Strom Pipeline'!R33="In evaluation")&gt;0,'MiT Strom Pipeline'!C33,"")</f>
        <v/>
      </c>
      <c r="D166" s="23" t="str">
        <f aca="false">IF(('MiT Strom Pipeline'!R33="follow-up")+('MiT Strom Pipeline'!R33="Evaluation")+('MiT Strom Pipeline'!R33="tbd")+('MiT Strom Pipeline'!R33="In evaluation")&gt;0,'MiT Strom Pipeline'!D33,"")</f>
        <v/>
      </c>
      <c r="E166" s="23" t="str">
        <f aca="false">IF(('MiT Strom Pipeline'!R33="follow-up")+('MiT Strom Pipeline'!R33="Evaluation")+('MiT Strom Pipeline'!R33="tbd")+('MiT Strom Pipeline'!R33="In evaluation")&gt;0,'MiT Strom Pipeline'!E33,"")</f>
        <v/>
      </c>
      <c r="F166" s="70" t="str">
        <f aca="false">IF(('MiT Strom Pipeline'!R33="follow-up")+('MiT Strom Pipeline'!R33="Evaluation")+('MiT Strom Pipeline'!R33="tbd")+('MiT Strom Pipeline'!R33="In evaluation")&gt;0,IF(ISNUMBER('MiT Strom Pipeline'!I33),'MiT Strom Pipeline'!I33,0),"")</f>
        <v/>
      </c>
      <c r="G166" s="70" t="str">
        <f aca="false">IF(('MiT Strom Pipeline'!R33="follow-up")+('MiT Strom Pipeline'!R33="Evaluation")+('MiT Strom Pipeline'!R33="tbd")+('MiT Strom Pipeline'!R33="In evaluation")&gt;0,IF(ISNUMBER('MiT Strom Pipeline'!Q33),'MiT Strom Pipeline'!Q33,0),"")</f>
        <v/>
      </c>
      <c r="H166" s="22" t="str">
        <f aca="false">IF(('MiT Strom Pipeline'!R33="follow-up")+('MiT Strom Pipeline'!R33="Evaluation")+('MiT Strom Pipeline'!R33="tbd")+('MiT Strom Pipeline'!R33="In evaluation")&gt;0,'MiT Strom Pipeline'!R33,"")</f>
        <v/>
      </c>
      <c r="I166" s="22" t="str">
        <f aca="false">IF(('MiT Strom Pipeline'!R33="follow-up")+('MiT Strom Pipeline'!R33="Evaluation")+('MiT Strom Pipeline'!R33="tbd")+('MiT Strom Pipeline'!R33="In evaluation")&gt;0,'MiT Strom Pipeline'!S33,"")</f>
        <v/>
      </c>
      <c r="J166" s="23" t="str">
        <f aca="false">IF(('MiT Strom Pipeline'!R33="follow-up")+('MiT Strom Pipeline'!R33="Evaluation")+('MiT Strom Pipeline'!R33="tbd")+('MiT Strom Pipeline'!R33="In evaluation")&gt;0,IF(LEN('MiT Strom Pipeline'!V33)&gt;0,LEFT('MiT Strom Pipeline'!V33,55),""),"")</f>
        <v/>
      </c>
    </row>
    <row r="167" customFormat="false" ht="15.75" hidden="false" customHeight="true" outlineLevel="0" collapsed="false">
      <c r="A167" s="38" t="str">
        <f aca="false">IF(('MiT Strom Pipeline'!R34="follow-up")+('MiT Strom Pipeline'!R34="Evaluation")+('MiT Strom Pipeline'!R34="tbd")+('MiT Strom Pipeline'!R34="In evaluation")&gt;0,IF(ISNUMBER('MiT Strom Pipeline'!A34),'MiT Strom Pipeline'!A34,""),"")</f>
        <v/>
      </c>
      <c r="B167" s="39" t="str">
        <f aca="false">IF(('MiT Strom Pipeline'!R34="follow-up")+('MiT Strom Pipeline'!R34="Evaluation")+('MiT Strom Pipeline'!R34="tbd")+('MiT Strom Pipeline'!R34="In evaluation")&gt;0,'MiT Strom Pipeline'!B34,"")</f>
        <v/>
      </c>
      <c r="C167" s="38" t="str">
        <f aca="false">IF(('MiT Strom Pipeline'!R34="follow-up")+('MiT Strom Pipeline'!R34="Evaluation")+('MiT Strom Pipeline'!R34="tbd")+('MiT Strom Pipeline'!R34="In evaluation")&gt;0,'MiT Strom Pipeline'!C34,"")</f>
        <v/>
      </c>
      <c r="D167" s="39" t="str">
        <f aca="false">IF(('MiT Strom Pipeline'!R34="follow-up")+('MiT Strom Pipeline'!R34="Evaluation")+('MiT Strom Pipeline'!R34="tbd")+('MiT Strom Pipeline'!R34="In evaluation")&gt;0,'MiT Strom Pipeline'!D34,"")</f>
        <v/>
      </c>
      <c r="E167" s="39" t="str">
        <f aca="false">IF(('MiT Strom Pipeline'!R34="follow-up")+('MiT Strom Pipeline'!R34="Evaluation")+('MiT Strom Pipeline'!R34="tbd")+('MiT Strom Pipeline'!R34="In evaluation")&gt;0,'MiT Strom Pipeline'!E34,"")</f>
        <v/>
      </c>
      <c r="F167" s="76" t="str">
        <f aca="false">IF(('MiT Strom Pipeline'!R34="follow-up")+('MiT Strom Pipeline'!R34="Evaluation")+('MiT Strom Pipeline'!R34="tbd")+('MiT Strom Pipeline'!R34="In evaluation")&gt;0,IF(ISNUMBER('MiT Strom Pipeline'!I34),'MiT Strom Pipeline'!I34,0),"")</f>
        <v/>
      </c>
      <c r="G167" s="76" t="str">
        <f aca="false">IF(('MiT Strom Pipeline'!R34="follow-up")+('MiT Strom Pipeline'!R34="Evaluation")+('MiT Strom Pipeline'!R34="tbd")+('MiT Strom Pipeline'!R34="In evaluation")&gt;0,IF(ISNUMBER('MiT Strom Pipeline'!Q34),'MiT Strom Pipeline'!Q34,0),"")</f>
        <v/>
      </c>
      <c r="H167" s="38" t="str">
        <f aca="false">IF(('MiT Strom Pipeline'!R34="follow-up")+('MiT Strom Pipeline'!R34="Evaluation")+('MiT Strom Pipeline'!R34="tbd")+('MiT Strom Pipeline'!R34="In evaluation")&gt;0,'MiT Strom Pipeline'!R34,"")</f>
        <v/>
      </c>
      <c r="I167" s="38" t="str">
        <f aca="false">IF(('MiT Strom Pipeline'!R34="follow-up")+('MiT Strom Pipeline'!R34="Evaluation")+('MiT Strom Pipeline'!R34="tbd")+('MiT Strom Pipeline'!R34="In evaluation")&gt;0,'MiT Strom Pipeline'!S34,"")</f>
        <v/>
      </c>
      <c r="J167" s="39" t="str">
        <f aca="false">IF(('MiT Strom Pipeline'!R34="follow-up")+('MiT Strom Pipeline'!R34="Evaluation")+('MiT Strom Pipeline'!R34="tbd")+('MiT Strom Pipeline'!R34="In evaluation")&gt;0,IF(LEN('MiT Strom Pipeline'!V34)&gt;0,LEFT('MiT Strom Pipeline'!V34,55),""),"")</f>
        <v/>
      </c>
    </row>
    <row r="168" customFormat="false" ht="15.75" hidden="false" customHeight="true" outlineLevel="0" collapsed="false">
      <c r="A168" s="22" t="str">
        <f aca="false">IF(('MiT Strom Pipeline'!R35="follow-up")+('MiT Strom Pipeline'!R35="Evaluation")+('MiT Strom Pipeline'!R35="tbd")+('MiT Strom Pipeline'!R35="In evaluation")&gt;0,IF(ISNUMBER('MiT Strom Pipeline'!A35),'MiT Strom Pipeline'!A35,""),"")</f>
        <v/>
      </c>
      <c r="B168" s="23" t="str">
        <f aca="false">IF(('MiT Strom Pipeline'!R35="follow-up")+('MiT Strom Pipeline'!R35="Evaluation")+('MiT Strom Pipeline'!R35="tbd")+('MiT Strom Pipeline'!R35="In evaluation")&gt;0,'MiT Strom Pipeline'!B35,"")</f>
        <v/>
      </c>
      <c r="C168" s="22" t="str">
        <f aca="false">IF(('MiT Strom Pipeline'!R35="follow-up")+('MiT Strom Pipeline'!R35="Evaluation")+('MiT Strom Pipeline'!R35="tbd")+('MiT Strom Pipeline'!R35="In evaluation")&gt;0,'MiT Strom Pipeline'!C35,"")</f>
        <v/>
      </c>
      <c r="D168" s="23" t="str">
        <f aca="false">IF(('MiT Strom Pipeline'!R35="follow-up")+('MiT Strom Pipeline'!R35="Evaluation")+('MiT Strom Pipeline'!R35="tbd")+('MiT Strom Pipeline'!R35="In evaluation")&gt;0,'MiT Strom Pipeline'!D35,"")</f>
        <v/>
      </c>
      <c r="E168" s="23" t="str">
        <f aca="false">IF(('MiT Strom Pipeline'!R35="follow-up")+('MiT Strom Pipeline'!R35="Evaluation")+('MiT Strom Pipeline'!R35="tbd")+('MiT Strom Pipeline'!R35="In evaluation")&gt;0,'MiT Strom Pipeline'!E35,"")</f>
        <v/>
      </c>
      <c r="F168" s="70" t="str">
        <f aca="false">IF(('MiT Strom Pipeline'!R35="follow-up")+('MiT Strom Pipeline'!R35="Evaluation")+('MiT Strom Pipeline'!R35="tbd")+('MiT Strom Pipeline'!R35="In evaluation")&gt;0,IF(ISNUMBER('MiT Strom Pipeline'!I35),'MiT Strom Pipeline'!I35,0),"")</f>
        <v/>
      </c>
      <c r="G168" s="70" t="str">
        <f aca="false">IF(('MiT Strom Pipeline'!R35="follow-up")+('MiT Strom Pipeline'!R35="Evaluation")+('MiT Strom Pipeline'!R35="tbd")+('MiT Strom Pipeline'!R35="In evaluation")&gt;0,IF(ISNUMBER('MiT Strom Pipeline'!Q35),'MiT Strom Pipeline'!Q35,0),"")</f>
        <v/>
      </c>
      <c r="H168" s="22" t="str">
        <f aca="false">IF(('MiT Strom Pipeline'!R35="follow-up")+('MiT Strom Pipeline'!R35="Evaluation")+('MiT Strom Pipeline'!R35="tbd")+('MiT Strom Pipeline'!R35="In evaluation")&gt;0,'MiT Strom Pipeline'!R35,"")</f>
        <v/>
      </c>
      <c r="I168" s="22" t="str">
        <f aca="false">IF(('MiT Strom Pipeline'!R35="follow-up")+('MiT Strom Pipeline'!R35="Evaluation")+('MiT Strom Pipeline'!R35="tbd")+('MiT Strom Pipeline'!R35="In evaluation")&gt;0,'MiT Strom Pipeline'!S35,"")</f>
        <v/>
      </c>
      <c r="J168" s="23" t="str">
        <f aca="false">IF(('MiT Strom Pipeline'!R35="follow-up")+('MiT Strom Pipeline'!R35="Evaluation")+('MiT Strom Pipeline'!R35="tbd")+('MiT Strom Pipeline'!R35="In evaluation")&gt;0,IF(LEN('MiT Strom Pipeline'!V35)&gt;0,LEFT('MiT Strom Pipeline'!V35,55),""),"")</f>
        <v/>
      </c>
    </row>
    <row r="169" customFormat="false" ht="15.75" hidden="false" customHeight="true" outlineLevel="0" collapsed="false">
      <c r="A169" s="38" t="str">
        <f aca="false">IF(('MiT Strom Pipeline'!R36="follow-up")+('MiT Strom Pipeline'!R36="Evaluation")+('MiT Strom Pipeline'!R36="tbd")+('MiT Strom Pipeline'!R36="In evaluation")&gt;0,IF(ISNUMBER('MiT Strom Pipeline'!A36),'MiT Strom Pipeline'!A36,""),"")</f>
        <v/>
      </c>
      <c r="B169" s="39" t="str">
        <f aca="false">IF(('MiT Strom Pipeline'!R36="follow-up")+('MiT Strom Pipeline'!R36="Evaluation")+('MiT Strom Pipeline'!R36="tbd")+('MiT Strom Pipeline'!R36="In evaluation")&gt;0,'MiT Strom Pipeline'!B36,"")</f>
        <v/>
      </c>
      <c r="C169" s="38" t="str">
        <f aca="false">IF(('MiT Strom Pipeline'!R36="follow-up")+('MiT Strom Pipeline'!R36="Evaluation")+('MiT Strom Pipeline'!R36="tbd")+('MiT Strom Pipeline'!R36="In evaluation")&gt;0,'MiT Strom Pipeline'!C36,"")</f>
        <v/>
      </c>
      <c r="D169" s="39" t="str">
        <f aca="false">IF(('MiT Strom Pipeline'!R36="follow-up")+('MiT Strom Pipeline'!R36="Evaluation")+('MiT Strom Pipeline'!R36="tbd")+('MiT Strom Pipeline'!R36="In evaluation")&gt;0,'MiT Strom Pipeline'!D36,"")</f>
        <v/>
      </c>
      <c r="E169" s="39" t="str">
        <f aca="false">IF(('MiT Strom Pipeline'!R36="follow-up")+('MiT Strom Pipeline'!R36="Evaluation")+('MiT Strom Pipeline'!R36="tbd")+('MiT Strom Pipeline'!R36="In evaluation")&gt;0,'MiT Strom Pipeline'!E36,"")</f>
        <v/>
      </c>
      <c r="F169" s="76" t="str">
        <f aca="false">IF(('MiT Strom Pipeline'!R36="follow-up")+('MiT Strom Pipeline'!R36="Evaluation")+('MiT Strom Pipeline'!R36="tbd")+('MiT Strom Pipeline'!R36="In evaluation")&gt;0,IF(ISNUMBER('MiT Strom Pipeline'!I36),'MiT Strom Pipeline'!I36,0),"")</f>
        <v/>
      </c>
      <c r="G169" s="76" t="str">
        <f aca="false">IF(('MiT Strom Pipeline'!R36="follow-up")+('MiT Strom Pipeline'!R36="Evaluation")+('MiT Strom Pipeline'!R36="tbd")+('MiT Strom Pipeline'!R36="In evaluation")&gt;0,IF(ISNUMBER('MiT Strom Pipeline'!Q36),'MiT Strom Pipeline'!Q36,0),"")</f>
        <v/>
      </c>
      <c r="H169" s="38" t="str">
        <f aca="false">IF(('MiT Strom Pipeline'!R36="follow-up")+('MiT Strom Pipeline'!R36="Evaluation")+('MiT Strom Pipeline'!R36="tbd")+('MiT Strom Pipeline'!R36="In evaluation")&gt;0,'MiT Strom Pipeline'!R36,"")</f>
        <v/>
      </c>
      <c r="I169" s="38" t="str">
        <f aca="false">IF(('MiT Strom Pipeline'!R36="follow-up")+('MiT Strom Pipeline'!R36="Evaluation")+('MiT Strom Pipeline'!R36="tbd")+('MiT Strom Pipeline'!R36="In evaluation")&gt;0,'MiT Strom Pipeline'!S36,"")</f>
        <v/>
      </c>
      <c r="J169" s="39" t="str">
        <f aca="false">IF(('MiT Strom Pipeline'!R36="follow-up")+('MiT Strom Pipeline'!R36="Evaluation")+('MiT Strom Pipeline'!R36="tbd")+('MiT Strom Pipeline'!R36="In evaluation")&gt;0,IF(LEN('MiT Strom Pipeline'!V36)&gt;0,LEFT('MiT Strom Pipeline'!V36,55),""),"")</f>
        <v/>
      </c>
    </row>
    <row r="170" customFormat="false" ht="15.75" hidden="false" customHeight="true" outlineLevel="0" collapsed="false">
      <c r="A170" s="22" t="str">
        <f aca="false">IF(('MiT Strom Pipeline'!R37="follow-up")+('MiT Strom Pipeline'!R37="Evaluation")+('MiT Strom Pipeline'!R37="tbd")+('MiT Strom Pipeline'!R37="In evaluation")&gt;0,IF(ISNUMBER('MiT Strom Pipeline'!A37),'MiT Strom Pipeline'!A37,""),"")</f>
        <v/>
      </c>
      <c r="B170" s="23" t="str">
        <f aca="false">IF(('MiT Strom Pipeline'!R37="follow-up")+('MiT Strom Pipeline'!R37="Evaluation")+('MiT Strom Pipeline'!R37="tbd")+('MiT Strom Pipeline'!R37="In evaluation")&gt;0,'MiT Strom Pipeline'!B37,"")</f>
        <v/>
      </c>
      <c r="C170" s="22" t="str">
        <f aca="false">IF(('MiT Strom Pipeline'!R37="follow-up")+('MiT Strom Pipeline'!R37="Evaluation")+('MiT Strom Pipeline'!R37="tbd")+('MiT Strom Pipeline'!R37="In evaluation")&gt;0,'MiT Strom Pipeline'!C37,"")</f>
        <v/>
      </c>
      <c r="D170" s="23" t="str">
        <f aca="false">IF(('MiT Strom Pipeline'!R37="follow-up")+('MiT Strom Pipeline'!R37="Evaluation")+('MiT Strom Pipeline'!R37="tbd")+('MiT Strom Pipeline'!R37="In evaluation")&gt;0,'MiT Strom Pipeline'!D37,"")</f>
        <v/>
      </c>
      <c r="E170" s="23" t="str">
        <f aca="false">IF(('MiT Strom Pipeline'!R37="follow-up")+('MiT Strom Pipeline'!R37="Evaluation")+('MiT Strom Pipeline'!R37="tbd")+('MiT Strom Pipeline'!R37="In evaluation")&gt;0,'MiT Strom Pipeline'!E37,"")</f>
        <v/>
      </c>
      <c r="F170" s="70" t="str">
        <f aca="false">IF(('MiT Strom Pipeline'!R37="follow-up")+('MiT Strom Pipeline'!R37="Evaluation")+('MiT Strom Pipeline'!R37="tbd")+('MiT Strom Pipeline'!R37="In evaluation")&gt;0,IF(ISNUMBER('MiT Strom Pipeline'!I37),'MiT Strom Pipeline'!I37,0),"")</f>
        <v/>
      </c>
      <c r="G170" s="70" t="str">
        <f aca="false">IF(('MiT Strom Pipeline'!R37="follow-up")+('MiT Strom Pipeline'!R37="Evaluation")+('MiT Strom Pipeline'!R37="tbd")+('MiT Strom Pipeline'!R37="In evaluation")&gt;0,IF(ISNUMBER('MiT Strom Pipeline'!Q37),'MiT Strom Pipeline'!Q37,0),"")</f>
        <v/>
      </c>
      <c r="H170" s="22" t="str">
        <f aca="false">IF(('MiT Strom Pipeline'!R37="follow-up")+('MiT Strom Pipeline'!R37="Evaluation")+('MiT Strom Pipeline'!R37="tbd")+('MiT Strom Pipeline'!R37="In evaluation")&gt;0,'MiT Strom Pipeline'!R37,"")</f>
        <v/>
      </c>
      <c r="I170" s="22" t="str">
        <f aca="false">IF(('MiT Strom Pipeline'!R37="follow-up")+('MiT Strom Pipeline'!R37="Evaluation")+('MiT Strom Pipeline'!R37="tbd")+('MiT Strom Pipeline'!R37="In evaluation")&gt;0,'MiT Strom Pipeline'!S37,"")</f>
        <v/>
      </c>
      <c r="J170" s="23" t="str">
        <f aca="false">IF(('MiT Strom Pipeline'!R37="follow-up")+('MiT Strom Pipeline'!R37="Evaluation")+('MiT Strom Pipeline'!R37="tbd")+('MiT Strom Pipeline'!R37="In evaluation")&gt;0,IF(LEN('MiT Strom Pipeline'!V37)&gt;0,LEFT('MiT Strom Pipeline'!V37,55),""),"")</f>
        <v/>
      </c>
    </row>
    <row r="171" customFormat="false" ht="15.75" hidden="false" customHeight="true" outlineLevel="0" collapsed="false">
      <c r="A171" s="38" t="n">
        <f aca="false">IF(('MiT Strom Pipeline'!R38="follow-up")+('MiT Strom Pipeline'!R38="Evaluation")+('MiT Strom Pipeline'!R38="tbd")+('MiT Strom Pipeline'!R38="In evaluation")&gt;0,IF(ISNUMBER('MiT Strom Pipeline'!A38),'MiT Strom Pipeline'!A38,""),"")</f>
        <v>29</v>
      </c>
      <c r="B171" s="39" t="str">
        <f aca="false">IF(('MiT Strom Pipeline'!R38="follow-up")+('MiT Strom Pipeline'!R38="Evaluation")+('MiT Strom Pipeline'!R38="tbd")+('MiT Strom Pipeline'!R38="In evaluation")&gt;0,'MiT Strom Pipeline'!B38,"")</f>
        <v>Gampeln</v>
      </c>
      <c r="C171" s="38" t="str">
        <f aca="false">IF(('MiT Strom Pipeline'!R38="follow-up")+('MiT Strom Pipeline'!R38="Evaluation")+('MiT Strom Pipeline'!R38="tbd")+('MiT Strom Pipeline'!R38="In evaluation")&gt;0,'MiT Strom Pipeline'!C38,"")</f>
        <v>VS</v>
      </c>
      <c r="D171" s="39" t="str">
        <f aca="false">IF(('MiT Strom Pipeline'!R38="follow-up")+('MiT Strom Pipeline'!R38="Evaluation")+('MiT Strom Pipeline'!R38="tbd")+('MiT Strom Pipeline'!R38="In evaluation")&gt;0,'MiT Strom Pipeline'!D38,"")</f>
        <v>Event</v>
      </c>
      <c r="E171" s="39" t="str">
        <f aca="false">IF(('MiT Strom Pipeline'!R38="follow-up")+('MiT Strom Pipeline'!R38="Evaluation")+('MiT Strom Pipeline'!R38="tbd")+('MiT Strom Pipeline'!R38="In evaluation")&gt;0,'MiT Strom Pipeline'!E38,"")</f>
        <v>tbd</v>
      </c>
      <c r="F171" s="76" t="n">
        <f aca="false">IF(('MiT Strom Pipeline'!R38="follow-up")+('MiT Strom Pipeline'!R38="Evaluation")+('MiT Strom Pipeline'!R38="tbd")+('MiT Strom Pipeline'!R38="In evaluation")&gt;0,IF(ISNUMBER('MiT Strom Pipeline'!I38),'MiT Strom Pipeline'!I38,0),"")</f>
        <v>0</v>
      </c>
      <c r="G171" s="76" t="n">
        <f aca="false">IF(('MiT Strom Pipeline'!R38="follow-up")+('MiT Strom Pipeline'!R38="Evaluation")+('MiT Strom Pipeline'!R38="tbd")+('MiT Strom Pipeline'!R38="In evaluation")&gt;0,IF(ISNUMBER('MiT Strom Pipeline'!Q38),'MiT Strom Pipeline'!Q38,0),"")</f>
        <v>0</v>
      </c>
      <c r="H171" s="38" t="str">
        <f aca="false">IF(('MiT Strom Pipeline'!R38="follow-up")+('MiT Strom Pipeline'!R38="Evaluation")+('MiT Strom Pipeline'!R38="tbd")+('MiT Strom Pipeline'!R38="In evaluation")&gt;0,'MiT Strom Pipeline'!R38,"")</f>
        <v>tbd</v>
      </c>
      <c r="I171" s="38" t="n">
        <f aca="false">IF(('MiT Strom Pipeline'!R38="follow-up")+('MiT Strom Pipeline'!R38="Evaluation")+('MiT Strom Pipeline'!R38="tbd")+('MiT Strom Pipeline'!R38="In evaluation")&gt;0,'MiT Strom Pipeline'!S38,"")</f>
        <v>0.1</v>
      </c>
      <c r="J171" s="39" t="str">
        <f aca="false">IF(('MiT Strom Pipeline'!R38="follow-up")+('MiT Strom Pipeline'!R38="Evaluation")+('MiT Strom Pipeline'!R38="tbd")+('MiT Strom Pipeline'!R38="In evaluation")&gt;0,IF(LEN('MiT Strom Pipeline'!V38)&gt;0,LEFT('MiT Strom Pipeline'!V38,55),""),"")</f>
        <v>tbd</v>
      </c>
    </row>
    <row r="172" customFormat="false" ht="15.75" hidden="false" customHeight="true" outlineLevel="0" collapsed="false">
      <c r="A172" s="22" t="n">
        <f aca="false">IF(('MiT Strom Pipeline'!R39="follow-up")+('MiT Strom Pipeline'!R39="Evaluation")+('MiT Strom Pipeline'!R39="tbd")+('MiT Strom Pipeline'!R39="In evaluation")&gt;0,IF(ISNUMBER('MiT Strom Pipeline'!A39),'MiT Strom Pipeline'!A39,""),"")</f>
        <v>30</v>
      </c>
      <c r="B172" s="23" t="str">
        <f aca="false">IF(('MiT Strom Pipeline'!R39="follow-up")+('MiT Strom Pipeline'!R39="Evaluation")+('MiT Strom Pipeline'!R39="tbd")+('MiT Strom Pipeline'!R39="In evaluation")&gt;0,'MiT Strom Pipeline'!B39,"")</f>
        <v>Nestle</v>
      </c>
      <c r="C172" s="22" t="str">
        <f aca="false">IF(('MiT Strom Pipeline'!R39="follow-up")+('MiT Strom Pipeline'!R39="Evaluation")+('MiT Strom Pipeline'!R39="tbd")+('MiT Strom Pipeline'!R39="In evaluation")&gt;0,'MiT Strom Pipeline'!C39,"")</f>
        <v>BE</v>
      </c>
      <c r="D172" s="23" t="str">
        <f aca="false">IF(('MiT Strom Pipeline'!R39="follow-up")+('MiT Strom Pipeline'!R39="Evaluation")+('MiT Strom Pipeline'!R39="tbd")+('MiT Strom Pipeline'!R39="In evaluation")&gt;0,'MiT Strom Pipeline'!D39,"")</f>
        <v>Industrie</v>
      </c>
      <c r="E172" s="23" t="str">
        <f aca="false">IF(('MiT Strom Pipeline'!R39="follow-up")+('MiT Strom Pipeline'!R39="Evaluation")+('MiT Strom Pipeline'!R39="tbd")+('MiT Strom Pipeline'!R39="In evaluation")&gt;0,'MiT Strom Pipeline'!E39,"")</f>
        <v>tbd</v>
      </c>
      <c r="F172" s="70" t="n">
        <f aca="false">IF(('MiT Strom Pipeline'!R39="follow-up")+('MiT Strom Pipeline'!R39="Evaluation")+('MiT Strom Pipeline'!R39="tbd")+('MiT Strom Pipeline'!R39="In evaluation")&gt;0,IF(ISNUMBER('MiT Strom Pipeline'!I39),'MiT Strom Pipeline'!I39,0),"")</f>
        <v>0</v>
      </c>
      <c r="G172" s="70" t="n">
        <f aca="false">IF(('MiT Strom Pipeline'!R39="follow-up")+('MiT Strom Pipeline'!R39="Evaluation")+('MiT Strom Pipeline'!R39="tbd")+('MiT Strom Pipeline'!R39="In evaluation")&gt;0,IF(ISNUMBER('MiT Strom Pipeline'!Q39),'MiT Strom Pipeline'!Q39,0),"")</f>
        <v>0</v>
      </c>
      <c r="H172" s="22" t="str">
        <f aca="false">IF(('MiT Strom Pipeline'!R39="follow-up")+('MiT Strom Pipeline'!R39="Evaluation")+('MiT Strom Pipeline'!R39="tbd")+('MiT Strom Pipeline'!R39="In evaluation")&gt;0,'MiT Strom Pipeline'!R39,"")</f>
        <v>tbd</v>
      </c>
      <c r="I172" s="22" t="n">
        <f aca="false">IF(('MiT Strom Pipeline'!R39="follow-up")+('MiT Strom Pipeline'!R39="Evaluation")+('MiT Strom Pipeline'!R39="tbd")+('MiT Strom Pipeline'!R39="In evaluation")&gt;0,'MiT Strom Pipeline'!S39,"")</f>
        <v>0.1</v>
      </c>
      <c r="J172" s="23" t="str">
        <f aca="false">IF(('MiT Strom Pipeline'!R39="follow-up")+('MiT Strom Pipeline'!R39="Evaluation")+('MiT Strom Pipeline'!R39="tbd")+('MiT Strom Pipeline'!R39="In evaluation")&gt;0,IF(LEN('MiT Strom Pipeline'!V39)&gt;0,LEFT('MiT Strom Pipeline'!V39,55),""),"")</f>
        <v>tbd</v>
      </c>
    </row>
    <row r="173" customFormat="false" ht="15.75" hidden="false" customHeight="true" outlineLevel="0" collapsed="false">
      <c r="A173" s="38" t="n">
        <f aca="false">IF(('MiT Strom Pipeline'!R40="follow-up")+('MiT Strom Pipeline'!R40="Evaluation")+('MiT Strom Pipeline'!R40="tbd")+('MiT Strom Pipeline'!R40="In evaluation")&gt;0,IF(ISNUMBER('MiT Strom Pipeline'!A40),'MiT Strom Pipeline'!A40,""),"")</f>
        <v>31</v>
      </c>
      <c r="B173" s="39" t="str">
        <f aca="false">IF(('MiT Strom Pipeline'!R40="follow-up")+('MiT Strom Pipeline'!R40="Evaluation")+('MiT Strom Pipeline'!R40="tbd")+('MiT Strom Pipeline'!R40="In evaluation")&gt;0,'MiT Strom Pipeline'!B40,"")</f>
        <v>VD</v>
      </c>
      <c r="C173" s="38" t="str">
        <f aca="false">IF(('MiT Strom Pipeline'!R40="follow-up")+('MiT Strom Pipeline'!R40="Evaluation")+('MiT Strom Pipeline'!R40="tbd")+('MiT Strom Pipeline'!R40="In evaluation")&gt;0,'MiT Strom Pipeline'!C40,"")</f>
        <v>VD</v>
      </c>
      <c r="D173" s="39" t="str">
        <f aca="false">IF(('MiT Strom Pipeline'!R40="follow-up")+('MiT Strom Pipeline'!R40="Evaluation")+('MiT Strom Pipeline'!R40="tbd")+('MiT Strom Pipeline'!R40="In evaluation")&gt;0,'MiT Strom Pipeline'!D40,"")</f>
        <v>Industrie</v>
      </c>
      <c r="E173" s="39" t="str">
        <f aca="false">IF(('MiT Strom Pipeline'!R40="follow-up")+('MiT Strom Pipeline'!R40="Evaluation")+('MiT Strom Pipeline'!R40="tbd")+('MiT Strom Pipeline'!R40="In evaluation")&gt;0,'MiT Strom Pipeline'!E40,"")</f>
        <v>tbd</v>
      </c>
      <c r="F173" s="76" t="n">
        <f aca="false">IF(('MiT Strom Pipeline'!R40="follow-up")+('MiT Strom Pipeline'!R40="Evaluation")+('MiT Strom Pipeline'!R40="tbd")+('MiT Strom Pipeline'!R40="In evaluation")&gt;0,IF(ISNUMBER('MiT Strom Pipeline'!I40),'MiT Strom Pipeline'!I40,0),"")</f>
        <v>0</v>
      </c>
      <c r="G173" s="76" t="n">
        <f aca="false">IF(('MiT Strom Pipeline'!R40="follow-up")+('MiT Strom Pipeline'!R40="Evaluation")+('MiT Strom Pipeline'!R40="tbd")+('MiT Strom Pipeline'!R40="In evaluation")&gt;0,IF(ISNUMBER('MiT Strom Pipeline'!Q40),'MiT Strom Pipeline'!Q40,0),"")</f>
        <v>0</v>
      </c>
      <c r="H173" s="38" t="str">
        <f aca="false">IF(('MiT Strom Pipeline'!R40="follow-up")+('MiT Strom Pipeline'!R40="Evaluation")+('MiT Strom Pipeline'!R40="tbd")+('MiT Strom Pipeline'!R40="In evaluation")&gt;0,'MiT Strom Pipeline'!R40,"")</f>
        <v>tbd</v>
      </c>
      <c r="I173" s="38" t="n">
        <f aca="false">IF(('MiT Strom Pipeline'!R40="follow-up")+('MiT Strom Pipeline'!R40="Evaluation")+('MiT Strom Pipeline'!R40="tbd")+('MiT Strom Pipeline'!R40="In evaluation")&gt;0,'MiT Strom Pipeline'!S40,"")</f>
        <v>0.1</v>
      </c>
      <c r="J173" s="39" t="str">
        <f aca="false">IF(('MiT Strom Pipeline'!R40="follow-up")+('MiT Strom Pipeline'!R40="Evaluation")+('MiT Strom Pipeline'!R40="tbd")+('MiT Strom Pipeline'!R40="In evaluation")&gt;0,IF(LEN('MiT Strom Pipeline'!V40)&gt;0,LEFT('MiT Strom Pipeline'!V40,55),""),"")</f>
        <v>tbd</v>
      </c>
    </row>
    <row r="174" customFormat="false" ht="15.75" hidden="false" customHeight="true" outlineLevel="0" collapsed="false">
      <c r="A174" s="22" t="n">
        <f aca="false">IF(('MiT Strom Pipeline'!R41="follow-up")+('MiT Strom Pipeline'!R41="Evaluation")+('MiT Strom Pipeline'!R41="tbd")+('MiT Strom Pipeline'!R41="In evaluation")&gt;0,IF(ISNUMBER('MiT Strom Pipeline'!A41),'MiT Strom Pipeline'!A41,""),"")</f>
        <v>32</v>
      </c>
      <c r="B174" s="23" t="str">
        <f aca="false">IF(('MiT Strom Pipeline'!R41="follow-up")+('MiT Strom Pipeline'!R41="Evaluation")+('MiT Strom Pipeline'!R41="tbd")+('MiT Strom Pipeline'!R41="In evaluation")&gt;0,'MiT Strom Pipeline'!B41,"")</f>
        <v>WSP</v>
      </c>
      <c r="C174" s="22" t="str">
        <f aca="false">IF(('MiT Strom Pipeline'!R41="follow-up")+('MiT Strom Pipeline'!R41="Evaluation")+('MiT Strom Pipeline'!R41="tbd")+('MiT Strom Pipeline'!R41="In evaluation")&gt;0,'MiT Strom Pipeline'!C41,"")</f>
        <v>VD</v>
      </c>
      <c r="D174" s="23" t="str">
        <f aca="false">IF(('MiT Strom Pipeline'!R41="follow-up")+('MiT Strom Pipeline'!R41="Evaluation")+('MiT Strom Pipeline'!R41="tbd")+('MiT Strom Pipeline'!R41="In evaluation")&gt;0,'MiT Strom Pipeline'!D41,"")</f>
        <v>Industrie</v>
      </c>
      <c r="E174" s="23" t="str">
        <f aca="false">IF(('MiT Strom Pipeline'!R41="follow-up")+('MiT Strom Pipeline'!R41="Evaluation")+('MiT Strom Pipeline'!R41="tbd")+('MiT Strom Pipeline'!R41="In evaluation")&gt;0,'MiT Strom Pipeline'!E41,"")</f>
        <v>tbd</v>
      </c>
      <c r="F174" s="70" t="n">
        <f aca="false">IF(('MiT Strom Pipeline'!R41="follow-up")+('MiT Strom Pipeline'!R41="Evaluation")+('MiT Strom Pipeline'!R41="tbd")+('MiT Strom Pipeline'!R41="In evaluation")&gt;0,IF(ISNUMBER('MiT Strom Pipeline'!I41),'MiT Strom Pipeline'!I41,0),"")</f>
        <v>0</v>
      </c>
      <c r="G174" s="70" t="n">
        <f aca="false">IF(('MiT Strom Pipeline'!R41="follow-up")+('MiT Strom Pipeline'!R41="Evaluation")+('MiT Strom Pipeline'!R41="tbd")+('MiT Strom Pipeline'!R41="In evaluation")&gt;0,IF(ISNUMBER('MiT Strom Pipeline'!Q41),'MiT Strom Pipeline'!Q41,0),"")</f>
        <v>0</v>
      </c>
      <c r="H174" s="22" t="str">
        <f aca="false">IF(('MiT Strom Pipeline'!R41="follow-up")+('MiT Strom Pipeline'!R41="Evaluation")+('MiT Strom Pipeline'!R41="tbd")+('MiT Strom Pipeline'!R41="In evaluation")&gt;0,'MiT Strom Pipeline'!R41,"")</f>
        <v>tbd</v>
      </c>
      <c r="I174" s="22" t="n">
        <f aca="false">IF(('MiT Strom Pipeline'!R41="follow-up")+('MiT Strom Pipeline'!R41="Evaluation")+('MiT Strom Pipeline'!R41="tbd")+('MiT Strom Pipeline'!R41="In evaluation")&gt;0,'MiT Strom Pipeline'!S41,"")</f>
        <v>0.1</v>
      </c>
      <c r="J174" s="23" t="str">
        <f aca="false">IF(('MiT Strom Pipeline'!R41="follow-up")+('MiT Strom Pipeline'!R41="Evaluation")+('MiT Strom Pipeline'!R41="tbd")+('MiT Strom Pipeline'!R41="In evaluation")&gt;0,IF(LEN('MiT Strom Pipeline'!V41)&gt;0,LEFT('MiT Strom Pipeline'!V41,55),""),"")</f>
        <v>tbd</v>
      </c>
    </row>
    <row r="175" customFormat="false" ht="15.75" hidden="false" customHeight="true" outlineLevel="0" collapsed="false">
      <c r="A175" s="38" t="str">
        <f aca="false">IF(('MiT Strom Pipeline'!R42="follow-up")+('MiT Strom Pipeline'!R42="Evaluation")+('MiT Strom Pipeline'!R42="tbd")+('MiT Strom Pipeline'!R42="In evaluation")&gt;0,IF(ISNUMBER('MiT Strom Pipeline'!A42),'MiT Strom Pipeline'!A42,""),"")</f>
        <v/>
      </c>
      <c r="B175" s="39" t="str">
        <f aca="false">IF(('MiT Strom Pipeline'!R42="follow-up")+('MiT Strom Pipeline'!R42="Evaluation")+('MiT Strom Pipeline'!R42="tbd")+('MiT Strom Pipeline'!R42="In evaluation")&gt;0,'MiT Strom Pipeline'!B42,"")</f>
        <v/>
      </c>
      <c r="C175" s="38" t="str">
        <f aca="false">IF(('MiT Strom Pipeline'!R42="follow-up")+('MiT Strom Pipeline'!R42="Evaluation")+('MiT Strom Pipeline'!R42="tbd")+('MiT Strom Pipeline'!R42="In evaluation")&gt;0,'MiT Strom Pipeline'!C42,"")</f>
        <v/>
      </c>
      <c r="D175" s="39" t="str">
        <f aca="false">IF(('MiT Strom Pipeline'!R42="follow-up")+('MiT Strom Pipeline'!R42="Evaluation")+('MiT Strom Pipeline'!R42="tbd")+('MiT Strom Pipeline'!R42="In evaluation")&gt;0,'MiT Strom Pipeline'!D42,"")</f>
        <v/>
      </c>
      <c r="E175" s="39" t="str">
        <f aca="false">IF(('MiT Strom Pipeline'!R42="follow-up")+('MiT Strom Pipeline'!R42="Evaluation")+('MiT Strom Pipeline'!R42="tbd")+('MiT Strom Pipeline'!R42="In evaluation")&gt;0,'MiT Strom Pipeline'!E42,"")</f>
        <v/>
      </c>
      <c r="F175" s="76" t="str">
        <f aca="false">IF(('MiT Strom Pipeline'!R42="follow-up")+('MiT Strom Pipeline'!R42="Evaluation")+('MiT Strom Pipeline'!R42="tbd")+('MiT Strom Pipeline'!R42="In evaluation")&gt;0,IF(ISNUMBER('MiT Strom Pipeline'!I42),'MiT Strom Pipeline'!I42,0),"")</f>
        <v/>
      </c>
      <c r="G175" s="76" t="str">
        <f aca="false">IF(('MiT Strom Pipeline'!R42="follow-up")+('MiT Strom Pipeline'!R42="Evaluation")+('MiT Strom Pipeline'!R42="tbd")+('MiT Strom Pipeline'!R42="In evaluation")&gt;0,IF(ISNUMBER('MiT Strom Pipeline'!Q42),'MiT Strom Pipeline'!Q42,0),"")</f>
        <v/>
      </c>
      <c r="H175" s="38" t="str">
        <f aca="false">IF(('MiT Strom Pipeline'!R42="follow-up")+('MiT Strom Pipeline'!R42="Evaluation")+('MiT Strom Pipeline'!R42="tbd")+('MiT Strom Pipeline'!R42="In evaluation")&gt;0,'MiT Strom Pipeline'!R42,"")</f>
        <v/>
      </c>
      <c r="I175" s="38" t="str">
        <f aca="false">IF(('MiT Strom Pipeline'!R42="follow-up")+('MiT Strom Pipeline'!R42="Evaluation")+('MiT Strom Pipeline'!R42="tbd")+('MiT Strom Pipeline'!R42="In evaluation")&gt;0,'MiT Strom Pipeline'!S42,"")</f>
        <v/>
      </c>
      <c r="J175" s="39" t="str">
        <f aca="false">IF(('MiT Strom Pipeline'!R42="follow-up")+('MiT Strom Pipeline'!R42="Evaluation")+('MiT Strom Pipeline'!R42="tbd")+('MiT Strom Pipeline'!R42="In evaluation")&gt;0,IF(LEN('MiT Strom Pipeline'!V42)&gt;0,LEFT('MiT Strom Pipeline'!V42,55),""),"")</f>
        <v/>
      </c>
    </row>
    <row r="176" customFormat="false" ht="15.75" hidden="false" customHeight="true" outlineLevel="0" collapsed="false">
      <c r="A176" s="22" t="str">
        <f aca="false">IF(('MiT Strom Pipeline'!R43="follow-up")+('MiT Strom Pipeline'!R43="Evaluation")+('MiT Strom Pipeline'!R43="tbd")+('MiT Strom Pipeline'!R43="In evaluation")&gt;0,IF(ISNUMBER('MiT Strom Pipeline'!A43),'MiT Strom Pipeline'!A43,""),"")</f>
        <v/>
      </c>
      <c r="B176" s="23" t="str">
        <f aca="false">IF(('MiT Strom Pipeline'!R43="follow-up")+('MiT Strom Pipeline'!R43="Evaluation")+('MiT Strom Pipeline'!R43="tbd")+('MiT Strom Pipeline'!R43="In evaluation")&gt;0,'MiT Strom Pipeline'!B43,"")</f>
        <v/>
      </c>
      <c r="C176" s="22" t="str">
        <f aca="false">IF(('MiT Strom Pipeline'!R43="follow-up")+('MiT Strom Pipeline'!R43="Evaluation")+('MiT Strom Pipeline'!R43="tbd")+('MiT Strom Pipeline'!R43="In evaluation")&gt;0,'MiT Strom Pipeline'!C43,"")</f>
        <v/>
      </c>
      <c r="D176" s="23" t="str">
        <f aca="false">IF(('MiT Strom Pipeline'!R43="follow-up")+('MiT Strom Pipeline'!R43="Evaluation")+('MiT Strom Pipeline'!R43="tbd")+('MiT Strom Pipeline'!R43="In evaluation")&gt;0,'MiT Strom Pipeline'!D43,"")</f>
        <v/>
      </c>
      <c r="E176" s="23" t="str">
        <f aca="false">IF(('MiT Strom Pipeline'!R43="follow-up")+('MiT Strom Pipeline'!R43="Evaluation")+('MiT Strom Pipeline'!R43="tbd")+('MiT Strom Pipeline'!R43="In evaluation")&gt;0,'MiT Strom Pipeline'!E43,"")</f>
        <v/>
      </c>
      <c r="F176" s="70" t="str">
        <f aca="false">IF(('MiT Strom Pipeline'!R43="follow-up")+('MiT Strom Pipeline'!R43="Evaluation")+('MiT Strom Pipeline'!R43="tbd")+('MiT Strom Pipeline'!R43="In evaluation")&gt;0,IF(ISNUMBER('MiT Strom Pipeline'!I43),'MiT Strom Pipeline'!I43,0),"")</f>
        <v/>
      </c>
      <c r="G176" s="70" t="str">
        <f aca="false">IF(('MiT Strom Pipeline'!R43="follow-up")+('MiT Strom Pipeline'!R43="Evaluation")+('MiT Strom Pipeline'!R43="tbd")+('MiT Strom Pipeline'!R43="In evaluation")&gt;0,IF(ISNUMBER('MiT Strom Pipeline'!Q43),'MiT Strom Pipeline'!Q43,0),"")</f>
        <v/>
      </c>
      <c r="H176" s="22" t="str">
        <f aca="false">IF(('MiT Strom Pipeline'!R43="follow-up")+('MiT Strom Pipeline'!R43="Evaluation")+('MiT Strom Pipeline'!R43="tbd")+('MiT Strom Pipeline'!R43="In evaluation")&gt;0,'MiT Strom Pipeline'!R43,"")</f>
        <v/>
      </c>
      <c r="I176" s="22" t="str">
        <f aca="false">IF(('MiT Strom Pipeline'!R43="follow-up")+('MiT Strom Pipeline'!R43="Evaluation")+('MiT Strom Pipeline'!R43="tbd")+('MiT Strom Pipeline'!R43="In evaluation")&gt;0,'MiT Strom Pipeline'!S43,"")</f>
        <v/>
      </c>
      <c r="J176" s="23" t="str">
        <f aca="false">IF(('MiT Strom Pipeline'!R43="follow-up")+('MiT Strom Pipeline'!R43="Evaluation")+('MiT Strom Pipeline'!R43="tbd")+('MiT Strom Pipeline'!R43="In evaluation")&gt;0,IF(LEN('MiT Strom Pipeline'!V43)&gt;0,LEFT('MiT Strom Pipeline'!V43,55),""),"")</f>
        <v/>
      </c>
    </row>
    <row r="177" customFormat="false" ht="15.75" hidden="false" customHeight="true" outlineLevel="0" collapsed="false">
      <c r="A177" s="38" t="str">
        <f aca="false">IF(('MiT Strom Pipeline'!R44="follow-up")+('MiT Strom Pipeline'!R44="Evaluation")+('MiT Strom Pipeline'!R44="tbd")+('MiT Strom Pipeline'!R44="In evaluation")&gt;0,IF(ISNUMBER('MiT Strom Pipeline'!A44),'MiT Strom Pipeline'!A44,""),"")</f>
        <v/>
      </c>
      <c r="B177" s="39" t="str">
        <f aca="false">IF(('MiT Strom Pipeline'!R44="follow-up")+('MiT Strom Pipeline'!R44="Evaluation")+('MiT Strom Pipeline'!R44="tbd")+('MiT Strom Pipeline'!R44="In evaluation")&gt;0,'MiT Strom Pipeline'!B44,"")</f>
        <v/>
      </c>
      <c r="C177" s="38" t="str">
        <f aca="false">IF(('MiT Strom Pipeline'!R44="follow-up")+('MiT Strom Pipeline'!R44="Evaluation")+('MiT Strom Pipeline'!R44="tbd")+('MiT Strom Pipeline'!R44="In evaluation")&gt;0,'MiT Strom Pipeline'!C44,"")</f>
        <v/>
      </c>
      <c r="D177" s="39" t="str">
        <f aca="false">IF(('MiT Strom Pipeline'!R44="follow-up")+('MiT Strom Pipeline'!R44="Evaluation")+('MiT Strom Pipeline'!R44="tbd")+('MiT Strom Pipeline'!R44="In evaluation")&gt;0,'MiT Strom Pipeline'!D44,"")</f>
        <v/>
      </c>
      <c r="E177" s="39" t="str">
        <f aca="false">IF(('MiT Strom Pipeline'!R44="follow-up")+('MiT Strom Pipeline'!R44="Evaluation")+('MiT Strom Pipeline'!R44="tbd")+('MiT Strom Pipeline'!R44="In evaluation")&gt;0,'MiT Strom Pipeline'!E44,"")</f>
        <v/>
      </c>
      <c r="F177" s="76" t="str">
        <f aca="false">IF(('MiT Strom Pipeline'!R44="follow-up")+('MiT Strom Pipeline'!R44="Evaluation")+('MiT Strom Pipeline'!R44="tbd")+('MiT Strom Pipeline'!R44="In evaluation")&gt;0,IF(ISNUMBER('MiT Strom Pipeline'!I44),'MiT Strom Pipeline'!I44,0),"")</f>
        <v/>
      </c>
      <c r="G177" s="76" t="str">
        <f aca="false">IF(('MiT Strom Pipeline'!R44="follow-up")+('MiT Strom Pipeline'!R44="Evaluation")+('MiT Strom Pipeline'!R44="tbd")+('MiT Strom Pipeline'!R44="In evaluation")&gt;0,IF(ISNUMBER('MiT Strom Pipeline'!Q44),'MiT Strom Pipeline'!Q44,0),"")</f>
        <v/>
      </c>
      <c r="H177" s="38" t="str">
        <f aca="false">IF(('MiT Strom Pipeline'!R44="follow-up")+('MiT Strom Pipeline'!R44="Evaluation")+('MiT Strom Pipeline'!R44="tbd")+('MiT Strom Pipeline'!R44="In evaluation")&gt;0,'MiT Strom Pipeline'!R44,"")</f>
        <v/>
      </c>
      <c r="I177" s="38" t="str">
        <f aca="false">IF(('MiT Strom Pipeline'!R44="follow-up")+('MiT Strom Pipeline'!R44="Evaluation")+('MiT Strom Pipeline'!R44="tbd")+('MiT Strom Pipeline'!R44="In evaluation")&gt;0,'MiT Strom Pipeline'!S44,"")</f>
        <v/>
      </c>
      <c r="J177" s="39" t="str">
        <f aca="false">IF(('MiT Strom Pipeline'!R44="follow-up")+('MiT Strom Pipeline'!R44="Evaluation")+('MiT Strom Pipeline'!R44="tbd")+('MiT Strom Pipeline'!R44="In evaluation")&gt;0,IF(LEN('MiT Strom Pipeline'!V44)&gt;0,LEFT('MiT Strom Pipeline'!V44,55),""),"")</f>
        <v/>
      </c>
    </row>
    <row r="178" customFormat="false" ht="15.75" hidden="false" customHeight="true" outlineLevel="0" collapsed="false">
      <c r="A178" s="22" t="str">
        <f aca="false">IF(('MiT Strom Pipeline'!R45="follow-up")+('MiT Strom Pipeline'!R45="Evaluation")+('MiT Strom Pipeline'!R45="tbd")+('MiT Strom Pipeline'!R45="In evaluation")&gt;0,IF(ISNUMBER('MiT Strom Pipeline'!A45),'MiT Strom Pipeline'!A45,""),"")</f>
        <v/>
      </c>
      <c r="B178" s="23" t="str">
        <f aca="false">IF(('MiT Strom Pipeline'!R45="follow-up")+('MiT Strom Pipeline'!R45="Evaluation")+('MiT Strom Pipeline'!R45="tbd")+('MiT Strom Pipeline'!R45="In evaluation")&gt;0,'MiT Strom Pipeline'!B45,"")</f>
        <v/>
      </c>
      <c r="C178" s="22" t="str">
        <f aca="false">IF(('MiT Strom Pipeline'!R45="follow-up")+('MiT Strom Pipeline'!R45="Evaluation")+('MiT Strom Pipeline'!R45="tbd")+('MiT Strom Pipeline'!R45="In evaluation")&gt;0,'MiT Strom Pipeline'!C45,"")</f>
        <v/>
      </c>
      <c r="D178" s="23" t="str">
        <f aca="false">IF(('MiT Strom Pipeline'!R45="follow-up")+('MiT Strom Pipeline'!R45="Evaluation")+('MiT Strom Pipeline'!R45="tbd")+('MiT Strom Pipeline'!R45="In evaluation")&gt;0,'MiT Strom Pipeline'!D45,"")</f>
        <v/>
      </c>
      <c r="E178" s="23" t="str">
        <f aca="false">IF(('MiT Strom Pipeline'!R45="follow-up")+('MiT Strom Pipeline'!R45="Evaluation")+('MiT Strom Pipeline'!R45="tbd")+('MiT Strom Pipeline'!R45="In evaluation")&gt;0,'MiT Strom Pipeline'!E45,"")</f>
        <v/>
      </c>
      <c r="F178" s="70" t="str">
        <f aca="false">IF(('MiT Strom Pipeline'!R45="follow-up")+('MiT Strom Pipeline'!R45="Evaluation")+('MiT Strom Pipeline'!R45="tbd")+('MiT Strom Pipeline'!R45="In evaluation")&gt;0,IF(ISNUMBER('MiT Strom Pipeline'!I45),'MiT Strom Pipeline'!I45,0),"")</f>
        <v/>
      </c>
      <c r="G178" s="70" t="str">
        <f aca="false">IF(('MiT Strom Pipeline'!R45="follow-up")+('MiT Strom Pipeline'!R45="Evaluation")+('MiT Strom Pipeline'!R45="tbd")+('MiT Strom Pipeline'!R45="In evaluation")&gt;0,IF(ISNUMBER('MiT Strom Pipeline'!Q45),'MiT Strom Pipeline'!Q45,0),"")</f>
        <v/>
      </c>
      <c r="H178" s="22" t="str">
        <f aca="false">IF(('MiT Strom Pipeline'!R45="follow-up")+('MiT Strom Pipeline'!R45="Evaluation")+('MiT Strom Pipeline'!R45="tbd")+('MiT Strom Pipeline'!R45="In evaluation")&gt;0,'MiT Strom Pipeline'!R45,"")</f>
        <v/>
      </c>
      <c r="I178" s="22" t="str">
        <f aca="false">IF(('MiT Strom Pipeline'!R45="follow-up")+('MiT Strom Pipeline'!R45="Evaluation")+('MiT Strom Pipeline'!R45="tbd")+('MiT Strom Pipeline'!R45="In evaluation")&gt;0,'MiT Strom Pipeline'!S45,"")</f>
        <v/>
      </c>
      <c r="J178" s="23" t="str">
        <f aca="false">IF(('MiT Strom Pipeline'!R45="follow-up")+('MiT Strom Pipeline'!R45="Evaluation")+('MiT Strom Pipeline'!R45="tbd")+('MiT Strom Pipeline'!R45="In evaluation")&gt;0,IF(LEN('MiT Strom Pipeline'!V45)&gt;0,LEFT('MiT Strom Pipeline'!V45,55),""),"")</f>
        <v/>
      </c>
    </row>
    <row r="179" customFormat="false" ht="15.75" hidden="false" customHeight="true" outlineLevel="0" collapsed="false">
      <c r="A179" s="38" t="str">
        <f aca="false">IF(('MiT Strom Pipeline'!R46="follow-up")+('MiT Strom Pipeline'!R46="Evaluation")+('MiT Strom Pipeline'!R46="tbd")+('MiT Strom Pipeline'!R46="In evaluation")&gt;0,IF(ISNUMBER('MiT Strom Pipeline'!A46),'MiT Strom Pipeline'!A46,""),"")</f>
        <v/>
      </c>
      <c r="B179" s="39" t="str">
        <f aca="false">IF(('MiT Strom Pipeline'!R46="follow-up")+('MiT Strom Pipeline'!R46="Evaluation")+('MiT Strom Pipeline'!R46="tbd")+('MiT Strom Pipeline'!R46="In evaluation")&gt;0,'MiT Strom Pipeline'!B46,"")</f>
        <v/>
      </c>
      <c r="C179" s="38" t="str">
        <f aca="false">IF(('MiT Strom Pipeline'!R46="follow-up")+('MiT Strom Pipeline'!R46="Evaluation")+('MiT Strom Pipeline'!R46="tbd")+('MiT Strom Pipeline'!R46="In evaluation")&gt;0,'MiT Strom Pipeline'!C46,"")</f>
        <v/>
      </c>
      <c r="D179" s="39" t="str">
        <f aca="false">IF(('MiT Strom Pipeline'!R46="follow-up")+('MiT Strom Pipeline'!R46="Evaluation")+('MiT Strom Pipeline'!R46="tbd")+('MiT Strom Pipeline'!R46="In evaluation")&gt;0,'MiT Strom Pipeline'!D46,"")</f>
        <v/>
      </c>
      <c r="E179" s="39" t="str">
        <f aca="false">IF(('MiT Strom Pipeline'!R46="follow-up")+('MiT Strom Pipeline'!R46="Evaluation")+('MiT Strom Pipeline'!R46="tbd")+('MiT Strom Pipeline'!R46="In evaluation")&gt;0,'MiT Strom Pipeline'!E46,"")</f>
        <v/>
      </c>
      <c r="F179" s="76" t="str">
        <f aca="false">IF(('MiT Strom Pipeline'!R46="follow-up")+('MiT Strom Pipeline'!R46="Evaluation")+('MiT Strom Pipeline'!R46="tbd")+('MiT Strom Pipeline'!R46="In evaluation")&gt;0,IF(ISNUMBER('MiT Strom Pipeline'!I46),'MiT Strom Pipeline'!I46,0),"")</f>
        <v/>
      </c>
      <c r="G179" s="76" t="str">
        <f aca="false">IF(('MiT Strom Pipeline'!R46="follow-up")+('MiT Strom Pipeline'!R46="Evaluation")+('MiT Strom Pipeline'!R46="tbd")+('MiT Strom Pipeline'!R46="In evaluation")&gt;0,IF(ISNUMBER('MiT Strom Pipeline'!Q46),'MiT Strom Pipeline'!Q46,0),"")</f>
        <v/>
      </c>
      <c r="H179" s="38" t="str">
        <f aca="false">IF(('MiT Strom Pipeline'!R46="follow-up")+('MiT Strom Pipeline'!R46="Evaluation")+('MiT Strom Pipeline'!R46="tbd")+('MiT Strom Pipeline'!R46="In evaluation")&gt;0,'MiT Strom Pipeline'!R46,"")</f>
        <v/>
      </c>
      <c r="I179" s="38" t="str">
        <f aca="false">IF(('MiT Strom Pipeline'!R46="follow-up")+('MiT Strom Pipeline'!R46="Evaluation")+('MiT Strom Pipeline'!R46="tbd")+('MiT Strom Pipeline'!R46="In evaluation")&gt;0,'MiT Strom Pipeline'!S46,"")</f>
        <v/>
      </c>
      <c r="J179" s="39" t="str">
        <f aca="false">IF(('MiT Strom Pipeline'!R46="follow-up")+('MiT Strom Pipeline'!R46="Evaluation")+('MiT Strom Pipeline'!R46="tbd")+('MiT Strom Pipeline'!R46="In evaluation")&gt;0,IF(LEN('MiT Strom Pipeline'!V46)&gt;0,LEFT('MiT Strom Pipeline'!V46,55),""),"")</f>
        <v/>
      </c>
    </row>
    <row r="180" customFormat="false" ht="15.75" hidden="false" customHeight="true" outlineLevel="0" collapsed="false">
      <c r="A180" s="22" t="str">
        <f aca="false">IF(('MiT Strom Pipeline'!R47="follow-up")+('MiT Strom Pipeline'!R47="Evaluation")+('MiT Strom Pipeline'!R47="tbd")+('MiT Strom Pipeline'!R47="In evaluation")&gt;0,IF(ISNUMBER('MiT Strom Pipeline'!A47),'MiT Strom Pipeline'!A47,""),"")</f>
        <v/>
      </c>
      <c r="B180" s="23" t="str">
        <f aca="false">IF(('MiT Strom Pipeline'!R47="follow-up")+('MiT Strom Pipeline'!R47="Evaluation")+('MiT Strom Pipeline'!R47="tbd")+('MiT Strom Pipeline'!R47="In evaluation")&gt;0,'MiT Strom Pipeline'!B47,"")</f>
        <v/>
      </c>
      <c r="C180" s="22" t="str">
        <f aca="false">IF(('MiT Strom Pipeline'!R47="follow-up")+('MiT Strom Pipeline'!R47="Evaluation")+('MiT Strom Pipeline'!R47="tbd")+('MiT Strom Pipeline'!R47="In evaluation")&gt;0,'MiT Strom Pipeline'!C47,"")</f>
        <v/>
      </c>
      <c r="D180" s="23" t="str">
        <f aca="false">IF(('MiT Strom Pipeline'!R47="follow-up")+('MiT Strom Pipeline'!R47="Evaluation")+('MiT Strom Pipeline'!R47="tbd")+('MiT Strom Pipeline'!R47="In evaluation")&gt;0,'MiT Strom Pipeline'!D47,"")</f>
        <v/>
      </c>
      <c r="E180" s="23" t="str">
        <f aca="false">IF(('MiT Strom Pipeline'!R47="follow-up")+('MiT Strom Pipeline'!R47="Evaluation")+('MiT Strom Pipeline'!R47="tbd")+('MiT Strom Pipeline'!R47="In evaluation")&gt;0,'MiT Strom Pipeline'!E47,"")</f>
        <v/>
      </c>
      <c r="F180" s="70" t="str">
        <f aca="false">IF(('MiT Strom Pipeline'!R47="follow-up")+('MiT Strom Pipeline'!R47="Evaluation")+('MiT Strom Pipeline'!R47="tbd")+('MiT Strom Pipeline'!R47="In evaluation")&gt;0,IF(ISNUMBER('MiT Strom Pipeline'!I47),'MiT Strom Pipeline'!I47,0),"")</f>
        <v/>
      </c>
      <c r="G180" s="70" t="str">
        <f aca="false">IF(('MiT Strom Pipeline'!R47="follow-up")+('MiT Strom Pipeline'!R47="Evaluation")+('MiT Strom Pipeline'!R47="tbd")+('MiT Strom Pipeline'!R47="In evaluation")&gt;0,IF(ISNUMBER('MiT Strom Pipeline'!Q47),'MiT Strom Pipeline'!Q47,0),"")</f>
        <v/>
      </c>
      <c r="H180" s="22" t="str">
        <f aca="false">IF(('MiT Strom Pipeline'!R47="follow-up")+('MiT Strom Pipeline'!R47="Evaluation")+('MiT Strom Pipeline'!R47="tbd")+('MiT Strom Pipeline'!R47="In evaluation")&gt;0,'MiT Strom Pipeline'!R47,"")</f>
        <v/>
      </c>
      <c r="I180" s="22" t="str">
        <f aca="false">IF(('MiT Strom Pipeline'!R47="follow-up")+('MiT Strom Pipeline'!R47="Evaluation")+('MiT Strom Pipeline'!R47="tbd")+('MiT Strom Pipeline'!R47="In evaluation")&gt;0,'MiT Strom Pipeline'!S47,"")</f>
        <v/>
      </c>
      <c r="J180" s="23" t="str">
        <f aca="false">IF(('MiT Strom Pipeline'!R47="follow-up")+('MiT Strom Pipeline'!R47="Evaluation")+('MiT Strom Pipeline'!R47="tbd")+('MiT Strom Pipeline'!R47="In evaluation")&gt;0,IF(LEN('MiT Strom Pipeline'!V47)&gt;0,LEFT('MiT Strom Pipeline'!V47,55),""),"")</f>
        <v/>
      </c>
    </row>
    <row r="181" customFormat="false" ht="15.75" hidden="false" customHeight="true" outlineLevel="0" collapsed="false">
      <c r="A181" s="38" t="str">
        <f aca="false">IF(('MiT Strom Pipeline'!R48="follow-up")+('MiT Strom Pipeline'!R48="Evaluation")+('MiT Strom Pipeline'!R48="tbd")+('MiT Strom Pipeline'!R48="In evaluation")&gt;0,IF(ISNUMBER('MiT Strom Pipeline'!A48),'MiT Strom Pipeline'!A48,""),"")</f>
        <v/>
      </c>
      <c r="B181" s="39" t="str">
        <f aca="false">IF(('MiT Strom Pipeline'!R48="follow-up")+('MiT Strom Pipeline'!R48="Evaluation")+('MiT Strom Pipeline'!R48="tbd")+('MiT Strom Pipeline'!R48="In evaluation")&gt;0,'MiT Strom Pipeline'!B48,"")</f>
        <v/>
      </c>
      <c r="C181" s="38" t="str">
        <f aca="false">IF(('MiT Strom Pipeline'!R48="follow-up")+('MiT Strom Pipeline'!R48="Evaluation")+('MiT Strom Pipeline'!R48="tbd")+('MiT Strom Pipeline'!R48="In evaluation")&gt;0,'MiT Strom Pipeline'!C48,"")</f>
        <v/>
      </c>
      <c r="D181" s="39" t="str">
        <f aca="false">IF(('MiT Strom Pipeline'!R48="follow-up")+('MiT Strom Pipeline'!R48="Evaluation")+('MiT Strom Pipeline'!R48="tbd")+('MiT Strom Pipeline'!R48="In evaluation")&gt;0,'MiT Strom Pipeline'!D48,"")</f>
        <v/>
      </c>
      <c r="E181" s="39" t="str">
        <f aca="false">IF(('MiT Strom Pipeline'!R48="follow-up")+('MiT Strom Pipeline'!R48="Evaluation")+('MiT Strom Pipeline'!R48="tbd")+('MiT Strom Pipeline'!R48="In evaluation")&gt;0,'MiT Strom Pipeline'!E48,"")</f>
        <v/>
      </c>
      <c r="F181" s="76" t="str">
        <f aca="false">IF(('MiT Strom Pipeline'!R48="follow-up")+('MiT Strom Pipeline'!R48="Evaluation")+('MiT Strom Pipeline'!R48="tbd")+('MiT Strom Pipeline'!R48="In evaluation")&gt;0,IF(ISNUMBER('MiT Strom Pipeline'!I48),'MiT Strom Pipeline'!I48,0),"")</f>
        <v/>
      </c>
      <c r="G181" s="76" t="str">
        <f aca="false">IF(('MiT Strom Pipeline'!R48="follow-up")+('MiT Strom Pipeline'!R48="Evaluation")+('MiT Strom Pipeline'!R48="tbd")+('MiT Strom Pipeline'!R48="In evaluation")&gt;0,IF(ISNUMBER('MiT Strom Pipeline'!Q48),'MiT Strom Pipeline'!Q48,0),"")</f>
        <v/>
      </c>
      <c r="H181" s="38" t="str">
        <f aca="false">IF(('MiT Strom Pipeline'!R48="follow-up")+('MiT Strom Pipeline'!R48="Evaluation")+('MiT Strom Pipeline'!R48="tbd")+('MiT Strom Pipeline'!R48="In evaluation")&gt;0,'MiT Strom Pipeline'!R48,"")</f>
        <v/>
      </c>
      <c r="I181" s="38" t="str">
        <f aca="false">IF(('MiT Strom Pipeline'!R48="follow-up")+('MiT Strom Pipeline'!R48="Evaluation")+('MiT Strom Pipeline'!R48="tbd")+('MiT Strom Pipeline'!R48="In evaluation")&gt;0,'MiT Strom Pipeline'!S48,"")</f>
        <v/>
      </c>
      <c r="J181" s="39" t="str">
        <f aca="false">IF(('MiT Strom Pipeline'!R48="follow-up")+('MiT Strom Pipeline'!R48="Evaluation")+('MiT Strom Pipeline'!R48="tbd")+('MiT Strom Pipeline'!R48="In evaluation")&gt;0,IF(LEN('MiT Strom Pipeline'!V48)&gt;0,LEFT('MiT Strom Pipeline'!V48,55),""),"")</f>
        <v/>
      </c>
    </row>
    <row r="182" customFormat="false" ht="15.75" hidden="false" customHeight="true" outlineLevel="0" collapsed="false">
      <c r="A182" s="22" t="str">
        <f aca="false">IF(('MiT Strom Pipeline'!R49="follow-up")+('MiT Strom Pipeline'!R49="Evaluation")+('MiT Strom Pipeline'!R49="tbd")+('MiT Strom Pipeline'!R49="In evaluation")&gt;0,IF(ISNUMBER('MiT Strom Pipeline'!A49),'MiT Strom Pipeline'!A49,""),"")</f>
        <v/>
      </c>
      <c r="B182" s="23" t="str">
        <f aca="false">IF(('MiT Strom Pipeline'!R49="follow-up")+('MiT Strom Pipeline'!R49="Evaluation")+('MiT Strom Pipeline'!R49="tbd")+('MiT Strom Pipeline'!R49="In evaluation")&gt;0,'MiT Strom Pipeline'!B49,"")</f>
        <v/>
      </c>
      <c r="C182" s="22" t="str">
        <f aca="false">IF(('MiT Strom Pipeline'!R49="follow-up")+('MiT Strom Pipeline'!R49="Evaluation")+('MiT Strom Pipeline'!R49="tbd")+('MiT Strom Pipeline'!R49="In evaluation")&gt;0,'MiT Strom Pipeline'!C49,"")</f>
        <v/>
      </c>
      <c r="D182" s="23" t="str">
        <f aca="false">IF(('MiT Strom Pipeline'!R49="follow-up")+('MiT Strom Pipeline'!R49="Evaluation")+('MiT Strom Pipeline'!R49="tbd")+('MiT Strom Pipeline'!R49="In evaluation")&gt;0,'MiT Strom Pipeline'!D49,"")</f>
        <v/>
      </c>
      <c r="E182" s="23" t="str">
        <f aca="false">IF(('MiT Strom Pipeline'!R49="follow-up")+('MiT Strom Pipeline'!R49="Evaluation")+('MiT Strom Pipeline'!R49="tbd")+('MiT Strom Pipeline'!R49="In evaluation")&gt;0,'MiT Strom Pipeline'!E49,"")</f>
        <v/>
      </c>
      <c r="F182" s="70" t="str">
        <f aca="false">IF(('MiT Strom Pipeline'!R49="follow-up")+('MiT Strom Pipeline'!R49="Evaluation")+('MiT Strom Pipeline'!R49="tbd")+('MiT Strom Pipeline'!R49="In evaluation")&gt;0,IF(ISNUMBER('MiT Strom Pipeline'!I49),'MiT Strom Pipeline'!I49,0),"")</f>
        <v/>
      </c>
      <c r="G182" s="70" t="str">
        <f aca="false">IF(('MiT Strom Pipeline'!R49="follow-up")+('MiT Strom Pipeline'!R49="Evaluation")+('MiT Strom Pipeline'!R49="tbd")+('MiT Strom Pipeline'!R49="In evaluation")&gt;0,IF(ISNUMBER('MiT Strom Pipeline'!Q49),'MiT Strom Pipeline'!Q49,0),"")</f>
        <v/>
      </c>
      <c r="H182" s="22" t="str">
        <f aca="false">IF(('MiT Strom Pipeline'!R49="follow-up")+('MiT Strom Pipeline'!R49="Evaluation")+('MiT Strom Pipeline'!R49="tbd")+('MiT Strom Pipeline'!R49="In evaluation")&gt;0,'MiT Strom Pipeline'!R49,"")</f>
        <v/>
      </c>
      <c r="I182" s="22" t="str">
        <f aca="false">IF(('MiT Strom Pipeline'!R49="follow-up")+('MiT Strom Pipeline'!R49="Evaluation")+('MiT Strom Pipeline'!R49="tbd")+('MiT Strom Pipeline'!R49="In evaluation")&gt;0,'MiT Strom Pipeline'!S49,"")</f>
        <v/>
      </c>
      <c r="J182" s="23" t="str">
        <f aca="false">IF(('MiT Strom Pipeline'!R49="follow-up")+('MiT Strom Pipeline'!R49="Evaluation")+('MiT Strom Pipeline'!R49="tbd")+('MiT Strom Pipeline'!R49="In evaluation")&gt;0,IF(LEN('MiT Strom Pipeline'!V49)&gt;0,LEFT('MiT Strom Pipeline'!V49,55),""),"")</f>
        <v/>
      </c>
    </row>
    <row r="183" customFormat="false" ht="15.75" hidden="false" customHeight="true" outlineLevel="0" collapsed="false">
      <c r="A183" s="38" t="str">
        <f aca="false">IF(('MiT Strom Pipeline'!R50="follow-up")+('MiT Strom Pipeline'!R50="Evaluation")+('MiT Strom Pipeline'!R50="tbd")+('MiT Strom Pipeline'!R50="In evaluation")&gt;0,IF(ISNUMBER('MiT Strom Pipeline'!A50),'MiT Strom Pipeline'!A50,""),"")</f>
        <v/>
      </c>
      <c r="B183" s="39" t="str">
        <f aca="false">IF(('MiT Strom Pipeline'!R50="follow-up")+('MiT Strom Pipeline'!R50="Evaluation")+('MiT Strom Pipeline'!R50="tbd")+('MiT Strom Pipeline'!R50="In evaluation")&gt;0,'MiT Strom Pipeline'!B50,"")</f>
        <v/>
      </c>
      <c r="C183" s="38" t="str">
        <f aca="false">IF(('MiT Strom Pipeline'!R50="follow-up")+('MiT Strom Pipeline'!R50="Evaluation")+('MiT Strom Pipeline'!R50="tbd")+('MiT Strom Pipeline'!R50="In evaluation")&gt;0,'MiT Strom Pipeline'!C50,"")</f>
        <v/>
      </c>
      <c r="D183" s="39" t="str">
        <f aca="false">IF(('MiT Strom Pipeline'!R50="follow-up")+('MiT Strom Pipeline'!R50="Evaluation")+('MiT Strom Pipeline'!R50="tbd")+('MiT Strom Pipeline'!R50="In evaluation")&gt;0,'MiT Strom Pipeline'!D50,"")</f>
        <v/>
      </c>
      <c r="E183" s="39" t="str">
        <f aca="false">IF(('MiT Strom Pipeline'!R50="follow-up")+('MiT Strom Pipeline'!R50="Evaluation")+('MiT Strom Pipeline'!R50="tbd")+('MiT Strom Pipeline'!R50="In evaluation")&gt;0,'MiT Strom Pipeline'!E50,"")</f>
        <v/>
      </c>
      <c r="F183" s="76" t="str">
        <f aca="false">IF(('MiT Strom Pipeline'!R50="follow-up")+('MiT Strom Pipeline'!R50="Evaluation")+('MiT Strom Pipeline'!R50="tbd")+('MiT Strom Pipeline'!R50="In evaluation")&gt;0,IF(ISNUMBER('MiT Strom Pipeline'!I50),'MiT Strom Pipeline'!I50,0),"")</f>
        <v/>
      </c>
      <c r="G183" s="76" t="str">
        <f aca="false">IF(('MiT Strom Pipeline'!R50="follow-up")+('MiT Strom Pipeline'!R50="Evaluation")+('MiT Strom Pipeline'!R50="tbd")+('MiT Strom Pipeline'!R50="In evaluation")&gt;0,IF(ISNUMBER('MiT Strom Pipeline'!Q50),'MiT Strom Pipeline'!Q50,0),"")</f>
        <v/>
      </c>
      <c r="H183" s="38" t="str">
        <f aca="false">IF(('MiT Strom Pipeline'!R50="follow-up")+('MiT Strom Pipeline'!R50="Evaluation")+('MiT Strom Pipeline'!R50="tbd")+('MiT Strom Pipeline'!R50="In evaluation")&gt;0,'MiT Strom Pipeline'!R50,"")</f>
        <v/>
      </c>
      <c r="I183" s="38" t="str">
        <f aca="false">IF(('MiT Strom Pipeline'!R50="follow-up")+('MiT Strom Pipeline'!R50="Evaluation")+('MiT Strom Pipeline'!R50="tbd")+('MiT Strom Pipeline'!R50="In evaluation")&gt;0,'MiT Strom Pipeline'!S50,"")</f>
        <v/>
      </c>
      <c r="J183" s="39" t="str">
        <f aca="false">IF(('MiT Strom Pipeline'!R50="follow-up")+('MiT Strom Pipeline'!R50="Evaluation")+('MiT Strom Pipeline'!R50="tbd")+('MiT Strom Pipeline'!R50="In evaluation")&gt;0,IF(LEN('MiT Strom Pipeline'!V50)&gt;0,LEFT('MiT Strom Pipeline'!V50,55),""),"")</f>
        <v/>
      </c>
    </row>
    <row r="184" customFormat="false" ht="15.75" hidden="false" customHeight="true" outlineLevel="0" collapsed="false">
      <c r="A184" s="22" t="str">
        <f aca="false">IF(('MiT Strom Pipeline'!R51="follow-up")+('MiT Strom Pipeline'!R51="Evaluation")+('MiT Strom Pipeline'!R51="tbd")+('MiT Strom Pipeline'!R51="In evaluation")&gt;0,IF(ISNUMBER('MiT Strom Pipeline'!A51),'MiT Strom Pipeline'!A51,""),"")</f>
        <v/>
      </c>
      <c r="B184" s="23" t="str">
        <f aca="false">IF(('MiT Strom Pipeline'!R51="follow-up")+('MiT Strom Pipeline'!R51="Evaluation")+('MiT Strom Pipeline'!R51="tbd")+('MiT Strom Pipeline'!R51="In evaluation")&gt;0,'MiT Strom Pipeline'!B51,"")</f>
        <v/>
      </c>
      <c r="C184" s="22" t="str">
        <f aca="false">IF(('MiT Strom Pipeline'!R51="follow-up")+('MiT Strom Pipeline'!R51="Evaluation")+('MiT Strom Pipeline'!R51="tbd")+('MiT Strom Pipeline'!R51="In evaluation")&gt;0,'MiT Strom Pipeline'!C51,"")</f>
        <v/>
      </c>
      <c r="D184" s="23" t="str">
        <f aca="false">IF(('MiT Strom Pipeline'!R51="follow-up")+('MiT Strom Pipeline'!R51="Evaluation")+('MiT Strom Pipeline'!R51="tbd")+('MiT Strom Pipeline'!R51="In evaluation")&gt;0,'MiT Strom Pipeline'!D51,"")</f>
        <v/>
      </c>
      <c r="E184" s="23" t="str">
        <f aca="false">IF(('MiT Strom Pipeline'!R51="follow-up")+('MiT Strom Pipeline'!R51="Evaluation")+('MiT Strom Pipeline'!R51="tbd")+('MiT Strom Pipeline'!R51="In evaluation")&gt;0,'MiT Strom Pipeline'!E51,"")</f>
        <v/>
      </c>
      <c r="F184" s="70" t="str">
        <f aca="false">IF(('MiT Strom Pipeline'!R51="follow-up")+('MiT Strom Pipeline'!R51="Evaluation")+('MiT Strom Pipeline'!R51="tbd")+('MiT Strom Pipeline'!R51="In evaluation")&gt;0,IF(ISNUMBER('MiT Strom Pipeline'!I51),'MiT Strom Pipeline'!I51,0),"")</f>
        <v/>
      </c>
      <c r="G184" s="70" t="str">
        <f aca="false">IF(('MiT Strom Pipeline'!R51="follow-up")+('MiT Strom Pipeline'!R51="Evaluation")+('MiT Strom Pipeline'!R51="tbd")+('MiT Strom Pipeline'!R51="In evaluation")&gt;0,IF(ISNUMBER('MiT Strom Pipeline'!Q51),'MiT Strom Pipeline'!Q51,0),"")</f>
        <v/>
      </c>
      <c r="H184" s="22" t="str">
        <f aca="false">IF(('MiT Strom Pipeline'!R51="follow-up")+('MiT Strom Pipeline'!R51="Evaluation")+('MiT Strom Pipeline'!R51="tbd")+('MiT Strom Pipeline'!R51="In evaluation")&gt;0,'MiT Strom Pipeline'!R51,"")</f>
        <v/>
      </c>
      <c r="I184" s="22" t="str">
        <f aca="false">IF(('MiT Strom Pipeline'!R51="follow-up")+('MiT Strom Pipeline'!R51="Evaluation")+('MiT Strom Pipeline'!R51="tbd")+('MiT Strom Pipeline'!R51="In evaluation")&gt;0,'MiT Strom Pipeline'!S51,"")</f>
        <v/>
      </c>
      <c r="J184" s="23" t="str">
        <f aca="false">IF(('MiT Strom Pipeline'!R51="follow-up")+('MiT Strom Pipeline'!R51="Evaluation")+('MiT Strom Pipeline'!R51="tbd")+('MiT Strom Pipeline'!R51="In evaluation")&gt;0,IF(LEN('MiT Strom Pipeline'!V51)&gt;0,LEFT('MiT Strom Pipeline'!V51,55),""),"")</f>
        <v/>
      </c>
    </row>
    <row r="185" customFormat="false" ht="15.75" hidden="false" customHeight="true" outlineLevel="0" collapsed="false">
      <c r="A185" s="38" t="str">
        <f aca="false">IF(('MiT Strom Pipeline'!R52="follow-up")+('MiT Strom Pipeline'!R52="Evaluation")+('MiT Strom Pipeline'!R52="tbd")+('MiT Strom Pipeline'!R52="In evaluation")&gt;0,IF(ISNUMBER('MiT Strom Pipeline'!A52),'MiT Strom Pipeline'!A52,""),"")</f>
        <v/>
      </c>
      <c r="B185" s="39" t="str">
        <f aca="false">IF(('MiT Strom Pipeline'!R52="follow-up")+('MiT Strom Pipeline'!R52="Evaluation")+('MiT Strom Pipeline'!R52="tbd")+('MiT Strom Pipeline'!R52="In evaluation")&gt;0,'MiT Strom Pipeline'!B52,"")</f>
        <v/>
      </c>
      <c r="C185" s="38" t="str">
        <f aca="false">IF(('MiT Strom Pipeline'!R52="follow-up")+('MiT Strom Pipeline'!R52="Evaluation")+('MiT Strom Pipeline'!R52="tbd")+('MiT Strom Pipeline'!R52="In evaluation")&gt;0,'MiT Strom Pipeline'!C52,"")</f>
        <v/>
      </c>
      <c r="D185" s="39" t="str">
        <f aca="false">IF(('MiT Strom Pipeline'!R52="follow-up")+('MiT Strom Pipeline'!R52="Evaluation")+('MiT Strom Pipeline'!R52="tbd")+('MiT Strom Pipeline'!R52="In evaluation")&gt;0,'MiT Strom Pipeline'!D52,"")</f>
        <v/>
      </c>
      <c r="E185" s="39" t="str">
        <f aca="false">IF(('MiT Strom Pipeline'!R52="follow-up")+('MiT Strom Pipeline'!R52="Evaluation")+('MiT Strom Pipeline'!R52="tbd")+('MiT Strom Pipeline'!R52="In evaluation")&gt;0,'MiT Strom Pipeline'!E52,"")</f>
        <v/>
      </c>
      <c r="F185" s="76" t="str">
        <f aca="false">IF(('MiT Strom Pipeline'!R52="follow-up")+('MiT Strom Pipeline'!R52="Evaluation")+('MiT Strom Pipeline'!R52="tbd")+('MiT Strom Pipeline'!R52="In evaluation")&gt;0,IF(ISNUMBER('MiT Strom Pipeline'!I52),'MiT Strom Pipeline'!I52,0),"")</f>
        <v/>
      </c>
      <c r="G185" s="76" t="str">
        <f aca="false">IF(('MiT Strom Pipeline'!R52="follow-up")+('MiT Strom Pipeline'!R52="Evaluation")+('MiT Strom Pipeline'!R52="tbd")+('MiT Strom Pipeline'!R52="In evaluation")&gt;0,IF(ISNUMBER('MiT Strom Pipeline'!Q52),'MiT Strom Pipeline'!Q52,0),"")</f>
        <v/>
      </c>
      <c r="H185" s="38" t="str">
        <f aca="false">IF(('MiT Strom Pipeline'!R52="follow-up")+('MiT Strom Pipeline'!R52="Evaluation")+('MiT Strom Pipeline'!R52="tbd")+('MiT Strom Pipeline'!R52="In evaluation")&gt;0,'MiT Strom Pipeline'!R52,"")</f>
        <v/>
      </c>
      <c r="I185" s="38" t="str">
        <f aca="false">IF(('MiT Strom Pipeline'!R52="follow-up")+('MiT Strom Pipeline'!R52="Evaluation")+('MiT Strom Pipeline'!R52="tbd")+('MiT Strom Pipeline'!R52="In evaluation")&gt;0,'MiT Strom Pipeline'!S52,"")</f>
        <v/>
      </c>
      <c r="J185" s="39" t="str">
        <f aca="false">IF(('MiT Strom Pipeline'!R52="follow-up")+('MiT Strom Pipeline'!R52="Evaluation")+('MiT Strom Pipeline'!R52="tbd")+('MiT Strom Pipeline'!R52="In evaluation")&gt;0,IF(LEN('MiT Strom Pipeline'!V52)&gt;0,LEFT('MiT Strom Pipeline'!V52,55),""),"")</f>
        <v/>
      </c>
    </row>
    <row r="186" customFormat="false" ht="15.75" hidden="false" customHeight="true" outlineLevel="0" collapsed="false">
      <c r="A186" s="22" t="str">
        <f aca="false">IF(('MiT Strom Pipeline'!R53="follow-up")+('MiT Strom Pipeline'!R53="Evaluation")+('MiT Strom Pipeline'!R53="tbd")+('MiT Strom Pipeline'!R53="In evaluation")&gt;0,IF(ISNUMBER('MiT Strom Pipeline'!A53),'MiT Strom Pipeline'!A53,""),"")</f>
        <v/>
      </c>
      <c r="B186" s="23" t="str">
        <f aca="false">IF(('MiT Strom Pipeline'!R53="follow-up")+('MiT Strom Pipeline'!R53="Evaluation")+('MiT Strom Pipeline'!R53="tbd")+('MiT Strom Pipeline'!R53="In evaluation")&gt;0,'MiT Strom Pipeline'!B53,"")</f>
        <v/>
      </c>
      <c r="C186" s="22" t="str">
        <f aca="false">IF(('MiT Strom Pipeline'!R53="follow-up")+('MiT Strom Pipeline'!R53="Evaluation")+('MiT Strom Pipeline'!R53="tbd")+('MiT Strom Pipeline'!R53="In evaluation")&gt;0,'MiT Strom Pipeline'!C53,"")</f>
        <v/>
      </c>
      <c r="D186" s="23" t="str">
        <f aca="false">IF(('MiT Strom Pipeline'!R53="follow-up")+('MiT Strom Pipeline'!R53="Evaluation")+('MiT Strom Pipeline'!R53="tbd")+('MiT Strom Pipeline'!R53="In evaluation")&gt;0,'MiT Strom Pipeline'!D53,"")</f>
        <v/>
      </c>
      <c r="E186" s="23" t="str">
        <f aca="false">IF(('MiT Strom Pipeline'!R53="follow-up")+('MiT Strom Pipeline'!R53="Evaluation")+('MiT Strom Pipeline'!R53="tbd")+('MiT Strom Pipeline'!R53="In evaluation")&gt;0,'MiT Strom Pipeline'!E53,"")</f>
        <v/>
      </c>
      <c r="F186" s="70" t="str">
        <f aca="false">IF(('MiT Strom Pipeline'!R53="follow-up")+('MiT Strom Pipeline'!R53="Evaluation")+('MiT Strom Pipeline'!R53="tbd")+('MiT Strom Pipeline'!R53="In evaluation")&gt;0,IF(ISNUMBER('MiT Strom Pipeline'!I53),'MiT Strom Pipeline'!I53,0),"")</f>
        <v/>
      </c>
      <c r="G186" s="70" t="str">
        <f aca="false">IF(('MiT Strom Pipeline'!R53="follow-up")+('MiT Strom Pipeline'!R53="Evaluation")+('MiT Strom Pipeline'!R53="tbd")+('MiT Strom Pipeline'!R53="In evaluation")&gt;0,IF(ISNUMBER('MiT Strom Pipeline'!Q53),'MiT Strom Pipeline'!Q53,0),"")</f>
        <v/>
      </c>
      <c r="H186" s="22" t="str">
        <f aca="false">IF(('MiT Strom Pipeline'!R53="follow-up")+('MiT Strom Pipeline'!R53="Evaluation")+('MiT Strom Pipeline'!R53="tbd")+('MiT Strom Pipeline'!R53="In evaluation")&gt;0,'MiT Strom Pipeline'!R53,"")</f>
        <v/>
      </c>
      <c r="I186" s="22" t="str">
        <f aca="false">IF(('MiT Strom Pipeline'!R53="follow-up")+('MiT Strom Pipeline'!R53="Evaluation")+('MiT Strom Pipeline'!R53="tbd")+('MiT Strom Pipeline'!R53="In evaluation")&gt;0,'MiT Strom Pipeline'!S53,"")</f>
        <v/>
      </c>
      <c r="J186" s="23" t="str">
        <f aca="false">IF(('MiT Strom Pipeline'!R53="follow-up")+('MiT Strom Pipeline'!R53="Evaluation")+('MiT Strom Pipeline'!R53="tbd")+('MiT Strom Pipeline'!R53="In evaluation")&gt;0,IF(LEN('MiT Strom Pipeline'!V53)&gt;0,LEFT('MiT Strom Pipeline'!V53,55),""),"")</f>
        <v/>
      </c>
    </row>
    <row r="187" customFormat="false" ht="15.75" hidden="false" customHeight="true" outlineLevel="0" collapsed="false">
      <c r="A187" s="38" t="str">
        <f aca="false">IF(('MiT Strom Pipeline'!R54="follow-up")+('MiT Strom Pipeline'!R54="Evaluation")+('MiT Strom Pipeline'!R54="tbd")+('MiT Strom Pipeline'!R54="In evaluation")&gt;0,IF(ISNUMBER('MiT Strom Pipeline'!A54),'MiT Strom Pipeline'!A54,""),"")</f>
        <v/>
      </c>
      <c r="B187" s="39" t="str">
        <f aca="false">IF(('MiT Strom Pipeline'!R54="follow-up")+('MiT Strom Pipeline'!R54="Evaluation")+('MiT Strom Pipeline'!R54="tbd")+('MiT Strom Pipeline'!R54="In evaluation")&gt;0,'MiT Strom Pipeline'!B54,"")</f>
        <v/>
      </c>
      <c r="C187" s="38" t="str">
        <f aca="false">IF(('MiT Strom Pipeline'!R54="follow-up")+('MiT Strom Pipeline'!R54="Evaluation")+('MiT Strom Pipeline'!R54="tbd")+('MiT Strom Pipeline'!R54="In evaluation")&gt;0,'MiT Strom Pipeline'!C54,"")</f>
        <v/>
      </c>
      <c r="D187" s="39" t="str">
        <f aca="false">IF(('MiT Strom Pipeline'!R54="follow-up")+('MiT Strom Pipeline'!R54="Evaluation")+('MiT Strom Pipeline'!R54="tbd")+('MiT Strom Pipeline'!R54="In evaluation")&gt;0,'MiT Strom Pipeline'!D54,"")</f>
        <v/>
      </c>
      <c r="E187" s="39" t="str">
        <f aca="false">IF(('MiT Strom Pipeline'!R54="follow-up")+('MiT Strom Pipeline'!R54="Evaluation")+('MiT Strom Pipeline'!R54="tbd")+('MiT Strom Pipeline'!R54="In evaluation")&gt;0,'MiT Strom Pipeline'!E54,"")</f>
        <v/>
      </c>
      <c r="F187" s="76" t="str">
        <f aca="false">IF(('MiT Strom Pipeline'!R54="follow-up")+('MiT Strom Pipeline'!R54="Evaluation")+('MiT Strom Pipeline'!R54="tbd")+('MiT Strom Pipeline'!R54="In evaluation")&gt;0,IF(ISNUMBER('MiT Strom Pipeline'!I54),'MiT Strom Pipeline'!I54,0),"")</f>
        <v/>
      </c>
      <c r="G187" s="76" t="str">
        <f aca="false">IF(('MiT Strom Pipeline'!R54="follow-up")+('MiT Strom Pipeline'!R54="Evaluation")+('MiT Strom Pipeline'!R54="tbd")+('MiT Strom Pipeline'!R54="In evaluation")&gt;0,IF(ISNUMBER('MiT Strom Pipeline'!Q54),'MiT Strom Pipeline'!Q54,0),"")</f>
        <v/>
      </c>
      <c r="H187" s="38" t="str">
        <f aca="false">IF(('MiT Strom Pipeline'!R54="follow-up")+('MiT Strom Pipeline'!R54="Evaluation")+('MiT Strom Pipeline'!R54="tbd")+('MiT Strom Pipeline'!R54="In evaluation")&gt;0,'MiT Strom Pipeline'!R54,"")</f>
        <v/>
      </c>
      <c r="I187" s="38" t="str">
        <f aca="false">IF(('MiT Strom Pipeline'!R54="follow-up")+('MiT Strom Pipeline'!R54="Evaluation")+('MiT Strom Pipeline'!R54="tbd")+('MiT Strom Pipeline'!R54="In evaluation")&gt;0,'MiT Strom Pipeline'!S54,"")</f>
        <v/>
      </c>
      <c r="J187" s="39" t="str">
        <f aca="false">IF(('MiT Strom Pipeline'!R54="follow-up")+('MiT Strom Pipeline'!R54="Evaluation")+('MiT Strom Pipeline'!R54="tbd")+('MiT Strom Pipeline'!R54="In evaluation")&gt;0,IF(LEN('MiT Strom Pipeline'!V54)&gt;0,LEFT('MiT Strom Pipeline'!V54,55),""),"")</f>
        <v/>
      </c>
    </row>
    <row r="188" customFormat="false" ht="15.75" hidden="false" customHeight="true" outlineLevel="0" collapsed="false">
      <c r="A188" s="22" t="str">
        <f aca="false">IF(('MiT Strom Pipeline'!R55="follow-up")+('MiT Strom Pipeline'!R55="Evaluation")+('MiT Strom Pipeline'!R55="tbd")+('MiT Strom Pipeline'!R55="In evaluation")&gt;0,IF(ISNUMBER('MiT Strom Pipeline'!A55),'MiT Strom Pipeline'!A55,""),"")</f>
        <v/>
      </c>
      <c r="B188" s="23" t="str">
        <f aca="false">IF(('MiT Strom Pipeline'!R55="follow-up")+('MiT Strom Pipeline'!R55="Evaluation")+('MiT Strom Pipeline'!R55="tbd")+('MiT Strom Pipeline'!R55="In evaluation")&gt;0,'MiT Strom Pipeline'!B55,"")</f>
        <v/>
      </c>
      <c r="C188" s="22" t="str">
        <f aca="false">IF(('MiT Strom Pipeline'!R55="follow-up")+('MiT Strom Pipeline'!R55="Evaluation")+('MiT Strom Pipeline'!R55="tbd")+('MiT Strom Pipeline'!R55="In evaluation")&gt;0,'MiT Strom Pipeline'!C55,"")</f>
        <v/>
      </c>
      <c r="D188" s="23" t="str">
        <f aca="false">IF(('MiT Strom Pipeline'!R55="follow-up")+('MiT Strom Pipeline'!R55="Evaluation")+('MiT Strom Pipeline'!R55="tbd")+('MiT Strom Pipeline'!R55="In evaluation")&gt;0,'MiT Strom Pipeline'!D55,"")</f>
        <v/>
      </c>
      <c r="E188" s="23" t="str">
        <f aca="false">IF(('MiT Strom Pipeline'!R55="follow-up")+('MiT Strom Pipeline'!R55="Evaluation")+('MiT Strom Pipeline'!R55="tbd")+('MiT Strom Pipeline'!R55="In evaluation")&gt;0,'MiT Strom Pipeline'!E55,"")</f>
        <v/>
      </c>
      <c r="F188" s="70" t="str">
        <f aca="false">IF(('MiT Strom Pipeline'!R55="follow-up")+('MiT Strom Pipeline'!R55="Evaluation")+('MiT Strom Pipeline'!R55="tbd")+('MiT Strom Pipeline'!R55="In evaluation")&gt;0,IF(ISNUMBER('MiT Strom Pipeline'!I55),'MiT Strom Pipeline'!I55,0),"")</f>
        <v/>
      </c>
      <c r="G188" s="70" t="str">
        <f aca="false">IF(('MiT Strom Pipeline'!R55="follow-up")+('MiT Strom Pipeline'!R55="Evaluation")+('MiT Strom Pipeline'!R55="tbd")+('MiT Strom Pipeline'!R55="In evaluation")&gt;0,IF(ISNUMBER('MiT Strom Pipeline'!Q55),'MiT Strom Pipeline'!Q55,0),"")</f>
        <v/>
      </c>
      <c r="H188" s="22" t="str">
        <f aca="false">IF(('MiT Strom Pipeline'!R55="follow-up")+('MiT Strom Pipeline'!R55="Evaluation")+('MiT Strom Pipeline'!R55="tbd")+('MiT Strom Pipeline'!R55="In evaluation")&gt;0,'MiT Strom Pipeline'!R55,"")</f>
        <v/>
      </c>
      <c r="I188" s="22" t="str">
        <f aca="false">IF(('MiT Strom Pipeline'!R55="follow-up")+('MiT Strom Pipeline'!R55="Evaluation")+('MiT Strom Pipeline'!R55="tbd")+('MiT Strom Pipeline'!R55="In evaluation")&gt;0,'MiT Strom Pipeline'!S55,"")</f>
        <v/>
      </c>
      <c r="J188" s="23" t="str">
        <f aca="false">IF(('MiT Strom Pipeline'!R55="follow-up")+('MiT Strom Pipeline'!R55="Evaluation")+('MiT Strom Pipeline'!R55="tbd")+('MiT Strom Pipeline'!R55="In evaluation")&gt;0,IF(LEN('MiT Strom Pipeline'!V55)&gt;0,LEFT('MiT Strom Pipeline'!V55,55),""),"")</f>
        <v/>
      </c>
    </row>
    <row r="189" customFormat="false" ht="15.75" hidden="false" customHeight="true" outlineLevel="0" collapsed="false">
      <c r="A189" s="38" t="str">
        <f aca="false">IF(('MiT Strom Pipeline'!R56="follow-up")+('MiT Strom Pipeline'!R56="Evaluation")+('MiT Strom Pipeline'!R56="tbd")+('MiT Strom Pipeline'!R56="In evaluation")&gt;0,IF(ISNUMBER('MiT Strom Pipeline'!A56),'MiT Strom Pipeline'!A56,""),"")</f>
        <v/>
      </c>
      <c r="B189" s="39" t="str">
        <f aca="false">IF(('MiT Strom Pipeline'!R56="follow-up")+('MiT Strom Pipeline'!R56="Evaluation")+('MiT Strom Pipeline'!R56="tbd")+('MiT Strom Pipeline'!R56="In evaluation")&gt;0,'MiT Strom Pipeline'!B56,"")</f>
        <v/>
      </c>
      <c r="C189" s="38" t="str">
        <f aca="false">IF(('MiT Strom Pipeline'!R56="follow-up")+('MiT Strom Pipeline'!R56="Evaluation")+('MiT Strom Pipeline'!R56="tbd")+('MiT Strom Pipeline'!R56="In evaluation")&gt;0,'MiT Strom Pipeline'!C56,"")</f>
        <v/>
      </c>
      <c r="D189" s="39" t="str">
        <f aca="false">IF(('MiT Strom Pipeline'!R56="follow-up")+('MiT Strom Pipeline'!R56="Evaluation")+('MiT Strom Pipeline'!R56="tbd")+('MiT Strom Pipeline'!R56="In evaluation")&gt;0,'MiT Strom Pipeline'!D56,"")</f>
        <v/>
      </c>
      <c r="E189" s="39" t="str">
        <f aca="false">IF(('MiT Strom Pipeline'!R56="follow-up")+('MiT Strom Pipeline'!R56="Evaluation")+('MiT Strom Pipeline'!R56="tbd")+('MiT Strom Pipeline'!R56="In evaluation")&gt;0,'MiT Strom Pipeline'!E56,"")</f>
        <v/>
      </c>
      <c r="F189" s="76" t="str">
        <f aca="false">IF(('MiT Strom Pipeline'!R56="follow-up")+('MiT Strom Pipeline'!R56="Evaluation")+('MiT Strom Pipeline'!R56="tbd")+('MiT Strom Pipeline'!R56="In evaluation")&gt;0,IF(ISNUMBER('MiT Strom Pipeline'!I56),'MiT Strom Pipeline'!I56,0),"")</f>
        <v/>
      </c>
      <c r="G189" s="76" t="str">
        <f aca="false">IF(('MiT Strom Pipeline'!R56="follow-up")+('MiT Strom Pipeline'!R56="Evaluation")+('MiT Strom Pipeline'!R56="tbd")+('MiT Strom Pipeline'!R56="In evaluation")&gt;0,IF(ISNUMBER('MiT Strom Pipeline'!Q56),'MiT Strom Pipeline'!Q56,0),"")</f>
        <v/>
      </c>
      <c r="H189" s="38" t="str">
        <f aca="false">IF(('MiT Strom Pipeline'!R56="follow-up")+('MiT Strom Pipeline'!R56="Evaluation")+('MiT Strom Pipeline'!R56="tbd")+('MiT Strom Pipeline'!R56="In evaluation")&gt;0,'MiT Strom Pipeline'!R56,"")</f>
        <v/>
      </c>
      <c r="I189" s="38" t="str">
        <f aca="false">IF(('MiT Strom Pipeline'!R56="follow-up")+('MiT Strom Pipeline'!R56="Evaluation")+('MiT Strom Pipeline'!R56="tbd")+('MiT Strom Pipeline'!R56="In evaluation")&gt;0,'MiT Strom Pipeline'!S56,"")</f>
        <v/>
      </c>
      <c r="J189" s="39" t="str">
        <f aca="false">IF(('MiT Strom Pipeline'!R56="follow-up")+('MiT Strom Pipeline'!R56="Evaluation")+('MiT Strom Pipeline'!R56="tbd")+('MiT Strom Pipeline'!R56="In evaluation")&gt;0,IF(LEN('MiT Strom Pipeline'!V56)&gt;0,LEFT('MiT Strom Pipeline'!V56,55),""),"")</f>
        <v/>
      </c>
    </row>
    <row r="190" customFormat="false" ht="15.75" hidden="false" customHeight="true" outlineLevel="0" collapsed="false">
      <c r="A190" s="22" t="str">
        <f aca="false">IF(('MiT Strom Pipeline'!R57="follow-up")+('MiT Strom Pipeline'!R57="Evaluation")+('MiT Strom Pipeline'!R57="tbd")+('MiT Strom Pipeline'!R57="In evaluation")&gt;0,IF(ISNUMBER('MiT Strom Pipeline'!A57),'MiT Strom Pipeline'!A57,""),"")</f>
        <v/>
      </c>
      <c r="B190" s="23" t="str">
        <f aca="false">IF(('MiT Strom Pipeline'!R57="follow-up")+('MiT Strom Pipeline'!R57="Evaluation")+('MiT Strom Pipeline'!R57="tbd")+('MiT Strom Pipeline'!R57="In evaluation")&gt;0,'MiT Strom Pipeline'!B57,"")</f>
        <v/>
      </c>
      <c r="C190" s="22" t="str">
        <f aca="false">IF(('MiT Strom Pipeline'!R57="follow-up")+('MiT Strom Pipeline'!R57="Evaluation")+('MiT Strom Pipeline'!R57="tbd")+('MiT Strom Pipeline'!R57="In evaluation")&gt;0,'MiT Strom Pipeline'!C57,"")</f>
        <v/>
      </c>
      <c r="D190" s="23" t="str">
        <f aca="false">IF(('MiT Strom Pipeline'!R57="follow-up")+('MiT Strom Pipeline'!R57="Evaluation")+('MiT Strom Pipeline'!R57="tbd")+('MiT Strom Pipeline'!R57="In evaluation")&gt;0,'MiT Strom Pipeline'!D57,"")</f>
        <v/>
      </c>
      <c r="E190" s="23" t="str">
        <f aca="false">IF(('MiT Strom Pipeline'!R57="follow-up")+('MiT Strom Pipeline'!R57="Evaluation")+('MiT Strom Pipeline'!R57="tbd")+('MiT Strom Pipeline'!R57="In evaluation")&gt;0,'MiT Strom Pipeline'!E57,"")</f>
        <v/>
      </c>
      <c r="F190" s="70" t="str">
        <f aca="false">IF(('MiT Strom Pipeline'!R57="follow-up")+('MiT Strom Pipeline'!R57="Evaluation")+('MiT Strom Pipeline'!R57="tbd")+('MiT Strom Pipeline'!R57="In evaluation")&gt;0,IF(ISNUMBER('MiT Strom Pipeline'!I57),'MiT Strom Pipeline'!I57,0),"")</f>
        <v/>
      </c>
      <c r="G190" s="70" t="str">
        <f aca="false">IF(('MiT Strom Pipeline'!R57="follow-up")+('MiT Strom Pipeline'!R57="Evaluation")+('MiT Strom Pipeline'!R57="tbd")+('MiT Strom Pipeline'!R57="In evaluation")&gt;0,IF(ISNUMBER('MiT Strom Pipeline'!Q57),'MiT Strom Pipeline'!Q57,0),"")</f>
        <v/>
      </c>
      <c r="H190" s="22" t="str">
        <f aca="false">IF(('MiT Strom Pipeline'!R57="follow-up")+('MiT Strom Pipeline'!R57="Evaluation")+('MiT Strom Pipeline'!R57="tbd")+('MiT Strom Pipeline'!R57="In evaluation")&gt;0,'MiT Strom Pipeline'!R57,"")</f>
        <v/>
      </c>
      <c r="I190" s="22" t="str">
        <f aca="false">IF(('MiT Strom Pipeline'!R57="follow-up")+('MiT Strom Pipeline'!R57="Evaluation")+('MiT Strom Pipeline'!R57="tbd")+('MiT Strom Pipeline'!R57="In evaluation")&gt;0,'MiT Strom Pipeline'!S57,"")</f>
        <v/>
      </c>
      <c r="J190" s="23" t="str">
        <f aca="false">IF(('MiT Strom Pipeline'!R57="follow-up")+('MiT Strom Pipeline'!R57="Evaluation")+('MiT Strom Pipeline'!R57="tbd")+('MiT Strom Pipeline'!R57="In evaluation")&gt;0,IF(LEN('MiT Strom Pipeline'!V57)&gt;0,LEFT('MiT Strom Pipeline'!V57,55),""),"")</f>
        <v/>
      </c>
    </row>
    <row r="191" customFormat="false" ht="15.75" hidden="false" customHeight="true" outlineLevel="0" collapsed="false">
      <c r="A191" s="38" t="str">
        <f aca="false">IF(('MiT Strom Pipeline'!R58="follow-up")+('MiT Strom Pipeline'!R58="Evaluation")+('MiT Strom Pipeline'!R58="tbd")+('MiT Strom Pipeline'!R58="In evaluation")&gt;0,IF(ISNUMBER('MiT Strom Pipeline'!A58),'MiT Strom Pipeline'!A58,""),"")</f>
        <v/>
      </c>
      <c r="B191" s="39" t="str">
        <f aca="false">IF(('MiT Strom Pipeline'!R58="follow-up")+('MiT Strom Pipeline'!R58="Evaluation")+('MiT Strom Pipeline'!R58="tbd")+('MiT Strom Pipeline'!R58="In evaluation")&gt;0,'MiT Strom Pipeline'!B58,"")</f>
        <v/>
      </c>
      <c r="C191" s="38" t="str">
        <f aca="false">IF(('MiT Strom Pipeline'!R58="follow-up")+('MiT Strom Pipeline'!R58="Evaluation")+('MiT Strom Pipeline'!R58="tbd")+('MiT Strom Pipeline'!R58="In evaluation")&gt;0,'MiT Strom Pipeline'!C58,"")</f>
        <v/>
      </c>
      <c r="D191" s="39" t="str">
        <f aca="false">IF(('MiT Strom Pipeline'!R58="follow-up")+('MiT Strom Pipeline'!R58="Evaluation")+('MiT Strom Pipeline'!R58="tbd")+('MiT Strom Pipeline'!R58="In evaluation")&gt;0,'MiT Strom Pipeline'!D58,"")</f>
        <v/>
      </c>
      <c r="E191" s="39" t="str">
        <f aca="false">IF(('MiT Strom Pipeline'!R58="follow-up")+('MiT Strom Pipeline'!R58="Evaluation")+('MiT Strom Pipeline'!R58="tbd")+('MiT Strom Pipeline'!R58="In evaluation")&gt;0,'MiT Strom Pipeline'!E58,"")</f>
        <v/>
      </c>
      <c r="F191" s="76" t="str">
        <f aca="false">IF(('MiT Strom Pipeline'!R58="follow-up")+('MiT Strom Pipeline'!R58="Evaluation")+('MiT Strom Pipeline'!R58="tbd")+('MiT Strom Pipeline'!R58="In evaluation")&gt;0,IF(ISNUMBER('MiT Strom Pipeline'!I58),'MiT Strom Pipeline'!I58,0),"")</f>
        <v/>
      </c>
      <c r="G191" s="76" t="str">
        <f aca="false">IF(('MiT Strom Pipeline'!R58="follow-up")+('MiT Strom Pipeline'!R58="Evaluation")+('MiT Strom Pipeline'!R58="tbd")+('MiT Strom Pipeline'!R58="In evaluation")&gt;0,IF(ISNUMBER('MiT Strom Pipeline'!Q58),'MiT Strom Pipeline'!Q58,0),"")</f>
        <v/>
      </c>
      <c r="H191" s="38" t="str">
        <f aca="false">IF(('MiT Strom Pipeline'!R58="follow-up")+('MiT Strom Pipeline'!R58="Evaluation")+('MiT Strom Pipeline'!R58="tbd")+('MiT Strom Pipeline'!R58="In evaluation")&gt;0,'MiT Strom Pipeline'!R58,"")</f>
        <v/>
      </c>
      <c r="I191" s="38" t="str">
        <f aca="false">IF(('MiT Strom Pipeline'!R58="follow-up")+('MiT Strom Pipeline'!R58="Evaluation")+('MiT Strom Pipeline'!R58="tbd")+('MiT Strom Pipeline'!R58="In evaluation")&gt;0,'MiT Strom Pipeline'!S58,"")</f>
        <v/>
      </c>
      <c r="J191" s="39" t="str">
        <f aca="false">IF(('MiT Strom Pipeline'!R58="follow-up")+('MiT Strom Pipeline'!R58="Evaluation")+('MiT Strom Pipeline'!R58="tbd")+('MiT Strom Pipeline'!R58="In evaluation")&gt;0,IF(LEN('MiT Strom Pipeline'!V58)&gt;0,LEFT('MiT Strom Pipeline'!V58,55),""),"")</f>
        <v/>
      </c>
    </row>
    <row r="192" customFormat="false" ht="15.75" hidden="false" customHeight="true" outlineLevel="0" collapsed="false">
      <c r="A192" s="22" t="str">
        <f aca="false">IF(('MiT Strom Pipeline'!R59="follow-up")+('MiT Strom Pipeline'!R59="Evaluation")+('MiT Strom Pipeline'!R59="tbd")+('MiT Strom Pipeline'!R59="In evaluation")&gt;0,IF(ISNUMBER('MiT Strom Pipeline'!A59),'MiT Strom Pipeline'!A59,""),"")</f>
        <v/>
      </c>
      <c r="B192" s="23" t="str">
        <f aca="false">IF(('MiT Strom Pipeline'!R59="follow-up")+('MiT Strom Pipeline'!R59="Evaluation")+('MiT Strom Pipeline'!R59="tbd")+('MiT Strom Pipeline'!R59="In evaluation")&gt;0,'MiT Strom Pipeline'!B59,"")</f>
        <v/>
      </c>
      <c r="C192" s="22" t="str">
        <f aca="false">IF(('MiT Strom Pipeline'!R59="follow-up")+('MiT Strom Pipeline'!R59="Evaluation")+('MiT Strom Pipeline'!R59="tbd")+('MiT Strom Pipeline'!R59="In evaluation")&gt;0,'MiT Strom Pipeline'!C59,"")</f>
        <v/>
      </c>
      <c r="D192" s="23" t="str">
        <f aca="false">IF(('MiT Strom Pipeline'!R59="follow-up")+('MiT Strom Pipeline'!R59="Evaluation")+('MiT Strom Pipeline'!R59="tbd")+('MiT Strom Pipeline'!R59="In evaluation")&gt;0,'MiT Strom Pipeline'!D59,"")</f>
        <v/>
      </c>
      <c r="E192" s="23" t="str">
        <f aca="false">IF(('MiT Strom Pipeline'!R59="follow-up")+('MiT Strom Pipeline'!R59="Evaluation")+('MiT Strom Pipeline'!R59="tbd")+('MiT Strom Pipeline'!R59="In evaluation")&gt;0,'MiT Strom Pipeline'!E59,"")</f>
        <v/>
      </c>
      <c r="F192" s="70" t="str">
        <f aca="false">IF(('MiT Strom Pipeline'!R59="follow-up")+('MiT Strom Pipeline'!R59="Evaluation")+('MiT Strom Pipeline'!R59="tbd")+('MiT Strom Pipeline'!R59="In evaluation")&gt;0,IF(ISNUMBER('MiT Strom Pipeline'!I59),'MiT Strom Pipeline'!I59,0),"")</f>
        <v/>
      </c>
      <c r="G192" s="70" t="str">
        <f aca="false">IF(('MiT Strom Pipeline'!R59="follow-up")+('MiT Strom Pipeline'!R59="Evaluation")+('MiT Strom Pipeline'!R59="tbd")+('MiT Strom Pipeline'!R59="In evaluation")&gt;0,IF(ISNUMBER('MiT Strom Pipeline'!Q59),'MiT Strom Pipeline'!Q59,0),"")</f>
        <v/>
      </c>
      <c r="H192" s="22" t="str">
        <f aca="false">IF(('MiT Strom Pipeline'!R59="follow-up")+('MiT Strom Pipeline'!R59="Evaluation")+('MiT Strom Pipeline'!R59="tbd")+('MiT Strom Pipeline'!R59="In evaluation")&gt;0,'MiT Strom Pipeline'!R59,"")</f>
        <v/>
      </c>
      <c r="I192" s="22" t="str">
        <f aca="false">IF(('MiT Strom Pipeline'!R59="follow-up")+('MiT Strom Pipeline'!R59="Evaluation")+('MiT Strom Pipeline'!R59="tbd")+('MiT Strom Pipeline'!R59="In evaluation")&gt;0,'MiT Strom Pipeline'!S59,"")</f>
        <v/>
      </c>
      <c r="J192" s="23" t="str">
        <f aca="false">IF(('MiT Strom Pipeline'!R59="follow-up")+('MiT Strom Pipeline'!R59="Evaluation")+('MiT Strom Pipeline'!R59="tbd")+('MiT Strom Pipeline'!R59="In evaluation")&gt;0,IF(LEN('MiT Strom Pipeline'!V59)&gt;0,LEFT('MiT Strom Pipeline'!V59,55),""),"")</f>
        <v/>
      </c>
    </row>
    <row r="193" customFormat="false" ht="15.75" hidden="false" customHeight="true" outlineLevel="0" collapsed="false">
      <c r="A193" s="38" t="str">
        <f aca="false">IF(('MiT Strom Pipeline'!R60="follow-up")+('MiT Strom Pipeline'!R60="Evaluation")+('MiT Strom Pipeline'!R60="tbd")+('MiT Strom Pipeline'!R60="In evaluation")&gt;0,IF(ISNUMBER('MiT Strom Pipeline'!A60),'MiT Strom Pipeline'!A60,""),"")</f>
        <v/>
      </c>
      <c r="B193" s="39" t="str">
        <f aca="false">IF(('MiT Strom Pipeline'!R60="follow-up")+('MiT Strom Pipeline'!R60="Evaluation")+('MiT Strom Pipeline'!R60="tbd")+('MiT Strom Pipeline'!R60="In evaluation")&gt;0,'MiT Strom Pipeline'!B60,"")</f>
        <v/>
      </c>
      <c r="C193" s="38" t="str">
        <f aca="false">IF(('MiT Strom Pipeline'!R60="follow-up")+('MiT Strom Pipeline'!R60="Evaluation")+('MiT Strom Pipeline'!R60="tbd")+('MiT Strom Pipeline'!R60="In evaluation")&gt;0,'MiT Strom Pipeline'!C60,"")</f>
        <v/>
      </c>
      <c r="D193" s="39" t="str">
        <f aca="false">IF(('MiT Strom Pipeline'!R60="follow-up")+('MiT Strom Pipeline'!R60="Evaluation")+('MiT Strom Pipeline'!R60="tbd")+('MiT Strom Pipeline'!R60="In evaluation")&gt;0,'MiT Strom Pipeline'!D60,"")</f>
        <v/>
      </c>
      <c r="E193" s="39" t="str">
        <f aca="false">IF(('MiT Strom Pipeline'!R60="follow-up")+('MiT Strom Pipeline'!R60="Evaluation")+('MiT Strom Pipeline'!R60="tbd")+('MiT Strom Pipeline'!R60="In evaluation")&gt;0,'MiT Strom Pipeline'!E60,"")</f>
        <v/>
      </c>
      <c r="F193" s="76" t="str">
        <f aca="false">IF(('MiT Strom Pipeline'!R60="follow-up")+('MiT Strom Pipeline'!R60="Evaluation")+('MiT Strom Pipeline'!R60="tbd")+('MiT Strom Pipeline'!R60="In evaluation")&gt;0,IF(ISNUMBER('MiT Strom Pipeline'!I60),'MiT Strom Pipeline'!I60,0),"")</f>
        <v/>
      </c>
      <c r="G193" s="76" t="str">
        <f aca="false">IF(('MiT Strom Pipeline'!R60="follow-up")+('MiT Strom Pipeline'!R60="Evaluation")+('MiT Strom Pipeline'!R60="tbd")+('MiT Strom Pipeline'!R60="In evaluation")&gt;0,IF(ISNUMBER('MiT Strom Pipeline'!Q60),'MiT Strom Pipeline'!Q60,0),"")</f>
        <v/>
      </c>
      <c r="H193" s="38" t="str">
        <f aca="false">IF(('MiT Strom Pipeline'!R60="follow-up")+('MiT Strom Pipeline'!R60="Evaluation")+('MiT Strom Pipeline'!R60="tbd")+('MiT Strom Pipeline'!R60="In evaluation")&gt;0,'MiT Strom Pipeline'!R60,"")</f>
        <v/>
      </c>
      <c r="I193" s="38" t="str">
        <f aca="false">IF(('MiT Strom Pipeline'!R60="follow-up")+('MiT Strom Pipeline'!R60="Evaluation")+('MiT Strom Pipeline'!R60="tbd")+('MiT Strom Pipeline'!R60="In evaluation")&gt;0,'MiT Strom Pipeline'!S60,"")</f>
        <v/>
      </c>
      <c r="J193" s="39" t="str">
        <f aca="false">IF(('MiT Strom Pipeline'!R60="follow-up")+('MiT Strom Pipeline'!R60="Evaluation")+('MiT Strom Pipeline'!R60="tbd")+('MiT Strom Pipeline'!R60="In evaluation")&gt;0,IF(LEN('MiT Strom Pipeline'!V60)&gt;0,LEFT('MiT Strom Pipeline'!V60,55),""),"")</f>
        <v/>
      </c>
    </row>
    <row r="194" customFormat="false" ht="15.75" hidden="false" customHeight="true" outlineLevel="0" collapsed="false">
      <c r="A194" s="22" t="str">
        <f aca="false">IF(('MiT Strom Pipeline'!R61="follow-up")+('MiT Strom Pipeline'!R61="Evaluation")+('MiT Strom Pipeline'!R61="tbd")+('MiT Strom Pipeline'!R61="In evaluation")&gt;0,IF(ISNUMBER('MiT Strom Pipeline'!A61),'MiT Strom Pipeline'!A61,""),"")</f>
        <v/>
      </c>
      <c r="B194" s="23" t="str">
        <f aca="false">IF(('MiT Strom Pipeline'!R61="follow-up")+('MiT Strom Pipeline'!R61="Evaluation")+('MiT Strom Pipeline'!R61="tbd")+('MiT Strom Pipeline'!R61="In evaluation")&gt;0,'MiT Strom Pipeline'!B61,"")</f>
        <v/>
      </c>
      <c r="C194" s="22" t="str">
        <f aca="false">IF(('MiT Strom Pipeline'!R61="follow-up")+('MiT Strom Pipeline'!R61="Evaluation")+('MiT Strom Pipeline'!R61="tbd")+('MiT Strom Pipeline'!R61="In evaluation")&gt;0,'MiT Strom Pipeline'!C61,"")</f>
        <v/>
      </c>
      <c r="D194" s="23" t="str">
        <f aca="false">IF(('MiT Strom Pipeline'!R61="follow-up")+('MiT Strom Pipeline'!R61="Evaluation")+('MiT Strom Pipeline'!R61="tbd")+('MiT Strom Pipeline'!R61="In evaluation")&gt;0,'MiT Strom Pipeline'!D61,"")</f>
        <v/>
      </c>
      <c r="E194" s="23" t="str">
        <f aca="false">IF(('MiT Strom Pipeline'!R61="follow-up")+('MiT Strom Pipeline'!R61="Evaluation")+('MiT Strom Pipeline'!R61="tbd")+('MiT Strom Pipeline'!R61="In evaluation")&gt;0,'MiT Strom Pipeline'!E61,"")</f>
        <v/>
      </c>
      <c r="F194" s="70" t="str">
        <f aca="false">IF(('MiT Strom Pipeline'!R61="follow-up")+('MiT Strom Pipeline'!R61="Evaluation")+('MiT Strom Pipeline'!R61="tbd")+('MiT Strom Pipeline'!R61="In evaluation")&gt;0,IF(ISNUMBER('MiT Strom Pipeline'!I61),'MiT Strom Pipeline'!I61,0),"")</f>
        <v/>
      </c>
      <c r="G194" s="70" t="str">
        <f aca="false">IF(('MiT Strom Pipeline'!R61="follow-up")+('MiT Strom Pipeline'!R61="Evaluation")+('MiT Strom Pipeline'!R61="tbd")+('MiT Strom Pipeline'!R61="In evaluation")&gt;0,IF(ISNUMBER('MiT Strom Pipeline'!Q61),'MiT Strom Pipeline'!Q61,0),"")</f>
        <v/>
      </c>
      <c r="H194" s="22" t="str">
        <f aca="false">IF(('MiT Strom Pipeline'!R61="follow-up")+('MiT Strom Pipeline'!R61="Evaluation")+('MiT Strom Pipeline'!R61="tbd")+('MiT Strom Pipeline'!R61="In evaluation")&gt;0,'MiT Strom Pipeline'!R61,"")</f>
        <v/>
      </c>
      <c r="I194" s="22" t="str">
        <f aca="false">IF(('MiT Strom Pipeline'!R61="follow-up")+('MiT Strom Pipeline'!R61="Evaluation")+('MiT Strom Pipeline'!R61="tbd")+('MiT Strom Pipeline'!R61="In evaluation")&gt;0,'MiT Strom Pipeline'!S61,"")</f>
        <v/>
      </c>
      <c r="J194" s="23" t="str">
        <f aca="false">IF(('MiT Strom Pipeline'!R61="follow-up")+('MiT Strom Pipeline'!R61="Evaluation")+('MiT Strom Pipeline'!R61="tbd")+('MiT Strom Pipeline'!R61="In evaluation")&gt;0,IF(LEN('MiT Strom Pipeline'!V61)&gt;0,LEFT('MiT Strom Pipeline'!V61,55),""),"")</f>
        <v/>
      </c>
    </row>
    <row r="195" customFormat="false" ht="15.75" hidden="false" customHeight="true" outlineLevel="0" collapsed="false">
      <c r="A195" s="38" t="str">
        <f aca="false">IF(('MiT Strom Pipeline'!R62="follow-up")+('MiT Strom Pipeline'!R62="Evaluation")+('MiT Strom Pipeline'!R62="tbd")+('MiT Strom Pipeline'!R62="In evaluation")&gt;0,IF(ISNUMBER('MiT Strom Pipeline'!A62),'MiT Strom Pipeline'!A62,""),"")</f>
        <v/>
      </c>
      <c r="B195" s="39" t="str">
        <f aca="false">IF(('MiT Strom Pipeline'!R62="follow-up")+('MiT Strom Pipeline'!R62="Evaluation")+('MiT Strom Pipeline'!R62="tbd")+('MiT Strom Pipeline'!R62="In evaluation")&gt;0,'MiT Strom Pipeline'!B62,"")</f>
        <v/>
      </c>
      <c r="C195" s="38" t="str">
        <f aca="false">IF(('MiT Strom Pipeline'!R62="follow-up")+('MiT Strom Pipeline'!R62="Evaluation")+('MiT Strom Pipeline'!R62="tbd")+('MiT Strom Pipeline'!R62="In evaluation")&gt;0,'MiT Strom Pipeline'!C62,"")</f>
        <v/>
      </c>
      <c r="D195" s="39" t="str">
        <f aca="false">IF(('MiT Strom Pipeline'!R62="follow-up")+('MiT Strom Pipeline'!R62="Evaluation")+('MiT Strom Pipeline'!R62="tbd")+('MiT Strom Pipeline'!R62="In evaluation")&gt;0,'MiT Strom Pipeline'!D62,"")</f>
        <v/>
      </c>
      <c r="E195" s="39" t="str">
        <f aca="false">IF(('MiT Strom Pipeline'!R62="follow-up")+('MiT Strom Pipeline'!R62="Evaluation")+('MiT Strom Pipeline'!R62="tbd")+('MiT Strom Pipeline'!R62="In evaluation")&gt;0,'MiT Strom Pipeline'!E62,"")</f>
        <v/>
      </c>
      <c r="F195" s="76" t="str">
        <f aca="false">IF(('MiT Strom Pipeline'!R62="follow-up")+('MiT Strom Pipeline'!R62="Evaluation")+('MiT Strom Pipeline'!R62="tbd")+('MiT Strom Pipeline'!R62="In evaluation")&gt;0,IF(ISNUMBER('MiT Strom Pipeline'!I62),'MiT Strom Pipeline'!I62,0),"")</f>
        <v/>
      </c>
      <c r="G195" s="76" t="str">
        <f aca="false">IF(('MiT Strom Pipeline'!R62="follow-up")+('MiT Strom Pipeline'!R62="Evaluation")+('MiT Strom Pipeline'!R62="tbd")+('MiT Strom Pipeline'!R62="In evaluation")&gt;0,IF(ISNUMBER('MiT Strom Pipeline'!Q62),'MiT Strom Pipeline'!Q62,0),"")</f>
        <v/>
      </c>
      <c r="H195" s="38" t="str">
        <f aca="false">IF(('MiT Strom Pipeline'!R62="follow-up")+('MiT Strom Pipeline'!R62="Evaluation")+('MiT Strom Pipeline'!R62="tbd")+('MiT Strom Pipeline'!R62="In evaluation")&gt;0,'MiT Strom Pipeline'!R62,"")</f>
        <v/>
      </c>
      <c r="I195" s="38" t="str">
        <f aca="false">IF(('MiT Strom Pipeline'!R62="follow-up")+('MiT Strom Pipeline'!R62="Evaluation")+('MiT Strom Pipeline'!R62="tbd")+('MiT Strom Pipeline'!R62="In evaluation")&gt;0,'MiT Strom Pipeline'!S62,"")</f>
        <v/>
      </c>
      <c r="J195" s="39" t="str">
        <f aca="false">IF(('MiT Strom Pipeline'!R62="follow-up")+('MiT Strom Pipeline'!R62="Evaluation")+('MiT Strom Pipeline'!R62="tbd")+('MiT Strom Pipeline'!R62="In evaluation")&gt;0,IF(LEN('MiT Strom Pipeline'!V62)&gt;0,LEFT('MiT Strom Pipeline'!V62,55),""),"")</f>
        <v/>
      </c>
    </row>
    <row r="196" customFormat="false" ht="15.75" hidden="false" customHeight="true" outlineLevel="0" collapsed="false">
      <c r="A196" s="22" t="str">
        <f aca="false">IF(('MiT Strom Pipeline'!R63="follow-up")+('MiT Strom Pipeline'!R63="Evaluation")+('MiT Strom Pipeline'!R63="tbd")+('MiT Strom Pipeline'!R63="In evaluation")&gt;0,IF(ISNUMBER('MiT Strom Pipeline'!A63),'MiT Strom Pipeline'!A63,""),"")</f>
        <v/>
      </c>
      <c r="B196" s="23" t="str">
        <f aca="false">IF(('MiT Strom Pipeline'!R63="follow-up")+('MiT Strom Pipeline'!R63="Evaluation")+('MiT Strom Pipeline'!R63="tbd")+('MiT Strom Pipeline'!R63="In evaluation")&gt;0,'MiT Strom Pipeline'!B63,"")</f>
        <v/>
      </c>
      <c r="C196" s="22" t="str">
        <f aca="false">IF(('MiT Strom Pipeline'!R63="follow-up")+('MiT Strom Pipeline'!R63="Evaluation")+('MiT Strom Pipeline'!R63="tbd")+('MiT Strom Pipeline'!R63="In evaluation")&gt;0,'MiT Strom Pipeline'!C63,"")</f>
        <v/>
      </c>
      <c r="D196" s="23" t="str">
        <f aca="false">IF(('MiT Strom Pipeline'!R63="follow-up")+('MiT Strom Pipeline'!R63="Evaluation")+('MiT Strom Pipeline'!R63="tbd")+('MiT Strom Pipeline'!R63="In evaluation")&gt;0,'MiT Strom Pipeline'!D63,"")</f>
        <v/>
      </c>
      <c r="E196" s="23" t="str">
        <f aca="false">IF(('MiT Strom Pipeline'!R63="follow-up")+('MiT Strom Pipeline'!R63="Evaluation")+('MiT Strom Pipeline'!R63="tbd")+('MiT Strom Pipeline'!R63="In evaluation")&gt;0,'MiT Strom Pipeline'!E63,"")</f>
        <v/>
      </c>
      <c r="F196" s="70" t="str">
        <f aca="false">IF(('MiT Strom Pipeline'!R63="follow-up")+('MiT Strom Pipeline'!R63="Evaluation")+('MiT Strom Pipeline'!R63="tbd")+('MiT Strom Pipeline'!R63="In evaluation")&gt;0,IF(ISNUMBER('MiT Strom Pipeline'!I63),'MiT Strom Pipeline'!I63,0),"")</f>
        <v/>
      </c>
      <c r="G196" s="70" t="str">
        <f aca="false">IF(('MiT Strom Pipeline'!R63="follow-up")+('MiT Strom Pipeline'!R63="Evaluation")+('MiT Strom Pipeline'!R63="tbd")+('MiT Strom Pipeline'!R63="In evaluation")&gt;0,IF(ISNUMBER('MiT Strom Pipeline'!Q63),'MiT Strom Pipeline'!Q63,0),"")</f>
        <v/>
      </c>
      <c r="H196" s="22" t="str">
        <f aca="false">IF(('MiT Strom Pipeline'!R63="follow-up")+('MiT Strom Pipeline'!R63="Evaluation")+('MiT Strom Pipeline'!R63="tbd")+('MiT Strom Pipeline'!R63="In evaluation")&gt;0,'MiT Strom Pipeline'!R63,"")</f>
        <v/>
      </c>
      <c r="I196" s="22" t="str">
        <f aca="false">IF(('MiT Strom Pipeline'!R63="follow-up")+('MiT Strom Pipeline'!R63="Evaluation")+('MiT Strom Pipeline'!R63="tbd")+('MiT Strom Pipeline'!R63="In evaluation")&gt;0,'MiT Strom Pipeline'!S63,"")</f>
        <v/>
      </c>
      <c r="J196" s="23" t="str">
        <f aca="false">IF(('MiT Strom Pipeline'!R63="follow-up")+('MiT Strom Pipeline'!R63="Evaluation")+('MiT Strom Pipeline'!R63="tbd")+('MiT Strom Pipeline'!R63="In evaluation")&gt;0,IF(LEN('MiT Strom Pipeline'!V63)&gt;0,LEFT('MiT Strom Pipeline'!V63,55),""),"")</f>
        <v/>
      </c>
    </row>
    <row r="197" customFormat="false" ht="15.75" hidden="false" customHeight="true" outlineLevel="0" collapsed="false">
      <c r="A197" s="38" t="str">
        <f aca="false">IF(('MiT Strom Pipeline'!R64="follow-up")+('MiT Strom Pipeline'!R64="Evaluation")+('MiT Strom Pipeline'!R64="tbd")+('MiT Strom Pipeline'!R64="In evaluation")&gt;0,IF(ISNUMBER('MiT Strom Pipeline'!A64),'MiT Strom Pipeline'!A64,""),"")</f>
        <v/>
      </c>
      <c r="B197" s="39" t="str">
        <f aca="false">IF(('MiT Strom Pipeline'!R64="follow-up")+('MiT Strom Pipeline'!R64="Evaluation")+('MiT Strom Pipeline'!R64="tbd")+('MiT Strom Pipeline'!R64="In evaluation")&gt;0,'MiT Strom Pipeline'!B64,"")</f>
        <v/>
      </c>
      <c r="C197" s="38" t="str">
        <f aca="false">IF(('MiT Strom Pipeline'!R64="follow-up")+('MiT Strom Pipeline'!R64="Evaluation")+('MiT Strom Pipeline'!R64="tbd")+('MiT Strom Pipeline'!R64="In evaluation")&gt;0,'MiT Strom Pipeline'!C64,"")</f>
        <v/>
      </c>
      <c r="D197" s="39" t="str">
        <f aca="false">IF(('MiT Strom Pipeline'!R64="follow-up")+('MiT Strom Pipeline'!R64="Evaluation")+('MiT Strom Pipeline'!R64="tbd")+('MiT Strom Pipeline'!R64="In evaluation")&gt;0,'MiT Strom Pipeline'!D64,"")</f>
        <v/>
      </c>
      <c r="E197" s="39" t="str">
        <f aca="false">IF(('MiT Strom Pipeline'!R64="follow-up")+('MiT Strom Pipeline'!R64="Evaluation")+('MiT Strom Pipeline'!R64="tbd")+('MiT Strom Pipeline'!R64="In evaluation")&gt;0,'MiT Strom Pipeline'!E64,"")</f>
        <v/>
      </c>
      <c r="F197" s="76" t="str">
        <f aca="false">IF(('MiT Strom Pipeline'!R64="follow-up")+('MiT Strom Pipeline'!R64="Evaluation")+('MiT Strom Pipeline'!R64="tbd")+('MiT Strom Pipeline'!R64="In evaluation")&gt;0,IF(ISNUMBER('MiT Strom Pipeline'!I64),'MiT Strom Pipeline'!I64,0),"")</f>
        <v/>
      </c>
      <c r="G197" s="76" t="str">
        <f aca="false">IF(('MiT Strom Pipeline'!R64="follow-up")+('MiT Strom Pipeline'!R64="Evaluation")+('MiT Strom Pipeline'!R64="tbd")+('MiT Strom Pipeline'!R64="In evaluation")&gt;0,IF(ISNUMBER('MiT Strom Pipeline'!Q64),'MiT Strom Pipeline'!Q64,0),"")</f>
        <v/>
      </c>
      <c r="H197" s="38" t="str">
        <f aca="false">IF(('MiT Strom Pipeline'!R64="follow-up")+('MiT Strom Pipeline'!R64="Evaluation")+('MiT Strom Pipeline'!R64="tbd")+('MiT Strom Pipeline'!R64="In evaluation")&gt;0,'MiT Strom Pipeline'!R64,"")</f>
        <v/>
      </c>
      <c r="I197" s="38" t="str">
        <f aca="false">IF(('MiT Strom Pipeline'!R64="follow-up")+('MiT Strom Pipeline'!R64="Evaluation")+('MiT Strom Pipeline'!R64="tbd")+('MiT Strom Pipeline'!R64="In evaluation")&gt;0,'MiT Strom Pipeline'!S64,"")</f>
        <v/>
      </c>
      <c r="J197" s="39" t="str">
        <f aca="false">IF(('MiT Strom Pipeline'!R64="follow-up")+('MiT Strom Pipeline'!R64="Evaluation")+('MiT Strom Pipeline'!R64="tbd")+('MiT Strom Pipeline'!R64="In evaluation")&gt;0,IF(LEN('MiT Strom Pipeline'!V64)&gt;0,LEFT('MiT Strom Pipeline'!V64,55),""),"")</f>
        <v/>
      </c>
    </row>
    <row r="198" customFormat="false" ht="15.75" hidden="false" customHeight="true" outlineLevel="0" collapsed="false">
      <c r="A198" s="22" t="str">
        <f aca="false">IF(('MiT Strom Pipeline'!R65="follow-up")+('MiT Strom Pipeline'!R65="Evaluation")+('MiT Strom Pipeline'!R65="tbd")+('MiT Strom Pipeline'!R65="In evaluation")&gt;0,IF(ISNUMBER('MiT Strom Pipeline'!A65),'MiT Strom Pipeline'!A65,""),"")</f>
        <v/>
      </c>
      <c r="B198" s="23" t="str">
        <f aca="false">IF(('MiT Strom Pipeline'!R65="follow-up")+('MiT Strom Pipeline'!R65="Evaluation")+('MiT Strom Pipeline'!R65="tbd")+('MiT Strom Pipeline'!R65="In evaluation")&gt;0,'MiT Strom Pipeline'!B65,"")</f>
        <v/>
      </c>
      <c r="C198" s="22" t="str">
        <f aca="false">IF(('MiT Strom Pipeline'!R65="follow-up")+('MiT Strom Pipeline'!R65="Evaluation")+('MiT Strom Pipeline'!R65="tbd")+('MiT Strom Pipeline'!R65="In evaluation")&gt;0,'MiT Strom Pipeline'!C65,"")</f>
        <v/>
      </c>
      <c r="D198" s="23" t="str">
        <f aca="false">IF(('MiT Strom Pipeline'!R65="follow-up")+('MiT Strom Pipeline'!R65="Evaluation")+('MiT Strom Pipeline'!R65="tbd")+('MiT Strom Pipeline'!R65="In evaluation")&gt;0,'MiT Strom Pipeline'!D65,"")</f>
        <v/>
      </c>
      <c r="E198" s="23" t="str">
        <f aca="false">IF(('MiT Strom Pipeline'!R65="follow-up")+('MiT Strom Pipeline'!R65="Evaluation")+('MiT Strom Pipeline'!R65="tbd")+('MiT Strom Pipeline'!R65="In evaluation")&gt;0,'MiT Strom Pipeline'!E65,"")</f>
        <v/>
      </c>
      <c r="F198" s="70" t="str">
        <f aca="false">IF(('MiT Strom Pipeline'!R65="follow-up")+('MiT Strom Pipeline'!R65="Evaluation")+('MiT Strom Pipeline'!R65="tbd")+('MiT Strom Pipeline'!R65="In evaluation")&gt;0,IF(ISNUMBER('MiT Strom Pipeline'!I65),'MiT Strom Pipeline'!I65,0),"")</f>
        <v/>
      </c>
      <c r="G198" s="70" t="str">
        <f aca="false">IF(('MiT Strom Pipeline'!R65="follow-up")+('MiT Strom Pipeline'!R65="Evaluation")+('MiT Strom Pipeline'!R65="tbd")+('MiT Strom Pipeline'!R65="In evaluation")&gt;0,IF(ISNUMBER('MiT Strom Pipeline'!Q65),'MiT Strom Pipeline'!Q65,0),"")</f>
        <v/>
      </c>
      <c r="H198" s="22" t="str">
        <f aca="false">IF(('MiT Strom Pipeline'!R65="follow-up")+('MiT Strom Pipeline'!R65="Evaluation")+('MiT Strom Pipeline'!R65="tbd")+('MiT Strom Pipeline'!R65="In evaluation")&gt;0,'MiT Strom Pipeline'!R65,"")</f>
        <v/>
      </c>
      <c r="I198" s="22" t="str">
        <f aca="false">IF(('MiT Strom Pipeline'!R65="follow-up")+('MiT Strom Pipeline'!R65="Evaluation")+('MiT Strom Pipeline'!R65="tbd")+('MiT Strom Pipeline'!R65="In evaluation")&gt;0,'MiT Strom Pipeline'!S65,"")</f>
        <v/>
      </c>
      <c r="J198" s="23" t="str">
        <f aca="false">IF(('MiT Strom Pipeline'!R65="follow-up")+('MiT Strom Pipeline'!R65="Evaluation")+('MiT Strom Pipeline'!R65="tbd")+('MiT Strom Pipeline'!R65="In evaluation")&gt;0,IF(LEN('MiT Strom Pipeline'!V65)&gt;0,LEFT('MiT Strom Pipeline'!V65,55),""),"")</f>
        <v/>
      </c>
    </row>
    <row r="199" customFormat="false" ht="21.75" hidden="false" customHeight="true" outlineLevel="0" collapsed="false">
      <c r="A199" s="41" t="str">
        <f aca="false">IF(('MiT Strom Pipeline'!R66="follow-up")+('MiT Strom Pipeline'!R66="Evaluation")+('MiT Strom Pipeline'!R66="tbd")+('MiT Strom Pipeline'!R66="In evaluation")&gt;0,IF(ISNUMBER('MiT Strom Pipeline'!A66),'MiT Strom Pipeline'!A66,""),"")</f>
        <v/>
      </c>
      <c r="B199" s="42" t="str">
        <f aca="false">IF(('MiT Strom Pipeline'!R66="follow-up")+('MiT Strom Pipeline'!R66="Evaluation")+('MiT Strom Pipeline'!R66="tbd")+('MiT Strom Pipeline'!R66="In evaluation")&gt;0,'MiT Strom Pipeline'!B66,"")</f>
        <v/>
      </c>
      <c r="C199" s="42"/>
      <c r="D199" s="42"/>
      <c r="E199" s="42"/>
      <c r="F199" s="77" t="str">
        <f aca="false">IF(('MiT Strom Pipeline'!R66="follow-up")+('MiT Strom Pipeline'!R66="Evaluation")+('MiT Strom Pipeline'!R66="tbd")+('MiT Strom Pipeline'!R66="In evaluation")&gt;0,IF(ISNUMBER('MiT Strom Pipeline'!I66),'MiT Strom Pipeline'!I66,0),"")</f>
        <v/>
      </c>
      <c r="G199" s="78" t="str">
        <f aca="false">IF(('MiT Strom Pipeline'!R66="follow-up")+('MiT Strom Pipeline'!R66="Evaluation")+('MiT Strom Pipeline'!R66="tbd")+('MiT Strom Pipeline'!R66="In evaluation")&gt;0,IF(ISNUMBER('MiT Strom Pipeline'!Q66),'MiT Strom Pipeline'!Q66,0),"")</f>
        <v/>
      </c>
      <c r="H199" s="41" t="str">
        <f aca="false">IF(('MiT Strom Pipeline'!R66="follow-up")+('MiT Strom Pipeline'!R66="Evaluation")+('MiT Strom Pipeline'!R66="tbd")+('MiT Strom Pipeline'!R66="In evaluation")&gt;0,'MiT Strom Pipeline'!R66,"")</f>
        <v/>
      </c>
      <c r="I199" s="41" t="str">
        <f aca="false">IF(('MiT Strom Pipeline'!R66="follow-up")+('MiT Strom Pipeline'!R66="Evaluation")+('MiT Strom Pipeline'!R66="tbd")+('MiT Strom Pipeline'!R66="In evaluation")&gt;0,'MiT Strom Pipeline'!S66,"")</f>
        <v/>
      </c>
      <c r="J199" s="41" t="str">
        <f aca="false">IF(('MiT Strom Pipeline'!R66="follow-up")+('MiT Strom Pipeline'!R66="Evaluation")+('MiT Strom Pipeline'!R66="tbd")+('MiT Strom Pipeline'!R66="In evaluation")&gt;0,IF(LEN('MiT Strom Pipeline'!V66)&gt;0,LEFT('MiT Strom Pipeline'!V66,55),""),"")</f>
        <v/>
      </c>
    </row>
    <row r="200" customFormat="false" ht="3.75" hidden="false" customHeight="true" outlineLevel="0" collapsed="false">
      <c r="A200" s="1" t="str">
        <f aca="false">IF(('MiT Strom Pipeline'!R67="follow-up")+('MiT Strom Pipeline'!R67="Evaluation")+('MiT Strom Pipeline'!R67="tbd")+('MiT Strom Pipeline'!R67="In evaluation")&gt;0,IF(ISNUMBER('MiT Strom Pipeline'!A67),'MiT Strom Pipeline'!A67,""),"")</f>
        <v/>
      </c>
      <c r="B200" s="1" t="str">
        <f aca="false">IF(('MiT Strom Pipeline'!R67="follow-up")+('MiT Strom Pipeline'!R67="Evaluation")+('MiT Strom Pipeline'!R67="tbd")+('MiT Strom Pipeline'!R67="In evaluation")&gt;0,'MiT Strom Pipeline'!B67,"")</f>
        <v/>
      </c>
      <c r="C200" s="1" t="str">
        <f aca="false">IF(('MiT Strom Pipeline'!R67="follow-up")+('MiT Strom Pipeline'!R67="Evaluation")+('MiT Strom Pipeline'!R67="tbd")+('MiT Strom Pipeline'!R67="In evaluation")&gt;0,'MiT Strom Pipeline'!C67,"")</f>
        <v/>
      </c>
      <c r="D200" s="1" t="str">
        <f aca="false">IF(('MiT Strom Pipeline'!R67="follow-up")+('MiT Strom Pipeline'!R67="Evaluation")+('MiT Strom Pipeline'!R67="tbd")+('MiT Strom Pipeline'!R67="In evaluation")&gt;0,'MiT Strom Pipeline'!D67,"")</f>
        <v/>
      </c>
      <c r="E200" s="1" t="str">
        <f aca="false">IF(('MiT Strom Pipeline'!R67="follow-up")+('MiT Strom Pipeline'!R67="Evaluation")+('MiT Strom Pipeline'!R67="tbd")+('MiT Strom Pipeline'!R67="In evaluation")&gt;0,'MiT Strom Pipeline'!E67,"")</f>
        <v/>
      </c>
      <c r="F200" s="53" t="str">
        <f aca="false">IF(('MiT Strom Pipeline'!R67="follow-up")+('MiT Strom Pipeline'!R67="Evaluation")+('MiT Strom Pipeline'!R67="tbd")+('MiT Strom Pipeline'!R67="In evaluation")&gt;0,IF(ISNUMBER('MiT Strom Pipeline'!I67),'MiT Strom Pipeline'!I67,0),"")</f>
        <v/>
      </c>
      <c r="G200" s="53" t="str">
        <f aca="false">IF(('MiT Strom Pipeline'!R67="follow-up")+('MiT Strom Pipeline'!R67="Evaluation")+('MiT Strom Pipeline'!R67="tbd")+('MiT Strom Pipeline'!R67="In evaluation")&gt;0,IF(ISNUMBER('MiT Strom Pipeline'!Q67),'MiT Strom Pipeline'!Q67,0),"")</f>
        <v/>
      </c>
      <c r="H200" s="1" t="str">
        <f aca="false">IF(('MiT Strom Pipeline'!R67="follow-up")+('MiT Strom Pipeline'!R67="Evaluation")+('MiT Strom Pipeline'!R67="tbd")+('MiT Strom Pipeline'!R67="In evaluation")&gt;0,'MiT Strom Pipeline'!R67,"")</f>
        <v/>
      </c>
      <c r="I200" s="1" t="str">
        <f aca="false">IF(('MiT Strom Pipeline'!R67="follow-up")+('MiT Strom Pipeline'!R67="Evaluation")+('MiT Strom Pipeline'!R67="tbd")+('MiT Strom Pipeline'!R67="In evaluation")&gt;0,'MiT Strom Pipeline'!S67,"")</f>
        <v/>
      </c>
      <c r="J200" s="1" t="str">
        <f aca="false">IF(('MiT Strom Pipeline'!R67="follow-up")+('MiT Strom Pipeline'!R67="Evaluation")+('MiT Strom Pipeline'!R67="tbd")+('MiT Strom Pipeline'!R67="In evaluation")&gt;0,IF(LEN('MiT Strom Pipeline'!V67)&gt;0,LEFT('MiT Strom Pipeline'!V67,55),""),"")</f>
        <v/>
      </c>
    </row>
    <row r="201" customFormat="false" ht="27.75" hidden="false" customHeight="true" outlineLevel="0" collapsed="false">
      <c r="A201" s="44" t="s">
        <v>31</v>
      </c>
      <c r="B201" s="44"/>
      <c r="C201" s="44"/>
      <c r="D201" s="44"/>
      <c r="E201" s="44"/>
      <c r="F201" s="79" t="n">
        <f aca="false">SUMIFS('MiT Strom Pipeline'!I$6:I$904,'MiT Strom Pipeline'!R$6:R$904,"WON")+SUMIFS('MiT Strom Pipeline'!I$6:I$904,'MiT Strom Pipeline'!R$6:R$904,"offered")+SUMIFS('MiT Strom Pipeline'!I$6:I$904,'MiT Strom Pipeline'!R$6:R$904,"to be offered")+SUMIFS('MiT Strom Pipeline'!I$6:I$904,'MiT Strom Pipeline'!R$6:R$904,"on hold")+SUMIFS('MiT Strom Pipeline'!I$6:I$904,'MiT Strom Pipeline'!R$6:R$904,"follow-up")+SUMIFS('MiT Strom Pipeline'!I$6:I$904,'MiT Strom Pipeline'!R$6:R$904,"Evaluation")+SUMIFS('MiT Strom Pipeline'!I$6:I$904,'MiT Strom Pipeline'!R$6:R$904,"tbd")+SUMIFS('MiT Strom Pipeline'!I$6:I$904,'MiT Strom Pipeline'!R$6:R$904,"In evaluation")</f>
        <v>4872116.31</v>
      </c>
      <c r="G201" s="80"/>
      <c r="H201" s="46"/>
      <c r="I201" s="46"/>
      <c r="J201" s="46"/>
    </row>
    <row r="202" customFormat="false" ht="18" hidden="false" customHeight="true" outlineLevel="0" collapsed="false">
      <c r="A202" s="47" t="s">
        <v>20</v>
      </c>
      <c r="B202" s="47"/>
      <c r="C202" s="47"/>
      <c r="D202" s="47"/>
      <c r="E202" s="47"/>
      <c r="F202" s="81" t="n">
        <f aca="false">SUMIFS('MiT Strom Pipeline'!I$6:I$904,'MiT Strom Pipeline'!R$6:R$904,"WON")</f>
        <v>333100</v>
      </c>
      <c r="G202" s="82"/>
      <c r="H202" s="49"/>
      <c r="I202" s="49"/>
      <c r="J202" s="49"/>
    </row>
    <row r="203" customFormat="false" ht="18" hidden="false" customHeight="true" outlineLevel="0" collapsed="false">
      <c r="A203" s="47" t="s">
        <v>21</v>
      </c>
      <c r="B203" s="47"/>
      <c r="C203" s="47"/>
      <c r="D203" s="47"/>
      <c r="E203" s="47"/>
      <c r="F203" s="83" t="n">
        <f aca="false">SUMIFS('MiT Strom Pipeline'!I$6:I$904,'MiT Strom Pipeline'!R$6:R$904,"offered")+SUMIFS('MiT Strom Pipeline'!I$6:I$904,'MiT Strom Pipeline'!R$6:R$904,"to be offered")+SUMIFS('MiT Strom Pipeline'!I$6:I$904,'MiT Strom Pipeline'!R$6:R$904,"on hold")</f>
        <v>3866028.62</v>
      </c>
      <c r="G203" s="82"/>
      <c r="H203" s="49"/>
      <c r="I203" s="49"/>
      <c r="J203" s="49"/>
    </row>
    <row r="204" customFormat="false" ht="18" hidden="false" customHeight="true" outlineLevel="0" collapsed="false">
      <c r="A204" s="47" t="s">
        <v>22</v>
      </c>
      <c r="B204" s="47"/>
      <c r="C204" s="47"/>
      <c r="D204" s="47"/>
      <c r="E204" s="47"/>
      <c r="F204" s="84" t="n">
        <f aca="false">SUMIFS('MiT Strom Pipeline'!I$6:I$904,'MiT Strom Pipeline'!R$6:R$904,"follow-up")+SUMIFS('MiT Strom Pipeline'!I$6:I$904,'MiT Strom Pipeline'!R$6:R$904,"Evaluation")+SUMIFS('MiT Strom Pipeline'!I$6:I$904,'MiT Strom Pipeline'!R$6:R$904,"tbd")+SUMIFS('MiT Strom Pipeline'!I$6:I$904,'MiT Strom Pipeline'!R$6:R$904,"In evaluation")</f>
        <v>672987.69</v>
      </c>
      <c r="G204" s="82"/>
      <c r="H204" s="49"/>
      <c r="I204" s="49"/>
      <c r="J204" s="49"/>
    </row>
    <row r="206" customFormat="false" ht="13.5" hidden="false" customHeight="true" outlineLevel="0" collapsed="false">
      <c r="A206" s="52" t="s">
        <v>23</v>
      </c>
      <c r="B206" s="52"/>
      <c r="C206" s="52"/>
      <c r="D206" s="52"/>
      <c r="E206" s="52"/>
      <c r="F206" s="52"/>
      <c r="G206" s="52"/>
      <c r="H206" s="52"/>
      <c r="I206" s="52"/>
      <c r="J206" s="52"/>
    </row>
  </sheetData>
  <mergeCells count="26">
    <mergeCell ref="A1:J1"/>
    <mergeCell ref="A2:J2"/>
    <mergeCell ref="A3:J3"/>
    <mergeCell ref="A5:C5"/>
    <mergeCell ref="D5:F5"/>
    <mergeCell ref="G5:H5"/>
    <mergeCell ref="I5:J5"/>
    <mergeCell ref="A6:C6"/>
    <mergeCell ref="D6:F6"/>
    <mergeCell ref="G6:H6"/>
    <mergeCell ref="I6:J6"/>
    <mergeCell ref="A7:C7"/>
    <mergeCell ref="D7:F7"/>
    <mergeCell ref="G7:H7"/>
    <mergeCell ref="I7:J7"/>
    <mergeCell ref="A9:J9"/>
    <mergeCell ref="B71:E71"/>
    <mergeCell ref="A73:J73"/>
    <mergeCell ref="B135:E135"/>
    <mergeCell ref="A137:J137"/>
    <mergeCell ref="B199:E199"/>
    <mergeCell ref="A201:E201"/>
    <mergeCell ref="A202:E202"/>
    <mergeCell ref="A203:E203"/>
    <mergeCell ref="A204:E204"/>
    <mergeCell ref="A206:J20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2"/>
    <col collapsed="false" customWidth="true" hidden="false" outlineLevel="0" max="9" min="9" style="1" width="22"/>
    <col collapsed="false" customWidth="true" hidden="false" outlineLevel="0" max="10" min="10" style="1" width="16"/>
    <col collapsed="false" customWidth="true" hidden="false" outlineLevel="0" max="11" min="11" style="1" width="10"/>
  </cols>
  <sheetData>
    <row r="1" customFormat="false" ht="31.5" hidden="false" customHeight="true" outlineLevel="0" collapsed="false">
      <c r="A1" s="85" t="s">
        <v>32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</row>
    <row r="2" customFormat="false" ht="15" hidden="false" customHeight="true" outlineLevel="0" collapsed="false">
      <c r="A2" s="86" t="s">
        <v>33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20" customFormat="false" ht="15" hidden="false" customHeight="true" outlineLevel="0" collapsed="false">
      <c r="A20" s="87" t="s">
        <v>34</v>
      </c>
      <c r="E20" s="87" t="s">
        <v>35</v>
      </c>
      <c r="I20" s="87" t="s">
        <v>36</v>
      </c>
    </row>
    <row r="21" customFormat="false" ht="15" hidden="false" customHeight="true" outlineLevel="0" collapsed="false">
      <c r="A21" s="88" t="s">
        <v>14</v>
      </c>
      <c r="B21" s="88" t="s">
        <v>37</v>
      </c>
      <c r="C21" s="88" t="s">
        <v>11</v>
      </c>
      <c r="E21" s="88" t="s">
        <v>38</v>
      </c>
      <c r="F21" s="88" t="s">
        <v>11</v>
      </c>
      <c r="G21" s="88" t="s">
        <v>39</v>
      </c>
      <c r="I21" s="88" t="s">
        <v>9</v>
      </c>
      <c r="J21" s="88" t="s">
        <v>11</v>
      </c>
      <c r="K21" s="88" t="s">
        <v>39</v>
      </c>
    </row>
    <row r="22" customFormat="false" ht="15" hidden="false" customHeight="true" outlineLevel="0" collapsed="false">
      <c r="A22" s="1" t="s">
        <v>40</v>
      </c>
      <c r="B22" s="1" t="n">
        <f aca="false">COUNTIF('MiT Strom Pipeline'!R$6:R$904,"WON")</f>
        <v>4</v>
      </c>
      <c r="C22" s="89" t="n">
        <f aca="false">SUMIFS('MiT Strom Pipeline'!I$6:I$904,'MiT Strom Pipeline'!R$6:R$904,"WON")</f>
        <v>333100</v>
      </c>
      <c r="E22" s="1" t="s">
        <v>41</v>
      </c>
      <c r="F22" s="89" t="n">
        <f aca="false">SUMIFS('MiT Strom Pipeline'!I$6:I$904,'MiT Strom Pipeline'!C$6:C$904,"AG")</f>
        <v>282710</v>
      </c>
      <c r="G22" s="1" t="n">
        <f aca="false">COUNTIF('MiT Strom Pipeline'!C$6:C$904,"AG")</f>
        <v>4</v>
      </c>
      <c r="I22" s="1" t="s">
        <v>42</v>
      </c>
      <c r="J22" s="89" t="n">
        <f aca="false">SUMIFS('MiT Strom Pipeline'!I$6:I$904,'MiT Strom Pipeline'!D$6:D$904,"Events &amp; Kultur")</f>
        <v>150000</v>
      </c>
      <c r="K22" s="1" t="n">
        <f aca="false">COUNTIF('MiT Strom Pipeline'!D$6:D$904,"Events &amp; Kultur")</f>
        <v>1</v>
      </c>
    </row>
    <row r="23" customFormat="false" ht="15" hidden="false" customHeight="true" outlineLevel="0" collapsed="false">
      <c r="A23" s="1" t="s">
        <v>43</v>
      </c>
      <c r="B23" s="1" t="n">
        <f aca="false">COUNTIF('MiT Strom Pipeline'!R$6:R$904,"offered")</f>
        <v>11</v>
      </c>
      <c r="C23" s="89" t="n">
        <f aca="false">SUMIFS('MiT Strom Pipeline'!I$6:I$904,'MiT Strom Pipeline'!R$6:R$904,"offered")</f>
        <v>3476028.62</v>
      </c>
      <c r="E23" s="1" t="s">
        <v>44</v>
      </c>
      <c r="F23" s="89" t="n">
        <f aca="false">SUMIFS('MiT Strom Pipeline'!I$6:I$904,'MiT Strom Pipeline'!C$6:C$904,"BE")</f>
        <v>39000</v>
      </c>
      <c r="G23" s="1" t="n">
        <f aca="false">COUNTIF('MiT Strom Pipeline'!C$6:C$904,"BE")</f>
        <v>2</v>
      </c>
      <c r="I23" s="1" t="s">
        <v>45</v>
      </c>
      <c r="J23" s="89" t="n">
        <f aca="false">SUMIFS('MiT Strom Pipeline'!I$6:I$904,'MiT Strom Pipeline'!D$6:D$904,"Events &amp; Kongress")</f>
        <v>0</v>
      </c>
      <c r="K23" s="1" t="n">
        <f aca="false">COUNTIF('MiT Strom Pipeline'!D$6:D$904,"Events &amp; Kongress")</f>
        <v>0</v>
      </c>
    </row>
    <row r="24" customFormat="false" ht="15" hidden="false" customHeight="true" outlineLevel="0" collapsed="false">
      <c r="A24" s="1" t="s">
        <v>46</v>
      </c>
      <c r="B24" s="1" t="n">
        <f aca="false">COUNTIF('MiT Strom Pipeline'!R$6:R$904,"to be offered")</f>
        <v>0</v>
      </c>
      <c r="C24" s="89" t="n">
        <f aca="false">SUMIFS('MiT Strom Pipeline'!I$6:I$904,'MiT Strom Pipeline'!R$6:R$904,"to be offered")</f>
        <v>0</v>
      </c>
      <c r="E24" s="1" t="s">
        <v>47</v>
      </c>
      <c r="F24" s="89" t="n">
        <f aca="false">SUMIFS('MiT Strom Pipeline'!I$6:I$904,'MiT Strom Pipeline'!C$6:C$904,"BS")</f>
        <v>0</v>
      </c>
      <c r="G24" s="1" t="n">
        <f aca="false">COUNTIF('MiT Strom Pipeline'!C$6:C$904,"BS")</f>
        <v>0</v>
      </c>
      <c r="I24" s="1" t="s">
        <v>48</v>
      </c>
      <c r="J24" s="89" t="n">
        <f aca="false">SUMIFS('MiT Strom Pipeline'!I$6:I$904,'MiT Strom Pipeline'!D$6:D$904,"Events / Medien")</f>
        <v>0</v>
      </c>
      <c r="K24" s="1" t="n">
        <f aca="false">COUNTIF('MiT Strom Pipeline'!D$6:D$904,"Events / Medien")</f>
        <v>2</v>
      </c>
    </row>
    <row r="25" customFormat="false" ht="15" hidden="false" customHeight="true" outlineLevel="0" collapsed="false">
      <c r="A25" s="1" t="s">
        <v>49</v>
      </c>
      <c r="B25" s="1" t="n">
        <f aca="false">COUNTIF('MiT Strom Pipeline'!R$6:R$904,"follow-up")</f>
        <v>3</v>
      </c>
      <c r="C25" s="89" t="n">
        <f aca="false">SUMIFS('MiT Strom Pipeline'!I$6:I$904,'MiT Strom Pipeline'!R$6:R$904,"follow-up")</f>
        <v>635543.69</v>
      </c>
      <c r="E25" s="1" t="s">
        <v>50</v>
      </c>
      <c r="F25" s="89" t="n">
        <f aca="false">SUMIFS('MiT Strom Pipeline'!I$6:I$904,'MiT Strom Pipeline'!C$6:C$904,"GE")</f>
        <v>38885</v>
      </c>
      <c r="G25" s="1" t="n">
        <f aca="false">COUNTIF('MiT Strom Pipeline'!C$6:C$904,"GE")</f>
        <v>1</v>
      </c>
      <c r="I25" s="1" t="s">
        <v>51</v>
      </c>
      <c r="J25" s="89" t="n">
        <f aca="false">SUMIFS('MiT Strom Pipeline'!I$6:I$904,'MiT Strom Pipeline'!D$6:D$904,"EVU / Energie")</f>
        <v>137658.69</v>
      </c>
      <c r="K25" s="1" t="n">
        <f aca="false">COUNTIF('MiT Strom Pipeline'!D$6:D$904,"EVU / Energie")</f>
        <v>2</v>
      </c>
    </row>
    <row r="26" customFormat="false" ht="15" hidden="false" customHeight="true" outlineLevel="0" collapsed="false">
      <c r="A26" s="1" t="s">
        <v>52</v>
      </c>
      <c r="B26" s="1" t="n">
        <f aca="false">COUNTIF('MiT Strom Pipeline'!R$6:R$904,"Evaluation")+COUNTIF('MiT Strom Pipeline'!R$6:R$904,"In evaluation")</f>
        <v>6</v>
      </c>
      <c r="C26" s="89" t="n">
        <f aca="false">SUMIFS('MiT Strom Pipeline'!I$6:I$904,'MiT Strom Pipeline'!R$6:R$904,"Evaluation")+SUMIFS('MiT Strom Pipeline'!I$6:I$904,'MiT Strom Pipeline'!R$6:R$904,"In evaluation")</f>
        <v>37444</v>
      </c>
      <c r="E26" s="1" t="s">
        <v>53</v>
      </c>
      <c r="F26" s="89" t="n">
        <f aca="false">SUMIFS('MiT Strom Pipeline'!I$6:I$904,'MiT Strom Pipeline'!C$6:C$904,"GR")</f>
        <v>77325.62</v>
      </c>
      <c r="G26" s="1" t="n">
        <f aca="false">COUNTIF('MiT Strom Pipeline'!C$6:C$904,"GR")</f>
        <v>2</v>
      </c>
      <c r="I26" s="1" t="s">
        <v>54</v>
      </c>
      <c r="J26" s="89" t="n">
        <f aca="false">SUMIFS('MiT Strom Pipeline'!I$6:I$904,'MiT Strom Pipeline'!D$6:D$904,"Industrie / Elektro")</f>
        <v>10000</v>
      </c>
      <c r="K26" s="1" t="n">
        <f aca="false">COUNTIF('MiT Strom Pipeline'!D$6:D$904,"Industrie / Elektro")</f>
        <v>1</v>
      </c>
    </row>
    <row r="27" customFormat="false" ht="15" hidden="false" customHeight="true" outlineLevel="0" collapsed="false">
      <c r="A27" s="1" t="s">
        <v>55</v>
      </c>
      <c r="B27" s="1" t="n">
        <f aca="false">COUNTIF('MiT Strom Pipeline'!R$6:R$904,"In evaluation")</f>
        <v>1</v>
      </c>
      <c r="C27" s="89" t="n">
        <f aca="false">SUMIFS('MiT Strom Pipeline'!I$6:I$904,'MiT Strom Pipeline'!R$6:R$904,"In evaluation")</f>
        <v>0</v>
      </c>
      <c r="E27" s="1" t="s">
        <v>56</v>
      </c>
      <c r="F27" s="89" t="n">
        <f aca="false">SUMIFS('MiT Strom Pipeline'!I$6:I$904,'MiT Strom Pipeline'!C$6:C$904,"LU")</f>
        <v>0</v>
      </c>
      <c r="G27" s="1" t="n">
        <f aca="false">COUNTIF('MiT Strom Pipeline'!C$6:C$904,"LU")</f>
        <v>0</v>
      </c>
      <c r="I27" s="1" t="s">
        <v>57</v>
      </c>
      <c r="J27" s="89" t="n">
        <f aca="false">SUMIFS('MiT Strom Pipeline'!I$6:I$904,'MiT Strom Pipeline'!D$6:D$904,"Industrie / Messtechnik")</f>
        <v>75769</v>
      </c>
      <c r="K27" s="1" t="n">
        <f aca="false">COUNTIF('MiT Strom Pipeline'!D$6:D$904,"Industrie / Messtechnik")</f>
        <v>3</v>
      </c>
    </row>
    <row r="28" customFormat="false" ht="15" hidden="false" customHeight="true" outlineLevel="0" collapsed="false">
      <c r="A28" s="1" t="s">
        <v>58</v>
      </c>
      <c r="B28" s="1" t="n">
        <f aca="false">COUNTIF('MiT Strom Pipeline'!R$6:R$904,"on hold")</f>
        <v>1</v>
      </c>
      <c r="C28" s="89" t="n">
        <f aca="false">SUMIFS('MiT Strom Pipeline'!I$6:I$904,'MiT Strom Pipeline'!R$6:R$904,"on hold")</f>
        <v>390000</v>
      </c>
      <c r="E28" s="1" t="s">
        <v>59</v>
      </c>
      <c r="F28" s="89" t="n">
        <f aca="false">SUMIFS('MiT Strom Pipeline'!I$6:I$904,'MiT Strom Pipeline'!C$6:C$904,"SG")</f>
        <v>96658.69</v>
      </c>
      <c r="G28" s="1" t="n">
        <f aca="false">COUNTIF('MiT Strom Pipeline'!C$6:C$904,"SG")</f>
        <v>2</v>
      </c>
      <c r="I28" s="1" t="s">
        <v>60</v>
      </c>
      <c r="J28" s="89" t="n">
        <f aca="false">SUMIFS('MiT Strom Pipeline'!I$6:I$904,'MiT Strom Pipeline'!D$6:D$904,"Industrie / Metall")</f>
        <v>500000</v>
      </c>
      <c r="K28" s="1" t="n">
        <f aca="false">COUNTIF('MiT Strom Pipeline'!D$6:D$904,"Industrie / Metall")</f>
        <v>1</v>
      </c>
    </row>
    <row r="29" customFormat="false" ht="15" hidden="false" customHeight="true" outlineLevel="0" collapsed="false">
      <c r="A29" s="1" t="s">
        <v>61</v>
      </c>
      <c r="B29" s="1" t="n">
        <f aca="false">COUNTIF('MiT Strom Pipeline'!R$6:R$904,"tbd")</f>
        <v>7</v>
      </c>
      <c r="C29" s="89" t="n">
        <f aca="false">SUMIFS('MiT Strom Pipeline'!I$6:I$904,'MiT Strom Pipeline'!R$6:R$904,"tbd")</f>
        <v>0</v>
      </c>
      <c r="E29" s="1" t="s">
        <v>62</v>
      </c>
      <c r="F29" s="89" t="n">
        <f aca="false">SUMIFS('MiT Strom Pipeline'!I$6:I$904,'MiT Strom Pipeline'!C$6:C$904,"SH")</f>
        <v>2624715</v>
      </c>
      <c r="G29" s="1" t="n">
        <f aca="false">COUNTIF('MiT Strom Pipeline'!C$6:C$904,"SH")</f>
        <v>5</v>
      </c>
      <c r="I29" s="1" t="s">
        <v>63</v>
      </c>
      <c r="J29" s="89" t="n">
        <f aca="false">SUMIFS('MiT Strom Pipeline'!I$6:I$904,'MiT Strom Pipeline'!D$6:D$904,"Industrie / Oberfläche")</f>
        <v>13100</v>
      </c>
      <c r="K29" s="1" t="n">
        <f aca="false">COUNTIF('MiT Strom Pipeline'!D$6:D$904,"Industrie / Oberfläche")</f>
        <v>1</v>
      </c>
    </row>
    <row r="30" customFormat="false" ht="15" hidden="false" customHeight="true" outlineLevel="0" collapsed="false">
      <c r="A30" s="1" t="s">
        <v>64</v>
      </c>
      <c r="B30" s="1" t="n">
        <f aca="false">COUNTIF('MiT Strom Pipeline'!R$6:R$904,"LOST")</f>
        <v>1</v>
      </c>
      <c r="C30" s="89" t="n">
        <f aca="false">SUMIFS('MiT Strom Pipeline'!I$6:I$904,'MiT Strom Pipeline'!R$6:R$904,"LOST")</f>
        <v>39000</v>
      </c>
      <c r="E30" s="1" t="s">
        <v>65</v>
      </c>
      <c r="F30" s="89" t="n">
        <f aca="false">SUMIFS('MiT Strom Pipeline'!I$6:I$904,'MiT Strom Pipeline'!C$6:C$904,"SO")</f>
        <v>390000</v>
      </c>
      <c r="G30" s="1" t="n">
        <f aca="false">COUNTIF('MiT Strom Pipeline'!C$6:C$904,"SO")</f>
        <v>1</v>
      </c>
      <c r="I30" s="1" t="s">
        <v>66</v>
      </c>
      <c r="J30" s="89" t="n">
        <f aca="false">SUMIFS('MiT Strom Pipeline'!I$6:I$904,'MiT Strom Pipeline'!D$6:D$904,"Industrie")</f>
        <v>2624715</v>
      </c>
      <c r="K30" s="1" t="n">
        <f aca="false">COUNTIF('MiT Strom Pipeline'!D$6:D$904,"Industrie")</f>
        <v>6</v>
      </c>
    </row>
    <row r="31" customFormat="false" ht="15" hidden="false" customHeight="true" outlineLevel="0" collapsed="false">
      <c r="A31" s="1" t="s">
        <v>67</v>
      </c>
      <c r="B31" s="1" t="n">
        <f aca="false">COUNTIF('MiT Strom Pipeline'!R$6:R$904,"Declined")</f>
        <v>3</v>
      </c>
      <c r="C31" s="89" t="n">
        <f aca="false">SUMIFS('MiT Strom Pipeline'!I$6:I$904,'MiT Strom Pipeline'!R$6:R$904,"Declined")</f>
        <v>89950</v>
      </c>
      <c r="E31" s="1" t="s">
        <v>68</v>
      </c>
      <c r="F31" s="89" t="n">
        <f aca="false">SUMIFS('MiT Strom Pipeline'!I$6:I$904,'MiT Strom Pipeline'!C$6:C$904,"TG")</f>
        <v>150000</v>
      </c>
      <c r="G31" s="1" t="n">
        <f aca="false">COUNTIF('MiT Strom Pipeline'!C$6:C$904,"TG")</f>
        <v>1</v>
      </c>
      <c r="I31" s="1" t="s">
        <v>69</v>
      </c>
      <c r="J31" s="89" t="n">
        <f aca="false">SUMIFS('MiT Strom Pipeline'!I$6:I$904,'MiT Strom Pipeline'!D$6:D$904,"Infrastruktur / Bau")</f>
        <v>38885</v>
      </c>
      <c r="K31" s="1" t="n">
        <f aca="false">COUNTIF('MiT Strom Pipeline'!D$6:D$904,"Infrastruktur / Bau")</f>
        <v>1</v>
      </c>
    </row>
    <row r="32" customFormat="false" ht="15" hidden="false" customHeight="true" outlineLevel="0" collapsed="false">
      <c r="E32" s="1" t="s">
        <v>70</v>
      </c>
      <c r="F32" s="89" t="n">
        <f aca="false">SUMIFS('MiT Strom Pipeline'!I$6:I$904,'MiT Strom Pipeline'!C$6:C$904,"UR")</f>
        <v>0</v>
      </c>
      <c r="G32" s="1" t="n">
        <f aca="false">COUNTIF('MiT Strom Pipeline'!C$6:C$904,"UR")</f>
        <v>1</v>
      </c>
      <c r="I32" s="1" t="s">
        <v>71</v>
      </c>
      <c r="J32" s="89" t="n">
        <f aca="false">SUMIFS('MiT Strom Pipeline'!I$6:I$904,'MiT Strom Pipeline'!D$6:D$904,"Infrastruktur / Bahn")</f>
        <v>0</v>
      </c>
      <c r="K32" s="1" t="n">
        <f aca="false">COUNTIF('MiT Strom Pipeline'!D$6:D$904,"Infrastruktur / Bahn")</f>
        <v>1</v>
      </c>
    </row>
    <row r="33" customFormat="false" ht="15" hidden="false" customHeight="true" outlineLevel="0" collapsed="false">
      <c r="E33" s="1" t="s">
        <v>72</v>
      </c>
      <c r="F33" s="89" t="n">
        <f aca="false">SUMIFS('MiT Strom Pipeline'!I$6:I$904,'MiT Strom Pipeline'!C$6:C$904,"VD")</f>
        <v>0</v>
      </c>
      <c r="G33" s="1" t="n">
        <f aca="false">COUNTIF('MiT Strom Pipeline'!C$6:C$904,"VD")</f>
        <v>2</v>
      </c>
      <c r="I33" s="1" t="s">
        <v>73</v>
      </c>
      <c r="J33" s="89" t="n">
        <f aca="false">SUMIFS('MiT Strom Pipeline'!I$6:I$904,'MiT Strom Pipeline'!D$6:D$904,"Forschung / Hightech")</f>
        <v>365003</v>
      </c>
      <c r="K33" s="1" t="n">
        <f aca="false">COUNTIF('MiT Strom Pipeline'!D$6:D$904,"Forschung / Hightech")</f>
        <v>1</v>
      </c>
    </row>
    <row r="34" customFormat="false" ht="15" hidden="false" customHeight="true" outlineLevel="0" collapsed="false">
      <c r="E34" s="1" t="s">
        <v>74</v>
      </c>
      <c r="F34" s="89" t="n">
        <f aca="false">SUMIFS('MiT Strom Pipeline'!I$6:I$904,'MiT Strom Pipeline'!C$6:C$904,"VS")</f>
        <v>0</v>
      </c>
      <c r="G34" s="1" t="n">
        <f aca="false">COUNTIF('MiT Strom Pipeline'!C$6:C$904,"VS")</f>
        <v>1</v>
      </c>
      <c r="I34" s="1" t="s">
        <v>75</v>
      </c>
      <c r="J34" s="89" t="n">
        <f aca="false">SUMIFS('MiT Strom Pipeline'!I$6:I$904,'MiT Strom Pipeline'!D$6:D$904,"Elektroinstallation")</f>
        <v>220660</v>
      </c>
      <c r="K34" s="1" t="n">
        <f aca="false">COUNTIF('MiT Strom Pipeline'!D$6:D$904,"Elektroinstallation")</f>
        <v>5</v>
      </c>
    </row>
    <row r="35" customFormat="false" ht="15" hidden="false" customHeight="true" outlineLevel="0" collapsed="false">
      <c r="E35" s="1" t="s">
        <v>76</v>
      </c>
      <c r="F35" s="89" t="n">
        <f aca="false">SUMIFS('MiT Strom Pipeline'!I$6:I$904,'MiT Strom Pipeline'!C$6:C$904,"ZG")</f>
        <v>0</v>
      </c>
      <c r="G35" s="1" t="n">
        <f aca="false">COUNTIF('MiT Strom Pipeline'!C$6:C$904,"ZG")</f>
        <v>0</v>
      </c>
      <c r="I35" s="1" t="s">
        <v>77</v>
      </c>
      <c r="J35" s="89" t="n">
        <f aca="false">SUMIFS('MiT Strom Pipeline'!I$6:I$904,'MiT Strom Pipeline'!D$6:D$904,"Hochschule")</f>
        <v>0</v>
      </c>
      <c r="K35" s="1" t="n">
        <f aca="false">COUNTIF('MiT Strom Pipeline'!D$6:D$904,"Hochschule")</f>
        <v>1</v>
      </c>
    </row>
    <row r="36" customFormat="false" ht="15" hidden="false" customHeight="true" outlineLevel="0" collapsed="false">
      <c r="E36" s="1" t="s">
        <v>78</v>
      </c>
      <c r="F36" s="89" t="n">
        <f aca="false">SUMIFS('MiT Strom Pipeline'!I$6:I$904,'MiT Strom Pipeline'!C$6:C$904,"ZH")</f>
        <v>1301772</v>
      </c>
      <c r="G36" s="1" t="n">
        <f aca="false">COUNTIF('MiT Strom Pipeline'!C$6:C$904,"ZH")</f>
        <v>13</v>
      </c>
      <c r="I36" s="1" t="s">
        <v>79</v>
      </c>
      <c r="J36" s="89" t="n">
        <f aca="false">SUMIFS('MiT Strom Pipeline'!I$6:I$904,'MiT Strom Pipeline'!D$6:D$904,"Kühlung / Konkurrenz")</f>
        <v>0</v>
      </c>
      <c r="K36" s="1" t="n">
        <f aca="false">COUNTIF('MiT Strom Pipeline'!D$6:D$904,"Kühlung / Konkurrenz")</f>
        <v>1</v>
      </c>
    </row>
    <row r="37" customFormat="false" ht="15" hidden="false" customHeight="true" outlineLevel="0" collapsed="false">
      <c r="I37" s="1" t="s">
        <v>80</v>
      </c>
      <c r="J37" s="89" t="n">
        <f aca="false">SUMIFS('MiT Strom Pipeline'!I$6:I$904,'MiT Strom Pipeline'!D$6:D$904,"Immobilien / FM")</f>
        <v>390000</v>
      </c>
      <c r="K37" s="1" t="n">
        <f aca="false">COUNTIF('MiT Strom Pipeline'!D$6:D$904,"Immobilien / FM")</f>
        <v>1</v>
      </c>
    </row>
    <row r="38" customFormat="false" ht="15" hidden="false" customHeight="true" outlineLevel="0" collapsed="false">
      <c r="I38" s="1" t="s">
        <v>81</v>
      </c>
      <c r="J38" s="89" t="n">
        <f aca="false">SUMIFS('MiT Strom Pipeline'!I$6:I$904,'MiT Strom Pipeline'!D$6:D$904,"Gemeinde")</f>
        <v>0</v>
      </c>
      <c r="K38" s="1" t="n">
        <f aca="false">COUNTIF('MiT Strom Pipeline'!D$6:D$904,"Gemeinde")</f>
        <v>1</v>
      </c>
    </row>
    <row r="39" customFormat="false" ht="15" hidden="false" customHeight="true" outlineLevel="0" collapsed="false">
      <c r="I39" s="1" t="s">
        <v>82</v>
      </c>
      <c r="J39" s="89" t="n">
        <f aca="false">SUMIFS('MiT Strom Pipeline'!I$6:I$904,'MiT Strom Pipeline'!D$6:D$904,"Bildung / Forschung")</f>
        <v>0</v>
      </c>
      <c r="K39" s="1" t="n">
        <f aca="false">COUNTIF('MiT Strom Pipeline'!D$6:D$904,"Bildung / Forschung")</f>
        <v>1</v>
      </c>
    </row>
    <row r="40" customFormat="false" ht="15" hidden="false" customHeight="true" outlineLevel="0" collapsed="false">
      <c r="I40" s="1" t="s">
        <v>83</v>
      </c>
      <c r="J40" s="89" t="n">
        <f aca="false">SUMIFS('MiT Strom Pipeline'!$I$6:$I$904,'MiT Strom Pipeline'!$D$6:$D$904,"Events &amp; Sport")</f>
        <v>310000</v>
      </c>
      <c r="K40" s="1" t="n">
        <f aca="false">COUNTIF('MiT Strom Pipeline'!$D$6:$D$904,"Events &amp; Sport")</f>
        <v>1</v>
      </c>
    </row>
    <row r="41" customFormat="false" ht="15" hidden="false" customHeight="true" outlineLevel="0" collapsed="false">
      <c r="I41" s="1" t="s">
        <v>84</v>
      </c>
      <c r="J41" s="89" t="n">
        <f aca="false">SUMIFS('MiT Strom Pipeline'!$I$6:$I$904,'MiT Strom Pipeline'!$D$6:$D$904,"Industrie / Allgemein")</f>
        <v>0</v>
      </c>
      <c r="K41" s="1" t="n">
        <f aca="false">COUNTIF('MiT Strom Pipeline'!$D$6:$D$904,"Industrie / Allgemein")</f>
        <v>0</v>
      </c>
    </row>
    <row r="42" customFormat="false" ht="15" hidden="false" customHeight="true" outlineLevel="0" collapsed="false">
      <c r="I42" s="1" t="s">
        <v>85</v>
      </c>
      <c r="J42" s="89" t="n">
        <f aca="false">SUMIFS('MiT Strom Pipeline'!$I$6:$I$904,'MiT Strom Pipeline'!$D$6:$D$904,"Industrie / Generatoren")</f>
        <v>48950</v>
      </c>
      <c r="K42" s="1" t="n">
        <f aca="false">COUNTIF('MiT Strom Pipeline'!$D$6:$D$904,"Industrie / Generatoren")</f>
        <v>1</v>
      </c>
    </row>
    <row r="43" customFormat="false" ht="15" hidden="false" customHeight="true" outlineLevel="0" collapsed="false">
      <c r="I43" s="1" t="s">
        <v>86</v>
      </c>
      <c r="J43" s="89" t="n">
        <f aca="false">SUMIFS('MiT Strom Pipeline'!$I$6:$I$904,'MiT Strom Pipeline'!$D$6:$D$904,"Ingenieure / Planung")</f>
        <v>39000</v>
      </c>
      <c r="K43" s="1" t="n">
        <f aca="false">COUNTIF('MiT Strom Pipeline'!$D$6:$D$904,"Ingenieure / Planung")</f>
        <v>1</v>
      </c>
    </row>
    <row r="44" customFormat="false" ht="15" hidden="false" customHeight="true" outlineLevel="0" collapsed="false">
      <c r="I44" s="1" t="s">
        <v>87</v>
      </c>
      <c r="J44" s="89" t="n">
        <f aca="false">SUMIFS('MiT Strom Pipeline'!$I$6:$I$904,'MiT Strom Pipeline'!$D$6:$D$904,"Event")</f>
        <v>77325.62</v>
      </c>
      <c r="K44" s="1" t="n">
        <f aca="false">COUNTIF('MiT Strom Pipeline'!$D$6:$D$904,"Event")</f>
        <v>2</v>
      </c>
    </row>
    <row r="45" customFormat="false" ht="15" hidden="false" customHeight="true" outlineLevel="0" collapsed="false">
      <c r="I45" s="1" t="s">
        <v>88</v>
      </c>
      <c r="J45" s="89" t="n">
        <f aca="false">SUMIFS('MiT Strom Pipeline'!$I$6:$I$904,'MiT Strom Pipeline'!$D$6:$D$904,"tbd")</f>
        <v>0</v>
      </c>
      <c r="K45" s="1" t="n">
        <f aca="false">COUNTIF('MiT Strom Pipeline'!$D$6:$D$904,"tbd")</f>
        <v>1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6" min="5" style="1" width="18"/>
    <col collapsed="false" customWidth="true" hidden="false" outlineLevel="0" max="8" min="7" style="1" width="14"/>
  </cols>
  <sheetData>
    <row r="1" customFormat="false" ht="36" hidden="false" customHeight="true" outlineLevel="0" collapsed="false">
      <c r="A1" s="90" t="s">
        <v>89</v>
      </c>
      <c r="B1" s="90"/>
      <c r="C1" s="90"/>
      <c r="D1" s="90"/>
      <c r="E1" s="90"/>
      <c r="F1" s="90"/>
      <c r="G1" s="90"/>
      <c r="H1" s="90"/>
    </row>
    <row r="2" customFormat="false" ht="15" hidden="false" customHeight="true" outlineLevel="0" collapsed="false">
      <c r="A2" s="86" t="s">
        <v>90</v>
      </c>
      <c r="B2" s="86"/>
      <c r="C2" s="86"/>
      <c r="D2" s="86"/>
      <c r="E2" s="86"/>
      <c r="F2" s="86"/>
      <c r="G2" s="86"/>
      <c r="H2" s="86"/>
    </row>
    <row r="3" customFormat="false" ht="15" hidden="false" customHeight="true" outlineLevel="0" collapsed="false">
      <c r="A3" s="91" t="str">
        <f aca="true">"Stand: "&amp;TEXT(TODAY(),"DD.MM.YYYY")&amp;"  ·  Auto-Update via Pipeline-Daten"</f>
        <v>Stand: 29.05.2026  ·  Auto-Update via Pipeline-Daten</v>
      </c>
      <c r="B3" s="91"/>
      <c r="C3" s="91"/>
      <c r="D3" s="91"/>
      <c r="E3" s="91"/>
      <c r="F3" s="91"/>
      <c r="G3" s="91"/>
      <c r="H3" s="91"/>
    </row>
    <row r="5" customFormat="false" ht="17.25" hidden="false" customHeight="true" outlineLevel="0" collapsed="false">
      <c r="A5" s="92" t="s">
        <v>91</v>
      </c>
      <c r="B5" s="92"/>
      <c r="C5" s="92"/>
      <c r="D5" s="92"/>
      <c r="E5" s="92"/>
      <c r="F5" s="92"/>
      <c r="G5" s="92"/>
      <c r="H5" s="92"/>
    </row>
    <row r="6" customFormat="false" ht="15" hidden="false" customHeight="true" outlineLevel="0" collapsed="false">
      <c r="A6" s="93" t="s">
        <v>92</v>
      </c>
      <c r="B6" s="93" t="s">
        <v>93</v>
      </c>
      <c r="C6" s="93" t="s">
        <v>37</v>
      </c>
      <c r="D6" s="93" t="s">
        <v>94</v>
      </c>
    </row>
    <row r="7" customFormat="false" ht="15" hidden="false" customHeight="true" outlineLevel="0" collapsed="false">
      <c r="A7" s="94" t="s">
        <v>40</v>
      </c>
      <c r="B7" s="95" t="n">
        <f aca="false">Dashboard!A6</f>
        <v>333100</v>
      </c>
      <c r="C7" s="96" t="n">
        <f aca="false">Dashboard!A7</f>
        <v>4</v>
      </c>
      <c r="D7" s="97" t="n">
        <f aca="false">IFERROR(B7/$B$10,0)</f>
        <v>0.0683686469709915</v>
      </c>
    </row>
    <row r="8" customFormat="false" ht="15" hidden="false" customHeight="true" outlineLevel="0" collapsed="false">
      <c r="A8" s="94" t="s">
        <v>43</v>
      </c>
      <c r="B8" s="95" t="n">
        <f aca="false">Dashboard!D6</f>
        <v>3866028.62</v>
      </c>
      <c r="C8" s="96" t="n">
        <f aca="false">Dashboard!D7</f>
        <v>12</v>
      </c>
      <c r="D8" s="97" t="n">
        <f aca="false">IFERROR(B8/$B$10,0)</f>
        <v>0.793500888323415</v>
      </c>
    </row>
    <row r="9" customFormat="false" ht="15" hidden="false" customHeight="true" outlineLevel="0" collapsed="false">
      <c r="A9" s="94" t="s">
        <v>95</v>
      </c>
      <c r="B9" s="95" t="n">
        <f aca="false">Dashboard!G6</f>
        <v>672987.69</v>
      </c>
      <c r="C9" s="96" t="n">
        <f aca="false">Dashboard!G7</f>
        <v>16</v>
      </c>
      <c r="D9" s="97" t="n">
        <f aca="false">IFERROR(B9/$B$10,0)</f>
        <v>0.138130464705593</v>
      </c>
    </row>
    <row r="10" customFormat="false" ht="15" hidden="false" customHeight="true" outlineLevel="0" collapsed="false">
      <c r="A10" s="98" t="s">
        <v>96</v>
      </c>
      <c r="B10" s="99" t="n">
        <f aca="false">Dashboard!I6</f>
        <v>4872116.31</v>
      </c>
      <c r="C10" s="100" t="n">
        <f aca="false">Dashboard!I7</f>
        <v>32</v>
      </c>
      <c r="D10" s="101" t="n">
        <f aca="false">IFERROR(B10/$B$10,0)</f>
        <v>1</v>
      </c>
    </row>
    <row r="13" customFormat="false" ht="17.25" hidden="false" customHeight="true" outlineLevel="0" collapsed="false">
      <c r="A13" s="92" t="s">
        <v>97</v>
      </c>
      <c r="B13" s="92"/>
      <c r="C13" s="92"/>
      <c r="D13" s="92"/>
      <c r="E13" s="92"/>
      <c r="F13" s="92"/>
      <c r="G13" s="92"/>
      <c r="H13" s="92"/>
    </row>
    <row r="14" customFormat="false" ht="15" hidden="false" customHeight="true" outlineLevel="0" collapsed="false">
      <c r="A14" s="93" t="s">
        <v>98</v>
      </c>
      <c r="B14" s="93" t="s">
        <v>38</v>
      </c>
      <c r="C14" s="93" t="s">
        <v>11</v>
      </c>
      <c r="D14" s="93" t="s">
        <v>99</v>
      </c>
      <c r="E14" s="93" t="s">
        <v>100</v>
      </c>
    </row>
    <row r="15" customFormat="false" ht="15" hidden="false" customHeight="true" outlineLevel="0" collapsed="false">
      <c r="A15" s="102" t="n">
        <v>1</v>
      </c>
      <c r="B15" s="103" t="str">
        <f aca="false">IFERROR(INDEX('Kantone &amp; Segmente'!$A$5:$A$25,MATCH(C15,'Kantone &amp; Segmente'!$D$5:$D$25,0)),"")</f>
        <v>SH</v>
      </c>
      <c r="C15" s="104" t="n">
        <f aca="false">IFERROR(LARGE('Kantone &amp; Segmente'!$D$5:$D$25,1),0)</f>
        <v>2624715</v>
      </c>
      <c r="D15" s="105" t="n">
        <f aca="false">IFERROR(INDEX('Kantone &amp; Segmente'!$B$5:$B$25,MATCH(C15,'Kantone &amp; Segmente'!$D$5:$D$25,0)),"")</f>
        <v>5</v>
      </c>
      <c r="E15" s="102" t="str">
        <f aca="false">IFERROR(INDEX('Kantone &amp; Segmente'!$G$5:$G$25,MATCH(C15,'Kantone &amp; Segmente'!$D$5:$D$25,0)),"")</f>
        <v>20% WON</v>
      </c>
    </row>
    <row r="16" customFormat="false" ht="15" hidden="false" customHeight="true" outlineLevel="0" collapsed="false">
      <c r="A16" s="102" t="n">
        <v>2</v>
      </c>
      <c r="B16" s="103" t="str">
        <f aca="false">IFERROR(INDEX('Kantone &amp; Segmente'!$A$5:$A$25,MATCH(C16,'Kantone &amp; Segmente'!$D$5:$D$25,0)),"")</f>
        <v>ZH</v>
      </c>
      <c r="C16" s="104" t="n">
        <f aca="false">IFERROR(LARGE('Kantone &amp; Segmente'!$D$5:$D$25,2),0)</f>
        <v>1301772</v>
      </c>
      <c r="D16" s="105" t="n">
        <f aca="false">IFERROR(INDEX('Kantone &amp; Segmente'!$B$5:$B$25,MATCH(C16,'Kantone &amp; Segmente'!$D$5:$D$25,0)),"")</f>
        <v>13</v>
      </c>
      <c r="E16" s="102" t="str">
        <f aca="false">IFERROR(INDEX('Kantone &amp; Segmente'!$G$5:$G$25,MATCH(C16,'Kantone &amp; Segmente'!$D$5:$D$25,0)),"")</f>
        <v>15% WON</v>
      </c>
    </row>
    <row r="17" customFormat="false" ht="15" hidden="false" customHeight="true" outlineLevel="0" collapsed="false">
      <c r="A17" s="102" t="n">
        <v>3</v>
      </c>
      <c r="B17" s="103" t="str">
        <f aca="false">IFERROR(INDEX('Kantone &amp; Segmente'!$A$5:$A$25,MATCH(C17,'Kantone &amp; Segmente'!$D$5:$D$25,0)),"")</f>
        <v>SO</v>
      </c>
      <c r="C17" s="104" t="n">
        <f aca="false">IFERROR(LARGE('Kantone &amp; Segmente'!$D$5:$D$25,3),0)</f>
        <v>390000</v>
      </c>
      <c r="D17" s="105" t="n">
        <f aca="false">IFERROR(INDEX('Kantone &amp; Segmente'!$B$5:$B$25,MATCH(C17,'Kantone &amp; Segmente'!$D$5:$D$25,0)),"")</f>
        <v>1</v>
      </c>
      <c r="E17" s="102" t="str">
        <f aca="false">IFERROR(INDEX('Kantone &amp; Segmente'!$G$5:$G$25,MATCH(C17,'Kantone &amp; Segmente'!$D$5:$D$25,0)),"")</f>
        <v>0% WON</v>
      </c>
    </row>
    <row r="18" customFormat="false" ht="15" hidden="false" customHeight="true" outlineLevel="0" collapsed="false">
      <c r="A18" s="102" t="n">
        <v>4</v>
      </c>
      <c r="B18" s="103" t="str">
        <f aca="false">IFERROR(INDEX('Kantone &amp; Segmente'!$A$5:$A$25,MATCH(C18,'Kantone &amp; Segmente'!$D$5:$D$25,0)),"")</f>
        <v>AG</v>
      </c>
      <c r="C18" s="104" t="n">
        <f aca="false">IFERROR(LARGE('Kantone &amp; Segmente'!$D$5:$D$25,4),0)</f>
        <v>282710</v>
      </c>
      <c r="D18" s="105" t="n">
        <f aca="false">IFERROR(INDEX('Kantone &amp; Segmente'!$B$5:$B$25,MATCH(C18,'Kantone &amp; Segmente'!$D$5:$D$25,0)),"")</f>
        <v>4</v>
      </c>
      <c r="E18" s="102" t="str">
        <f aca="false">IFERROR(INDEX('Kantone &amp; Segmente'!$G$5:$G$25,MATCH(C18,'Kantone &amp; Segmente'!$D$5:$D$25,0)),"")</f>
        <v>25% WON</v>
      </c>
    </row>
    <row r="19" customFormat="false" ht="15" hidden="false" customHeight="true" outlineLevel="0" collapsed="false">
      <c r="A19" s="102" t="n">
        <v>5</v>
      </c>
      <c r="B19" s="103" t="str">
        <f aca="false">IFERROR(INDEX('Kantone &amp; Segmente'!$A$5:$A$25,MATCH(C19,'Kantone &amp; Segmente'!$D$5:$D$25,0)),"")</f>
        <v>TG</v>
      </c>
      <c r="C19" s="104" t="n">
        <f aca="false">IFERROR(LARGE('Kantone &amp; Segmente'!$D$5:$D$25,5),0)</f>
        <v>150000</v>
      </c>
      <c r="D19" s="105" t="n">
        <f aca="false">IFERROR(INDEX('Kantone &amp; Segmente'!$B$5:$B$25,MATCH(C19,'Kantone &amp; Segmente'!$D$5:$D$25,0)),"")</f>
        <v>1</v>
      </c>
      <c r="E19" s="102" t="str">
        <f aca="false">IFERROR(INDEX('Kantone &amp; Segmente'!$G$5:$G$25,MATCH(C19,'Kantone &amp; Segmente'!$D$5:$D$25,0)),"")</f>
        <v>0% WON</v>
      </c>
    </row>
    <row r="20" customFormat="false" ht="15" hidden="false" customHeight="true" outlineLevel="0" collapsed="false">
      <c r="A20" s="102" t="n">
        <v>6</v>
      </c>
      <c r="B20" s="103" t="str">
        <f aca="false">IFERROR(INDEX('Kantone &amp; Segmente'!$A$5:$A$25,MATCH(C20,'Kantone &amp; Segmente'!$D$5:$D$25,0)),"")</f>
        <v>SG</v>
      </c>
      <c r="C20" s="104" t="n">
        <f aca="false">IFERROR(LARGE('Kantone &amp; Segmente'!$D$5:$D$25,6),0)</f>
        <v>96658.69</v>
      </c>
      <c r="D20" s="105" t="n">
        <f aca="false">IFERROR(INDEX('Kantone &amp; Segmente'!$B$5:$B$25,MATCH(C20,'Kantone &amp; Segmente'!$D$5:$D$25,0)),"")</f>
        <v>2</v>
      </c>
      <c r="E20" s="102" t="str">
        <f aca="false">IFERROR(INDEX('Kantone &amp; Segmente'!$G$5:$G$25,MATCH(C20,'Kantone &amp; Segmente'!$D$5:$D$25,0)),"")</f>
        <v>0% WON</v>
      </c>
    </row>
    <row r="21" customFormat="false" ht="15" hidden="false" customHeight="true" outlineLevel="0" collapsed="false">
      <c r="A21" s="102" t="n">
        <v>7</v>
      </c>
      <c r="B21" s="103" t="str">
        <f aca="false">IFERROR(INDEX('Kantone &amp; Segmente'!$A$5:$A$25,MATCH(C21,'Kantone &amp; Segmente'!$D$5:$D$25,0)),"")</f>
        <v>GR</v>
      </c>
      <c r="C21" s="104" t="n">
        <f aca="false">IFERROR(LARGE('Kantone &amp; Segmente'!$D$5:$D$25,7),0)</f>
        <v>77325.62</v>
      </c>
      <c r="D21" s="105" t="n">
        <f aca="false">IFERROR(INDEX('Kantone &amp; Segmente'!$B$5:$B$25,MATCH(C21,'Kantone &amp; Segmente'!$D$5:$D$25,0)),"")</f>
        <v>2</v>
      </c>
      <c r="E21" s="102" t="str">
        <f aca="false">IFERROR(INDEX('Kantone &amp; Segmente'!$G$5:$G$25,MATCH(C21,'Kantone &amp; Segmente'!$D$5:$D$25,0)),"")</f>
        <v>0% WON</v>
      </c>
    </row>
    <row r="22" customFormat="false" ht="15" hidden="false" customHeight="true" outlineLevel="0" collapsed="false">
      <c r="A22" s="102" t="n">
        <v>8</v>
      </c>
      <c r="B22" s="103" t="str">
        <f aca="false">IFERROR(INDEX('Kantone &amp; Segmente'!$A$5:$A$25,MATCH(C22,'Kantone &amp; Segmente'!$D$5:$D$25,0)),"")</f>
        <v>BE</v>
      </c>
      <c r="C22" s="104" t="n">
        <f aca="false">IFERROR(LARGE('Kantone &amp; Segmente'!$D$5:$D$25,8),0)</f>
        <v>39000</v>
      </c>
      <c r="D22" s="105" t="n">
        <f aca="false">IFERROR(INDEX('Kantone &amp; Segmente'!$B$5:$B$25,MATCH(C22,'Kantone &amp; Segmente'!$D$5:$D$25,0)),"")</f>
        <v>2</v>
      </c>
      <c r="E22" s="102" t="str">
        <f aca="false">IFERROR(INDEX('Kantone &amp; Segmente'!$G$5:$G$25,MATCH(C22,'Kantone &amp; Segmente'!$D$5:$D$25,0)),"")</f>
        <v>0% WON</v>
      </c>
    </row>
    <row r="23" customFormat="false" ht="15" hidden="false" customHeight="true" outlineLevel="0" collapsed="false">
      <c r="A23" s="102" t="n">
        <v>9</v>
      </c>
      <c r="B23" s="103" t="str">
        <f aca="false">IFERROR(INDEX('Kantone &amp; Segmente'!$A$5:$A$25,MATCH(C23,'Kantone &amp; Segmente'!$D$5:$D$25,0)),"")</f>
        <v>GE</v>
      </c>
      <c r="C23" s="104" t="n">
        <f aca="false">IFERROR(LARGE('Kantone &amp; Segmente'!$D$5:$D$25,9),0)</f>
        <v>38885</v>
      </c>
      <c r="D23" s="105" t="n">
        <f aca="false">IFERROR(INDEX('Kantone &amp; Segmente'!$B$5:$B$25,MATCH(C23,'Kantone &amp; Segmente'!$D$5:$D$25,0)),"")</f>
        <v>1</v>
      </c>
      <c r="E23" s="102" t="str">
        <f aca="false">IFERROR(INDEX('Kantone &amp; Segmente'!$G$5:$G$25,MATCH(C23,'Kantone &amp; Segmente'!$D$5:$D$25,0)),"")</f>
        <v>0% WON</v>
      </c>
    </row>
    <row r="24" customFormat="false" ht="15" hidden="false" customHeight="true" outlineLevel="0" collapsed="false">
      <c r="A24" s="102" t="n">
        <v>10</v>
      </c>
      <c r="B24" s="103" t="str">
        <f aca="false">IFERROR(INDEX('Kantone &amp; Segmente'!$A$5:$A$25,MATCH(C24,'Kantone &amp; Segmente'!$D$5:$D$25,0)),"")</f>
        <v>UR</v>
      </c>
      <c r="C24" s="104" t="n">
        <f aca="false">IFERROR(LARGE('Kantone &amp; Segmente'!$D$5:$D$25,10),0)</f>
        <v>0</v>
      </c>
      <c r="D24" s="105" t="n">
        <f aca="false">IFERROR(INDEX('Kantone &amp; Segmente'!$B$5:$B$25,MATCH(C24,'Kantone &amp; Segmente'!$D$5:$D$25,0)),"")</f>
        <v>1</v>
      </c>
      <c r="E24" s="102" t="str">
        <f aca="false">IFERROR(INDEX('Kantone &amp; Segmente'!$G$5:$G$25,MATCH(C24,'Kantone &amp; Segmente'!$D$5:$D$25,0)),"")</f>
        <v>0% WON</v>
      </c>
    </row>
    <row r="27" customFormat="false" ht="17.25" hidden="false" customHeight="true" outlineLevel="0" collapsed="false">
      <c r="A27" s="92" t="s">
        <v>101</v>
      </c>
      <c r="B27" s="92"/>
      <c r="C27" s="92"/>
      <c r="D27" s="92"/>
      <c r="E27" s="92"/>
      <c r="F27" s="92"/>
      <c r="G27" s="92"/>
      <c r="H27" s="92"/>
    </row>
    <row r="28" customFormat="false" ht="15" hidden="false" customHeight="true" outlineLevel="0" collapsed="false">
      <c r="A28" s="93" t="s">
        <v>98</v>
      </c>
      <c r="B28" s="93" t="s">
        <v>102</v>
      </c>
      <c r="C28" s="93" t="s">
        <v>38</v>
      </c>
      <c r="D28" s="93" t="s">
        <v>9</v>
      </c>
      <c r="E28" s="93" t="s">
        <v>11</v>
      </c>
      <c r="F28" s="93" t="s">
        <v>13</v>
      </c>
    </row>
    <row r="29" customFormat="false" ht="15" hidden="false" customHeight="true" outlineLevel="0" collapsed="false">
      <c r="A29" s="102" t="n">
        <v>1</v>
      </c>
      <c r="B29" s="103" t="str">
        <f aca="false">IFERROR(INDEX('MiT Strom Pipeline'!$B$6:$B$904,MATCH(LARGE('MiT Strom Pipeline'!$Z$6:$Z$904,1),'MiT Strom Pipeline'!$Z$6:$Z$904,0)),"")</f>
        <v>Ice Hockey Championship</v>
      </c>
      <c r="C29" s="102" t="str">
        <f aca="false">IFERROR(INDEX('MiT Strom Pipeline'!$C$6:$C$904,MATCH(LARGE('MiT Strom Pipeline'!$Z$6:$Z$904,1),'MiT Strom Pipeline'!$Z$6:$Z$904,0)),"")</f>
        <v>ZH</v>
      </c>
      <c r="D29" s="103" t="str">
        <f aca="false">IFERROR(INDEX('MiT Strom Pipeline'!$D$6:$D$904,MATCH(LARGE('MiT Strom Pipeline'!$Z$6:$Z$904,1),'MiT Strom Pipeline'!$Z$6:$Z$904,0)),"")</f>
        <v>Events &amp; Sport</v>
      </c>
      <c r="E29" s="104" t="n">
        <f aca="false">IFERROR(LARGE('MiT Strom Pipeline'!$Z$6:$Z$904,1),"")</f>
        <v>310000</v>
      </c>
      <c r="F29" s="104" t="n">
        <f aca="false">IFERROR(INDEX('MiT Strom Pipeline'!$O$6:$O$904,MATCH(LARGE('MiT Strom Pipeline'!$Z$6:$Z$904,1),'MiT Strom Pipeline'!$Z$6:$Z$904,0)),"")</f>
        <v>75000</v>
      </c>
    </row>
    <row r="30" customFormat="false" ht="15" hidden="false" customHeight="true" outlineLevel="0" collapsed="false">
      <c r="A30" s="102" t="n">
        <v>2</v>
      </c>
      <c r="B30" s="103" t="str">
        <f aca="false">IFERROR(INDEX('MiT Strom Pipeline'!$B$6:$B$904,MATCH(LARGE('MiT Strom Pipeline'!$Z$6:$Z$904,2),'MiT Strom Pipeline'!$Z$6:$Z$904,0)),"")</f>
        <v>Oerlikon Metco Wohlen</v>
      </c>
      <c r="C30" s="102" t="str">
        <f aca="false">IFERROR(INDEX('MiT Strom Pipeline'!$C$6:$C$904,MATCH(LARGE('MiT Strom Pipeline'!$Z$6:$Z$904,2),'MiT Strom Pipeline'!$Z$6:$Z$904,0)),"")</f>
        <v>AG</v>
      </c>
      <c r="D30" s="103" t="str">
        <f aca="false">IFERROR(INDEX('MiT Strom Pipeline'!$D$6:$D$904,MATCH(LARGE('MiT Strom Pipeline'!$Z$6:$Z$904,2),'MiT Strom Pipeline'!$Z$6:$Z$904,0)),"")</f>
        <v>Industrie / Oberfläche</v>
      </c>
      <c r="E30" s="104" t="n">
        <f aca="false">IFERROR(LARGE('MiT Strom Pipeline'!$Z$6:$Z$904,2),"")</f>
        <v>13100</v>
      </c>
      <c r="F30" s="104" t="n">
        <f aca="false">IFERROR(INDEX('MiT Strom Pipeline'!$O$6:$O$904,MATCH(LARGE('MiT Strom Pipeline'!$Z$6:$Z$904,2),'MiT Strom Pipeline'!$Z$6:$Z$904,0)),"")</f>
        <v>3000</v>
      </c>
    </row>
    <row r="31" customFormat="false" ht="15" hidden="false" customHeight="true" outlineLevel="0" collapsed="false">
      <c r="A31" s="102" t="n">
        <v>3</v>
      </c>
      <c r="B31" s="103" t="str">
        <f aca="false">IFERROR(INDEX('MiT Strom Pipeline'!$B$6:$B$904,MATCH(LARGE('MiT Strom Pipeline'!$Z$6:$Z$904,3),'MiT Strom Pipeline'!$Z$6:$Z$904,0)),"")</f>
        <v>Siemens</v>
      </c>
      <c r="C31" s="102" t="str">
        <f aca="false">IFERROR(INDEX('MiT Strom Pipeline'!$C$6:$C$904,MATCH(LARGE('MiT Strom Pipeline'!$Z$6:$Z$904,3),'MiT Strom Pipeline'!$Z$6:$Z$904,0)),"")</f>
        <v>ZH</v>
      </c>
      <c r="D31" s="103" t="str">
        <f aca="false">IFERROR(INDEX('MiT Strom Pipeline'!$D$6:$D$904,MATCH(LARGE('MiT Strom Pipeline'!$Z$6:$Z$904,3),'MiT Strom Pipeline'!$Z$6:$Z$904,0)),"")</f>
        <v>Industrie / Elektro</v>
      </c>
      <c r="E31" s="104" t="n">
        <f aca="false">IFERROR(LARGE('MiT Strom Pipeline'!$Z$6:$Z$904,3),"")</f>
        <v>10000</v>
      </c>
      <c r="F31" s="104" t="n">
        <f aca="false">IFERROR(INDEX('MiT Strom Pipeline'!$O$6:$O$904,MATCH(LARGE('MiT Strom Pipeline'!$Z$6:$Z$904,3),'MiT Strom Pipeline'!$Z$6:$Z$904,0)),"")</f>
        <v>10000</v>
      </c>
    </row>
    <row r="32" customFormat="false" ht="15" hidden="false" customHeight="true" outlineLevel="0" collapsed="false">
      <c r="A32" s="102" t="n">
        <v>4</v>
      </c>
      <c r="B32" s="103" t="str">
        <f aca="false">IFERROR(INDEX('MiT Strom Pipeline'!$B$6:$B$904,MATCH(LARGE('MiT Strom Pipeline'!$Z$6:$Z$904,4),'MiT Strom Pipeline'!$Z$6:$Z$904,0)),"")</f>
        <v/>
      </c>
      <c r="C32" s="102" t="str">
        <f aca="false">IFERROR(INDEX('MiT Strom Pipeline'!$C$6:$C$904,MATCH(LARGE('MiT Strom Pipeline'!$Z$6:$Z$904,4),'MiT Strom Pipeline'!$Z$6:$Z$904,0)),"")</f>
        <v/>
      </c>
      <c r="D32" s="103" t="str">
        <f aca="false">IFERROR(INDEX('MiT Strom Pipeline'!$D$6:$D$904,MATCH(LARGE('MiT Strom Pipeline'!$Z$6:$Z$904,4),'MiT Strom Pipeline'!$Z$6:$Z$904,0)),"")</f>
        <v/>
      </c>
      <c r="E32" s="104" t="str">
        <f aca="false">IFERROR(LARGE('MiT Strom Pipeline'!$Z$6:$Z$904,4),"")</f>
        <v/>
      </c>
      <c r="F32" s="104" t="str">
        <f aca="false">IFERROR(INDEX('MiT Strom Pipeline'!$O$6:$O$904,MATCH(LARGE('MiT Strom Pipeline'!$Z$6:$Z$904,4),'MiT Strom Pipeline'!$Z$6:$Z$904,0)),"")</f>
        <v/>
      </c>
    </row>
    <row r="33" customFormat="false" ht="15" hidden="false" customHeight="true" outlineLevel="0" collapsed="false">
      <c r="A33" s="102" t="n">
        <v>5</v>
      </c>
      <c r="B33" s="103" t="str">
        <f aca="false">IFERROR(INDEX('MiT Strom Pipeline'!$B$6:$B$904,MATCH(LARGE('MiT Strom Pipeline'!$Z$6:$Z$904,5),'MiT Strom Pipeline'!$Z$6:$Z$904,0)),"")</f>
        <v/>
      </c>
      <c r="C33" s="102" t="str">
        <f aca="false">IFERROR(INDEX('MiT Strom Pipeline'!$C$6:$C$904,MATCH(LARGE('MiT Strom Pipeline'!$Z$6:$Z$904,5),'MiT Strom Pipeline'!$Z$6:$Z$904,0)),"")</f>
        <v/>
      </c>
      <c r="D33" s="103" t="str">
        <f aca="false">IFERROR(INDEX('MiT Strom Pipeline'!$D$6:$D$904,MATCH(LARGE('MiT Strom Pipeline'!$Z$6:$Z$904,5),'MiT Strom Pipeline'!$Z$6:$Z$904,0)),"")</f>
        <v/>
      </c>
      <c r="E33" s="104" t="str">
        <f aca="false">IFERROR(LARGE('MiT Strom Pipeline'!$Z$6:$Z$904,5),"")</f>
        <v/>
      </c>
      <c r="F33" s="104" t="str">
        <f aca="false">IFERROR(INDEX('MiT Strom Pipeline'!$O$6:$O$904,MATCH(LARGE('MiT Strom Pipeline'!$Z$6:$Z$904,5),'MiT Strom Pipeline'!$Z$6:$Z$904,0)),"")</f>
        <v/>
      </c>
    </row>
    <row r="34" customFormat="false" ht="15" hidden="false" customHeight="true" outlineLevel="0" collapsed="false">
      <c r="A34" s="102" t="n">
        <v>6</v>
      </c>
      <c r="B34" s="103" t="str">
        <f aca="false">IFERROR(INDEX('MiT Strom Pipeline'!$B$6:$B$904,MATCH(LARGE('MiT Strom Pipeline'!$Z$6:$Z$904,6),'MiT Strom Pipeline'!$Z$6:$Z$904,0)),"")</f>
        <v/>
      </c>
      <c r="C34" s="102" t="str">
        <f aca="false">IFERROR(INDEX('MiT Strom Pipeline'!$C$6:$C$904,MATCH(LARGE('MiT Strom Pipeline'!$Z$6:$Z$904,6),'MiT Strom Pipeline'!$Z$6:$Z$904,0)),"")</f>
        <v/>
      </c>
      <c r="D34" s="103" t="str">
        <f aca="false">IFERROR(INDEX('MiT Strom Pipeline'!$D$6:$D$904,MATCH(LARGE('MiT Strom Pipeline'!$Z$6:$Z$904,6),'MiT Strom Pipeline'!$Z$6:$Z$904,0)),"")</f>
        <v/>
      </c>
      <c r="E34" s="104" t="str">
        <f aca="false">IFERROR(LARGE('MiT Strom Pipeline'!$Z$6:$Z$904,6),"")</f>
        <v/>
      </c>
      <c r="F34" s="104" t="str">
        <f aca="false">IFERROR(INDEX('MiT Strom Pipeline'!$O$6:$O$904,MATCH(LARGE('MiT Strom Pipeline'!$Z$6:$Z$904,6),'MiT Strom Pipeline'!$Z$6:$Z$904,0)),"")</f>
        <v/>
      </c>
    </row>
    <row r="35" customFormat="false" ht="15" hidden="false" customHeight="true" outlineLevel="0" collapsed="false">
      <c r="A35" s="102" t="n">
        <v>7</v>
      </c>
      <c r="B35" s="103" t="str">
        <f aca="false">IFERROR(INDEX('MiT Strom Pipeline'!$B$6:$B$904,MATCH(LARGE('MiT Strom Pipeline'!$Z$6:$Z$904,7),'MiT Strom Pipeline'!$Z$6:$Z$904,0)),"")</f>
        <v/>
      </c>
      <c r="C35" s="102" t="str">
        <f aca="false">IFERROR(INDEX('MiT Strom Pipeline'!$C$6:$C$904,MATCH(LARGE('MiT Strom Pipeline'!$Z$6:$Z$904,7),'MiT Strom Pipeline'!$Z$6:$Z$904,0)),"")</f>
        <v/>
      </c>
      <c r="D35" s="103" t="str">
        <f aca="false">IFERROR(INDEX('MiT Strom Pipeline'!$D$6:$D$904,MATCH(LARGE('MiT Strom Pipeline'!$Z$6:$Z$904,7),'MiT Strom Pipeline'!$Z$6:$Z$904,0)),"")</f>
        <v/>
      </c>
      <c r="E35" s="104" t="str">
        <f aca="false">IFERROR(LARGE('MiT Strom Pipeline'!$Z$6:$Z$904,7),"")</f>
        <v/>
      </c>
      <c r="F35" s="104" t="str">
        <f aca="false">IFERROR(INDEX('MiT Strom Pipeline'!$O$6:$O$904,MATCH(LARGE('MiT Strom Pipeline'!$Z$6:$Z$904,7),'MiT Strom Pipeline'!$Z$6:$Z$904,0)),"")</f>
        <v/>
      </c>
    </row>
    <row r="36" customFormat="false" ht="15" hidden="false" customHeight="true" outlineLevel="0" collapsed="false">
      <c r="A36" s="102" t="n">
        <v>8</v>
      </c>
      <c r="B36" s="103" t="str">
        <f aca="false">IFERROR(INDEX('MiT Strom Pipeline'!$B$6:$B$904,MATCH(LARGE('MiT Strom Pipeline'!$Z$6:$Z$904,8),'MiT Strom Pipeline'!$Z$6:$Z$904,0)),"")</f>
        <v/>
      </c>
      <c r="C36" s="102" t="str">
        <f aca="false">IFERROR(INDEX('MiT Strom Pipeline'!$C$6:$C$904,MATCH(LARGE('MiT Strom Pipeline'!$Z$6:$Z$904,8),'MiT Strom Pipeline'!$Z$6:$Z$904,0)),"")</f>
        <v/>
      </c>
      <c r="D36" s="103" t="str">
        <f aca="false">IFERROR(INDEX('MiT Strom Pipeline'!$D$6:$D$904,MATCH(LARGE('MiT Strom Pipeline'!$Z$6:$Z$904,8),'MiT Strom Pipeline'!$Z$6:$Z$904,0)),"")</f>
        <v/>
      </c>
      <c r="E36" s="104" t="str">
        <f aca="false">IFERROR(LARGE('MiT Strom Pipeline'!$Z$6:$Z$904,8),"")</f>
        <v/>
      </c>
      <c r="F36" s="104" t="str">
        <f aca="false">IFERROR(INDEX('MiT Strom Pipeline'!$O$6:$O$904,MATCH(LARGE('MiT Strom Pipeline'!$Z$6:$Z$904,8),'MiT Strom Pipeline'!$Z$6:$Z$904,0)),"")</f>
        <v/>
      </c>
    </row>
    <row r="37" customFormat="false" ht="15" hidden="false" customHeight="true" outlineLevel="0" collapsed="false">
      <c r="A37" s="102" t="n">
        <v>9</v>
      </c>
      <c r="B37" s="103" t="str">
        <f aca="false">IFERROR(INDEX('MiT Strom Pipeline'!$B$6:$B$904,MATCH(LARGE('MiT Strom Pipeline'!$Z$6:$Z$904,9),'MiT Strom Pipeline'!$Z$6:$Z$904,0)),"")</f>
        <v/>
      </c>
      <c r="C37" s="102" t="str">
        <f aca="false">IFERROR(INDEX('MiT Strom Pipeline'!$C$6:$C$904,MATCH(LARGE('MiT Strom Pipeline'!$Z$6:$Z$904,9),'MiT Strom Pipeline'!$Z$6:$Z$904,0)),"")</f>
        <v/>
      </c>
      <c r="D37" s="103" t="str">
        <f aca="false">IFERROR(INDEX('MiT Strom Pipeline'!$D$6:$D$904,MATCH(LARGE('MiT Strom Pipeline'!$Z$6:$Z$904,9),'MiT Strom Pipeline'!$Z$6:$Z$904,0)),"")</f>
        <v/>
      </c>
      <c r="E37" s="104" t="str">
        <f aca="false">IFERROR(LARGE('MiT Strom Pipeline'!$Z$6:$Z$904,9),"")</f>
        <v/>
      </c>
      <c r="F37" s="104" t="str">
        <f aca="false">IFERROR(INDEX('MiT Strom Pipeline'!$O$6:$O$904,MATCH(LARGE('MiT Strom Pipeline'!$Z$6:$Z$904,9),'MiT Strom Pipeline'!$Z$6:$Z$904,0)),"")</f>
        <v/>
      </c>
    </row>
    <row r="38" customFormat="false" ht="15" hidden="false" customHeight="true" outlineLevel="0" collapsed="false">
      <c r="A38" s="102" t="n">
        <v>10</v>
      </c>
      <c r="B38" s="103" t="str">
        <f aca="false">IFERROR(INDEX('MiT Strom Pipeline'!$B$6:$B$904,MATCH(LARGE('MiT Strom Pipeline'!$Z$6:$Z$904,10),'MiT Strom Pipeline'!$Z$6:$Z$904,0)),"")</f>
        <v/>
      </c>
      <c r="C38" s="102" t="str">
        <f aca="false">IFERROR(INDEX('MiT Strom Pipeline'!$C$6:$C$904,MATCH(LARGE('MiT Strom Pipeline'!$Z$6:$Z$904,10),'MiT Strom Pipeline'!$Z$6:$Z$904,0)),"")</f>
        <v/>
      </c>
      <c r="D38" s="103" t="str">
        <f aca="false">IFERROR(INDEX('MiT Strom Pipeline'!$D$6:$D$904,MATCH(LARGE('MiT Strom Pipeline'!$Z$6:$Z$904,10),'MiT Strom Pipeline'!$Z$6:$Z$904,0)),"")</f>
        <v/>
      </c>
      <c r="E38" s="104" t="str">
        <f aca="false">IFERROR(LARGE('MiT Strom Pipeline'!$Z$6:$Z$904,10),"")</f>
        <v/>
      </c>
      <c r="F38" s="104" t="str">
        <f aca="false">IFERROR(INDEX('MiT Strom Pipeline'!$O$6:$O$904,MATCH(LARGE('MiT Strom Pipeline'!$Z$6:$Z$904,10),'MiT Strom Pipeline'!$Z$6:$Z$904,0)),"")</f>
        <v/>
      </c>
    </row>
    <row r="40" customFormat="false" ht="15" hidden="false" customHeight="true" outlineLevel="0" collapsed="false">
      <c r="A40" s="106" t="s">
        <v>103</v>
      </c>
      <c r="B40" s="106"/>
      <c r="C40" s="106"/>
      <c r="D40" s="106"/>
      <c r="E40" s="106"/>
      <c r="F40" s="106"/>
    </row>
    <row r="41" customFormat="false" ht="15" hidden="false" customHeight="true" outlineLevel="0" collapsed="false">
      <c r="A41" s="107" t="s">
        <v>104</v>
      </c>
      <c r="B41" s="107"/>
      <c r="C41" s="107"/>
      <c r="D41" s="107"/>
      <c r="E41" s="107"/>
      <c r="F41" s="107"/>
      <c r="G41" s="107"/>
      <c r="H41" s="107"/>
    </row>
  </sheetData>
  <mergeCells count="8">
    <mergeCell ref="A1:H1"/>
    <mergeCell ref="A2:H2"/>
    <mergeCell ref="A3:H3"/>
    <mergeCell ref="A5:H5"/>
    <mergeCell ref="A13:H13"/>
    <mergeCell ref="A27:H27"/>
    <mergeCell ref="A40:F40"/>
    <mergeCell ref="A41:H41"/>
  </mergeCells>
  <printOptions headings="false" gridLines="false" gridLinesSet="true" horizontalCentered="true" verticalCentered="false"/>
  <pageMargins left="0.4" right="0.4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1A7A4A"/>
    <pageSetUpPr fitToPage="false"/>
  </sheetPr>
  <dimension ref="A1:AA9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E28" activeCellId="0" sqref="E2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7"/>
    <col collapsed="false" customWidth="true" hidden="false" outlineLevel="0" max="4" min="4" style="1" width="22"/>
    <col collapsed="false" customWidth="true" hidden="false" outlineLevel="0" max="5" min="5" style="1" width="32"/>
    <col collapsed="false" customWidth="true" hidden="false" outlineLevel="0" max="6" min="6" style="1" width="21.86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53" width="14"/>
    <col collapsed="false" customWidth="true" hidden="false" outlineLevel="0" max="10" min="10" style="53" width="12"/>
    <col collapsed="false" customWidth="true" hidden="false" outlineLevel="0" max="14" min="11" style="53" width="11"/>
    <col collapsed="false" customWidth="true" hidden="false" outlineLevel="0" max="15" min="15" style="53" width="12"/>
    <col collapsed="false" customWidth="true" hidden="false" outlineLevel="0" max="16" min="16" style="1" width="9"/>
    <col collapsed="false" customWidth="true" hidden="false" outlineLevel="0" max="17" min="17" style="53" width="14"/>
    <col collapsed="false" customWidth="true" hidden="false" outlineLevel="0" max="18" min="18" style="1" width="16"/>
    <col collapsed="false" customWidth="true" hidden="false" outlineLevel="0" max="19" min="19" style="1" width="9"/>
    <col collapsed="false" customWidth="true" hidden="false" outlineLevel="0" max="20" min="20" style="1" width="14"/>
    <col collapsed="false" customWidth="true" hidden="false" outlineLevel="0" max="21" min="21" style="1" width="35"/>
    <col collapsed="false" customWidth="true" hidden="false" outlineLevel="0" max="22" min="22" style="1" width="145.86"/>
    <col collapsed="false" customWidth="true" hidden="false" outlineLevel="0" max="23" min="23" style="1" width="17.29"/>
    <col collapsed="false" customWidth="true" hidden="false" outlineLevel="0" max="24" min="24" style="1" width="117.14"/>
    <col collapsed="false" customWidth="true" hidden="true" outlineLevel="0" max="27" min="26" style="1" width="13"/>
  </cols>
  <sheetData>
    <row r="1" customFormat="false" ht="36" hidden="false" customHeight="true" outlineLevel="0" collapsed="false">
      <c r="A1" s="108" t="s">
        <v>105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</row>
    <row r="2" customFormat="false" ht="15.75" hidden="false" customHeight="true" outlineLevel="0" collapsed="false">
      <c r="A2" s="109" t="s">
        <v>106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</row>
    <row r="3" customFormat="false" ht="4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customFormat="false" ht="25.5" hidden="false" customHeight="true" outlineLevel="0" collapsed="false">
      <c r="A4" s="110" t="s">
        <v>107</v>
      </c>
      <c r="B4" s="110"/>
      <c r="C4" s="111" t="n">
        <f aca="false">SUMIFS(I$6:I$904,R$6:R$904,"WON")</f>
        <v>333100</v>
      </c>
      <c r="D4" s="111"/>
      <c r="E4" s="111"/>
      <c r="F4" s="111"/>
      <c r="G4" s="112" t="s">
        <v>108</v>
      </c>
      <c r="H4" s="112"/>
      <c r="I4" s="113" t="n">
        <f aca="false">COUNTIF(R$6:R$904,"WON")+COUNTIF(R$6:R$904,"offered")+COUNTIF(R$6:R$904,"to be offered")+COUNTIF(R$6:R$904,"on hold")+COUNTIF(R$6:R$904,"follow-up")+COUNTIF(R$6:R$904,"Evaluation")+COUNTIF(R$6:R$904,"tbd")+COUNTIF(R$6:R$904,"In evaluation")</f>
        <v>32</v>
      </c>
      <c r="J4" s="113"/>
      <c r="K4" s="113"/>
      <c r="L4" s="113"/>
      <c r="M4" s="114" t="s">
        <v>109</v>
      </c>
      <c r="N4" s="114"/>
      <c r="O4" s="113" t="n">
        <f aca="false">SUMIFS(I$6:I$904,R$6:R$904,"offered")+SUMIFS(I$6:I$904,R$6:R$904,"to be offered")+SUMIFS(I$6:I$904,R$6:R$904,"on hold")</f>
        <v>3866028.62</v>
      </c>
      <c r="P4" s="113"/>
      <c r="Q4" s="113"/>
      <c r="R4" s="113"/>
      <c r="S4" s="115" t="s">
        <v>110</v>
      </c>
      <c r="T4" s="115"/>
      <c r="U4" s="116" t="n">
        <f aca="false">SUMIFS(I$6:I$904,R$6:R$904,"follow-up")+SUMIFS(I$6:I$904,R$6:R$904,"Evaluation")+SUMIFS(I$6:I$904,R$6:R$904,"tbd")+SUMIFS(I$6:I$904,R$6:R$904,"In evaluation")</f>
        <v>672987.69</v>
      </c>
      <c r="V4" s="116"/>
      <c r="W4" s="116"/>
      <c r="X4" s="116"/>
    </row>
    <row r="5" customFormat="false" ht="30" hidden="false" customHeight="true" outlineLevel="0" collapsed="false">
      <c r="A5" s="117" t="s">
        <v>6</v>
      </c>
      <c r="B5" s="117" t="s">
        <v>7</v>
      </c>
      <c r="C5" s="117" t="s">
        <v>8</v>
      </c>
      <c r="D5" s="117" t="s">
        <v>9</v>
      </c>
      <c r="E5" s="117" t="s">
        <v>10</v>
      </c>
      <c r="F5" s="117" t="s">
        <v>111</v>
      </c>
      <c r="G5" s="117" t="s">
        <v>112</v>
      </c>
      <c r="H5" s="117" t="s">
        <v>113</v>
      </c>
      <c r="I5" s="118" t="s">
        <v>114</v>
      </c>
      <c r="J5" s="118" t="s">
        <v>115</v>
      </c>
      <c r="K5" s="118" t="s">
        <v>116</v>
      </c>
      <c r="L5" s="118" t="s">
        <v>117</v>
      </c>
      <c r="M5" s="118" t="s">
        <v>118</v>
      </c>
      <c r="N5" s="118" t="s">
        <v>119</v>
      </c>
      <c r="O5" s="118" t="s">
        <v>120</v>
      </c>
      <c r="P5" s="117" t="s">
        <v>121</v>
      </c>
      <c r="Q5" s="118" t="s">
        <v>122</v>
      </c>
      <c r="R5" s="117" t="s">
        <v>14</v>
      </c>
      <c r="S5" s="117" t="s">
        <v>123</v>
      </c>
      <c r="T5" s="117" t="s">
        <v>124</v>
      </c>
      <c r="U5" s="117" t="s">
        <v>125</v>
      </c>
      <c r="V5" s="117" t="s">
        <v>16</v>
      </c>
      <c r="W5" s="117" t="s">
        <v>126</v>
      </c>
      <c r="X5" s="117" t="s">
        <v>127</v>
      </c>
      <c r="Z5" s="119" t="s">
        <v>128</v>
      </c>
      <c r="AA5" s="119" t="s">
        <v>129</v>
      </c>
    </row>
    <row r="6" customFormat="false" ht="19.5" hidden="true" customHeight="true" outlineLevel="0" collapsed="false">
      <c r="A6" s="120" t="n">
        <v>1</v>
      </c>
      <c r="B6" s="121" t="s">
        <v>130</v>
      </c>
      <c r="C6" s="120" t="s">
        <v>78</v>
      </c>
      <c r="D6" s="121" t="s">
        <v>83</v>
      </c>
      <c r="E6" s="121" t="s">
        <v>131</v>
      </c>
      <c r="F6" s="122" t="n">
        <v>1600</v>
      </c>
      <c r="G6" s="120" t="s">
        <v>132</v>
      </c>
      <c r="H6" s="123" t="s">
        <v>133</v>
      </c>
      <c r="I6" s="122" t="n">
        <v>310000</v>
      </c>
      <c r="J6" s="122" t="n">
        <v>195000</v>
      </c>
      <c r="K6" s="122" t="n">
        <v>8000</v>
      </c>
      <c r="L6" s="122" t="n">
        <v>12000</v>
      </c>
      <c r="M6" s="122" t="n">
        <v>15000</v>
      </c>
      <c r="N6" s="122" t="n">
        <v>5000</v>
      </c>
      <c r="O6" s="124" t="n">
        <f aca="false">IFERROR(I6-(J6+K6+L6+M6+N6),"")</f>
        <v>75000</v>
      </c>
      <c r="P6" s="124" t="n">
        <f aca="false">IFERROR(O6/I6,"")</f>
        <v>0.241935483870968</v>
      </c>
      <c r="Q6" s="124" t="n">
        <f aca="false">IFERROR(IF(OR(I6="",S6="",S6="tbd"),"tbd",I6*IF(S6&lt;=1,S6,S6/100)),"–")</f>
        <v>3100</v>
      </c>
      <c r="R6" s="125" t="s">
        <v>134</v>
      </c>
      <c r="S6" s="120" t="s">
        <v>135</v>
      </c>
      <c r="T6" s="121" t="s">
        <v>136</v>
      </c>
      <c r="U6" s="121" t="s">
        <v>137</v>
      </c>
      <c r="V6" s="121" t="s">
        <v>138</v>
      </c>
      <c r="W6" s="120" t="s">
        <v>139</v>
      </c>
      <c r="X6" s="121" t="s">
        <v>140</v>
      </c>
      <c r="Z6" s="1" t="n">
        <f aca="false">IF(AND(R6="WON",ISNUMBER(I6)),AA6,"")</f>
        <v>310000</v>
      </c>
      <c r="AA6" s="1" t="n">
        <f aca="false">IFERROR(I6*1,0)</f>
        <v>310000</v>
      </c>
    </row>
    <row r="7" customFormat="false" ht="19.5" hidden="true" customHeight="true" outlineLevel="0" collapsed="false">
      <c r="A7" s="120" t="n">
        <v>2</v>
      </c>
      <c r="B7" s="121" t="s">
        <v>141</v>
      </c>
      <c r="C7" s="120" t="s">
        <v>41</v>
      </c>
      <c r="D7" s="121" t="s">
        <v>63</v>
      </c>
      <c r="E7" s="121" t="s">
        <v>142</v>
      </c>
      <c r="F7" s="122" t="n">
        <v>240</v>
      </c>
      <c r="G7" s="120" t="s">
        <v>143</v>
      </c>
      <c r="H7" s="123" t="s">
        <v>144</v>
      </c>
      <c r="I7" s="122" t="n">
        <v>13100</v>
      </c>
      <c r="J7" s="122" t="n">
        <v>7500</v>
      </c>
      <c r="K7" s="122" t="n">
        <v>800</v>
      </c>
      <c r="L7" s="122" t="n">
        <v>600</v>
      </c>
      <c r="M7" s="122" t="n">
        <v>900</v>
      </c>
      <c r="N7" s="122" t="n">
        <v>300</v>
      </c>
      <c r="O7" s="124" t="n">
        <f aca="false">IFERROR(I7-(J7+K7+L7+M7+N7),"")</f>
        <v>3000</v>
      </c>
      <c r="P7" s="124" t="n">
        <f aca="false">IFERROR(O7/I7,"")</f>
        <v>0.229007633587786</v>
      </c>
      <c r="Q7" s="124" t="n">
        <f aca="false">IFERROR(IF(OR(I7="",S7="",S7="tbd"),"tbd",I7*IF(S7&lt;=1,S7,S7/100)),"–")</f>
        <v>131</v>
      </c>
      <c r="R7" s="125" t="s">
        <v>134</v>
      </c>
      <c r="S7" s="120" t="s">
        <v>135</v>
      </c>
      <c r="T7" s="121" t="s">
        <v>145</v>
      </c>
      <c r="U7" s="121" t="s">
        <v>146</v>
      </c>
      <c r="V7" s="121" t="s">
        <v>147</v>
      </c>
      <c r="W7" s="120" t="s">
        <v>139</v>
      </c>
      <c r="X7" s="121" t="s">
        <v>148</v>
      </c>
      <c r="Z7" s="1" t="n">
        <f aca="false">IF(AND(R7="WON",ISNUMBER(I7)),AA7,"")</f>
        <v>13100</v>
      </c>
      <c r="AA7" s="1" t="n">
        <f aca="false">IFERROR(I7*1,0)</f>
        <v>13100</v>
      </c>
    </row>
    <row r="8" customFormat="false" ht="19.5" hidden="true" customHeight="true" outlineLevel="0" collapsed="false">
      <c r="A8" s="120" t="n">
        <v>3</v>
      </c>
      <c r="B8" s="121" t="s">
        <v>149</v>
      </c>
      <c r="C8" s="120" t="s">
        <v>78</v>
      </c>
      <c r="D8" s="121" t="s">
        <v>54</v>
      </c>
      <c r="E8" s="121" t="s">
        <v>150</v>
      </c>
      <c r="F8" s="122" t="n">
        <v>600</v>
      </c>
      <c r="G8" s="120" t="s">
        <v>143</v>
      </c>
      <c r="H8" s="120" t="s">
        <v>88</v>
      </c>
      <c r="I8" s="122" t="n">
        <v>10000</v>
      </c>
      <c r="J8" s="124"/>
      <c r="K8" s="124"/>
      <c r="L8" s="124"/>
      <c r="M8" s="124"/>
      <c r="N8" s="124"/>
      <c r="O8" s="124" t="n">
        <f aca="false">IFERROR(I8-(J8+K8+L8+M8+N8),"")</f>
        <v>10000</v>
      </c>
      <c r="P8" s="124" t="n">
        <f aca="false">IFERROR(O8/I8,"")</f>
        <v>1</v>
      </c>
      <c r="Q8" s="124" t="n">
        <f aca="false">IFERROR(IF(OR(I8="",S8="",S8="tbd"),"tbd",I8*IF(S8&lt;=1,S8,S8/100)),"–")</f>
        <v>100</v>
      </c>
      <c r="R8" s="125" t="s">
        <v>134</v>
      </c>
      <c r="S8" s="120" t="s">
        <v>135</v>
      </c>
      <c r="T8" s="121" t="s">
        <v>151</v>
      </c>
      <c r="U8" s="121" t="s">
        <v>152</v>
      </c>
      <c r="V8" s="121" t="s">
        <v>153</v>
      </c>
      <c r="W8" s="120" t="s">
        <v>139</v>
      </c>
      <c r="X8" s="121" t="s">
        <v>154</v>
      </c>
      <c r="Z8" s="1" t="n">
        <f aca="false">IF(AND(R8="WON",ISNUMBER(I8)),AA8,"")</f>
        <v>10000</v>
      </c>
      <c r="AA8" s="1" t="n">
        <f aca="false">IFERROR(I8*1,0)</f>
        <v>10000</v>
      </c>
    </row>
    <row r="9" customFormat="false" ht="19.5" hidden="false" customHeight="true" outlineLevel="0" collapsed="false">
      <c r="A9" s="22" t="n">
        <v>4</v>
      </c>
      <c r="B9" s="23" t="s">
        <v>155</v>
      </c>
      <c r="C9" s="126" t="s">
        <v>68</v>
      </c>
      <c r="D9" s="23" t="s">
        <v>42</v>
      </c>
      <c r="E9" s="23" t="s">
        <v>156</v>
      </c>
      <c r="F9" s="24" t="n">
        <v>500</v>
      </c>
      <c r="G9" s="22" t="s">
        <v>157</v>
      </c>
      <c r="H9" s="22" t="s">
        <v>158</v>
      </c>
      <c r="I9" s="70" t="n">
        <v>150000</v>
      </c>
      <c r="J9" s="70" t="n">
        <v>88000</v>
      </c>
      <c r="K9" s="70" t="n">
        <v>4500</v>
      </c>
      <c r="L9" s="70" t="n">
        <v>7000</v>
      </c>
      <c r="M9" s="70" t="n">
        <v>9000</v>
      </c>
      <c r="N9" s="70" t="n">
        <v>2000</v>
      </c>
      <c r="O9" s="70" t="n">
        <f aca="false">IFERROR(I9-(J9+K9+L9+M9+N9),"")</f>
        <v>39500</v>
      </c>
      <c r="P9" s="127" t="n">
        <f aca="false">IFERROR(O9/I9,"")</f>
        <v>0.263333333333333</v>
      </c>
      <c r="Q9" s="70" t="n">
        <f aca="false">IFERROR(IF(OR(I9="",S9="",S9="tbd"),"tbd",I9*IF(S9&lt;=1,S9,S9/100)),"–")</f>
        <v>1350</v>
      </c>
      <c r="R9" s="128" t="s">
        <v>159</v>
      </c>
      <c r="S9" s="22" t="s">
        <v>160</v>
      </c>
      <c r="T9" s="23" t="s">
        <v>145</v>
      </c>
      <c r="U9" s="23" t="s">
        <v>161</v>
      </c>
      <c r="V9" s="23" t="s">
        <v>162</v>
      </c>
      <c r="W9" s="129" t="n">
        <v>46143</v>
      </c>
      <c r="X9" s="23" t="s">
        <v>163</v>
      </c>
      <c r="Z9" s="1" t="str">
        <f aca="false">IF(AND(R9="WON",ISNUMBER(I9)),AA9,"")</f>
        <v/>
      </c>
      <c r="AA9" s="1" t="n">
        <f aca="false">IFERROR(I9*1,0)</f>
        <v>150000</v>
      </c>
    </row>
    <row r="10" customFormat="false" ht="19.5" hidden="false" customHeight="true" outlineLevel="0" collapsed="false">
      <c r="A10" s="130" t="n">
        <v>6</v>
      </c>
      <c r="B10" s="131" t="s">
        <v>164</v>
      </c>
      <c r="C10" s="130" t="s">
        <v>65</v>
      </c>
      <c r="D10" s="131" t="s">
        <v>80</v>
      </c>
      <c r="E10" s="131" t="s">
        <v>165</v>
      </c>
      <c r="F10" s="132" t="n">
        <v>1000</v>
      </c>
      <c r="G10" s="130" t="s">
        <v>166</v>
      </c>
      <c r="H10" s="133" t="s">
        <v>167</v>
      </c>
      <c r="I10" s="134" t="n">
        <v>390000</v>
      </c>
      <c r="J10" s="134" t="n">
        <v>240000</v>
      </c>
      <c r="K10" s="134" t="n">
        <v>6000</v>
      </c>
      <c r="L10" s="134"/>
      <c r="M10" s="134" t="n">
        <v>18000</v>
      </c>
      <c r="N10" s="134" t="n">
        <v>8000</v>
      </c>
      <c r="O10" s="134" t="n">
        <f aca="false">IFERROR(I10-(J10+K10+L10+M10+N10),"")</f>
        <v>118000</v>
      </c>
      <c r="P10" s="135" t="n">
        <f aca="false">IFERROR(O10/I10,"")</f>
        <v>0.302564102564103</v>
      </c>
      <c r="Q10" s="134" t="n">
        <f aca="false">IFERROR(IF(OR(I10="",S10="",S10="tbd"),"tbd",I10*IF(S10&lt;=1,S10,S10/100)),"–")</f>
        <v>1950</v>
      </c>
      <c r="R10" s="136" t="s">
        <v>168</v>
      </c>
      <c r="S10" s="130" t="s">
        <v>169</v>
      </c>
      <c r="T10" s="131" t="s">
        <v>145</v>
      </c>
      <c r="U10" s="131" t="s">
        <v>170</v>
      </c>
      <c r="V10" s="131" t="s">
        <v>171</v>
      </c>
      <c r="W10" s="137" t="n">
        <v>46143</v>
      </c>
      <c r="X10" s="131" t="s">
        <v>172</v>
      </c>
      <c r="Z10" s="1" t="str">
        <f aca="false">IF(AND(R10="WON",ISNUMBER(I10)),AA10,"")</f>
        <v/>
      </c>
      <c r="AA10" s="1" t="n">
        <f aca="false">IFERROR(I10*1,0)</f>
        <v>390000</v>
      </c>
    </row>
    <row r="11" customFormat="false" ht="19.5" hidden="true" customHeight="true" outlineLevel="0" collapsed="false">
      <c r="A11" s="138" t="n">
        <v>7</v>
      </c>
      <c r="B11" s="139" t="s">
        <v>173</v>
      </c>
      <c r="C11" s="138" t="s">
        <v>78</v>
      </c>
      <c r="D11" s="139" t="s">
        <v>51</v>
      </c>
      <c r="E11" s="139" t="s">
        <v>174</v>
      </c>
      <c r="F11" s="140" t="n">
        <v>1000</v>
      </c>
      <c r="G11" s="138" t="s">
        <v>175</v>
      </c>
      <c r="H11" s="141" t="s">
        <v>167</v>
      </c>
      <c r="I11" s="140" t="n">
        <v>41000</v>
      </c>
      <c r="J11" s="140" t="n">
        <v>24000</v>
      </c>
      <c r="K11" s="140" t="n">
        <v>2000</v>
      </c>
      <c r="L11" s="140" t="n">
        <v>2500</v>
      </c>
      <c r="M11" s="140" t="n">
        <v>3000</v>
      </c>
      <c r="N11" s="140" t="n">
        <v>500</v>
      </c>
      <c r="O11" s="142" t="n">
        <f aca="false">IFERROR(I11-(J11+K11+L11+M11+N11),"")</f>
        <v>9000</v>
      </c>
      <c r="P11" s="142" t="n">
        <f aca="false">IFERROR(O11/I11,"")</f>
        <v>0.219512195121951</v>
      </c>
      <c r="Q11" s="142" t="n">
        <f aca="false">IFERROR(IF(OR(I11="",S11="",S11="tbd"),"tbd",I11*IF(S11&lt;=1,S11,S11/100)),"–")</f>
        <v>20500</v>
      </c>
      <c r="R11" s="143" t="s">
        <v>176</v>
      </c>
      <c r="S11" s="138" t="n">
        <v>50</v>
      </c>
      <c r="T11" s="139" t="s">
        <v>151</v>
      </c>
      <c r="U11" s="139" t="s">
        <v>177</v>
      </c>
      <c r="V11" s="139" t="s">
        <v>178</v>
      </c>
      <c r="W11" s="144" t="n">
        <v>46143</v>
      </c>
      <c r="X11" s="139" t="s">
        <v>179</v>
      </c>
      <c r="Z11" s="1" t="str">
        <f aca="false">IF(AND(R11="WON",ISNUMBER(I11)),AA11,"")</f>
        <v/>
      </c>
      <c r="AA11" s="1" t="n">
        <f aca="false">IFERROR(I11*1,0)</f>
        <v>41000</v>
      </c>
    </row>
    <row r="12" customFormat="false" ht="19.5" hidden="false" customHeight="true" outlineLevel="0" collapsed="false">
      <c r="A12" s="130" t="n">
        <v>8</v>
      </c>
      <c r="B12" s="131" t="s">
        <v>180</v>
      </c>
      <c r="C12" s="130" t="s">
        <v>50</v>
      </c>
      <c r="D12" s="131" t="s">
        <v>69</v>
      </c>
      <c r="E12" s="131" t="s">
        <v>181</v>
      </c>
      <c r="F12" s="132" t="n">
        <v>750</v>
      </c>
      <c r="G12" s="130" t="s">
        <v>182</v>
      </c>
      <c r="H12" s="133" t="s">
        <v>183</v>
      </c>
      <c r="I12" s="134" t="n">
        <v>38885</v>
      </c>
      <c r="J12" s="134" t="n">
        <v>22000</v>
      </c>
      <c r="K12" s="134" t="n">
        <v>2500</v>
      </c>
      <c r="L12" s="134" t="n">
        <v>3500</v>
      </c>
      <c r="M12" s="134" t="n">
        <v>3000</v>
      </c>
      <c r="N12" s="134" t="n">
        <v>800</v>
      </c>
      <c r="O12" s="134" t="n">
        <f aca="false">IFERROR(I12-(J12+K12+L12+M12+N12),"")</f>
        <v>7085</v>
      </c>
      <c r="P12" s="135" t="n">
        <f aca="false">IFERROR(O12/I12,"")</f>
        <v>0.182203934679182</v>
      </c>
      <c r="Q12" s="134" t="n">
        <f aca="false">IFERROR(IF(OR(I12="",S12="",S12="tbd"),"tbd",I12*IF(S12&lt;=1,S12,S12/100)),"–")</f>
        <v>19442.5</v>
      </c>
      <c r="R12" s="145" t="s">
        <v>184</v>
      </c>
      <c r="S12" s="130" t="n">
        <v>50</v>
      </c>
      <c r="T12" s="131" t="s">
        <v>145</v>
      </c>
      <c r="U12" s="131" t="s">
        <v>185</v>
      </c>
      <c r="V12" s="131" t="s">
        <v>186</v>
      </c>
      <c r="W12" s="137" t="n">
        <v>46143</v>
      </c>
      <c r="X12" s="131" t="s">
        <v>187</v>
      </c>
      <c r="Z12" s="1" t="str">
        <f aca="false">IF(AND(R12="WON",ISNUMBER(I12)),AA12,"")</f>
        <v/>
      </c>
      <c r="AA12" s="1" t="n">
        <f aca="false">IFERROR(I12*1,0)</f>
        <v>38885</v>
      </c>
    </row>
    <row r="13" customFormat="false" ht="19.5" hidden="false" customHeight="true" outlineLevel="0" collapsed="false">
      <c r="A13" s="22" t="n">
        <v>9</v>
      </c>
      <c r="B13" s="23" t="s">
        <v>188</v>
      </c>
      <c r="C13" s="126" t="s">
        <v>78</v>
      </c>
      <c r="D13" s="23" t="s">
        <v>60</v>
      </c>
      <c r="E13" s="23" t="s">
        <v>189</v>
      </c>
      <c r="F13" s="24" t="n">
        <v>600</v>
      </c>
      <c r="G13" s="22" t="s">
        <v>190</v>
      </c>
      <c r="H13" s="22" t="s">
        <v>191</v>
      </c>
      <c r="I13" s="70" t="n">
        <v>500000</v>
      </c>
      <c r="J13" s="70" t="n">
        <v>300000</v>
      </c>
      <c r="K13" s="70" t="n">
        <v>5000</v>
      </c>
      <c r="L13" s="70" t="n">
        <v>25000</v>
      </c>
      <c r="M13" s="70" t="n">
        <v>30000</v>
      </c>
      <c r="N13" s="70" t="n">
        <v>10000</v>
      </c>
      <c r="O13" s="70" t="n">
        <f aca="false">IFERROR(I13-(J13+K13+L13+M13+N13),"")</f>
        <v>130000</v>
      </c>
      <c r="P13" s="127" t="n">
        <f aca="false">IFERROR(O13/I13,"")</f>
        <v>0.26</v>
      </c>
      <c r="Q13" s="70" t="n">
        <f aca="false">IFERROR(IF(OR(I13="",S13="",S13="tbd"),"tbd",I13*IF(S13&lt;=1,S13,S13/100)),"–")</f>
        <v>50000</v>
      </c>
      <c r="R13" s="145" t="s">
        <v>184</v>
      </c>
      <c r="S13" s="22" t="n">
        <v>10</v>
      </c>
      <c r="T13" s="23" t="s">
        <v>145</v>
      </c>
      <c r="U13" s="23" t="s">
        <v>192</v>
      </c>
      <c r="V13" s="23" t="s">
        <v>193</v>
      </c>
      <c r="W13" s="129" t="n">
        <v>46143</v>
      </c>
      <c r="X13" s="23" t="s">
        <v>194</v>
      </c>
      <c r="Z13" s="1" t="str">
        <f aca="false">IF(AND(R13="WON",ISNUMBER(I13)),AA13,"")</f>
        <v/>
      </c>
      <c r="AA13" s="1" t="n">
        <f aca="false">IFERROR(I13*1,0)</f>
        <v>500000</v>
      </c>
    </row>
    <row r="14" customFormat="false" ht="19.5" hidden="false" customHeight="true" outlineLevel="0" collapsed="false">
      <c r="A14" s="130" t="n">
        <v>10</v>
      </c>
      <c r="B14" s="131" t="s">
        <v>195</v>
      </c>
      <c r="C14" s="130" t="s">
        <v>59</v>
      </c>
      <c r="D14" s="131" t="s">
        <v>51</v>
      </c>
      <c r="E14" s="131" t="s">
        <v>196</v>
      </c>
      <c r="F14" s="132" t="n">
        <v>250</v>
      </c>
      <c r="G14" s="130" t="s">
        <v>197</v>
      </c>
      <c r="H14" s="130" t="s">
        <v>198</v>
      </c>
      <c r="I14" s="134" t="n">
        <v>96658.69</v>
      </c>
      <c r="J14" s="134" t="n">
        <v>83232</v>
      </c>
      <c r="K14" s="134" t="n">
        <v>3100</v>
      </c>
      <c r="L14" s="134" t="s">
        <v>88</v>
      </c>
      <c r="M14" s="134" t="n">
        <v>870</v>
      </c>
      <c r="N14" s="134" t="n">
        <v>2214</v>
      </c>
      <c r="O14" s="134" t="str">
        <f aca="false">IFERROR(I14-(J14+K14+L14+M14+N14),"")</f>
        <v/>
      </c>
      <c r="P14" s="135" t="str">
        <f aca="false">IFERROR(O14/I14,"")</f>
        <v/>
      </c>
      <c r="Q14" s="134" t="n">
        <f aca="false">IFERROR(IF(OR(I14="",S14="",S14="tbd"),"tbd",I14*IF(S14&lt;=1,S14,S14/100)),"–")</f>
        <v>48329.345</v>
      </c>
      <c r="R14" s="128" t="s">
        <v>184</v>
      </c>
      <c r="S14" s="130" t="n">
        <v>0.5</v>
      </c>
      <c r="T14" s="131" t="s">
        <v>145</v>
      </c>
      <c r="U14" s="131" t="s">
        <v>199</v>
      </c>
      <c r="V14" s="131" t="s">
        <v>200</v>
      </c>
      <c r="W14" s="137" t="n">
        <v>46136</v>
      </c>
      <c r="X14" s="131" t="s">
        <v>201</v>
      </c>
      <c r="Z14" s="1" t="str">
        <f aca="false">IF(AND(R14="WON",ISNUMBER(I14)),AA14,"")</f>
        <v/>
      </c>
      <c r="AA14" s="1" t="n">
        <f aca="false">IFERROR(I14*1,0)</f>
        <v>96658.69</v>
      </c>
    </row>
    <row r="15" customFormat="false" ht="19.5" hidden="false" customHeight="true" outlineLevel="0" collapsed="false">
      <c r="A15" s="22" t="n">
        <v>11</v>
      </c>
      <c r="B15" s="23" t="s">
        <v>202</v>
      </c>
      <c r="C15" s="126" t="s">
        <v>78</v>
      </c>
      <c r="D15" s="23" t="s">
        <v>75</v>
      </c>
      <c r="E15" s="23" t="s">
        <v>203</v>
      </c>
      <c r="F15" s="24" t="n">
        <v>150</v>
      </c>
      <c r="G15" s="22" t="s">
        <v>204</v>
      </c>
      <c r="H15" s="146" t="s">
        <v>205</v>
      </c>
      <c r="I15" s="70"/>
      <c r="J15" s="70"/>
      <c r="K15" s="70"/>
      <c r="L15" s="70"/>
      <c r="M15" s="70"/>
      <c r="N15" s="70"/>
      <c r="O15" s="70" t="n">
        <f aca="false">IFERROR(I15-(J15+K15+L15+M15+N15),"")</f>
        <v>0</v>
      </c>
      <c r="P15" s="127" t="str">
        <f aca="false">IFERROR(O15/I15,"")</f>
        <v/>
      </c>
      <c r="Q15" s="70" t="str">
        <f aca="false">IFERROR(IF(OR(I15="",S15="",S15="tbd"),"tbd",I15*IF(S15&lt;=1,S15,S15/100)),"–")</f>
        <v>tbd</v>
      </c>
      <c r="R15" s="147" t="s">
        <v>206</v>
      </c>
      <c r="S15" s="22" t="s">
        <v>207</v>
      </c>
      <c r="T15" s="23" t="s">
        <v>208</v>
      </c>
      <c r="U15" s="23" t="s">
        <v>209</v>
      </c>
      <c r="V15" s="23" t="s">
        <v>210</v>
      </c>
      <c r="W15" s="129" t="n">
        <v>46143</v>
      </c>
      <c r="X15" s="23" t="s">
        <v>211</v>
      </c>
      <c r="Z15" s="1" t="str">
        <f aca="false">IF(AND(R15="WON",ISNUMBER(I15)),AA15,"")</f>
        <v/>
      </c>
      <c r="AA15" s="1" t="n">
        <f aca="false">IFERROR(I15*1,0)</f>
        <v>0</v>
      </c>
    </row>
    <row r="16" customFormat="false" ht="19.5" hidden="false" customHeight="true" outlineLevel="0" collapsed="false">
      <c r="A16" s="130" t="n">
        <v>12</v>
      </c>
      <c r="B16" s="131" t="s">
        <v>212</v>
      </c>
      <c r="C16" s="130" t="s">
        <v>78</v>
      </c>
      <c r="D16" s="131" t="s">
        <v>48</v>
      </c>
      <c r="E16" s="131" t="s">
        <v>213</v>
      </c>
      <c r="F16" s="132" t="n">
        <v>200</v>
      </c>
      <c r="G16" s="130" t="s">
        <v>88</v>
      </c>
      <c r="H16" s="130" t="s">
        <v>88</v>
      </c>
      <c r="I16" s="134"/>
      <c r="J16" s="134"/>
      <c r="K16" s="134"/>
      <c r="L16" s="134"/>
      <c r="M16" s="134"/>
      <c r="N16" s="134"/>
      <c r="O16" s="134" t="n">
        <f aca="false">IFERROR(I16-(J16+K16+L16+M16+N16),"")</f>
        <v>0</v>
      </c>
      <c r="P16" s="135" t="str">
        <f aca="false">IFERROR(O16/I16,"")</f>
        <v/>
      </c>
      <c r="Q16" s="134" t="str">
        <f aca="false">IFERROR(IF(OR(I16="",S16="",S16="tbd"),"tbd",I16*IF(S16&lt;=1,S16,S16/100)),"–")</f>
        <v>tbd</v>
      </c>
      <c r="R16" s="147" t="s">
        <v>206</v>
      </c>
      <c r="S16" s="130" t="s">
        <v>214</v>
      </c>
      <c r="T16" s="131" t="s">
        <v>145</v>
      </c>
      <c r="U16" s="131" t="s">
        <v>215</v>
      </c>
      <c r="V16" s="131" t="s">
        <v>216</v>
      </c>
      <c r="W16" s="137" t="n">
        <v>46143</v>
      </c>
      <c r="X16" s="131" t="s">
        <v>217</v>
      </c>
      <c r="Z16" s="1" t="str">
        <f aca="false">IF(AND(R16="WON",ISNUMBER(I16)),AA16,"")</f>
        <v/>
      </c>
      <c r="AA16" s="1" t="n">
        <f aca="false">IFERROR(I16*1,0)</f>
        <v>0</v>
      </c>
    </row>
    <row r="17" customFormat="false" ht="19.5" hidden="false" customHeight="true" outlineLevel="0" collapsed="false">
      <c r="A17" s="22" t="n">
        <v>13</v>
      </c>
      <c r="B17" s="23" t="s">
        <v>218</v>
      </c>
      <c r="C17" s="126" t="s">
        <v>78</v>
      </c>
      <c r="D17" s="23" t="s">
        <v>73</v>
      </c>
      <c r="E17" s="23" t="s">
        <v>165</v>
      </c>
      <c r="F17" s="24" t="n">
        <v>1000</v>
      </c>
      <c r="G17" s="22" t="s">
        <v>197</v>
      </c>
      <c r="H17" s="146" t="n">
        <v>46204</v>
      </c>
      <c r="I17" s="70" t="n">
        <v>365003</v>
      </c>
      <c r="J17" s="70" t="n">
        <v>326376</v>
      </c>
      <c r="K17" s="70" t="n">
        <v>6900</v>
      </c>
      <c r="L17" s="70" t="s">
        <v>219</v>
      </c>
      <c r="M17" s="70" t="n">
        <v>1160</v>
      </c>
      <c r="N17" s="70" t="n">
        <v>480</v>
      </c>
      <c r="O17" s="70" t="str">
        <f aca="false">IFERROR(I17-(J17+K17+L17+M17+N17),"")</f>
        <v/>
      </c>
      <c r="P17" s="127" t="str">
        <f aca="false">IFERROR(O17/I17,"")</f>
        <v/>
      </c>
      <c r="Q17" s="70" t="n">
        <f aca="false">IFERROR(IF(OR(I17="",S17="",S17="tbd"),"tbd",I17*IF(S17&lt;=1,S17,S17/100)),"–")</f>
        <v>182501.5</v>
      </c>
      <c r="R17" s="128" t="s">
        <v>159</v>
      </c>
      <c r="S17" s="22" t="n">
        <v>50</v>
      </c>
      <c r="T17" s="23" t="s">
        <v>145</v>
      </c>
      <c r="U17" s="23" t="s">
        <v>220</v>
      </c>
      <c r="V17" s="23" t="s">
        <v>221</v>
      </c>
      <c r="W17" s="129" t="n">
        <v>46143</v>
      </c>
      <c r="X17" s="23" t="s">
        <v>222</v>
      </c>
      <c r="Z17" s="1" t="str">
        <f aca="false">IF(AND(R17="WON",ISNUMBER(I17)),AA17,"")</f>
        <v/>
      </c>
      <c r="AA17" s="1" t="n">
        <f aca="false">IFERROR(I17*1,0)</f>
        <v>365003</v>
      </c>
    </row>
    <row r="18" customFormat="false" ht="19.5" hidden="false" customHeight="true" outlineLevel="0" collapsed="false">
      <c r="A18" s="130" t="n">
        <v>14</v>
      </c>
      <c r="B18" s="131" t="s">
        <v>223</v>
      </c>
      <c r="C18" s="130" t="s">
        <v>78</v>
      </c>
      <c r="D18" s="131" t="s">
        <v>57</v>
      </c>
      <c r="E18" s="131" t="s">
        <v>224</v>
      </c>
      <c r="F18" s="132" t="n">
        <v>450</v>
      </c>
      <c r="G18" s="130" t="s">
        <v>88</v>
      </c>
      <c r="H18" s="130" t="s">
        <v>88</v>
      </c>
      <c r="I18" s="134" t="n">
        <v>17300</v>
      </c>
      <c r="J18" s="134"/>
      <c r="K18" s="134"/>
      <c r="L18" s="134"/>
      <c r="M18" s="134"/>
      <c r="N18" s="134"/>
      <c r="O18" s="134" t="n">
        <f aca="false">IFERROR(I18-(J18+K18+L18+M18+N18),"")</f>
        <v>17300</v>
      </c>
      <c r="P18" s="135" t="n">
        <f aca="false">IFERROR(O18/I18,"")</f>
        <v>1</v>
      </c>
      <c r="Q18" s="134" t="n">
        <f aca="false">IFERROR(IF(OR(I18="",S18="",S18="tbd"),"tbd",I18*IF(S18&lt;=1,S18,S18/100)),"–")</f>
        <v>8650</v>
      </c>
      <c r="R18" s="128" t="s">
        <v>159</v>
      </c>
      <c r="S18" s="130" t="n">
        <v>0.5</v>
      </c>
      <c r="T18" s="131" t="s">
        <v>145</v>
      </c>
      <c r="U18" s="131" t="s">
        <v>225</v>
      </c>
      <c r="V18" s="131" t="s">
        <v>226</v>
      </c>
      <c r="W18" s="137" t="n">
        <v>46143</v>
      </c>
      <c r="X18" s="131" t="s">
        <v>227</v>
      </c>
      <c r="Z18" s="1" t="str">
        <f aca="false">IF(AND(R18="WON",ISNUMBER(I18)),AA18,"")</f>
        <v/>
      </c>
      <c r="AA18" s="1" t="n">
        <f aca="false">IFERROR(I18*1,0)</f>
        <v>17300</v>
      </c>
    </row>
    <row r="19" customFormat="false" ht="19.5" hidden="false" customHeight="true" outlineLevel="0" collapsed="false">
      <c r="A19" s="22" t="n">
        <v>14</v>
      </c>
      <c r="B19" s="23" t="s">
        <v>223</v>
      </c>
      <c r="C19" s="126" t="s">
        <v>78</v>
      </c>
      <c r="D19" s="23" t="s">
        <v>57</v>
      </c>
      <c r="E19" s="23" t="s">
        <v>228</v>
      </c>
      <c r="F19" s="24" t="n">
        <v>450</v>
      </c>
      <c r="G19" s="22" t="s">
        <v>88</v>
      </c>
      <c r="H19" s="22" t="s">
        <v>88</v>
      </c>
      <c r="I19" s="70" t="n">
        <v>21025</v>
      </c>
      <c r="J19" s="70"/>
      <c r="K19" s="70"/>
      <c r="L19" s="70"/>
      <c r="M19" s="70"/>
      <c r="N19" s="70"/>
      <c r="O19" s="70" t="n">
        <f aca="false">IFERROR(I19-(J19+K19+L19+M19+N19),"")</f>
        <v>21025</v>
      </c>
      <c r="P19" s="127" t="n">
        <f aca="false">IFERROR(O19/I19,"")</f>
        <v>1</v>
      </c>
      <c r="Q19" s="70" t="n">
        <f aca="false">IFERROR(IF(OR(I19="",S19="",S19="tbd"),"tbd",I19*IF(S19&lt;=1,S19,S19/100)),"–")</f>
        <v>10512.5</v>
      </c>
      <c r="R19" s="128" t="s">
        <v>159</v>
      </c>
      <c r="S19" s="22" t="n">
        <v>0.5</v>
      </c>
      <c r="T19" s="23" t="s">
        <v>145</v>
      </c>
      <c r="U19" s="23" t="s">
        <v>225</v>
      </c>
      <c r="V19" s="23" t="s">
        <v>226</v>
      </c>
      <c r="W19" s="129" t="n">
        <v>46143</v>
      </c>
      <c r="X19" s="23" t="s">
        <v>227</v>
      </c>
      <c r="Z19" s="1" t="str">
        <f aca="false">IF(AND(R19="WON",ISNUMBER(I19)),AA19,"")</f>
        <v/>
      </c>
      <c r="AA19" s="1" t="n">
        <f aca="false">IFERROR(I19*1,0)</f>
        <v>21025</v>
      </c>
    </row>
    <row r="20" customFormat="false" ht="19.5" hidden="false" customHeight="true" outlineLevel="0" collapsed="false">
      <c r="A20" s="130" t="n">
        <v>14</v>
      </c>
      <c r="B20" s="131" t="s">
        <v>223</v>
      </c>
      <c r="C20" s="130" t="s">
        <v>78</v>
      </c>
      <c r="D20" s="131" t="s">
        <v>57</v>
      </c>
      <c r="E20" s="131" t="s">
        <v>229</v>
      </c>
      <c r="F20" s="132" t="n">
        <v>450</v>
      </c>
      <c r="G20" s="130" t="s">
        <v>88</v>
      </c>
      <c r="H20" s="130" t="s">
        <v>88</v>
      </c>
      <c r="I20" s="134" t="n">
        <v>37444</v>
      </c>
      <c r="J20" s="134"/>
      <c r="K20" s="134"/>
      <c r="L20" s="134"/>
      <c r="M20" s="134"/>
      <c r="N20" s="134"/>
      <c r="O20" s="134" t="n">
        <f aca="false">IFERROR(I20-(J20+K20+L20+M20+N20),"")</f>
        <v>37444</v>
      </c>
      <c r="P20" s="135" t="n">
        <f aca="false">IFERROR(O20/I20,"")</f>
        <v>1</v>
      </c>
      <c r="Q20" s="134" t="n">
        <f aca="false">IFERROR(IF(OR(I20="",S20="",S20="tbd"),"tbd",I20*IF(S20&lt;=1,S20,S20/100)),"–")</f>
        <v>18722</v>
      </c>
      <c r="R20" s="147" t="s">
        <v>206</v>
      </c>
      <c r="S20" s="130" t="n">
        <v>0.5</v>
      </c>
      <c r="T20" s="131" t="s">
        <v>145</v>
      </c>
      <c r="U20" s="131" t="s">
        <v>225</v>
      </c>
      <c r="V20" s="131" t="s">
        <v>226</v>
      </c>
      <c r="W20" s="137" t="n">
        <v>46143</v>
      </c>
      <c r="X20" s="131" t="s">
        <v>227</v>
      </c>
      <c r="Z20" s="1" t="str">
        <f aca="false">IF(AND(R20="WON",ISNUMBER(I20)),AA20,"")</f>
        <v/>
      </c>
      <c r="AA20" s="1" t="n">
        <f aca="false">IFERROR(I20*1,0)</f>
        <v>37444</v>
      </c>
    </row>
    <row r="21" customFormat="false" ht="19.5" hidden="false" customHeight="true" outlineLevel="0" collapsed="false">
      <c r="A21" s="22" t="n">
        <v>15</v>
      </c>
      <c r="B21" s="23" t="s">
        <v>230</v>
      </c>
      <c r="C21" s="126" t="s">
        <v>70</v>
      </c>
      <c r="D21" s="23" t="s">
        <v>71</v>
      </c>
      <c r="E21" s="23" t="s">
        <v>231</v>
      </c>
      <c r="F21" s="127"/>
      <c r="G21" s="22" t="s">
        <v>232</v>
      </c>
      <c r="H21" s="22" t="s">
        <v>88</v>
      </c>
      <c r="I21" s="70"/>
      <c r="J21" s="70"/>
      <c r="K21" s="70"/>
      <c r="L21" s="70"/>
      <c r="M21" s="70"/>
      <c r="N21" s="70"/>
      <c r="O21" s="70" t="n">
        <f aca="false">IFERROR(I21-(J21+K21+L21+M21+N21),"")</f>
        <v>0</v>
      </c>
      <c r="P21" s="127" t="str">
        <f aca="false">IFERROR(O21/I21,"")</f>
        <v/>
      </c>
      <c r="Q21" s="70" t="str">
        <f aca="false">IFERROR(IF(OR(I21="",S21="",S21="tbd"),"tbd",I21*IF(S21&lt;=1,S21,S21/100)),"–")</f>
        <v>tbd</v>
      </c>
      <c r="R21" s="147" t="s">
        <v>233</v>
      </c>
      <c r="S21" s="22" t="s">
        <v>234</v>
      </c>
      <c r="T21" s="23" t="s">
        <v>145</v>
      </c>
      <c r="U21" s="23" t="s">
        <v>235</v>
      </c>
      <c r="V21" s="23" t="s">
        <v>236</v>
      </c>
      <c r="W21" s="129" t="n">
        <v>46143</v>
      </c>
      <c r="X21" s="23" t="s">
        <v>237</v>
      </c>
      <c r="Z21" s="1" t="str">
        <f aca="false">IF(AND(R21="WON",ISNUMBER(I21)),AA21,"")</f>
        <v/>
      </c>
      <c r="AA21" s="1" t="n">
        <f aca="false">IFERROR(I21*1,0)</f>
        <v>0</v>
      </c>
    </row>
    <row r="22" customFormat="false" ht="19.5" hidden="false" customHeight="true" outlineLevel="0" collapsed="false">
      <c r="A22" s="130" t="n">
        <v>16</v>
      </c>
      <c r="B22" s="131" t="s">
        <v>238</v>
      </c>
      <c r="C22" s="130" t="s">
        <v>78</v>
      </c>
      <c r="D22" s="131" t="s">
        <v>75</v>
      </c>
      <c r="E22" s="131" t="s">
        <v>239</v>
      </c>
      <c r="F22" s="132" t="n">
        <v>30</v>
      </c>
      <c r="G22" s="130" t="s">
        <v>240</v>
      </c>
      <c r="H22" s="130" t="s">
        <v>88</v>
      </c>
      <c r="I22" s="134"/>
      <c r="J22" s="134"/>
      <c r="K22" s="134"/>
      <c r="L22" s="134"/>
      <c r="M22" s="134"/>
      <c r="N22" s="134"/>
      <c r="O22" s="134" t="n">
        <f aca="false">IFERROR(I22-(J22+K22+L22+M22+N22),"")</f>
        <v>0</v>
      </c>
      <c r="P22" s="135" t="str">
        <f aca="false">IFERROR(O22/I22,"")</f>
        <v/>
      </c>
      <c r="Q22" s="134" t="str">
        <f aca="false">IFERROR(IF(OR(I22="",S22="",S22="tbd"),"tbd",I22*IF(S22&lt;=1,S22,S22/100)),"–")</f>
        <v>tbd</v>
      </c>
      <c r="R22" s="148" t="s">
        <v>88</v>
      </c>
      <c r="S22" s="130" t="s">
        <v>241</v>
      </c>
      <c r="T22" s="131" t="s">
        <v>145</v>
      </c>
      <c r="U22" s="131" t="s">
        <v>242</v>
      </c>
      <c r="V22" s="131" t="s">
        <v>243</v>
      </c>
      <c r="W22" s="137" t="n">
        <v>46143</v>
      </c>
      <c r="X22" s="131" t="s">
        <v>244</v>
      </c>
      <c r="Z22" s="1" t="str">
        <f aca="false">IF(AND(R22="WON",ISNUMBER(I22)),AA22,"")</f>
        <v/>
      </c>
      <c r="AA22" s="1" t="n">
        <f aca="false">IFERROR(I22*1,0)</f>
        <v>0</v>
      </c>
    </row>
    <row r="23" customFormat="false" ht="19.5" hidden="false" customHeight="true" outlineLevel="0" collapsed="false">
      <c r="A23" s="22" t="n">
        <v>17</v>
      </c>
      <c r="B23" s="23" t="s">
        <v>245</v>
      </c>
      <c r="C23" s="126" t="s">
        <v>78</v>
      </c>
      <c r="D23" s="23" t="s">
        <v>82</v>
      </c>
      <c r="E23" s="23" t="s">
        <v>88</v>
      </c>
      <c r="F23" s="127"/>
      <c r="G23" s="22" t="s">
        <v>88</v>
      </c>
      <c r="H23" s="22" t="s">
        <v>88</v>
      </c>
      <c r="I23" s="70"/>
      <c r="J23" s="70"/>
      <c r="K23" s="70"/>
      <c r="L23" s="70"/>
      <c r="M23" s="70"/>
      <c r="N23" s="70"/>
      <c r="O23" s="70" t="n">
        <f aca="false">IFERROR(I23-(J23+K23+L23+M23+N23),"")</f>
        <v>0</v>
      </c>
      <c r="P23" s="127" t="str">
        <f aca="false">IFERROR(O23/I23,"")</f>
        <v/>
      </c>
      <c r="Q23" s="70" t="str">
        <f aca="false">IFERROR(IF(OR(I23="",S23="",S23="tbd"),"tbd",I23*IF(S23&lt;=1,S23,S23/100)),"–")</f>
        <v>tbd</v>
      </c>
      <c r="R23" s="148" t="s">
        <v>88</v>
      </c>
      <c r="S23" s="22" t="s">
        <v>234</v>
      </c>
      <c r="T23" s="23" t="s">
        <v>145</v>
      </c>
      <c r="U23" s="23" t="s">
        <v>88</v>
      </c>
      <c r="V23" s="23" t="s">
        <v>246</v>
      </c>
      <c r="W23" s="129" t="n">
        <v>46143</v>
      </c>
      <c r="X23" s="23" t="s">
        <v>247</v>
      </c>
      <c r="Z23" s="1" t="str">
        <f aca="false">IF(AND(R23="WON",ISNUMBER(I23)),AA23,"")</f>
        <v/>
      </c>
      <c r="AA23" s="1" t="n">
        <f aca="false">IFERROR(I23*1,0)</f>
        <v>0</v>
      </c>
    </row>
    <row r="24" customFormat="false" ht="19.5" hidden="false" customHeight="true" outlineLevel="0" collapsed="false">
      <c r="A24" s="130" t="n">
        <v>18</v>
      </c>
      <c r="B24" s="131" t="s">
        <v>248</v>
      </c>
      <c r="C24" s="130" t="s">
        <v>88</v>
      </c>
      <c r="D24" s="131" t="s">
        <v>88</v>
      </c>
      <c r="E24" s="131" t="s">
        <v>88</v>
      </c>
      <c r="F24" s="135"/>
      <c r="G24" s="130" t="s">
        <v>88</v>
      </c>
      <c r="H24" s="130" t="s">
        <v>88</v>
      </c>
      <c r="I24" s="134"/>
      <c r="J24" s="134"/>
      <c r="K24" s="134"/>
      <c r="L24" s="134"/>
      <c r="M24" s="134"/>
      <c r="N24" s="134"/>
      <c r="O24" s="134" t="n">
        <f aca="false">IFERROR(I24-(J24+K24+L24+M24+N24),"")</f>
        <v>0</v>
      </c>
      <c r="P24" s="135" t="str">
        <f aca="false">IFERROR(O24/I24,"")</f>
        <v/>
      </c>
      <c r="Q24" s="134" t="str">
        <f aca="false">IFERROR(IF(OR(I24="",S24="",S24="tbd"),"tbd",I24*IF(S24&lt;=1,S24,S24/100)),"–")</f>
        <v>tbd</v>
      </c>
      <c r="R24" s="148" t="s">
        <v>88</v>
      </c>
      <c r="S24" s="130" t="s">
        <v>234</v>
      </c>
      <c r="T24" s="131" t="s">
        <v>145</v>
      </c>
      <c r="U24" s="131" t="s">
        <v>88</v>
      </c>
      <c r="V24" s="131" t="s">
        <v>249</v>
      </c>
      <c r="W24" s="137" t="n">
        <v>46143</v>
      </c>
      <c r="X24" s="131" t="s">
        <v>250</v>
      </c>
      <c r="Z24" s="1" t="str">
        <f aca="false">IF(AND(R24="WON",ISNUMBER(I24)),AA24,"")</f>
        <v/>
      </c>
      <c r="AA24" s="1" t="n">
        <f aca="false">IFERROR(I24*1,0)</f>
        <v>0</v>
      </c>
    </row>
    <row r="25" customFormat="false" ht="19.5" hidden="true" customHeight="true" outlineLevel="0" collapsed="false">
      <c r="A25" s="138" t="n">
        <v>19</v>
      </c>
      <c r="B25" s="139" t="s">
        <v>251</v>
      </c>
      <c r="C25" s="138" t="s">
        <v>41</v>
      </c>
      <c r="D25" s="139" t="s">
        <v>85</v>
      </c>
      <c r="E25" s="139" t="s">
        <v>252</v>
      </c>
      <c r="F25" s="140" t="n">
        <v>1500</v>
      </c>
      <c r="G25" s="138" t="s">
        <v>253</v>
      </c>
      <c r="H25" s="141" t="s">
        <v>254</v>
      </c>
      <c r="I25" s="140" t="n">
        <v>48950</v>
      </c>
      <c r="J25" s="142"/>
      <c r="K25" s="142"/>
      <c r="L25" s="142"/>
      <c r="M25" s="142"/>
      <c r="N25" s="142"/>
      <c r="O25" s="142" t="n">
        <f aca="false">IFERROR(I25-(J25+K25+L25+M25+N25),"")</f>
        <v>48950</v>
      </c>
      <c r="P25" s="142" t="n">
        <f aca="false">IFERROR(O25/I25,"")</f>
        <v>1</v>
      </c>
      <c r="Q25" s="142" t="n">
        <f aca="false">IFERROR(IF(OR(I25="",S25="",S25="tbd"),"tbd",I25*IF(S25&lt;=1,S25,S25/100)),"–")</f>
        <v>0</v>
      </c>
      <c r="R25" s="143" t="s">
        <v>176</v>
      </c>
      <c r="S25" s="138" t="s">
        <v>255</v>
      </c>
      <c r="T25" s="139" t="s">
        <v>145</v>
      </c>
      <c r="U25" s="139" t="s">
        <v>139</v>
      </c>
      <c r="V25" s="139" t="s">
        <v>256</v>
      </c>
      <c r="W25" s="144" t="n">
        <v>46143</v>
      </c>
      <c r="X25" s="139" t="s">
        <v>257</v>
      </c>
      <c r="Z25" s="1" t="str">
        <f aca="false">IF(AND(R25="WON",ISNUMBER(I25)),AA25,"")</f>
        <v/>
      </c>
      <c r="AA25" s="1" t="n">
        <f aca="false">IFERROR(I25*1,0)</f>
        <v>48950</v>
      </c>
    </row>
    <row r="26" customFormat="false" ht="19.5" hidden="true" customHeight="true" outlineLevel="0" collapsed="false">
      <c r="A26" s="138" t="n">
        <v>20</v>
      </c>
      <c r="B26" s="139" t="s">
        <v>258</v>
      </c>
      <c r="C26" s="138" t="s">
        <v>44</v>
      </c>
      <c r="D26" s="139" t="s">
        <v>86</v>
      </c>
      <c r="E26" s="139" t="s">
        <v>196</v>
      </c>
      <c r="F26" s="140" t="n">
        <v>250</v>
      </c>
      <c r="G26" s="138" t="s">
        <v>240</v>
      </c>
      <c r="H26" s="141" t="s">
        <v>259</v>
      </c>
      <c r="I26" s="140" t="n">
        <v>39000</v>
      </c>
      <c r="J26" s="142"/>
      <c r="K26" s="142"/>
      <c r="L26" s="142"/>
      <c r="M26" s="142"/>
      <c r="N26" s="142"/>
      <c r="O26" s="142" t="n">
        <f aca="false">IFERROR(I26-(J26+K26+L26+M26+N26),"")</f>
        <v>39000</v>
      </c>
      <c r="P26" s="142" t="n">
        <f aca="false">IFERROR(O26/I26,"")</f>
        <v>1</v>
      </c>
      <c r="Q26" s="142" t="n">
        <f aca="false">IFERROR(IF(OR(I26="",S26="",S26="tbd"),"tbd",I26*IF(S26&lt;=1,S26,S26/100)),"–")</f>
        <v>0</v>
      </c>
      <c r="R26" s="149" t="s">
        <v>260</v>
      </c>
      <c r="S26" s="138" t="s">
        <v>255</v>
      </c>
      <c r="T26" s="139" t="s">
        <v>145</v>
      </c>
      <c r="U26" s="139" t="s">
        <v>139</v>
      </c>
      <c r="V26" s="139" t="s">
        <v>261</v>
      </c>
      <c r="W26" s="144" t="n">
        <v>46143</v>
      </c>
      <c r="X26" s="139" t="s">
        <v>262</v>
      </c>
      <c r="Z26" s="1" t="str">
        <f aca="false">IF(AND(R26="WON",ISNUMBER(I26)),AA26,"")</f>
        <v/>
      </c>
      <c r="AA26" s="1" t="n">
        <f aca="false">IFERROR(I26*1,0)</f>
        <v>39000</v>
      </c>
    </row>
    <row r="27" customFormat="false" ht="19.5" hidden="true" customHeight="true" outlineLevel="0" collapsed="false">
      <c r="A27" s="120" t="n">
        <v>21</v>
      </c>
      <c r="B27" s="121" t="s">
        <v>263</v>
      </c>
      <c r="C27" s="120" t="s">
        <v>62</v>
      </c>
      <c r="D27" s="121" t="s">
        <v>48</v>
      </c>
      <c r="E27" s="121" t="s">
        <v>264</v>
      </c>
      <c r="F27" s="122" t="n">
        <v>150</v>
      </c>
      <c r="G27" s="120" t="s">
        <v>265</v>
      </c>
      <c r="H27" s="123" t="n">
        <v>46179</v>
      </c>
      <c r="I27" s="124" t="s">
        <v>266</v>
      </c>
      <c r="J27" s="124" t="s">
        <v>266</v>
      </c>
      <c r="K27" s="124" t="s">
        <v>266</v>
      </c>
      <c r="L27" s="124" t="s">
        <v>266</v>
      </c>
      <c r="M27" s="124" t="s">
        <v>266</v>
      </c>
      <c r="N27" s="124" t="s">
        <v>266</v>
      </c>
      <c r="O27" s="124" t="str">
        <f aca="false">IFERROR(I27-(J27+K27+L27+M27+N27),"")</f>
        <v/>
      </c>
      <c r="P27" s="124" t="str">
        <f aca="false">IFERROR(O27/I27,"")</f>
        <v/>
      </c>
      <c r="Q27" s="124" t="str">
        <f aca="false">IFERROR(IF(OR(I27="",S27="",S27="tbd"),"tbd",I27*IF(S27&lt;=1,S27,S27/100)),"–")</f>
        <v>–</v>
      </c>
      <c r="R27" s="125" t="s">
        <v>134</v>
      </c>
      <c r="S27" s="120" t="n">
        <v>1</v>
      </c>
      <c r="T27" s="121" t="s">
        <v>145</v>
      </c>
      <c r="U27" s="121" t="s">
        <v>242</v>
      </c>
      <c r="V27" s="150" t="s">
        <v>267</v>
      </c>
      <c r="W27" s="151" t="n">
        <v>46113</v>
      </c>
      <c r="X27" s="121" t="s">
        <v>268</v>
      </c>
      <c r="Z27" s="1" t="str">
        <f aca="false">IF(AND(R27="WON",ISNUMBER(I27)),AA27,"")</f>
        <v/>
      </c>
      <c r="AA27" s="1" t="n">
        <f aca="false">IFERROR(I27*1,0)</f>
        <v>0</v>
      </c>
    </row>
    <row r="28" customFormat="false" ht="19.5" hidden="false" customHeight="true" outlineLevel="0" collapsed="false">
      <c r="A28" s="130" t="n">
        <v>22</v>
      </c>
      <c r="B28" s="131" t="s">
        <v>269</v>
      </c>
      <c r="C28" s="130" t="s">
        <v>62</v>
      </c>
      <c r="D28" s="131" t="s">
        <v>79</v>
      </c>
      <c r="E28" s="131" t="s">
        <v>270</v>
      </c>
      <c r="F28" s="132" t="n">
        <v>400</v>
      </c>
      <c r="G28" s="130" t="s">
        <v>143</v>
      </c>
      <c r="H28" s="133" t="n">
        <v>46204</v>
      </c>
      <c r="I28" s="134"/>
      <c r="J28" s="134"/>
      <c r="K28" s="134"/>
      <c r="L28" s="134"/>
      <c r="M28" s="134"/>
      <c r="N28" s="134"/>
      <c r="O28" s="134" t="n">
        <f aca="false">IFERROR(I28-(J28+K28+L28+M28+N28),"")</f>
        <v>0</v>
      </c>
      <c r="P28" s="135" t="str">
        <f aca="false">IFERROR(O28/I28,"")</f>
        <v/>
      </c>
      <c r="Q28" s="134" t="str">
        <f aca="false">IFERROR(IF(OR(I28="",S28="",S28="tbd"),"tbd",I28*IF(S28&lt;=1,S28,S28/100)),"–")</f>
        <v>tbd</v>
      </c>
      <c r="R28" s="128" t="s">
        <v>159</v>
      </c>
      <c r="S28" s="130" t="n">
        <v>0.5</v>
      </c>
      <c r="T28" s="131" t="s">
        <v>145</v>
      </c>
      <c r="U28" s="131" t="s">
        <v>271</v>
      </c>
      <c r="V28" s="131" t="s">
        <v>272</v>
      </c>
      <c r="W28" s="137" t="n">
        <v>46143</v>
      </c>
      <c r="X28" s="131" t="s">
        <v>273</v>
      </c>
      <c r="Z28" s="1" t="str">
        <f aca="false">IF(AND(R28="WON",ISNUMBER(I28)),AA28,"")</f>
        <v/>
      </c>
      <c r="AA28" s="1" t="n">
        <f aca="false">IFERROR(I28*1,0)</f>
        <v>0</v>
      </c>
    </row>
    <row r="29" customFormat="false" ht="19.5" hidden="false" customHeight="true" outlineLevel="0" collapsed="false">
      <c r="A29" s="22" t="n">
        <v>23</v>
      </c>
      <c r="B29" s="23" t="s">
        <v>274</v>
      </c>
      <c r="C29" s="126" t="s">
        <v>53</v>
      </c>
      <c r="D29" s="23" t="s">
        <v>75</v>
      </c>
      <c r="E29" s="23" t="s">
        <v>275</v>
      </c>
      <c r="F29" s="24" t="n">
        <v>30</v>
      </c>
      <c r="G29" s="22" t="s">
        <v>88</v>
      </c>
      <c r="H29" s="22" t="s">
        <v>88</v>
      </c>
      <c r="I29" s="70"/>
      <c r="J29" s="70"/>
      <c r="K29" s="70"/>
      <c r="L29" s="70"/>
      <c r="M29" s="70"/>
      <c r="N29" s="70"/>
      <c r="O29" s="70" t="n">
        <f aca="false">IFERROR(I29-(J29+K29+L29+M29+N29),"")</f>
        <v>0</v>
      </c>
      <c r="P29" s="127" t="str">
        <f aca="false">IFERROR(O29/I29,"")</f>
        <v/>
      </c>
      <c r="Q29" s="70" t="str">
        <f aca="false">IFERROR(IF(OR(I29="",S29="",S29="tbd"),"tbd",I29*IF(S29&lt;=1,S29,S29/100)),"–")</f>
        <v>tbd</v>
      </c>
      <c r="R29" s="147" t="s">
        <v>206</v>
      </c>
      <c r="S29" s="22" t="n">
        <v>0.1</v>
      </c>
      <c r="T29" s="23" t="s">
        <v>136</v>
      </c>
      <c r="U29" s="23"/>
      <c r="V29" s="23" t="s">
        <v>276</v>
      </c>
      <c r="W29" s="129" t="n">
        <v>46143</v>
      </c>
      <c r="X29" s="23" t="s">
        <v>277</v>
      </c>
      <c r="Z29" s="1" t="str">
        <f aca="false">IF(AND(R29="WON",ISNUMBER(I29)),AA29,"")</f>
        <v/>
      </c>
      <c r="AA29" s="1" t="n">
        <f aca="false">IFERROR(I29*1,0)</f>
        <v>0</v>
      </c>
    </row>
    <row r="30" customFormat="false" ht="19.5" hidden="false" customHeight="true" outlineLevel="0" collapsed="false">
      <c r="A30" s="130" t="n">
        <v>24</v>
      </c>
      <c r="B30" s="131" t="s">
        <v>278</v>
      </c>
      <c r="C30" s="130" t="s">
        <v>78</v>
      </c>
      <c r="D30" s="131" t="s">
        <v>81</v>
      </c>
      <c r="E30" s="131" t="s">
        <v>279</v>
      </c>
      <c r="F30" s="135" t="s">
        <v>88</v>
      </c>
      <c r="G30" s="130" t="s">
        <v>88</v>
      </c>
      <c r="H30" s="130" t="s">
        <v>88</v>
      </c>
      <c r="I30" s="134"/>
      <c r="J30" s="134"/>
      <c r="K30" s="134"/>
      <c r="L30" s="134"/>
      <c r="M30" s="134"/>
      <c r="N30" s="134"/>
      <c r="O30" s="134" t="n">
        <f aca="false">IFERROR(I30-(J30+K30+L30+M30+N30),"")</f>
        <v>0</v>
      </c>
      <c r="P30" s="135" t="str">
        <f aca="false">IFERROR(O30/I30,"")</f>
        <v/>
      </c>
      <c r="Q30" s="134" t="str">
        <f aca="false">IFERROR(IF(OR(I30="",S30="",S30="tbd"),"tbd",I30*IF(S30&lt;=1,S30,S30/100)),"–")</f>
        <v>tbd</v>
      </c>
      <c r="R30" s="147" t="s">
        <v>206</v>
      </c>
      <c r="S30" s="130" t="s">
        <v>88</v>
      </c>
      <c r="T30" s="131" t="s">
        <v>136</v>
      </c>
      <c r="U30" s="131" t="s">
        <v>280</v>
      </c>
      <c r="V30" s="131" t="s">
        <v>276</v>
      </c>
      <c r="W30" s="137" t="n">
        <v>46143</v>
      </c>
      <c r="X30" s="131" t="s">
        <v>277</v>
      </c>
      <c r="Z30" s="1" t="str">
        <f aca="false">IF(AND(R30="WON",ISNUMBER(I30)),AA30,"")</f>
        <v/>
      </c>
      <c r="AA30" s="1" t="n">
        <f aca="false">IFERROR(I30*1,0)</f>
        <v>0</v>
      </c>
    </row>
    <row r="31" customFormat="false" ht="19.5" hidden="false" customHeight="true" outlineLevel="0" collapsed="false">
      <c r="A31" s="22" t="n">
        <v>25</v>
      </c>
      <c r="B31" s="23" t="s">
        <v>281</v>
      </c>
      <c r="C31" s="126" t="s">
        <v>41</v>
      </c>
      <c r="D31" s="23" t="s">
        <v>75</v>
      </c>
      <c r="E31" s="23" t="s">
        <v>282</v>
      </c>
      <c r="F31" s="127" t="s">
        <v>283</v>
      </c>
      <c r="G31" s="22" t="s">
        <v>143</v>
      </c>
      <c r="H31" s="146" t="n">
        <v>46427</v>
      </c>
      <c r="I31" s="70" t="n">
        <v>117860</v>
      </c>
      <c r="J31" s="70" t="n">
        <f aca="false">22000+44000+120+60</f>
        <v>66180</v>
      </c>
      <c r="K31" s="70" t="n">
        <v>4000</v>
      </c>
      <c r="L31" s="70" t="s">
        <v>219</v>
      </c>
      <c r="M31" s="70" t="n">
        <v>24000</v>
      </c>
      <c r="N31" s="70" t="n">
        <f aca="false">4800+8400</f>
        <v>13200</v>
      </c>
      <c r="O31" s="70" t="str">
        <f aca="false">IFERROR(I31-(J31+K31+L31+M31+N31),"")</f>
        <v/>
      </c>
      <c r="P31" s="127" t="str">
        <f aca="false">IFERROR(O31/I31,"")</f>
        <v/>
      </c>
      <c r="Q31" s="70" t="n">
        <f aca="false">IFERROR(IF(OR(I31="",S31="",S31="tbd"),"tbd",I31*IF(S31&lt;=1,S31,S31/100)),"–")</f>
        <v>58930</v>
      </c>
      <c r="R31" s="128" t="s">
        <v>159</v>
      </c>
      <c r="S31" s="22" t="n">
        <v>0.5</v>
      </c>
      <c r="T31" s="23" t="s">
        <v>136</v>
      </c>
      <c r="U31" s="23" t="s">
        <v>220</v>
      </c>
      <c r="V31" s="25" t="s">
        <v>267</v>
      </c>
      <c r="W31" s="129" t="n">
        <v>46143</v>
      </c>
      <c r="X31" s="23" t="s">
        <v>284</v>
      </c>
      <c r="Z31" s="1" t="str">
        <f aca="false">IF(AND(R31="WON",ISNUMBER(I31)),AA31,"")</f>
        <v/>
      </c>
      <c r="AA31" s="1" t="n">
        <f aca="false">IFERROR(I31*1,0)</f>
        <v>117860</v>
      </c>
    </row>
    <row r="32" customFormat="false" ht="19.5" hidden="false" customHeight="true" outlineLevel="0" collapsed="false">
      <c r="A32" s="130" t="n">
        <v>25</v>
      </c>
      <c r="B32" s="131" t="s">
        <v>281</v>
      </c>
      <c r="C32" s="130" t="s">
        <v>41</v>
      </c>
      <c r="D32" s="131" t="s">
        <v>75</v>
      </c>
      <c r="E32" s="131" t="s">
        <v>285</v>
      </c>
      <c r="F32" s="135" t="s">
        <v>286</v>
      </c>
      <c r="G32" s="130" t="s">
        <v>143</v>
      </c>
      <c r="H32" s="133" t="n">
        <v>46427</v>
      </c>
      <c r="I32" s="134" t="n">
        <v>102800</v>
      </c>
      <c r="J32" s="134" t="n">
        <f aca="false">23600+6000+22000+12000+1240+600+56+44+60</f>
        <v>65600</v>
      </c>
      <c r="K32" s="134" t="n">
        <v>4000</v>
      </c>
      <c r="L32" s="134" t="s">
        <v>219</v>
      </c>
      <c r="M32" s="134" t="n">
        <v>24000</v>
      </c>
      <c r="N32" s="134" t="n">
        <f aca="false">4800+8400</f>
        <v>13200</v>
      </c>
      <c r="O32" s="134" t="str">
        <f aca="false">IFERROR(I32-(J32+K32+L32+M32+N32),"")</f>
        <v/>
      </c>
      <c r="P32" s="135" t="str">
        <f aca="false">IFERROR(O32/I32,"")</f>
        <v/>
      </c>
      <c r="Q32" s="134" t="n">
        <f aca="false">IFERROR(IF(OR(I32="",S32="",S32="tbd"),"tbd",I32*IF(S32&lt;=1,S32,S32/100)),"–")</f>
        <v>51400</v>
      </c>
      <c r="R32" s="128" t="s">
        <v>159</v>
      </c>
      <c r="S32" s="130" t="n">
        <v>0.5</v>
      </c>
      <c r="T32" s="131" t="s">
        <v>136</v>
      </c>
      <c r="U32" s="131" t="s">
        <v>220</v>
      </c>
      <c r="V32" s="152" t="s">
        <v>267</v>
      </c>
      <c r="W32" s="137" t="n">
        <v>46143</v>
      </c>
      <c r="X32" s="131" t="s">
        <v>284</v>
      </c>
      <c r="Z32" s="1" t="str">
        <f aca="false">IF(AND(R32="WON",ISNUMBER(I32)),AA32,"")</f>
        <v/>
      </c>
      <c r="AA32" s="1" t="n">
        <f aca="false">IFERROR(I32*1,0)</f>
        <v>102800</v>
      </c>
    </row>
    <row r="33" customFormat="false" ht="19.5" hidden="false" customHeight="true" outlineLevel="0" collapsed="false">
      <c r="A33" s="22" t="n">
        <v>26</v>
      </c>
      <c r="B33" s="23" t="s">
        <v>287</v>
      </c>
      <c r="C33" s="126" t="s">
        <v>59</v>
      </c>
      <c r="D33" s="23" t="s">
        <v>77</v>
      </c>
      <c r="E33" s="23" t="s">
        <v>288</v>
      </c>
      <c r="F33" s="24" t="n">
        <v>200</v>
      </c>
      <c r="G33" s="22" t="n">
        <v>0</v>
      </c>
      <c r="H33" s="22" t="n">
        <v>0</v>
      </c>
      <c r="I33" s="70" t="n">
        <v>0</v>
      </c>
      <c r="J33" s="70" t="n">
        <v>0</v>
      </c>
      <c r="K33" s="70" t="n">
        <v>0</v>
      </c>
      <c r="L33" s="70" t="n">
        <v>0</v>
      </c>
      <c r="M33" s="70" t="n">
        <v>0</v>
      </c>
      <c r="N33" s="70" t="n">
        <v>0</v>
      </c>
      <c r="O33" s="70" t="n">
        <f aca="false">IFERROR(I33-(J33+K33+L33+M33+N33),"")</f>
        <v>0</v>
      </c>
      <c r="P33" s="127" t="str">
        <f aca="false">IFERROR(O33/I33,"")</f>
        <v/>
      </c>
      <c r="Q33" s="70" t="n">
        <f aca="false">IFERROR(IF(OR(I33="",S33="",S33="tbd"),"tbd",I33*IF(S33&lt;=1,S33,S33/100)),"–")</f>
        <v>0</v>
      </c>
      <c r="R33" s="145" t="s">
        <v>176</v>
      </c>
      <c r="S33" s="22" t="n">
        <v>0.5</v>
      </c>
      <c r="T33" s="23" t="s">
        <v>136</v>
      </c>
      <c r="U33" s="23" t="s">
        <v>271</v>
      </c>
      <c r="V33" s="23" t="s">
        <v>289</v>
      </c>
      <c r="W33" s="129" t="n">
        <v>46162</v>
      </c>
      <c r="X33" s="23" t="s">
        <v>290</v>
      </c>
      <c r="Z33" s="1" t="str">
        <f aca="false">IF(AND(R33="WON",ISNUMBER(I33)),AA33,"")</f>
        <v/>
      </c>
      <c r="AA33" s="1" t="n">
        <f aca="false">IFERROR(I33*1,0)</f>
        <v>0</v>
      </c>
    </row>
    <row r="34" customFormat="false" ht="19.5" hidden="false" customHeight="true" outlineLevel="0" collapsed="false">
      <c r="A34" s="130" t="n">
        <v>27</v>
      </c>
      <c r="B34" s="131" t="s">
        <v>291</v>
      </c>
      <c r="C34" s="130" t="s">
        <v>62</v>
      </c>
      <c r="D34" s="131" t="s">
        <v>66</v>
      </c>
      <c r="E34" s="131" t="s">
        <v>292</v>
      </c>
      <c r="F34" s="135" t="s">
        <v>293</v>
      </c>
      <c r="G34" s="130" t="s">
        <v>294</v>
      </c>
      <c r="H34" s="130" t="s">
        <v>88</v>
      </c>
      <c r="I34" s="134" t="n">
        <f aca="false">416100+7665+2190</f>
        <v>425955</v>
      </c>
      <c r="J34" s="134" t="n">
        <v>416100</v>
      </c>
      <c r="K34" s="134" t="n">
        <v>7620</v>
      </c>
      <c r="L34" s="134" t="s">
        <v>219</v>
      </c>
      <c r="M34" s="134" t="s">
        <v>219</v>
      </c>
      <c r="N34" s="134" t="s">
        <v>219</v>
      </c>
      <c r="O34" s="134" t="str">
        <f aca="false">IFERROR(I34-(J34+K34+L34+M34+N34),"")</f>
        <v/>
      </c>
      <c r="P34" s="135" t="str">
        <f aca="false">IFERROR(O34/I34,"")</f>
        <v/>
      </c>
      <c r="Q34" s="134" t="n">
        <f aca="false">IFERROR(IF(OR(I34="",S34="",S34="tbd"),"tbd",I34*IF(S34&lt;=1,S34,S34/100)),"–")</f>
        <v>212977.5</v>
      </c>
      <c r="R34" s="128" t="s">
        <v>159</v>
      </c>
      <c r="S34" s="130" t="n">
        <v>0.5</v>
      </c>
      <c r="T34" s="131" t="s">
        <v>295</v>
      </c>
      <c r="U34" s="131" t="s">
        <v>220</v>
      </c>
      <c r="V34" s="152" t="s">
        <v>267</v>
      </c>
      <c r="W34" s="130" t="s">
        <v>296</v>
      </c>
      <c r="X34" s="131" t="s">
        <v>284</v>
      </c>
      <c r="Z34" s="1" t="str">
        <f aca="false">IF(AND(R34="WON",ISNUMBER(I34)),AA34,"")</f>
        <v/>
      </c>
      <c r="AA34" s="1" t="n">
        <f aca="false">IFERROR(I34*1,0)</f>
        <v>425955</v>
      </c>
    </row>
    <row r="35" customFormat="false" ht="19.5" hidden="false" customHeight="true" outlineLevel="0" collapsed="false">
      <c r="A35" s="22" t="n">
        <v>27</v>
      </c>
      <c r="B35" s="23" t="s">
        <v>291</v>
      </c>
      <c r="C35" s="126" t="s">
        <v>62</v>
      </c>
      <c r="D35" s="23" t="s">
        <v>66</v>
      </c>
      <c r="E35" s="23" t="s">
        <v>297</v>
      </c>
      <c r="F35" s="127" t="s">
        <v>298</v>
      </c>
      <c r="G35" s="22" t="s">
        <v>294</v>
      </c>
      <c r="H35" s="22" t="s">
        <v>88</v>
      </c>
      <c r="I35" s="70" t="n">
        <f aca="false">873810+15330+2190</f>
        <v>891330</v>
      </c>
      <c r="J35" s="70" t="n">
        <v>873810</v>
      </c>
      <c r="K35" s="70" t="n">
        <v>7620</v>
      </c>
      <c r="L35" s="70" t="s">
        <v>219</v>
      </c>
      <c r="M35" s="70" t="s">
        <v>219</v>
      </c>
      <c r="N35" s="70" t="s">
        <v>219</v>
      </c>
      <c r="O35" s="70" t="str">
        <f aca="false">IFERROR(I35-(J35+K35+L35+M35+N35),"")</f>
        <v/>
      </c>
      <c r="P35" s="127" t="str">
        <f aca="false">IFERROR(O35/I35,"")</f>
        <v/>
      </c>
      <c r="Q35" s="70" t="n">
        <f aca="false">IFERROR(IF(OR(I35="",S35="",S35="tbd"),"tbd",I35*IF(S35&lt;=1,S35,S35/100)),"–")</f>
        <v>445665</v>
      </c>
      <c r="R35" s="128" t="s">
        <v>159</v>
      </c>
      <c r="S35" s="22" t="n">
        <v>0.5</v>
      </c>
      <c r="T35" s="23" t="s">
        <v>295</v>
      </c>
      <c r="U35" s="23" t="s">
        <v>220</v>
      </c>
      <c r="V35" s="25" t="s">
        <v>267</v>
      </c>
      <c r="W35" s="22" t="s">
        <v>296</v>
      </c>
      <c r="X35" s="23" t="s">
        <v>284</v>
      </c>
      <c r="Z35" s="1" t="str">
        <f aca="false">IF(AND(R35="WON",ISNUMBER(I35)),AA35,"")</f>
        <v/>
      </c>
      <c r="AA35" s="1" t="n">
        <f aca="false">IFERROR(I35*1,0)</f>
        <v>891330</v>
      </c>
    </row>
    <row r="36" customFormat="false" ht="19.5" hidden="false" customHeight="true" outlineLevel="0" collapsed="false">
      <c r="A36" s="130" t="n">
        <v>27</v>
      </c>
      <c r="B36" s="131" t="s">
        <v>291</v>
      </c>
      <c r="C36" s="130" t="s">
        <v>62</v>
      </c>
      <c r="D36" s="131" t="s">
        <v>66</v>
      </c>
      <c r="E36" s="131" t="s">
        <v>299</v>
      </c>
      <c r="F36" s="135" t="s">
        <v>300</v>
      </c>
      <c r="G36" s="130" t="s">
        <v>294</v>
      </c>
      <c r="H36" s="130" t="s">
        <v>88</v>
      </c>
      <c r="I36" s="134" t="n">
        <f aca="false">1289910+15330+2190</f>
        <v>1307430</v>
      </c>
      <c r="J36" s="134" t="n">
        <v>1289910</v>
      </c>
      <c r="K36" s="134" t="n">
        <v>7620</v>
      </c>
      <c r="L36" s="134" t="s">
        <v>219</v>
      </c>
      <c r="M36" s="134" t="s">
        <v>219</v>
      </c>
      <c r="N36" s="134" t="s">
        <v>219</v>
      </c>
      <c r="O36" s="134" t="str">
        <f aca="false">IFERROR(I36-(J36+K36+L36+M36+N36),"")</f>
        <v/>
      </c>
      <c r="P36" s="135" t="str">
        <f aca="false">IFERROR(O36/I36,"")</f>
        <v/>
      </c>
      <c r="Q36" s="134" t="n">
        <f aca="false">IFERROR(IF(OR(I36="",S36="",S36="tbd"),"tbd",I36*IF(S36&lt;=1,S36,S36/100)),"–")</f>
        <v>653715</v>
      </c>
      <c r="R36" s="128" t="s">
        <v>159</v>
      </c>
      <c r="S36" s="130" t="n">
        <v>0.5</v>
      </c>
      <c r="T36" s="131" t="s">
        <v>295</v>
      </c>
      <c r="U36" s="131" t="s">
        <v>220</v>
      </c>
      <c r="V36" s="152" t="s">
        <v>267</v>
      </c>
      <c r="W36" s="130" t="s">
        <v>296</v>
      </c>
      <c r="X36" s="131" t="s">
        <v>284</v>
      </c>
      <c r="Z36" s="1" t="str">
        <f aca="false">IF(AND(R36="WON",ISNUMBER(I36)),AA36,"")</f>
        <v/>
      </c>
      <c r="AA36" s="1" t="n">
        <f aca="false">IFERROR(I36*1,0)</f>
        <v>1307430</v>
      </c>
    </row>
    <row r="37" customFormat="false" ht="19.5" hidden="false" customHeight="true" outlineLevel="0" collapsed="false">
      <c r="A37" s="22" t="n">
        <v>28</v>
      </c>
      <c r="B37" s="23" t="s">
        <v>301</v>
      </c>
      <c r="C37" s="126" t="s">
        <v>53</v>
      </c>
      <c r="D37" s="23" t="s">
        <v>87</v>
      </c>
      <c r="E37" s="23" t="s">
        <v>302</v>
      </c>
      <c r="F37" s="24" t="n">
        <v>3000</v>
      </c>
      <c r="G37" s="22" t="s">
        <v>303</v>
      </c>
      <c r="H37" s="146" t="n">
        <v>46030</v>
      </c>
      <c r="I37" s="70" t="n">
        <v>77325.62</v>
      </c>
      <c r="J37" s="70" t="n">
        <v>54334.56</v>
      </c>
      <c r="K37" s="70" t="s">
        <v>88</v>
      </c>
      <c r="L37" s="70" t="s">
        <v>304</v>
      </c>
      <c r="M37" s="70" t="n">
        <v>10353</v>
      </c>
      <c r="N37" s="70" t="n">
        <v>6844</v>
      </c>
      <c r="O37" s="70" t="str">
        <f aca="false">IFERROR(I37-(J37+K37+L37+M37+N37),"")</f>
        <v/>
      </c>
      <c r="P37" s="127" t="str">
        <f aca="false">IFERROR(O37/I37,"")</f>
        <v/>
      </c>
      <c r="Q37" s="70" t="n">
        <f aca="false">IFERROR(IF(OR(I37="",S37="",S37="tbd"),"tbd",I37*IF(S37&lt;=1,S37,S37/100)),"–")</f>
        <v>38662.81</v>
      </c>
      <c r="R37" s="128" t="s">
        <v>159</v>
      </c>
      <c r="S37" s="22" t="n">
        <v>0.5</v>
      </c>
      <c r="T37" s="23" t="s">
        <v>295</v>
      </c>
      <c r="U37" s="23" t="s">
        <v>146</v>
      </c>
      <c r="V37" s="23" t="s">
        <v>305</v>
      </c>
      <c r="W37" s="22" t="s">
        <v>306</v>
      </c>
      <c r="X37" s="23" t="s">
        <v>307</v>
      </c>
      <c r="Z37" s="1" t="str">
        <f aca="false">IF(AND(R37="WON",ISNUMBER(I37)),AA37,"")</f>
        <v/>
      </c>
      <c r="AA37" s="1" t="n">
        <f aca="false">IFERROR(I37*1,0)</f>
        <v>77325.62</v>
      </c>
    </row>
    <row r="38" customFormat="false" ht="19.5" hidden="false" customHeight="true" outlineLevel="0" collapsed="false">
      <c r="A38" s="130" t="n">
        <v>29</v>
      </c>
      <c r="B38" s="131" t="s">
        <v>308</v>
      </c>
      <c r="C38" s="130" t="s">
        <v>74</v>
      </c>
      <c r="D38" s="131" t="s">
        <v>87</v>
      </c>
      <c r="E38" s="131" t="s">
        <v>88</v>
      </c>
      <c r="F38" s="135" t="s">
        <v>88</v>
      </c>
      <c r="G38" s="130" t="s">
        <v>88</v>
      </c>
      <c r="H38" s="130" t="s">
        <v>88</v>
      </c>
      <c r="I38" s="134" t="s">
        <v>88</v>
      </c>
      <c r="J38" s="134" t="s">
        <v>88</v>
      </c>
      <c r="K38" s="134" t="s">
        <v>88</v>
      </c>
      <c r="L38" s="134" t="s">
        <v>88</v>
      </c>
      <c r="M38" s="134" t="s">
        <v>88</v>
      </c>
      <c r="N38" s="134" t="s">
        <v>88</v>
      </c>
      <c r="O38" s="134" t="str">
        <f aca="false">IFERROR(I38-(J38+K38+L38+M38+N38),"")</f>
        <v/>
      </c>
      <c r="P38" s="135" t="str">
        <f aca="false">IFERROR(O38/I38,"")</f>
        <v/>
      </c>
      <c r="Q38" s="134" t="str">
        <f aca="false">IFERROR(IF(OR(I38="",S38="",S38="tbd"),"tbd",I38*IF(S38&lt;=1,S38,S38/100)),"–")</f>
        <v>–</v>
      </c>
      <c r="R38" s="148" t="s">
        <v>88</v>
      </c>
      <c r="S38" s="130" t="n">
        <v>0.1</v>
      </c>
      <c r="T38" s="131" t="s">
        <v>136</v>
      </c>
      <c r="U38" s="131" t="s">
        <v>88</v>
      </c>
      <c r="V38" s="131" t="s">
        <v>88</v>
      </c>
      <c r="W38" s="130" t="s">
        <v>296</v>
      </c>
      <c r="X38" s="131" t="s">
        <v>88</v>
      </c>
      <c r="Z38" s="1" t="str">
        <f aca="false">IF(AND(R38="WON",ISNUMBER(I38)),AA38,"")</f>
        <v/>
      </c>
      <c r="AA38" s="1" t="n">
        <f aca="false">IFERROR(I38*1,0)</f>
        <v>0</v>
      </c>
    </row>
    <row r="39" customFormat="false" ht="19.5" hidden="false" customHeight="true" outlineLevel="0" collapsed="false">
      <c r="A39" s="22" t="n">
        <v>30</v>
      </c>
      <c r="B39" s="23" t="s">
        <v>309</v>
      </c>
      <c r="C39" s="126" t="s">
        <v>44</v>
      </c>
      <c r="D39" s="23" t="s">
        <v>66</v>
      </c>
      <c r="E39" s="23" t="s">
        <v>88</v>
      </c>
      <c r="F39" s="127" t="s">
        <v>88</v>
      </c>
      <c r="G39" s="22" t="s">
        <v>88</v>
      </c>
      <c r="H39" s="22" t="s">
        <v>88</v>
      </c>
      <c r="I39" s="70" t="s">
        <v>88</v>
      </c>
      <c r="J39" s="70" t="s">
        <v>88</v>
      </c>
      <c r="K39" s="70" t="s">
        <v>88</v>
      </c>
      <c r="L39" s="70" t="s">
        <v>88</v>
      </c>
      <c r="M39" s="70" t="s">
        <v>88</v>
      </c>
      <c r="N39" s="70" t="s">
        <v>88</v>
      </c>
      <c r="O39" s="70" t="str">
        <f aca="false">IFERROR(I39-(J39+K39+L39+M39+N39),"")</f>
        <v/>
      </c>
      <c r="P39" s="127" t="str">
        <f aca="false">IFERROR(O39/I39,"")</f>
        <v/>
      </c>
      <c r="Q39" s="70" t="str">
        <f aca="false">IFERROR(IF(OR(I39="",S39="",S39="tbd"),"tbd",I39*IF(S39&lt;=1,S39,S39/100)),"–")</f>
        <v>–</v>
      </c>
      <c r="R39" s="148" t="s">
        <v>88</v>
      </c>
      <c r="S39" s="22" t="n">
        <v>0.1</v>
      </c>
      <c r="T39" s="23" t="s">
        <v>136</v>
      </c>
      <c r="U39" s="23" t="s">
        <v>88</v>
      </c>
      <c r="V39" s="23" t="s">
        <v>88</v>
      </c>
      <c r="W39" s="22" t="s">
        <v>296</v>
      </c>
      <c r="X39" s="23" t="s">
        <v>88</v>
      </c>
      <c r="Z39" s="1" t="str">
        <f aca="false">IF(AND(R39="WON",ISNUMBER(I39)),AA39,"")</f>
        <v/>
      </c>
      <c r="AA39" s="1" t="n">
        <f aca="false">IFERROR(I39*1,0)</f>
        <v>0</v>
      </c>
    </row>
    <row r="40" customFormat="false" ht="19.5" hidden="false" customHeight="true" outlineLevel="0" collapsed="false">
      <c r="A40" s="130" t="n">
        <v>31</v>
      </c>
      <c r="B40" s="131" t="s">
        <v>72</v>
      </c>
      <c r="C40" s="130" t="s">
        <v>72</v>
      </c>
      <c r="D40" s="131" t="s">
        <v>66</v>
      </c>
      <c r="E40" s="131" t="s">
        <v>88</v>
      </c>
      <c r="F40" s="135" t="s">
        <v>88</v>
      </c>
      <c r="G40" s="130" t="s">
        <v>88</v>
      </c>
      <c r="H40" s="130" t="s">
        <v>88</v>
      </c>
      <c r="I40" s="134" t="s">
        <v>88</v>
      </c>
      <c r="J40" s="134" t="s">
        <v>88</v>
      </c>
      <c r="K40" s="134" t="s">
        <v>88</v>
      </c>
      <c r="L40" s="134" t="s">
        <v>88</v>
      </c>
      <c r="M40" s="134" t="s">
        <v>88</v>
      </c>
      <c r="N40" s="134" t="s">
        <v>88</v>
      </c>
      <c r="O40" s="134" t="str">
        <f aca="false">IFERROR(I40-(J40+K40+L40+M40+N40),"")</f>
        <v/>
      </c>
      <c r="P40" s="135" t="str">
        <f aca="false">IFERROR(O40/I40,"")</f>
        <v/>
      </c>
      <c r="Q40" s="134" t="str">
        <f aca="false">IFERROR(IF(OR(I40="",S40="",S40="tbd"),"tbd",I40*IF(S40&lt;=1,S40,S40/100)),"–")</f>
        <v>–</v>
      </c>
      <c r="R40" s="148" t="s">
        <v>88</v>
      </c>
      <c r="S40" s="130" t="n">
        <v>0.1</v>
      </c>
      <c r="T40" s="131" t="s">
        <v>136</v>
      </c>
      <c r="U40" s="131" t="s">
        <v>88</v>
      </c>
      <c r="V40" s="131" t="s">
        <v>88</v>
      </c>
      <c r="W40" s="130" t="s">
        <v>296</v>
      </c>
      <c r="X40" s="131" t="s">
        <v>88</v>
      </c>
      <c r="Z40" s="1" t="str">
        <f aca="false">IF(AND(R40="WON",ISNUMBER(I40)),AA40,"")</f>
        <v/>
      </c>
      <c r="AA40" s="1" t="n">
        <f aca="false">IFERROR(I40*1,0)</f>
        <v>0</v>
      </c>
    </row>
    <row r="41" customFormat="false" ht="19.5" hidden="false" customHeight="true" outlineLevel="0" collapsed="false">
      <c r="A41" s="22" t="n">
        <v>32</v>
      </c>
      <c r="B41" s="23" t="s">
        <v>310</v>
      </c>
      <c r="C41" s="126" t="s">
        <v>72</v>
      </c>
      <c r="D41" s="23" t="s">
        <v>66</v>
      </c>
      <c r="E41" s="23" t="s">
        <v>88</v>
      </c>
      <c r="F41" s="127" t="s">
        <v>88</v>
      </c>
      <c r="G41" s="22" t="s">
        <v>88</v>
      </c>
      <c r="H41" s="22" t="s">
        <v>88</v>
      </c>
      <c r="I41" s="70" t="s">
        <v>88</v>
      </c>
      <c r="J41" s="70" t="s">
        <v>88</v>
      </c>
      <c r="K41" s="70" t="s">
        <v>88</v>
      </c>
      <c r="L41" s="70" t="s">
        <v>88</v>
      </c>
      <c r="M41" s="70" t="s">
        <v>88</v>
      </c>
      <c r="N41" s="70" t="s">
        <v>88</v>
      </c>
      <c r="O41" s="70" t="str">
        <f aca="false">IFERROR(I41-(J41+K41+L41+M41+N41),"")</f>
        <v/>
      </c>
      <c r="P41" s="127" t="str">
        <f aca="false">IFERROR(O41/I41,"")</f>
        <v/>
      </c>
      <c r="Q41" s="70" t="str">
        <f aca="false">IFERROR(IF(OR(I41="",S41="",S41="tbd"),"tbd",I41*IF(S41&lt;=1,S41,S41/100)),"–")</f>
        <v>–</v>
      </c>
      <c r="R41" s="148" t="s">
        <v>88</v>
      </c>
      <c r="S41" s="22" t="n">
        <v>0.1</v>
      </c>
      <c r="T41" s="23" t="s">
        <v>136</v>
      </c>
      <c r="U41" s="23" t="s">
        <v>88</v>
      </c>
      <c r="V41" s="23" t="s">
        <v>88</v>
      </c>
      <c r="W41" s="22" t="s">
        <v>296</v>
      </c>
      <c r="X41" s="23" t="s">
        <v>88</v>
      </c>
      <c r="Z41" s="1" t="str">
        <f aca="false">IF(AND(R41="WON",ISNUMBER(I41)),AA41,"")</f>
        <v/>
      </c>
      <c r="AA41" s="1" t="n">
        <f aca="false">IFERROR(I41*1,0)</f>
        <v>0</v>
      </c>
    </row>
    <row r="42" customFormat="false" ht="15" hidden="true" customHeight="true" outlineLevel="0" collapsed="false">
      <c r="A42" s="130"/>
      <c r="B42" s="131"/>
      <c r="C42" s="130"/>
      <c r="D42" s="131"/>
      <c r="E42" s="131"/>
      <c r="F42" s="132"/>
      <c r="G42" s="130"/>
      <c r="H42" s="133"/>
      <c r="I42" s="132"/>
      <c r="J42" s="132"/>
      <c r="K42" s="132"/>
      <c r="L42" s="132"/>
      <c r="M42" s="132"/>
      <c r="N42" s="132"/>
      <c r="O42" s="135" t="n">
        <f aca="false">IFERROR(I42-(J42+K42+L42+M42+N42),"")</f>
        <v>0</v>
      </c>
      <c r="P42" s="135" t="str">
        <f aca="false">IFERROR(O42/I42,"")</f>
        <v/>
      </c>
      <c r="Q42" s="135" t="str">
        <f aca="false">IFERROR(IF(OR(I42="",S42="",S42="tbd"),"tbd",I42*IF(S42&lt;=1,S42,S42/100)),"–")</f>
        <v>tbd</v>
      </c>
      <c r="R42" s="130"/>
      <c r="S42" s="130"/>
      <c r="T42" s="131"/>
      <c r="U42" s="131"/>
      <c r="V42" s="131"/>
      <c r="W42" s="130"/>
      <c r="X42" s="131"/>
      <c r="Z42" s="1" t="str">
        <f aca="false">IF(AND(R42="WON",ISNUMBER(I42)),AA42,"")</f>
        <v/>
      </c>
      <c r="AA42" s="1" t="n">
        <f aca="false">IFERROR(I42*1,0)</f>
        <v>0</v>
      </c>
    </row>
    <row r="43" customFormat="false" ht="15" hidden="true" customHeight="true" outlineLevel="0" collapsed="false">
      <c r="A43" s="130"/>
      <c r="B43" s="131"/>
      <c r="C43" s="130"/>
      <c r="D43" s="131"/>
      <c r="E43" s="131"/>
      <c r="F43" s="132"/>
      <c r="G43" s="130"/>
      <c r="H43" s="133"/>
      <c r="I43" s="132"/>
      <c r="J43" s="132"/>
      <c r="K43" s="132"/>
      <c r="L43" s="132"/>
      <c r="M43" s="132"/>
      <c r="N43" s="132"/>
      <c r="O43" s="135" t="n">
        <f aca="false">IFERROR(I43-(J43+K43+L43+M43+N43),"")</f>
        <v>0</v>
      </c>
      <c r="P43" s="135" t="str">
        <f aca="false">IFERROR(O43/I43,"")</f>
        <v/>
      </c>
      <c r="Q43" s="135" t="str">
        <f aca="false">IFERROR(IF(OR(I43="",S43="",S43="tbd"),"tbd",I43*IF(S43&lt;=1,S43,S43/100)),"–")</f>
        <v>tbd</v>
      </c>
      <c r="R43" s="130"/>
      <c r="S43" s="130"/>
      <c r="T43" s="131"/>
      <c r="U43" s="131"/>
      <c r="V43" s="131"/>
      <c r="W43" s="130"/>
      <c r="X43" s="131"/>
      <c r="Z43" s="1" t="str">
        <f aca="false">IF(AND(R43="WON",ISNUMBER(I43)),AA43,"")</f>
        <v/>
      </c>
      <c r="AA43" s="1" t="n">
        <f aca="false">IFERROR(I43*1,0)</f>
        <v>0</v>
      </c>
    </row>
    <row r="44" customFormat="false" ht="15" hidden="true" customHeight="true" outlineLevel="0" collapsed="false">
      <c r="A44" s="130"/>
      <c r="B44" s="131"/>
      <c r="C44" s="130"/>
      <c r="D44" s="131"/>
      <c r="E44" s="131"/>
      <c r="F44" s="132"/>
      <c r="G44" s="130"/>
      <c r="H44" s="133"/>
      <c r="I44" s="132"/>
      <c r="J44" s="132"/>
      <c r="K44" s="132"/>
      <c r="L44" s="132"/>
      <c r="M44" s="132"/>
      <c r="N44" s="132"/>
      <c r="O44" s="135" t="n">
        <f aca="false">IFERROR(I44-(J44+K44+L44+M44+N44),"")</f>
        <v>0</v>
      </c>
      <c r="P44" s="135" t="str">
        <f aca="false">IFERROR(O44/I44,"")</f>
        <v/>
      </c>
      <c r="Q44" s="135" t="str">
        <f aca="false">IFERROR(IF(OR(I44="",S44="",S44="tbd"),"tbd",I44*IF(S44&lt;=1,S44,S44/100)),"–")</f>
        <v>tbd</v>
      </c>
      <c r="R44" s="130"/>
      <c r="S44" s="130"/>
      <c r="T44" s="131"/>
      <c r="U44" s="131"/>
      <c r="V44" s="131"/>
      <c r="W44" s="130"/>
      <c r="X44" s="131"/>
      <c r="Z44" s="1" t="str">
        <f aca="false">IF(AND(R44="WON",ISNUMBER(I44)),AA44,"")</f>
        <v/>
      </c>
      <c r="AA44" s="1" t="n">
        <f aca="false">IFERROR(I44*1,0)</f>
        <v>0</v>
      </c>
    </row>
    <row r="45" customFormat="false" ht="15" hidden="true" customHeight="true" outlineLevel="0" collapsed="false">
      <c r="A45" s="130"/>
      <c r="B45" s="131"/>
      <c r="C45" s="130"/>
      <c r="D45" s="131"/>
      <c r="E45" s="131"/>
      <c r="F45" s="132"/>
      <c r="G45" s="130"/>
      <c r="H45" s="133"/>
      <c r="I45" s="132"/>
      <c r="J45" s="132"/>
      <c r="K45" s="132"/>
      <c r="L45" s="132"/>
      <c r="M45" s="132"/>
      <c r="N45" s="132"/>
      <c r="O45" s="135" t="n">
        <f aca="false">IFERROR(I45-(J45+K45+L45+M45+N45),"")</f>
        <v>0</v>
      </c>
      <c r="P45" s="135" t="str">
        <f aca="false">IFERROR(O45/I45,"")</f>
        <v/>
      </c>
      <c r="Q45" s="135" t="str">
        <f aca="false">IFERROR(IF(OR(I45="",S45="",S45="tbd"),"tbd",I45*IF(S45&lt;=1,S45,S45/100)),"–")</f>
        <v>tbd</v>
      </c>
      <c r="R45" s="130"/>
      <c r="S45" s="130"/>
      <c r="T45" s="131"/>
      <c r="U45" s="131"/>
      <c r="V45" s="131"/>
      <c r="W45" s="130"/>
      <c r="X45" s="131"/>
      <c r="Z45" s="1" t="str">
        <f aca="false">IF(AND(R45="WON",ISNUMBER(I45)),AA45,"")</f>
        <v/>
      </c>
      <c r="AA45" s="1" t="n">
        <f aca="false">IFERROR(I45*1,0)</f>
        <v>0</v>
      </c>
    </row>
    <row r="46" customFormat="false" ht="15" hidden="true" customHeight="true" outlineLevel="0" collapsed="false">
      <c r="A46" s="130"/>
      <c r="B46" s="131"/>
      <c r="C46" s="130"/>
      <c r="D46" s="131"/>
      <c r="E46" s="131"/>
      <c r="F46" s="132"/>
      <c r="G46" s="130"/>
      <c r="H46" s="133"/>
      <c r="I46" s="132"/>
      <c r="J46" s="132"/>
      <c r="K46" s="132"/>
      <c r="L46" s="132"/>
      <c r="M46" s="132"/>
      <c r="N46" s="132"/>
      <c r="O46" s="135" t="n">
        <f aca="false">IFERROR(I46-(J46+K46+L46+M46+N46),"")</f>
        <v>0</v>
      </c>
      <c r="P46" s="135" t="str">
        <f aca="false">IFERROR(O46/I46,"")</f>
        <v/>
      </c>
      <c r="Q46" s="135" t="str">
        <f aca="false">IFERROR(IF(OR(I46="",S46="",S46="tbd"),"tbd",I46*IF(S46&lt;=1,S46,S46/100)),"–")</f>
        <v>tbd</v>
      </c>
      <c r="R46" s="130"/>
      <c r="S46" s="130"/>
      <c r="T46" s="131"/>
      <c r="U46" s="131"/>
      <c r="V46" s="131"/>
      <c r="W46" s="130"/>
      <c r="X46" s="131"/>
      <c r="Z46" s="1" t="str">
        <f aca="false">IF(AND(R46="WON",ISNUMBER(I46)),AA46,"")</f>
        <v/>
      </c>
      <c r="AA46" s="1" t="n">
        <f aca="false">IFERROR(I46*1,0)</f>
        <v>0</v>
      </c>
    </row>
    <row r="47" customFormat="false" ht="15" hidden="true" customHeight="true" outlineLevel="0" collapsed="false">
      <c r="A47" s="130"/>
      <c r="B47" s="131"/>
      <c r="C47" s="130"/>
      <c r="D47" s="131"/>
      <c r="E47" s="131"/>
      <c r="F47" s="132"/>
      <c r="G47" s="130"/>
      <c r="H47" s="133"/>
      <c r="I47" s="132"/>
      <c r="J47" s="132"/>
      <c r="K47" s="132"/>
      <c r="L47" s="132"/>
      <c r="M47" s="132"/>
      <c r="N47" s="132"/>
      <c r="O47" s="135" t="n">
        <f aca="false">IFERROR(I47-(J47+K47+L47+M47+N47),"")</f>
        <v>0</v>
      </c>
      <c r="P47" s="135" t="str">
        <f aca="false">IFERROR(O47/I47,"")</f>
        <v/>
      </c>
      <c r="Q47" s="135" t="str">
        <f aca="false">IFERROR(IF(OR(I47="",S47="",S47="tbd"),"tbd",I47*IF(S47&lt;=1,S47,S47/100)),"–")</f>
        <v>tbd</v>
      </c>
      <c r="R47" s="130"/>
      <c r="S47" s="130"/>
      <c r="T47" s="131"/>
      <c r="U47" s="131"/>
      <c r="V47" s="131"/>
      <c r="W47" s="130"/>
      <c r="X47" s="131"/>
      <c r="Z47" s="1" t="str">
        <f aca="false">IF(AND(R47="WON",ISNUMBER(I47)),AA47,"")</f>
        <v/>
      </c>
      <c r="AA47" s="1" t="n">
        <f aca="false">IFERROR(I47*1,0)</f>
        <v>0</v>
      </c>
    </row>
    <row r="48" customFormat="false" ht="15" hidden="true" customHeight="true" outlineLevel="0" collapsed="false">
      <c r="A48" s="130"/>
      <c r="B48" s="131"/>
      <c r="C48" s="130"/>
      <c r="D48" s="131"/>
      <c r="E48" s="131"/>
      <c r="F48" s="132"/>
      <c r="G48" s="130"/>
      <c r="H48" s="133"/>
      <c r="I48" s="132"/>
      <c r="J48" s="132"/>
      <c r="K48" s="132"/>
      <c r="L48" s="132"/>
      <c r="M48" s="132"/>
      <c r="N48" s="132"/>
      <c r="O48" s="135" t="n">
        <f aca="false">IFERROR(I48-(J48+K48+L48+M48+N48),"")</f>
        <v>0</v>
      </c>
      <c r="P48" s="135" t="str">
        <f aca="false">IFERROR(O48/I48,"")</f>
        <v/>
      </c>
      <c r="Q48" s="135" t="str">
        <f aca="false">IFERROR(IF(OR(I48="",S48="",S48="tbd"),"tbd",I48*IF(S48&lt;=1,S48,S48/100)),"–")</f>
        <v>tbd</v>
      </c>
      <c r="R48" s="130"/>
      <c r="S48" s="130"/>
      <c r="T48" s="131"/>
      <c r="U48" s="131"/>
      <c r="V48" s="131"/>
      <c r="W48" s="130"/>
      <c r="X48" s="131"/>
      <c r="Z48" s="1" t="str">
        <f aca="false">IF(AND(R48="WON",ISNUMBER(I48)),AA48,"")</f>
        <v/>
      </c>
      <c r="AA48" s="1" t="n">
        <f aca="false">IFERROR(I48*1,0)</f>
        <v>0</v>
      </c>
    </row>
    <row r="49" customFormat="false" ht="15" hidden="true" customHeight="true" outlineLevel="0" collapsed="false">
      <c r="A49" s="130"/>
      <c r="B49" s="131"/>
      <c r="C49" s="130"/>
      <c r="D49" s="131"/>
      <c r="E49" s="131"/>
      <c r="F49" s="132"/>
      <c r="G49" s="130"/>
      <c r="H49" s="133"/>
      <c r="I49" s="132"/>
      <c r="J49" s="132"/>
      <c r="K49" s="132"/>
      <c r="L49" s="132"/>
      <c r="M49" s="132"/>
      <c r="N49" s="132"/>
      <c r="O49" s="135" t="n">
        <f aca="false">IFERROR(I49-(J49+K49+L49+M49+N49),"")</f>
        <v>0</v>
      </c>
      <c r="P49" s="135" t="str">
        <f aca="false">IFERROR(O49/I49,"")</f>
        <v/>
      </c>
      <c r="Q49" s="135" t="str">
        <f aca="false">IFERROR(IF(OR(I49="",S49="",S49="tbd"),"tbd",I49*IF(S49&lt;=1,S49,S49/100)),"–")</f>
        <v>tbd</v>
      </c>
      <c r="R49" s="130"/>
      <c r="S49" s="130"/>
      <c r="T49" s="131"/>
      <c r="U49" s="131"/>
      <c r="V49" s="131"/>
      <c r="W49" s="130"/>
      <c r="X49" s="131"/>
      <c r="Z49" s="1" t="str">
        <f aca="false">IF(AND(R49="WON",ISNUMBER(I49)),AA49,"")</f>
        <v/>
      </c>
      <c r="AA49" s="1" t="n">
        <f aca="false">IFERROR(I49*1,0)</f>
        <v>0</v>
      </c>
    </row>
    <row r="50" customFormat="false" ht="15" hidden="true" customHeight="true" outlineLevel="0" collapsed="false">
      <c r="A50" s="130"/>
      <c r="B50" s="131"/>
      <c r="C50" s="130"/>
      <c r="D50" s="131"/>
      <c r="E50" s="131"/>
      <c r="F50" s="132"/>
      <c r="G50" s="130"/>
      <c r="H50" s="133"/>
      <c r="I50" s="132"/>
      <c r="J50" s="132"/>
      <c r="K50" s="132"/>
      <c r="L50" s="132"/>
      <c r="M50" s="132"/>
      <c r="N50" s="132"/>
      <c r="O50" s="135" t="n">
        <f aca="false">IFERROR(I50-(J50+K50+L50+M50+N50),"")</f>
        <v>0</v>
      </c>
      <c r="P50" s="135" t="str">
        <f aca="false">IFERROR(O50/I50,"")</f>
        <v/>
      </c>
      <c r="Q50" s="135" t="str">
        <f aca="false">IFERROR(IF(OR(I50="",S50="",S50="tbd"),"tbd",I50*IF(S50&lt;=1,S50,S50/100)),"–")</f>
        <v>tbd</v>
      </c>
      <c r="R50" s="130"/>
      <c r="S50" s="130"/>
      <c r="T50" s="131"/>
      <c r="U50" s="131"/>
      <c r="V50" s="131"/>
      <c r="W50" s="130"/>
      <c r="X50" s="131"/>
      <c r="Z50" s="1" t="str">
        <f aca="false">IF(AND(R50="WON",ISNUMBER(I50)),AA50,"")</f>
        <v/>
      </c>
      <c r="AA50" s="1" t="n">
        <f aca="false">IFERROR(I50*1,0)</f>
        <v>0</v>
      </c>
    </row>
    <row r="51" customFormat="false" ht="15" hidden="true" customHeight="true" outlineLevel="0" collapsed="false">
      <c r="A51" s="130"/>
      <c r="B51" s="131"/>
      <c r="C51" s="130"/>
      <c r="D51" s="131"/>
      <c r="E51" s="131"/>
      <c r="F51" s="132"/>
      <c r="G51" s="130"/>
      <c r="H51" s="133"/>
      <c r="I51" s="132"/>
      <c r="J51" s="132"/>
      <c r="K51" s="132"/>
      <c r="L51" s="132"/>
      <c r="M51" s="132"/>
      <c r="N51" s="132"/>
      <c r="O51" s="135" t="n">
        <f aca="false">IFERROR(I51-(J51+K51+L51+M51+N51),"")</f>
        <v>0</v>
      </c>
      <c r="P51" s="135" t="str">
        <f aca="false">IFERROR(O51/I51,"")</f>
        <v/>
      </c>
      <c r="Q51" s="135" t="str">
        <f aca="false">IFERROR(IF(OR(I51="",S51="",S51="tbd"),"tbd",I51*IF(S51&lt;=1,S51,S51/100)),"–")</f>
        <v>tbd</v>
      </c>
      <c r="R51" s="130"/>
      <c r="S51" s="130"/>
      <c r="T51" s="131"/>
      <c r="U51" s="131"/>
      <c r="V51" s="131"/>
      <c r="W51" s="130"/>
      <c r="X51" s="131"/>
      <c r="Z51" s="1" t="str">
        <f aca="false">IF(AND(R51="WON",ISNUMBER(I51)),AA51,"")</f>
        <v/>
      </c>
      <c r="AA51" s="1" t="n">
        <f aca="false">IFERROR(I51*1,0)</f>
        <v>0</v>
      </c>
    </row>
    <row r="52" customFormat="false" ht="15" hidden="true" customHeight="true" outlineLevel="0" collapsed="false">
      <c r="A52" s="130"/>
      <c r="B52" s="131"/>
      <c r="C52" s="130"/>
      <c r="D52" s="131"/>
      <c r="E52" s="131"/>
      <c r="F52" s="132"/>
      <c r="G52" s="130"/>
      <c r="H52" s="133"/>
      <c r="I52" s="132"/>
      <c r="J52" s="132"/>
      <c r="K52" s="132"/>
      <c r="L52" s="132"/>
      <c r="M52" s="132"/>
      <c r="N52" s="132"/>
      <c r="O52" s="135" t="n">
        <f aca="false">IFERROR(I52-(J52+K52+L52+M52+N52),"")</f>
        <v>0</v>
      </c>
      <c r="P52" s="135" t="str">
        <f aca="false">IFERROR(O52/I52,"")</f>
        <v/>
      </c>
      <c r="Q52" s="135" t="str">
        <f aca="false">IFERROR(IF(OR(I52="",S52="",S52="tbd"),"tbd",I52*IF(S52&lt;=1,S52,S52/100)),"–")</f>
        <v>tbd</v>
      </c>
      <c r="R52" s="130"/>
      <c r="S52" s="130"/>
      <c r="T52" s="131"/>
      <c r="U52" s="131"/>
      <c r="V52" s="131"/>
      <c r="W52" s="130"/>
      <c r="X52" s="131"/>
      <c r="Z52" s="1" t="str">
        <f aca="false">IF(AND(R52="WON",ISNUMBER(I52)),AA52,"")</f>
        <v/>
      </c>
      <c r="AA52" s="1" t="n">
        <f aca="false">IFERROR(I52*1,0)</f>
        <v>0</v>
      </c>
    </row>
    <row r="53" customFormat="false" ht="15" hidden="true" customHeight="true" outlineLevel="0" collapsed="false">
      <c r="A53" s="130"/>
      <c r="B53" s="131"/>
      <c r="C53" s="130"/>
      <c r="D53" s="131"/>
      <c r="E53" s="131"/>
      <c r="F53" s="132"/>
      <c r="G53" s="130"/>
      <c r="H53" s="133"/>
      <c r="I53" s="132"/>
      <c r="J53" s="132"/>
      <c r="K53" s="132"/>
      <c r="L53" s="132"/>
      <c r="M53" s="132"/>
      <c r="N53" s="132"/>
      <c r="O53" s="135" t="n">
        <f aca="false">IFERROR(I53-(J53+K53+L53+M53+N53),"")</f>
        <v>0</v>
      </c>
      <c r="P53" s="135" t="str">
        <f aca="false">IFERROR(O53/I53,"")</f>
        <v/>
      </c>
      <c r="Q53" s="135" t="str">
        <f aca="false">IFERROR(IF(OR(I53="",S53="",S53="tbd"),"tbd",I53*IF(S53&lt;=1,S53,S53/100)),"–")</f>
        <v>tbd</v>
      </c>
      <c r="R53" s="130"/>
      <c r="S53" s="130"/>
      <c r="T53" s="131"/>
      <c r="U53" s="131"/>
      <c r="V53" s="131"/>
      <c r="W53" s="130"/>
      <c r="X53" s="131"/>
      <c r="Z53" s="1" t="str">
        <f aca="false">IF(AND(R53="WON",ISNUMBER(I53)),AA53,"")</f>
        <v/>
      </c>
      <c r="AA53" s="1" t="n">
        <f aca="false">IFERROR(I53*1,0)</f>
        <v>0</v>
      </c>
    </row>
    <row r="54" customFormat="false" ht="15" hidden="true" customHeight="true" outlineLevel="0" collapsed="false">
      <c r="A54" s="130"/>
      <c r="B54" s="131"/>
      <c r="C54" s="130"/>
      <c r="D54" s="131"/>
      <c r="E54" s="131"/>
      <c r="F54" s="132"/>
      <c r="G54" s="130"/>
      <c r="H54" s="133"/>
      <c r="I54" s="132"/>
      <c r="J54" s="132"/>
      <c r="K54" s="132"/>
      <c r="L54" s="132"/>
      <c r="M54" s="132"/>
      <c r="N54" s="132"/>
      <c r="O54" s="135" t="n">
        <f aca="false">IFERROR(I54-(J54+K54+L54+M54+N54),"")</f>
        <v>0</v>
      </c>
      <c r="P54" s="135" t="str">
        <f aca="false">IFERROR(O54/I54,"")</f>
        <v/>
      </c>
      <c r="Q54" s="135" t="str">
        <f aca="false">IFERROR(IF(OR(I54="",S54="",S54="tbd"),"tbd",I54*IF(S54&lt;=1,S54,S54/100)),"–")</f>
        <v>tbd</v>
      </c>
      <c r="R54" s="130"/>
      <c r="S54" s="130"/>
      <c r="T54" s="131"/>
      <c r="U54" s="131"/>
      <c r="V54" s="131"/>
      <c r="W54" s="130"/>
      <c r="X54" s="131"/>
      <c r="Z54" s="1" t="str">
        <f aca="false">IF(AND(R54="WON",ISNUMBER(I54)),AA54,"")</f>
        <v/>
      </c>
      <c r="AA54" s="1" t="n">
        <f aca="false">IFERROR(I54*1,0)</f>
        <v>0</v>
      </c>
    </row>
    <row r="55" customFormat="false" ht="15" hidden="true" customHeight="true" outlineLevel="0" collapsed="false">
      <c r="A55" s="130"/>
      <c r="B55" s="131"/>
      <c r="C55" s="130"/>
      <c r="D55" s="131"/>
      <c r="E55" s="131"/>
      <c r="F55" s="132"/>
      <c r="G55" s="130"/>
      <c r="H55" s="133"/>
      <c r="I55" s="132"/>
      <c r="J55" s="132"/>
      <c r="K55" s="132"/>
      <c r="L55" s="132"/>
      <c r="M55" s="132"/>
      <c r="N55" s="132"/>
      <c r="O55" s="135" t="n">
        <f aca="false">IFERROR(I55-(J55+K55+L55+M55+N55),"")</f>
        <v>0</v>
      </c>
      <c r="P55" s="135" t="str">
        <f aca="false">IFERROR(O55/I55,"")</f>
        <v/>
      </c>
      <c r="Q55" s="135" t="str">
        <f aca="false">IFERROR(IF(OR(I55="",S55="",S55="tbd"),"tbd",I55*IF(S55&lt;=1,S55,S55/100)),"–")</f>
        <v>tbd</v>
      </c>
      <c r="R55" s="130"/>
      <c r="S55" s="130"/>
      <c r="T55" s="131"/>
      <c r="U55" s="131"/>
      <c r="V55" s="131"/>
      <c r="W55" s="130"/>
      <c r="X55" s="131"/>
      <c r="Z55" s="1" t="str">
        <f aca="false">IF(AND(R55="WON",ISNUMBER(I55)),AA55,"")</f>
        <v/>
      </c>
      <c r="AA55" s="1" t="n">
        <f aca="false">IFERROR(I55*1,0)</f>
        <v>0</v>
      </c>
    </row>
    <row r="56" customFormat="false" ht="15" hidden="true" customHeight="true" outlineLevel="0" collapsed="false">
      <c r="A56" s="130"/>
      <c r="B56" s="131"/>
      <c r="C56" s="130"/>
      <c r="D56" s="131"/>
      <c r="E56" s="131"/>
      <c r="F56" s="132"/>
      <c r="G56" s="130"/>
      <c r="H56" s="133"/>
      <c r="I56" s="132"/>
      <c r="J56" s="132"/>
      <c r="K56" s="132"/>
      <c r="L56" s="132"/>
      <c r="M56" s="132"/>
      <c r="N56" s="132"/>
      <c r="O56" s="135" t="n">
        <f aca="false">IFERROR(I56-(J56+K56+L56+M56+N56),"")</f>
        <v>0</v>
      </c>
      <c r="P56" s="135" t="str">
        <f aca="false">IFERROR(O56/I56,"")</f>
        <v/>
      </c>
      <c r="Q56" s="135" t="str">
        <f aca="false">IFERROR(IF(OR(I56="",S56="",S56="tbd"),"tbd",I56*IF(S56&lt;=1,S56,S56/100)),"–")</f>
        <v>tbd</v>
      </c>
      <c r="R56" s="130"/>
      <c r="S56" s="130"/>
      <c r="T56" s="131"/>
      <c r="U56" s="131"/>
      <c r="V56" s="131"/>
      <c r="W56" s="130"/>
      <c r="X56" s="131"/>
      <c r="Z56" s="1" t="str">
        <f aca="false">IF(AND(R56="WON",ISNUMBER(I56)),AA56,"")</f>
        <v/>
      </c>
      <c r="AA56" s="1" t="n">
        <f aca="false">IFERROR(I56*1,0)</f>
        <v>0</v>
      </c>
    </row>
    <row r="57" customFormat="false" ht="15" hidden="true" customHeight="true" outlineLevel="0" collapsed="false">
      <c r="A57" s="130"/>
      <c r="B57" s="131"/>
      <c r="C57" s="130"/>
      <c r="D57" s="131"/>
      <c r="E57" s="131"/>
      <c r="F57" s="132"/>
      <c r="G57" s="130"/>
      <c r="H57" s="133"/>
      <c r="I57" s="132"/>
      <c r="J57" s="132"/>
      <c r="K57" s="132"/>
      <c r="L57" s="132"/>
      <c r="M57" s="132"/>
      <c r="N57" s="132"/>
      <c r="O57" s="135" t="n">
        <f aca="false">IFERROR(I57-(J57+K57+L57+M57+N57),"")</f>
        <v>0</v>
      </c>
      <c r="P57" s="135" t="str">
        <f aca="false">IFERROR(O57/I57,"")</f>
        <v/>
      </c>
      <c r="Q57" s="135" t="str">
        <f aca="false">IFERROR(IF(OR(I57="",S57="",S57="tbd"),"tbd",I57*IF(S57&lt;=1,S57,S57/100)),"–")</f>
        <v>tbd</v>
      </c>
      <c r="R57" s="130"/>
      <c r="S57" s="130"/>
      <c r="T57" s="131"/>
      <c r="U57" s="131"/>
      <c r="V57" s="131"/>
      <c r="W57" s="130"/>
      <c r="X57" s="131"/>
      <c r="Z57" s="1" t="str">
        <f aca="false">IF(AND(R57="WON",ISNUMBER(I57)),AA57,"")</f>
        <v/>
      </c>
      <c r="AA57" s="1" t="n">
        <f aca="false">IFERROR(I57*1,0)</f>
        <v>0</v>
      </c>
    </row>
    <row r="58" customFormat="false" ht="15" hidden="true" customHeight="true" outlineLevel="0" collapsed="false">
      <c r="A58" s="130"/>
      <c r="B58" s="131"/>
      <c r="C58" s="130"/>
      <c r="D58" s="131"/>
      <c r="E58" s="131"/>
      <c r="F58" s="132"/>
      <c r="G58" s="130"/>
      <c r="H58" s="133"/>
      <c r="I58" s="132"/>
      <c r="J58" s="132"/>
      <c r="K58" s="132"/>
      <c r="L58" s="132"/>
      <c r="M58" s="132"/>
      <c r="N58" s="132"/>
      <c r="O58" s="135" t="n">
        <f aca="false">IFERROR(I58-(J58+K58+L58+M58+N58),"")</f>
        <v>0</v>
      </c>
      <c r="P58" s="135" t="str">
        <f aca="false">IFERROR(O58/I58,"")</f>
        <v/>
      </c>
      <c r="Q58" s="135" t="str">
        <f aca="false">IFERROR(IF(OR(I58="",S58="",S58="tbd"),"tbd",I58*IF(S58&lt;=1,S58,S58/100)),"–")</f>
        <v>tbd</v>
      </c>
      <c r="R58" s="130"/>
      <c r="S58" s="130"/>
      <c r="T58" s="131"/>
      <c r="U58" s="131"/>
      <c r="V58" s="131"/>
      <c r="W58" s="130"/>
      <c r="X58" s="131"/>
      <c r="Z58" s="1" t="str">
        <f aca="false">IF(AND(R58="WON",ISNUMBER(I58)),AA58,"")</f>
        <v/>
      </c>
      <c r="AA58" s="1" t="n">
        <f aca="false">IFERROR(I58*1,0)</f>
        <v>0</v>
      </c>
    </row>
    <row r="59" customFormat="false" ht="15" hidden="true" customHeight="true" outlineLevel="0" collapsed="false">
      <c r="A59" s="130"/>
      <c r="B59" s="131"/>
      <c r="C59" s="130"/>
      <c r="D59" s="131"/>
      <c r="E59" s="131"/>
      <c r="F59" s="132"/>
      <c r="G59" s="130"/>
      <c r="H59" s="133"/>
      <c r="I59" s="132"/>
      <c r="J59" s="132"/>
      <c r="K59" s="132"/>
      <c r="L59" s="132"/>
      <c r="M59" s="132"/>
      <c r="N59" s="132"/>
      <c r="O59" s="135" t="n">
        <f aca="false">IFERROR(I59-(J59+K59+L59+M59+N59),"")</f>
        <v>0</v>
      </c>
      <c r="P59" s="135" t="str">
        <f aca="false">IFERROR(O59/I59,"")</f>
        <v/>
      </c>
      <c r="Q59" s="135" t="str">
        <f aca="false">IFERROR(IF(OR(I59="",S59="",S59="tbd"),"tbd",I59*IF(S59&lt;=1,S59,S59/100)),"–")</f>
        <v>tbd</v>
      </c>
      <c r="R59" s="130"/>
      <c r="S59" s="130"/>
      <c r="T59" s="131"/>
      <c r="U59" s="131"/>
      <c r="V59" s="131"/>
      <c r="W59" s="130"/>
      <c r="X59" s="131"/>
      <c r="Z59" s="1" t="str">
        <f aca="false">IF(AND(R59="WON",ISNUMBER(I59)),AA59,"")</f>
        <v/>
      </c>
      <c r="AA59" s="1" t="n">
        <f aca="false">IFERROR(I59*1,0)</f>
        <v>0</v>
      </c>
    </row>
    <row r="60" customFormat="false" ht="15" hidden="true" customHeight="true" outlineLevel="0" collapsed="false">
      <c r="A60" s="130"/>
      <c r="B60" s="131"/>
      <c r="C60" s="130"/>
      <c r="D60" s="131"/>
      <c r="E60" s="131"/>
      <c r="F60" s="132"/>
      <c r="G60" s="130"/>
      <c r="H60" s="133"/>
      <c r="I60" s="132"/>
      <c r="J60" s="132"/>
      <c r="K60" s="132"/>
      <c r="L60" s="132"/>
      <c r="M60" s="132"/>
      <c r="N60" s="132"/>
      <c r="O60" s="135" t="n">
        <f aca="false">IFERROR(I60-(J60+K60+L60+M60+N60),"")</f>
        <v>0</v>
      </c>
      <c r="P60" s="135" t="str">
        <f aca="false">IFERROR(O60/I60,"")</f>
        <v/>
      </c>
      <c r="Q60" s="135" t="str">
        <f aca="false">IFERROR(IF(OR(I60="",S60="",S60="tbd"),"tbd",I60*IF(S60&lt;=1,S60,S60/100)),"–")</f>
        <v>tbd</v>
      </c>
      <c r="R60" s="130"/>
      <c r="S60" s="130"/>
      <c r="T60" s="131"/>
      <c r="U60" s="131"/>
      <c r="V60" s="131"/>
      <c r="W60" s="130"/>
      <c r="X60" s="131"/>
      <c r="Z60" s="1" t="str">
        <f aca="false">IF(AND(R60="WON",ISNUMBER(I60)),AA60,"")</f>
        <v/>
      </c>
      <c r="AA60" s="1" t="n">
        <f aca="false">IFERROR(I60*1,0)</f>
        <v>0</v>
      </c>
    </row>
    <row r="61" customFormat="false" ht="15" hidden="true" customHeight="true" outlineLevel="0" collapsed="false">
      <c r="A61" s="130"/>
      <c r="B61" s="131"/>
      <c r="C61" s="130"/>
      <c r="D61" s="131"/>
      <c r="E61" s="131"/>
      <c r="F61" s="132"/>
      <c r="G61" s="130"/>
      <c r="H61" s="133"/>
      <c r="I61" s="132"/>
      <c r="J61" s="132"/>
      <c r="K61" s="132"/>
      <c r="L61" s="132"/>
      <c r="M61" s="132"/>
      <c r="N61" s="132"/>
      <c r="O61" s="135" t="n">
        <f aca="false">IFERROR(I61-(J61+K61+L61+M61+N61),"")</f>
        <v>0</v>
      </c>
      <c r="P61" s="135" t="str">
        <f aca="false">IFERROR(O61/I61,"")</f>
        <v/>
      </c>
      <c r="Q61" s="135" t="str">
        <f aca="false">IFERROR(IF(OR(I61="",S61="",S61="tbd"),"tbd",I61*IF(S61&lt;=1,S61,S61/100)),"–")</f>
        <v>tbd</v>
      </c>
      <c r="R61" s="130"/>
      <c r="S61" s="130"/>
      <c r="T61" s="131"/>
      <c r="U61" s="131"/>
      <c r="V61" s="131"/>
      <c r="W61" s="130"/>
      <c r="X61" s="131"/>
      <c r="Z61" s="1" t="str">
        <f aca="false">IF(AND(R61="WON",ISNUMBER(I61)),AA61,"")</f>
        <v/>
      </c>
      <c r="AA61" s="1" t="n">
        <f aca="false">IFERROR(I61*1,0)</f>
        <v>0</v>
      </c>
    </row>
    <row r="62" customFormat="false" ht="15" hidden="true" customHeight="true" outlineLevel="0" collapsed="false">
      <c r="A62" s="130"/>
      <c r="B62" s="131"/>
      <c r="C62" s="130"/>
      <c r="D62" s="131"/>
      <c r="E62" s="131"/>
      <c r="F62" s="132"/>
      <c r="G62" s="130"/>
      <c r="H62" s="133"/>
      <c r="I62" s="132"/>
      <c r="J62" s="132"/>
      <c r="K62" s="132"/>
      <c r="L62" s="132"/>
      <c r="M62" s="132"/>
      <c r="N62" s="132"/>
      <c r="O62" s="135" t="n">
        <f aca="false">IFERROR(I62-(J62+K62+L62+M62+N62),"")</f>
        <v>0</v>
      </c>
      <c r="P62" s="135" t="str">
        <f aca="false">IFERROR(O62/I62,"")</f>
        <v/>
      </c>
      <c r="Q62" s="135" t="str">
        <f aca="false">IFERROR(IF(OR(I62="",S62="",S62="tbd"),"tbd",I62*IF(S62&lt;=1,S62,S62/100)),"–")</f>
        <v>tbd</v>
      </c>
      <c r="R62" s="130"/>
      <c r="S62" s="130"/>
      <c r="T62" s="131"/>
      <c r="U62" s="131"/>
      <c r="V62" s="131"/>
      <c r="W62" s="130"/>
      <c r="X62" s="131"/>
      <c r="Z62" s="1" t="str">
        <f aca="false">IF(AND(R62="WON",ISNUMBER(I62)),AA62,"")</f>
        <v/>
      </c>
      <c r="AA62" s="1" t="n">
        <f aca="false">IFERROR(I62*1,0)</f>
        <v>0</v>
      </c>
    </row>
    <row r="63" customFormat="false" ht="15" hidden="true" customHeight="true" outlineLevel="0" collapsed="false">
      <c r="A63" s="130"/>
      <c r="B63" s="131"/>
      <c r="C63" s="130"/>
      <c r="D63" s="131"/>
      <c r="E63" s="131"/>
      <c r="F63" s="132"/>
      <c r="G63" s="130"/>
      <c r="H63" s="133"/>
      <c r="I63" s="132"/>
      <c r="J63" s="132"/>
      <c r="K63" s="132"/>
      <c r="L63" s="132"/>
      <c r="M63" s="132"/>
      <c r="N63" s="132"/>
      <c r="O63" s="135" t="n">
        <f aca="false">IFERROR(I63-(J63+K63+L63+M63+N63),"")</f>
        <v>0</v>
      </c>
      <c r="P63" s="135" t="str">
        <f aca="false">IFERROR(O63/I63,"")</f>
        <v/>
      </c>
      <c r="Q63" s="135" t="str">
        <f aca="false">IFERROR(IF(OR(I63="",S63="",S63="tbd"),"tbd",I63*IF(S63&lt;=1,S63,S63/100)),"–")</f>
        <v>tbd</v>
      </c>
      <c r="R63" s="130"/>
      <c r="S63" s="130"/>
      <c r="T63" s="131"/>
      <c r="U63" s="131"/>
      <c r="V63" s="131"/>
      <c r="W63" s="130"/>
      <c r="X63" s="131"/>
      <c r="Z63" s="1" t="str">
        <f aca="false">IF(AND(R63="WON",ISNUMBER(I63)),AA63,"")</f>
        <v/>
      </c>
      <c r="AA63" s="1" t="n">
        <f aca="false">IFERROR(I63*1,0)</f>
        <v>0</v>
      </c>
    </row>
    <row r="64" customFormat="false" ht="15" hidden="true" customHeight="true" outlineLevel="0" collapsed="false">
      <c r="A64" s="130"/>
      <c r="B64" s="131"/>
      <c r="C64" s="130"/>
      <c r="D64" s="131"/>
      <c r="E64" s="131"/>
      <c r="F64" s="132"/>
      <c r="G64" s="130"/>
      <c r="H64" s="133"/>
      <c r="I64" s="132"/>
      <c r="J64" s="132"/>
      <c r="K64" s="132"/>
      <c r="L64" s="132"/>
      <c r="M64" s="132"/>
      <c r="N64" s="132"/>
      <c r="O64" s="135" t="n">
        <f aca="false">IFERROR(I64-(J64+K64+L64+M64+N64),"")</f>
        <v>0</v>
      </c>
      <c r="P64" s="135" t="str">
        <f aca="false">IFERROR(O64/I64,"")</f>
        <v/>
      </c>
      <c r="Q64" s="135" t="str">
        <f aca="false">IFERROR(IF(OR(I64="",S64="",S64="tbd"),"tbd",I64*IF(S64&lt;=1,S64,S64/100)),"–")</f>
        <v>tbd</v>
      </c>
      <c r="R64" s="130"/>
      <c r="S64" s="130"/>
      <c r="T64" s="131"/>
      <c r="U64" s="131"/>
      <c r="V64" s="131"/>
      <c r="W64" s="130"/>
      <c r="X64" s="131"/>
      <c r="Z64" s="1" t="str">
        <f aca="false">IF(AND(R64="WON",ISNUMBER(I64)),AA64,"")</f>
        <v/>
      </c>
      <c r="AA64" s="1" t="n">
        <f aca="false">IFERROR(I64*1,0)</f>
        <v>0</v>
      </c>
    </row>
    <row r="65" customFormat="false" ht="15" hidden="true" customHeight="true" outlineLevel="0" collapsed="false">
      <c r="A65" s="130"/>
      <c r="B65" s="131"/>
      <c r="C65" s="130"/>
      <c r="D65" s="131"/>
      <c r="E65" s="131"/>
      <c r="F65" s="132"/>
      <c r="G65" s="130"/>
      <c r="H65" s="133"/>
      <c r="I65" s="132"/>
      <c r="J65" s="132"/>
      <c r="K65" s="132"/>
      <c r="L65" s="132"/>
      <c r="M65" s="132"/>
      <c r="N65" s="132"/>
      <c r="O65" s="135" t="n">
        <f aca="false">IFERROR(I65-(J65+K65+L65+M65+N65),"")</f>
        <v>0</v>
      </c>
      <c r="P65" s="135" t="str">
        <f aca="false">IFERROR(O65/I65,"")</f>
        <v/>
      </c>
      <c r="Q65" s="135" t="str">
        <f aca="false">IFERROR(IF(OR(I65="",S65="",S65="tbd"),"tbd",I65*IF(S65&lt;=1,S65,S65/100)),"–")</f>
        <v>tbd</v>
      </c>
      <c r="R65" s="130"/>
      <c r="S65" s="130"/>
      <c r="T65" s="131"/>
      <c r="U65" s="131"/>
      <c r="V65" s="131"/>
      <c r="W65" s="130"/>
      <c r="X65" s="131"/>
      <c r="Z65" s="1" t="str">
        <f aca="false">IF(AND(R65="WON",ISNUMBER(I65)),AA65,"")</f>
        <v/>
      </c>
      <c r="AA65" s="1" t="n">
        <f aca="false">IFERROR(I65*1,0)</f>
        <v>0</v>
      </c>
    </row>
    <row r="66" customFormat="false" ht="15" hidden="true" customHeight="true" outlineLevel="0" collapsed="false">
      <c r="A66" s="130"/>
      <c r="B66" s="131"/>
      <c r="C66" s="130"/>
      <c r="D66" s="131"/>
      <c r="E66" s="131"/>
      <c r="F66" s="132"/>
      <c r="G66" s="130"/>
      <c r="H66" s="133"/>
      <c r="I66" s="132"/>
      <c r="J66" s="132"/>
      <c r="K66" s="132"/>
      <c r="L66" s="132"/>
      <c r="M66" s="132"/>
      <c r="N66" s="132"/>
      <c r="O66" s="135" t="n">
        <f aca="false">IFERROR(I66-(J66+K66+L66+M66+N66),"")</f>
        <v>0</v>
      </c>
      <c r="P66" s="135" t="str">
        <f aca="false">IFERROR(O66/I66,"")</f>
        <v/>
      </c>
      <c r="Q66" s="135" t="str">
        <f aca="false">IFERROR(IF(OR(I66="",S66="",S66="tbd"),"tbd",I66*IF(S66&lt;=1,S66,S66/100)),"–")</f>
        <v>tbd</v>
      </c>
      <c r="R66" s="130"/>
      <c r="S66" s="130"/>
      <c r="T66" s="131"/>
      <c r="U66" s="131"/>
      <c r="V66" s="131"/>
      <c r="W66" s="130"/>
      <c r="X66" s="131"/>
      <c r="Z66" s="1" t="str">
        <f aca="false">IF(AND(R66="WON",ISNUMBER(I66)),AA66,"")</f>
        <v/>
      </c>
      <c r="AA66" s="1" t="n">
        <f aca="false">IFERROR(I66*1,0)</f>
        <v>0</v>
      </c>
    </row>
    <row r="67" customFormat="false" ht="15" hidden="true" customHeight="true" outlineLevel="0" collapsed="false">
      <c r="A67" s="130"/>
      <c r="B67" s="131"/>
      <c r="C67" s="130"/>
      <c r="D67" s="131"/>
      <c r="E67" s="131"/>
      <c r="F67" s="132"/>
      <c r="G67" s="130"/>
      <c r="H67" s="133"/>
      <c r="I67" s="132"/>
      <c r="J67" s="132"/>
      <c r="K67" s="132"/>
      <c r="L67" s="132"/>
      <c r="M67" s="132"/>
      <c r="N67" s="132"/>
      <c r="O67" s="135" t="n">
        <f aca="false">IFERROR(I67-(J67+K67+L67+M67+N67),"")</f>
        <v>0</v>
      </c>
      <c r="P67" s="135" t="str">
        <f aca="false">IFERROR(O67/I67,"")</f>
        <v/>
      </c>
      <c r="Q67" s="135" t="str">
        <f aca="false">IFERROR(IF(OR(I67="",S67="",S67="tbd"),"tbd",I67*IF(S67&lt;=1,S67,S67/100)),"–")</f>
        <v>tbd</v>
      </c>
      <c r="R67" s="130"/>
      <c r="S67" s="130"/>
      <c r="T67" s="131"/>
      <c r="U67" s="131"/>
      <c r="V67" s="131"/>
      <c r="W67" s="130"/>
      <c r="X67" s="131"/>
      <c r="Z67" s="1" t="str">
        <f aca="false">IF(AND(R67="WON",ISNUMBER(I67)),AA67,"")</f>
        <v/>
      </c>
      <c r="AA67" s="1" t="n">
        <f aca="false">IFERROR(I67*1,0)</f>
        <v>0</v>
      </c>
    </row>
    <row r="68" customFormat="false" ht="15" hidden="true" customHeight="true" outlineLevel="0" collapsed="false">
      <c r="A68" s="130"/>
      <c r="B68" s="131"/>
      <c r="C68" s="130"/>
      <c r="D68" s="131"/>
      <c r="E68" s="131"/>
      <c r="F68" s="132"/>
      <c r="G68" s="130"/>
      <c r="H68" s="133"/>
      <c r="I68" s="132"/>
      <c r="J68" s="132"/>
      <c r="K68" s="132"/>
      <c r="L68" s="132"/>
      <c r="M68" s="132"/>
      <c r="N68" s="132"/>
      <c r="O68" s="135" t="n">
        <f aca="false">IFERROR(I68-(J68+K68+L68+M68+N68),"")</f>
        <v>0</v>
      </c>
      <c r="P68" s="135" t="str">
        <f aca="false">IFERROR(O68/I68,"")</f>
        <v/>
      </c>
      <c r="Q68" s="135" t="str">
        <f aca="false">IFERROR(IF(OR(I68="",S68="",S68="tbd"),"tbd",I68*IF(S68&lt;=1,S68,S68/100)),"–")</f>
        <v>tbd</v>
      </c>
      <c r="R68" s="130"/>
      <c r="S68" s="130"/>
      <c r="T68" s="131"/>
      <c r="U68" s="131"/>
      <c r="V68" s="131"/>
      <c r="W68" s="130"/>
      <c r="X68" s="131"/>
      <c r="Z68" s="1" t="str">
        <f aca="false">IF(AND(R68="WON",ISNUMBER(I68)),AA68,"")</f>
        <v/>
      </c>
      <c r="AA68" s="1" t="n">
        <f aca="false">IFERROR(I68*1,0)</f>
        <v>0</v>
      </c>
    </row>
    <row r="69" customFormat="false" ht="15" hidden="true" customHeight="true" outlineLevel="0" collapsed="false">
      <c r="A69" s="130"/>
      <c r="B69" s="131"/>
      <c r="C69" s="130"/>
      <c r="D69" s="131"/>
      <c r="E69" s="131"/>
      <c r="F69" s="132"/>
      <c r="G69" s="130"/>
      <c r="H69" s="133"/>
      <c r="I69" s="132"/>
      <c r="J69" s="132"/>
      <c r="K69" s="132"/>
      <c r="L69" s="132"/>
      <c r="M69" s="132"/>
      <c r="N69" s="132"/>
      <c r="O69" s="135" t="n">
        <f aca="false">IFERROR(I69-(J69+K69+L69+M69+N69),"")</f>
        <v>0</v>
      </c>
      <c r="P69" s="135" t="str">
        <f aca="false">IFERROR(O69/I69,"")</f>
        <v/>
      </c>
      <c r="Q69" s="135" t="str">
        <f aca="false">IFERROR(IF(OR(I69="",S69="",S69="tbd"),"tbd",I69*IF(S69&lt;=1,S69,S69/100)),"–")</f>
        <v>tbd</v>
      </c>
      <c r="R69" s="130"/>
      <c r="S69" s="130"/>
      <c r="T69" s="131"/>
      <c r="U69" s="131"/>
      <c r="V69" s="131"/>
      <c r="W69" s="130"/>
      <c r="X69" s="131"/>
      <c r="Z69" s="1" t="str">
        <f aca="false">IF(AND(R69="WON",ISNUMBER(I69)),AA69,"")</f>
        <v/>
      </c>
      <c r="AA69" s="1" t="n">
        <f aca="false">IFERROR(I69*1,0)</f>
        <v>0</v>
      </c>
    </row>
    <row r="70" customFormat="false" ht="15" hidden="true" customHeight="true" outlineLevel="0" collapsed="false">
      <c r="A70" s="130"/>
      <c r="B70" s="131"/>
      <c r="C70" s="130"/>
      <c r="D70" s="131"/>
      <c r="E70" s="131"/>
      <c r="F70" s="132"/>
      <c r="G70" s="130"/>
      <c r="H70" s="133"/>
      <c r="I70" s="132"/>
      <c r="J70" s="132"/>
      <c r="K70" s="132"/>
      <c r="L70" s="132"/>
      <c r="M70" s="132"/>
      <c r="N70" s="132"/>
      <c r="O70" s="135" t="n">
        <f aca="false">IFERROR(I70-(J70+K70+L70+M70+N70),"")</f>
        <v>0</v>
      </c>
      <c r="P70" s="135" t="str">
        <f aca="false">IFERROR(O70/I70,"")</f>
        <v/>
      </c>
      <c r="Q70" s="135" t="str">
        <f aca="false">IFERROR(IF(OR(I70="",S70="",S70="tbd"),"tbd",I70*IF(S70&lt;=1,S70,S70/100)),"–")</f>
        <v>tbd</v>
      </c>
      <c r="R70" s="130"/>
      <c r="S70" s="130"/>
      <c r="T70" s="131"/>
      <c r="U70" s="131"/>
      <c r="V70" s="131"/>
      <c r="W70" s="130"/>
      <c r="X70" s="131"/>
      <c r="Z70" s="1" t="str">
        <f aca="false">IF(AND(R70="WON",ISNUMBER(I70)),AA70,"")</f>
        <v/>
      </c>
      <c r="AA70" s="1" t="n">
        <f aca="false">IFERROR(I70*1,0)</f>
        <v>0</v>
      </c>
    </row>
    <row r="71" customFormat="false" ht="15" hidden="true" customHeight="true" outlineLevel="0" collapsed="false">
      <c r="A71" s="130"/>
      <c r="B71" s="131"/>
      <c r="C71" s="130"/>
      <c r="D71" s="131"/>
      <c r="E71" s="131"/>
      <c r="F71" s="132"/>
      <c r="G71" s="130"/>
      <c r="H71" s="133"/>
      <c r="I71" s="132"/>
      <c r="J71" s="132"/>
      <c r="K71" s="132"/>
      <c r="L71" s="132"/>
      <c r="M71" s="132"/>
      <c r="N71" s="132"/>
      <c r="O71" s="135" t="n">
        <f aca="false">IFERROR(I71-(J71+K71+L71+M71+N71),"")</f>
        <v>0</v>
      </c>
      <c r="P71" s="135" t="str">
        <f aca="false">IFERROR(O71/I71,"")</f>
        <v/>
      </c>
      <c r="Q71" s="135" t="str">
        <f aca="false">IFERROR(IF(OR(I71="",S71="",S71="tbd"),"tbd",I71*IF(S71&lt;=1,S71,S71/100)),"–")</f>
        <v>tbd</v>
      </c>
      <c r="R71" s="130"/>
      <c r="S71" s="130"/>
      <c r="T71" s="131"/>
      <c r="U71" s="131"/>
      <c r="V71" s="131"/>
      <c r="W71" s="130"/>
      <c r="X71" s="131"/>
      <c r="Z71" s="1" t="str">
        <f aca="false">IF(AND(R71="WON",ISNUMBER(I71)),AA71,"")</f>
        <v/>
      </c>
      <c r="AA71" s="1" t="n">
        <f aca="false">IFERROR(I71*1,0)</f>
        <v>0</v>
      </c>
    </row>
    <row r="72" customFormat="false" ht="15" hidden="true" customHeight="true" outlineLevel="0" collapsed="false">
      <c r="A72" s="130"/>
      <c r="B72" s="131"/>
      <c r="C72" s="130"/>
      <c r="D72" s="131"/>
      <c r="E72" s="131"/>
      <c r="F72" s="132"/>
      <c r="G72" s="130"/>
      <c r="H72" s="133"/>
      <c r="I72" s="132"/>
      <c r="J72" s="132"/>
      <c r="K72" s="132"/>
      <c r="L72" s="132"/>
      <c r="M72" s="132"/>
      <c r="N72" s="132"/>
      <c r="O72" s="135" t="n">
        <f aca="false">IFERROR(I72-(J72+K72+L72+M72+N72),"")</f>
        <v>0</v>
      </c>
      <c r="P72" s="135" t="str">
        <f aca="false">IFERROR(O72/I72,"")</f>
        <v/>
      </c>
      <c r="Q72" s="135" t="str">
        <f aca="false">IFERROR(IF(OR(I72="",S72="",S72="tbd"),"tbd",I72*IF(S72&lt;=1,S72,S72/100)),"–")</f>
        <v>tbd</v>
      </c>
      <c r="R72" s="130"/>
      <c r="S72" s="130"/>
      <c r="T72" s="131"/>
      <c r="U72" s="131"/>
      <c r="V72" s="131"/>
      <c r="W72" s="130"/>
      <c r="X72" s="131"/>
      <c r="Z72" s="1" t="str">
        <f aca="false">IF(AND(R72="WON",ISNUMBER(I72)),AA72,"")</f>
        <v/>
      </c>
      <c r="AA72" s="1" t="n">
        <f aca="false">IFERROR(I72*1,0)</f>
        <v>0</v>
      </c>
    </row>
    <row r="73" customFormat="false" ht="15" hidden="true" customHeight="true" outlineLevel="0" collapsed="false">
      <c r="A73" s="130"/>
      <c r="B73" s="131"/>
      <c r="C73" s="130"/>
      <c r="D73" s="131"/>
      <c r="E73" s="131"/>
      <c r="F73" s="132"/>
      <c r="G73" s="130"/>
      <c r="H73" s="133"/>
      <c r="I73" s="132"/>
      <c r="J73" s="132"/>
      <c r="K73" s="132"/>
      <c r="L73" s="132"/>
      <c r="M73" s="132"/>
      <c r="N73" s="132"/>
      <c r="O73" s="135" t="n">
        <f aca="false">IFERROR(I73-(J73+K73+L73+M73+N73),"")</f>
        <v>0</v>
      </c>
      <c r="P73" s="135" t="str">
        <f aca="false">IFERROR(O73/I73,"")</f>
        <v/>
      </c>
      <c r="Q73" s="135" t="str">
        <f aca="false">IFERROR(IF(OR(I73="",S73="",S73="tbd"),"tbd",I73*IF(S73&lt;=1,S73,S73/100)),"–")</f>
        <v>tbd</v>
      </c>
      <c r="R73" s="130"/>
      <c r="S73" s="130"/>
      <c r="T73" s="131"/>
      <c r="U73" s="131"/>
      <c r="V73" s="131"/>
      <c r="W73" s="130"/>
      <c r="X73" s="131"/>
      <c r="Z73" s="1" t="str">
        <f aca="false">IF(AND(R73="WON",ISNUMBER(I73)),AA73,"")</f>
        <v/>
      </c>
      <c r="AA73" s="1" t="n">
        <f aca="false">IFERROR(I73*1,0)</f>
        <v>0</v>
      </c>
    </row>
    <row r="74" customFormat="false" ht="15" hidden="true" customHeight="true" outlineLevel="0" collapsed="false">
      <c r="A74" s="130"/>
      <c r="B74" s="131"/>
      <c r="C74" s="130"/>
      <c r="D74" s="131"/>
      <c r="E74" s="131"/>
      <c r="F74" s="132"/>
      <c r="G74" s="130"/>
      <c r="H74" s="133"/>
      <c r="I74" s="132"/>
      <c r="J74" s="132"/>
      <c r="K74" s="132"/>
      <c r="L74" s="132"/>
      <c r="M74" s="132"/>
      <c r="N74" s="132"/>
      <c r="O74" s="135" t="n">
        <f aca="false">IFERROR(I74-(J74+K74+L74+M74+N74),"")</f>
        <v>0</v>
      </c>
      <c r="P74" s="135" t="str">
        <f aca="false">IFERROR(O74/I74,"")</f>
        <v/>
      </c>
      <c r="Q74" s="135" t="str">
        <f aca="false">IFERROR(IF(OR(I74="",S74="",S74="tbd"),"tbd",I74*IF(S74&lt;=1,S74,S74/100)),"–")</f>
        <v>tbd</v>
      </c>
      <c r="R74" s="130"/>
      <c r="S74" s="130"/>
      <c r="T74" s="131"/>
      <c r="U74" s="131"/>
      <c r="V74" s="131"/>
      <c r="W74" s="130"/>
      <c r="X74" s="131"/>
      <c r="Z74" s="1" t="str">
        <f aca="false">IF(AND(R74="WON",ISNUMBER(I74)),AA74,"")</f>
        <v/>
      </c>
      <c r="AA74" s="1" t="n">
        <f aca="false">IFERROR(I74*1,0)</f>
        <v>0</v>
      </c>
    </row>
    <row r="75" customFormat="false" ht="15" hidden="true" customHeight="true" outlineLevel="0" collapsed="false">
      <c r="A75" s="130"/>
      <c r="B75" s="131"/>
      <c r="C75" s="130"/>
      <c r="D75" s="131"/>
      <c r="E75" s="131"/>
      <c r="F75" s="132"/>
      <c r="G75" s="130"/>
      <c r="H75" s="133"/>
      <c r="I75" s="132"/>
      <c r="J75" s="132"/>
      <c r="K75" s="132"/>
      <c r="L75" s="132"/>
      <c r="M75" s="132"/>
      <c r="N75" s="132"/>
      <c r="O75" s="135" t="n">
        <f aca="false">IFERROR(I75-(J75+K75+L75+M75+N75),"")</f>
        <v>0</v>
      </c>
      <c r="P75" s="135" t="str">
        <f aca="false">IFERROR(O75/I75,"")</f>
        <v/>
      </c>
      <c r="Q75" s="135" t="str">
        <f aca="false">IFERROR(IF(OR(I75="",S75="",S75="tbd"),"tbd",I75*IF(S75&lt;=1,S75,S75/100)),"–")</f>
        <v>tbd</v>
      </c>
      <c r="R75" s="130"/>
      <c r="S75" s="130"/>
      <c r="T75" s="131"/>
      <c r="U75" s="131"/>
      <c r="V75" s="131"/>
      <c r="W75" s="130"/>
      <c r="X75" s="131"/>
      <c r="Z75" s="1" t="str">
        <f aca="false">IF(AND(R75="WON",ISNUMBER(I75)),AA75,"")</f>
        <v/>
      </c>
      <c r="AA75" s="1" t="n">
        <f aca="false">IFERROR(I75*1,0)</f>
        <v>0</v>
      </c>
    </row>
    <row r="76" customFormat="false" ht="15" hidden="true" customHeight="true" outlineLevel="0" collapsed="false">
      <c r="A76" s="130"/>
      <c r="B76" s="131"/>
      <c r="C76" s="130"/>
      <c r="D76" s="131"/>
      <c r="E76" s="131"/>
      <c r="F76" s="132"/>
      <c r="G76" s="130"/>
      <c r="H76" s="133"/>
      <c r="I76" s="132"/>
      <c r="J76" s="132"/>
      <c r="K76" s="132"/>
      <c r="L76" s="132"/>
      <c r="M76" s="132"/>
      <c r="N76" s="132"/>
      <c r="O76" s="135" t="n">
        <f aca="false">IFERROR(I76-(J76+K76+L76+M76+N76),"")</f>
        <v>0</v>
      </c>
      <c r="P76" s="135" t="str">
        <f aca="false">IFERROR(O76/I76,"")</f>
        <v/>
      </c>
      <c r="Q76" s="135" t="str">
        <f aca="false">IFERROR(IF(OR(I76="",S76="",S76="tbd"),"tbd",I76*IF(S76&lt;=1,S76,S76/100)),"–")</f>
        <v>tbd</v>
      </c>
      <c r="R76" s="130"/>
      <c r="S76" s="130"/>
      <c r="T76" s="131"/>
      <c r="U76" s="131"/>
      <c r="V76" s="131"/>
      <c r="W76" s="130"/>
      <c r="X76" s="131"/>
      <c r="Z76" s="1" t="str">
        <f aca="false">IF(AND(R76="WON",ISNUMBER(I76)),AA76,"")</f>
        <v/>
      </c>
      <c r="AA76" s="1" t="n">
        <f aca="false">IFERROR(I76*1,0)</f>
        <v>0</v>
      </c>
    </row>
    <row r="77" customFormat="false" ht="15" hidden="true" customHeight="true" outlineLevel="0" collapsed="false">
      <c r="A77" s="130"/>
      <c r="B77" s="131"/>
      <c r="C77" s="130"/>
      <c r="D77" s="131"/>
      <c r="E77" s="131"/>
      <c r="F77" s="132"/>
      <c r="G77" s="130"/>
      <c r="H77" s="133"/>
      <c r="I77" s="132"/>
      <c r="J77" s="132"/>
      <c r="K77" s="132"/>
      <c r="L77" s="132"/>
      <c r="M77" s="132"/>
      <c r="N77" s="132"/>
      <c r="O77" s="135" t="n">
        <f aca="false">IFERROR(I77-(J77+K77+L77+M77+N77),"")</f>
        <v>0</v>
      </c>
      <c r="P77" s="135" t="str">
        <f aca="false">IFERROR(O77/I77,"")</f>
        <v/>
      </c>
      <c r="Q77" s="135" t="str">
        <f aca="false">IFERROR(IF(OR(I77="",S77="",S77="tbd"),"tbd",I77*IF(S77&lt;=1,S77,S77/100)),"–")</f>
        <v>tbd</v>
      </c>
      <c r="R77" s="130"/>
      <c r="S77" s="130"/>
      <c r="T77" s="131"/>
      <c r="U77" s="131"/>
      <c r="V77" s="131"/>
      <c r="W77" s="130"/>
      <c r="X77" s="131"/>
      <c r="Z77" s="1" t="str">
        <f aca="false">IF(AND(R77="WON",ISNUMBER(I77)),AA77,"")</f>
        <v/>
      </c>
      <c r="AA77" s="1" t="n">
        <f aca="false">IFERROR(I77*1,0)</f>
        <v>0</v>
      </c>
    </row>
    <row r="78" customFormat="false" ht="15" hidden="true" customHeight="true" outlineLevel="0" collapsed="false">
      <c r="A78" s="130"/>
      <c r="B78" s="131"/>
      <c r="C78" s="130"/>
      <c r="D78" s="131"/>
      <c r="E78" s="131"/>
      <c r="F78" s="132"/>
      <c r="G78" s="130"/>
      <c r="H78" s="133"/>
      <c r="I78" s="132"/>
      <c r="J78" s="132"/>
      <c r="K78" s="132"/>
      <c r="L78" s="132"/>
      <c r="M78" s="132"/>
      <c r="N78" s="132"/>
      <c r="O78" s="135" t="n">
        <f aca="false">IFERROR(I78-(J78+K78+L78+M78+N78),"")</f>
        <v>0</v>
      </c>
      <c r="P78" s="135" t="str">
        <f aca="false">IFERROR(O78/I78,"")</f>
        <v/>
      </c>
      <c r="Q78" s="135" t="str">
        <f aca="false">IFERROR(IF(OR(I78="",S78="",S78="tbd"),"tbd",I78*IF(S78&lt;=1,S78,S78/100)),"–")</f>
        <v>tbd</v>
      </c>
      <c r="R78" s="130"/>
      <c r="S78" s="130"/>
      <c r="T78" s="131"/>
      <c r="U78" s="131"/>
      <c r="V78" s="131"/>
      <c r="W78" s="130"/>
      <c r="X78" s="131"/>
      <c r="Z78" s="1" t="str">
        <f aca="false">IF(AND(R78="WON",ISNUMBER(I78)),AA78,"")</f>
        <v/>
      </c>
      <c r="AA78" s="1" t="n">
        <f aca="false">IFERROR(I78*1,0)</f>
        <v>0</v>
      </c>
    </row>
    <row r="79" customFormat="false" ht="15" hidden="true" customHeight="true" outlineLevel="0" collapsed="false">
      <c r="A79" s="130"/>
      <c r="B79" s="131"/>
      <c r="C79" s="130"/>
      <c r="D79" s="131"/>
      <c r="E79" s="131"/>
      <c r="F79" s="132"/>
      <c r="G79" s="130"/>
      <c r="H79" s="133"/>
      <c r="I79" s="132"/>
      <c r="J79" s="132"/>
      <c r="K79" s="132"/>
      <c r="L79" s="132"/>
      <c r="M79" s="132"/>
      <c r="N79" s="132"/>
      <c r="O79" s="135" t="n">
        <f aca="false">IFERROR(I79-(J79+K79+L79+M79+N79),"")</f>
        <v>0</v>
      </c>
      <c r="P79" s="135" t="str">
        <f aca="false">IFERROR(O79/I79,"")</f>
        <v/>
      </c>
      <c r="Q79" s="135" t="str">
        <f aca="false">IFERROR(IF(OR(I79="",S79="",S79="tbd"),"tbd",I79*IF(S79&lt;=1,S79,S79/100)),"–")</f>
        <v>tbd</v>
      </c>
      <c r="R79" s="130"/>
      <c r="S79" s="130"/>
      <c r="T79" s="131"/>
      <c r="U79" s="131"/>
      <c r="V79" s="131"/>
      <c r="W79" s="130"/>
      <c r="X79" s="131"/>
      <c r="Z79" s="1" t="str">
        <f aca="false">IF(AND(R79="WON",ISNUMBER(I79)),AA79,"")</f>
        <v/>
      </c>
      <c r="AA79" s="1" t="n">
        <f aca="false">IFERROR(I79*1,0)</f>
        <v>0</v>
      </c>
    </row>
    <row r="80" customFormat="false" ht="15" hidden="true" customHeight="true" outlineLevel="0" collapsed="false">
      <c r="A80" s="130"/>
      <c r="B80" s="131"/>
      <c r="C80" s="130"/>
      <c r="D80" s="131"/>
      <c r="E80" s="131"/>
      <c r="F80" s="132"/>
      <c r="G80" s="130"/>
      <c r="H80" s="133"/>
      <c r="I80" s="132"/>
      <c r="J80" s="132"/>
      <c r="K80" s="132"/>
      <c r="L80" s="132"/>
      <c r="M80" s="132"/>
      <c r="N80" s="132"/>
      <c r="O80" s="135" t="n">
        <f aca="false">IFERROR(I80-(J80+K80+L80+M80+N80),"")</f>
        <v>0</v>
      </c>
      <c r="P80" s="135" t="str">
        <f aca="false">IFERROR(O80/I80,"")</f>
        <v/>
      </c>
      <c r="Q80" s="135" t="str">
        <f aca="false">IFERROR(IF(OR(I80="",S80="",S80="tbd"),"tbd",I80*IF(S80&lt;=1,S80,S80/100)),"–")</f>
        <v>tbd</v>
      </c>
      <c r="R80" s="130"/>
      <c r="S80" s="130"/>
      <c r="T80" s="131"/>
      <c r="U80" s="131"/>
      <c r="V80" s="131"/>
      <c r="W80" s="130"/>
      <c r="X80" s="131"/>
      <c r="Z80" s="1" t="str">
        <f aca="false">IF(AND(R80="WON",ISNUMBER(I80)),AA80,"")</f>
        <v/>
      </c>
      <c r="AA80" s="1" t="n">
        <f aca="false">IFERROR(I80*1,0)</f>
        <v>0</v>
      </c>
    </row>
    <row r="81" customFormat="false" ht="15" hidden="true" customHeight="true" outlineLevel="0" collapsed="false">
      <c r="A81" s="130"/>
      <c r="B81" s="131"/>
      <c r="C81" s="130"/>
      <c r="D81" s="131"/>
      <c r="E81" s="131"/>
      <c r="F81" s="132"/>
      <c r="G81" s="130"/>
      <c r="H81" s="133"/>
      <c r="I81" s="132"/>
      <c r="J81" s="132"/>
      <c r="K81" s="132"/>
      <c r="L81" s="132"/>
      <c r="M81" s="132"/>
      <c r="N81" s="132"/>
      <c r="O81" s="135" t="n">
        <f aca="false">IFERROR(I81-(J81+K81+L81+M81+N81),"")</f>
        <v>0</v>
      </c>
      <c r="P81" s="135" t="str">
        <f aca="false">IFERROR(O81/I81,"")</f>
        <v/>
      </c>
      <c r="Q81" s="135" t="str">
        <f aca="false">IFERROR(IF(OR(I81="",S81="",S81="tbd"),"tbd",I81*IF(S81&lt;=1,S81,S81/100)),"–")</f>
        <v>tbd</v>
      </c>
      <c r="R81" s="130"/>
      <c r="S81" s="130"/>
      <c r="T81" s="131"/>
      <c r="U81" s="131"/>
      <c r="V81" s="131"/>
      <c r="W81" s="130"/>
      <c r="X81" s="131"/>
      <c r="Z81" s="1" t="str">
        <f aca="false">IF(AND(R81="WON",ISNUMBER(I81)),AA81,"")</f>
        <v/>
      </c>
      <c r="AA81" s="1" t="n">
        <f aca="false">IFERROR(I81*1,0)</f>
        <v>0</v>
      </c>
    </row>
    <row r="82" customFormat="false" ht="15" hidden="true" customHeight="true" outlineLevel="0" collapsed="false">
      <c r="A82" s="130"/>
      <c r="B82" s="131"/>
      <c r="C82" s="130"/>
      <c r="D82" s="131"/>
      <c r="E82" s="131"/>
      <c r="F82" s="132"/>
      <c r="G82" s="130"/>
      <c r="H82" s="133"/>
      <c r="I82" s="132"/>
      <c r="J82" s="132"/>
      <c r="K82" s="132"/>
      <c r="L82" s="132"/>
      <c r="M82" s="132"/>
      <c r="N82" s="132"/>
      <c r="O82" s="135" t="n">
        <f aca="false">IFERROR(I82-(J82+K82+L82+M82+N82),"")</f>
        <v>0</v>
      </c>
      <c r="P82" s="135" t="str">
        <f aca="false">IFERROR(O82/I82,"")</f>
        <v/>
      </c>
      <c r="Q82" s="135" t="str">
        <f aca="false">IFERROR(IF(OR(I82="",S82="",S82="tbd"),"tbd",I82*IF(S82&lt;=1,S82,S82/100)),"–")</f>
        <v>tbd</v>
      </c>
      <c r="R82" s="130"/>
      <c r="S82" s="130"/>
      <c r="T82" s="131"/>
      <c r="U82" s="131"/>
      <c r="V82" s="131"/>
      <c r="W82" s="130"/>
      <c r="X82" s="131"/>
      <c r="Z82" s="1" t="str">
        <f aca="false">IF(AND(R82="WON",ISNUMBER(I82)),AA82,"")</f>
        <v/>
      </c>
      <c r="AA82" s="1" t="n">
        <f aca="false">IFERROR(I82*1,0)</f>
        <v>0</v>
      </c>
    </row>
    <row r="83" customFormat="false" ht="15" hidden="true" customHeight="true" outlineLevel="0" collapsed="false">
      <c r="A83" s="130"/>
      <c r="B83" s="131"/>
      <c r="C83" s="130"/>
      <c r="D83" s="131"/>
      <c r="E83" s="131"/>
      <c r="F83" s="132"/>
      <c r="G83" s="130"/>
      <c r="H83" s="133"/>
      <c r="I83" s="132"/>
      <c r="J83" s="132"/>
      <c r="K83" s="132"/>
      <c r="L83" s="132"/>
      <c r="M83" s="132"/>
      <c r="N83" s="132"/>
      <c r="O83" s="135" t="n">
        <f aca="false">IFERROR(I83-(J83+K83+L83+M83+N83),"")</f>
        <v>0</v>
      </c>
      <c r="P83" s="135" t="str">
        <f aca="false">IFERROR(O83/I83,"")</f>
        <v/>
      </c>
      <c r="Q83" s="135" t="str">
        <f aca="false">IFERROR(IF(OR(I83="",S83="",S83="tbd"),"tbd",I83*IF(S83&lt;=1,S83,S83/100)),"–")</f>
        <v>tbd</v>
      </c>
      <c r="R83" s="130"/>
      <c r="S83" s="130"/>
      <c r="T83" s="131"/>
      <c r="U83" s="131"/>
      <c r="V83" s="131"/>
      <c r="W83" s="130"/>
      <c r="X83" s="131"/>
      <c r="Z83" s="1" t="str">
        <f aca="false">IF(AND(R83="WON",ISNUMBER(I83)),AA83,"")</f>
        <v/>
      </c>
      <c r="AA83" s="1" t="n">
        <f aca="false">IFERROR(I83*1,0)</f>
        <v>0</v>
      </c>
    </row>
    <row r="84" customFormat="false" ht="15" hidden="true" customHeight="true" outlineLevel="0" collapsed="false">
      <c r="A84" s="130"/>
      <c r="B84" s="131"/>
      <c r="C84" s="130"/>
      <c r="D84" s="131"/>
      <c r="E84" s="131"/>
      <c r="F84" s="132"/>
      <c r="G84" s="130"/>
      <c r="H84" s="133"/>
      <c r="I84" s="132"/>
      <c r="J84" s="132"/>
      <c r="K84" s="132"/>
      <c r="L84" s="132"/>
      <c r="M84" s="132"/>
      <c r="N84" s="132"/>
      <c r="O84" s="135" t="n">
        <f aca="false">IFERROR(I84-(J84+K84+L84+M84+N84),"")</f>
        <v>0</v>
      </c>
      <c r="P84" s="135" t="str">
        <f aca="false">IFERROR(O84/I84,"")</f>
        <v/>
      </c>
      <c r="Q84" s="135" t="str">
        <f aca="false">IFERROR(IF(OR(I84="",S84="",S84="tbd"),"tbd",I84*IF(S84&lt;=1,S84,S84/100)),"–")</f>
        <v>tbd</v>
      </c>
      <c r="R84" s="130"/>
      <c r="S84" s="130"/>
      <c r="T84" s="131"/>
      <c r="U84" s="131"/>
      <c r="V84" s="131"/>
      <c r="W84" s="130"/>
      <c r="X84" s="131"/>
      <c r="Z84" s="1" t="str">
        <f aca="false">IF(AND(R84="WON",ISNUMBER(I84)),AA84,"")</f>
        <v/>
      </c>
      <c r="AA84" s="1" t="n">
        <f aca="false">IFERROR(I84*1,0)</f>
        <v>0</v>
      </c>
    </row>
    <row r="85" customFormat="false" ht="15" hidden="true" customHeight="true" outlineLevel="0" collapsed="false">
      <c r="A85" s="130"/>
      <c r="B85" s="131"/>
      <c r="C85" s="130"/>
      <c r="D85" s="131"/>
      <c r="E85" s="131"/>
      <c r="F85" s="132"/>
      <c r="G85" s="130"/>
      <c r="H85" s="133"/>
      <c r="I85" s="132"/>
      <c r="J85" s="132"/>
      <c r="K85" s="132"/>
      <c r="L85" s="132"/>
      <c r="M85" s="132"/>
      <c r="N85" s="132"/>
      <c r="O85" s="135" t="n">
        <f aca="false">IFERROR(I85-(J85+K85+L85+M85+N85),"")</f>
        <v>0</v>
      </c>
      <c r="P85" s="135" t="str">
        <f aca="false">IFERROR(O85/I85,"")</f>
        <v/>
      </c>
      <c r="Q85" s="135" t="str">
        <f aca="false">IFERROR(IF(OR(I85="",S85="",S85="tbd"),"tbd",I85*IF(S85&lt;=1,S85,S85/100)),"–")</f>
        <v>tbd</v>
      </c>
      <c r="R85" s="130"/>
      <c r="S85" s="130"/>
      <c r="T85" s="131"/>
      <c r="U85" s="131"/>
      <c r="V85" s="131"/>
      <c r="W85" s="130"/>
      <c r="X85" s="131"/>
      <c r="Z85" s="1" t="str">
        <f aca="false">IF(AND(R85="WON",ISNUMBER(I85)),AA85,"")</f>
        <v/>
      </c>
      <c r="AA85" s="1" t="n">
        <f aca="false">IFERROR(I85*1,0)</f>
        <v>0</v>
      </c>
    </row>
    <row r="86" customFormat="false" ht="15" hidden="true" customHeight="true" outlineLevel="0" collapsed="false">
      <c r="A86" s="130"/>
      <c r="B86" s="131"/>
      <c r="C86" s="130"/>
      <c r="D86" s="131"/>
      <c r="E86" s="131"/>
      <c r="F86" s="132"/>
      <c r="G86" s="130"/>
      <c r="H86" s="133"/>
      <c r="I86" s="132"/>
      <c r="J86" s="132"/>
      <c r="K86" s="132"/>
      <c r="L86" s="132"/>
      <c r="M86" s="132"/>
      <c r="N86" s="132"/>
      <c r="O86" s="135" t="n">
        <f aca="false">IFERROR(I86-(J86+K86+L86+M86+N86),"")</f>
        <v>0</v>
      </c>
      <c r="P86" s="135" t="str">
        <f aca="false">IFERROR(O86/I86,"")</f>
        <v/>
      </c>
      <c r="Q86" s="135" t="str">
        <f aca="false">IFERROR(IF(OR(I86="",S86="",S86="tbd"),"tbd",I86*IF(S86&lt;=1,S86,S86/100)),"–")</f>
        <v>tbd</v>
      </c>
      <c r="R86" s="130"/>
      <c r="S86" s="130"/>
      <c r="T86" s="131"/>
      <c r="U86" s="131"/>
      <c r="V86" s="131"/>
      <c r="W86" s="130"/>
      <c r="X86" s="131"/>
      <c r="Z86" s="1" t="str">
        <f aca="false">IF(AND(R86="WON",ISNUMBER(I86)),AA86,"")</f>
        <v/>
      </c>
      <c r="AA86" s="1" t="n">
        <f aca="false">IFERROR(I86*1,0)</f>
        <v>0</v>
      </c>
    </row>
    <row r="87" customFormat="false" ht="15" hidden="true" customHeight="true" outlineLevel="0" collapsed="false">
      <c r="A87" s="130"/>
      <c r="B87" s="131"/>
      <c r="C87" s="130"/>
      <c r="D87" s="131"/>
      <c r="E87" s="131"/>
      <c r="F87" s="132"/>
      <c r="G87" s="130"/>
      <c r="H87" s="133"/>
      <c r="I87" s="132"/>
      <c r="J87" s="132"/>
      <c r="K87" s="132"/>
      <c r="L87" s="132"/>
      <c r="M87" s="132"/>
      <c r="N87" s="132"/>
      <c r="O87" s="135" t="n">
        <f aca="false">IFERROR(I87-(J87+K87+L87+M87+N87),"")</f>
        <v>0</v>
      </c>
      <c r="P87" s="135" t="str">
        <f aca="false">IFERROR(O87/I87,"")</f>
        <v/>
      </c>
      <c r="Q87" s="135" t="str">
        <f aca="false">IFERROR(IF(OR(I87="",S87="",S87="tbd"),"tbd",I87*IF(S87&lt;=1,S87,S87/100)),"–")</f>
        <v>tbd</v>
      </c>
      <c r="R87" s="130"/>
      <c r="S87" s="130"/>
      <c r="T87" s="131"/>
      <c r="U87" s="131"/>
      <c r="V87" s="131"/>
      <c r="W87" s="130"/>
      <c r="X87" s="131"/>
      <c r="Z87" s="1" t="str">
        <f aca="false">IF(AND(R87="WON",ISNUMBER(I87)),AA87,"")</f>
        <v/>
      </c>
      <c r="AA87" s="1" t="n">
        <f aca="false">IFERROR(I87*1,0)</f>
        <v>0</v>
      </c>
    </row>
    <row r="88" customFormat="false" ht="15" hidden="true" customHeight="true" outlineLevel="0" collapsed="false">
      <c r="A88" s="130"/>
      <c r="B88" s="131"/>
      <c r="C88" s="130"/>
      <c r="D88" s="131"/>
      <c r="E88" s="131"/>
      <c r="F88" s="132"/>
      <c r="G88" s="130"/>
      <c r="H88" s="133"/>
      <c r="I88" s="132"/>
      <c r="J88" s="132"/>
      <c r="K88" s="132"/>
      <c r="L88" s="132"/>
      <c r="M88" s="132"/>
      <c r="N88" s="132"/>
      <c r="O88" s="135" t="n">
        <f aca="false">IFERROR(I88-(J88+K88+L88+M88+N88),"")</f>
        <v>0</v>
      </c>
      <c r="P88" s="135" t="str">
        <f aca="false">IFERROR(O88/I88,"")</f>
        <v/>
      </c>
      <c r="Q88" s="135" t="str">
        <f aca="false">IFERROR(IF(OR(I88="",S88="",S88="tbd"),"tbd",I88*IF(S88&lt;=1,S88,S88/100)),"–")</f>
        <v>tbd</v>
      </c>
      <c r="R88" s="130"/>
      <c r="S88" s="130"/>
      <c r="T88" s="131"/>
      <c r="U88" s="131"/>
      <c r="V88" s="131"/>
      <c r="W88" s="130"/>
      <c r="X88" s="131"/>
      <c r="Z88" s="1" t="str">
        <f aca="false">IF(AND(R88="WON",ISNUMBER(I88)),AA88,"")</f>
        <v/>
      </c>
      <c r="AA88" s="1" t="n">
        <f aca="false">IFERROR(I88*1,0)</f>
        <v>0</v>
      </c>
    </row>
    <row r="89" customFormat="false" ht="15" hidden="true" customHeight="true" outlineLevel="0" collapsed="false">
      <c r="A89" s="130"/>
      <c r="B89" s="131"/>
      <c r="C89" s="130"/>
      <c r="D89" s="131"/>
      <c r="E89" s="131"/>
      <c r="F89" s="132"/>
      <c r="G89" s="130"/>
      <c r="H89" s="133"/>
      <c r="I89" s="132"/>
      <c r="J89" s="132"/>
      <c r="K89" s="132"/>
      <c r="L89" s="132"/>
      <c r="M89" s="132"/>
      <c r="N89" s="132"/>
      <c r="O89" s="135" t="n">
        <f aca="false">IFERROR(I89-(J89+K89+L89+M89+N89),"")</f>
        <v>0</v>
      </c>
      <c r="P89" s="135" t="str">
        <f aca="false">IFERROR(O89/I89,"")</f>
        <v/>
      </c>
      <c r="Q89" s="135" t="str">
        <f aca="false">IFERROR(IF(OR(I89="",S89="",S89="tbd"),"tbd",I89*IF(S89&lt;=1,S89,S89/100)),"–")</f>
        <v>tbd</v>
      </c>
      <c r="R89" s="130"/>
      <c r="S89" s="130"/>
      <c r="T89" s="131"/>
      <c r="U89" s="131"/>
      <c r="V89" s="131"/>
      <c r="W89" s="130"/>
      <c r="X89" s="131"/>
      <c r="Z89" s="1" t="str">
        <f aca="false">IF(AND(R89="WON",ISNUMBER(I89)),AA89,"")</f>
        <v/>
      </c>
      <c r="AA89" s="1" t="n">
        <f aca="false">IFERROR(I89*1,0)</f>
        <v>0</v>
      </c>
    </row>
    <row r="90" customFormat="false" ht="15" hidden="true" customHeight="true" outlineLevel="0" collapsed="false">
      <c r="A90" s="130"/>
      <c r="B90" s="131"/>
      <c r="C90" s="130"/>
      <c r="D90" s="131"/>
      <c r="E90" s="131"/>
      <c r="F90" s="132"/>
      <c r="G90" s="130"/>
      <c r="H90" s="133"/>
      <c r="I90" s="132"/>
      <c r="J90" s="132"/>
      <c r="K90" s="132"/>
      <c r="L90" s="132"/>
      <c r="M90" s="132"/>
      <c r="N90" s="132"/>
      <c r="O90" s="135" t="n">
        <f aca="false">IFERROR(I90-(J90+K90+L90+M90+N90),"")</f>
        <v>0</v>
      </c>
      <c r="P90" s="135" t="str">
        <f aca="false">IFERROR(O90/I90,"")</f>
        <v/>
      </c>
      <c r="Q90" s="135" t="str">
        <f aca="false">IFERROR(IF(OR(I90="",S90="",S90="tbd"),"tbd",I90*IF(S90&lt;=1,S90,S90/100)),"–")</f>
        <v>tbd</v>
      </c>
      <c r="R90" s="130"/>
      <c r="S90" s="130"/>
      <c r="T90" s="131"/>
      <c r="U90" s="131"/>
      <c r="V90" s="131"/>
      <c r="W90" s="130"/>
      <c r="X90" s="131"/>
      <c r="Z90" s="1" t="str">
        <f aca="false">IF(AND(R90="WON",ISNUMBER(I90)),AA90,"")</f>
        <v/>
      </c>
      <c r="AA90" s="1" t="n">
        <f aca="false">IFERROR(I90*1,0)</f>
        <v>0</v>
      </c>
    </row>
    <row r="91" customFormat="false" ht="15" hidden="true" customHeight="true" outlineLevel="0" collapsed="false">
      <c r="A91" s="130"/>
      <c r="B91" s="131"/>
      <c r="C91" s="130"/>
      <c r="D91" s="131"/>
      <c r="E91" s="131"/>
      <c r="F91" s="132"/>
      <c r="G91" s="130"/>
      <c r="H91" s="133"/>
      <c r="I91" s="132"/>
      <c r="J91" s="132"/>
      <c r="K91" s="132"/>
      <c r="L91" s="132"/>
      <c r="M91" s="132"/>
      <c r="N91" s="132"/>
      <c r="O91" s="135" t="n">
        <f aca="false">IFERROR(I91-(J91+K91+L91+M91+N91),"")</f>
        <v>0</v>
      </c>
      <c r="P91" s="135" t="str">
        <f aca="false">IFERROR(O91/I91,"")</f>
        <v/>
      </c>
      <c r="Q91" s="135" t="str">
        <f aca="false">IFERROR(IF(OR(I91="",S91="",S91="tbd"),"tbd",I91*IF(S91&lt;=1,S91,S91/100)),"–")</f>
        <v>tbd</v>
      </c>
      <c r="R91" s="130"/>
      <c r="S91" s="130"/>
      <c r="T91" s="131"/>
      <c r="U91" s="131"/>
      <c r="V91" s="131"/>
      <c r="W91" s="130"/>
      <c r="X91" s="131"/>
      <c r="Z91" s="1" t="str">
        <f aca="false">IF(AND(R91="WON",ISNUMBER(I91)),AA91,"")</f>
        <v/>
      </c>
      <c r="AA91" s="1" t="n">
        <f aca="false">IFERROR(I91*1,0)</f>
        <v>0</v>
      </c>
    </row>
    <row r="92" customFormat="false" ht="15" hidden="true" customHeight="true" outlineLevel="0" collapsed="false">
      <c r="A92" s="130"/>
      <c r="B92" s="131"/>
      <c r="C92" s="130"/>
      <c r="D92" s="131"/>
      <c r="E92" s="131"/>
      <c r="F92" s="132"/>
      <c r="G92" s="130"/>
      <c r="H92" s="133"/>
      <c r="I92" s="132"/>
      <c r="J92" s="132"/>
      <c r="K92" s="132"/>
      <c r="L92" s="132"/>
      <c r="M92" s="132"/>
      <c r="N92" s="132"/>
      <c r="O92" s="135" t="n">
        <f aca="false">IFERROR(I92-(J92+K92+L92+M92+N92),"")</f>
        <v>0</v>
      </c>
      <c r="P92" s="135" t="str">
        <f aca="false">IFERROR(O92/I92,"")</f>
        <v/>
      </c>
      <c r="Q92" s="135" t="str">
        <f aca="false">IFERROR(IF(OR(I92="",S92="",S92="tbd"),"tbd",I92*IF(S92&lt;=1,S92,S92/100)),"–")</f>
        <v>tbd</v>
      </c>
      <c r="R92" s="130"/>
      <c r="S92" s="130"/>
      <c r="T92" s="131"/>
      <c r="U92" s="131"/>
      <c r="V92" s="131"/>
      <c r="W92" s="130"/>
      <c r="X92" s="131"/>
      <c r="Z92" s="1" t="str">
        <f aca="false">IF(AND(R92="WON",ISNUMBER(I92)),AA92,"")</f>
        <v/>
      </c>
      <c r="AA92" s="1" t="n">
        <f aca="false">IFERROR(I92*1,0)</f>
        <v>0</v>
      </c>
    </row>
    <row r="93" customFormat="false" ht="15" hidden="true" customHeight="true" outlineLevel="0" collapsed="false">
      <c r="A93" s="130"/>
      <c r="B93" s="131"/>
      <c r="C93" s="130"/>
      <c r="D93" s="131"/>
      <c r="E93" s="131"/>
      <c r="F93" s="132"/>
      <c r="G93" s="130"/>
      <c r="H93" s="133"/>
      <c r="I93" s="132"/>
      <c r="J93" s="132"/>
      <c r="K93" s="132"/>
      <c r="L93" s="132"/>
      <c r="M93" s="132"/>
      <c r="N93" s="132"/>
      <c r="O93" s="135" t="n">
        <f aca="false">IFERROR(I93-(J93+K93+L93+M93+N93),"")</f>
        <v>0</v>
      </c>
      <c r="P93" s="135" t="str">
        <f aca="false">IFERROR(O93/I93,"")</f>
        <v/>
      </c>
      <c r="Q93" s="135" t="str">
        <f aca="false">IFERROR(IF(OR(I93="",S93="",S93="tbd"),"tbd",I93*IF(S93&lt;=1,S93,S93/100)),"–")</f>
        <v>tbd</v>
      </c>
      <c r="R93" s="130"/>
      <c r="S93" s="130"/>
      <c r="T93" s="131"/>
      <c r="U93" s="131"/>
      <c r="V93" s="131"/>
      <c r="W93" s="130"/>
      <c r="X93" s="131"/>
      <c r="Z93" s="1" t="str">
        <f aca="false">IF(AND(R93="WON",ISNUMBER(I93)),AA93,"")</f>
        <v/>
      </c>
      <c r="AA93" s="1" t="n">
        <f aca="false">IFERROR(I93*1,0)</f>
        <v>0</v>
      </c>
    </row>
    <row r="94" customFormat="false" ht="15" hidden="true" customHeight="true" outlineLevel="0" collapsed="false">
      <c r="A94" s="130"/>
      <c r="B94" s="131"/>
      <c r="C94" s="130"/>
      <c r="D94" s="131"/>
      <c r="E94" s="131"/>
      <c r="F94" s="132"/>
      <c r="G94" s="130"/>
      <c r="H94" s="133"/>
      <c r="I94" s="132"/>
      <c r="J94" s="132"/>
      <c r="K94" s="132"/>
      <c r="L94" s="132"/>
      <c r="M94" s="132"/>
      <c r="N94" s="132"/>
      <c r="O94" s="135" t="n">
        <f aca="false">IFERROR(I94-(J94+K94+L94+M94+N94),"")</f>
        <v>0</v>
      </c>
      <c r="P94" s="135" t="str">
        <f aca="false">IFERROR(O94/I94,"")</f>
        <v/>
      </c>
      <c r="Q94" s="135" t="str">
        <f aca="false">IFERROR(IF(OR(I94="",S94="",S94="tbd"),"tbd",I94*IF(S94&lt;=1,S94,S94/100)),"–")</f>
        <v>tbd</v>
      </c>
      <c r="R94" s="130"/>
      <c r="S94" s="130"/>
      <c r="T94" s="131"/>
      <c r="U94" s="131"/>
      <c r="V94" s="131"/>
      <c r="W94" s="130"/>
      <c r="X94" s="131"/>
      <c r="Z94" s="1" t="str">
        <f aca="false">IF(AND(R94="WON",ISNUMBER(I94)),AA94,"")</f>
        <v/>
      </c>
      <c r="AA94" s="1" t="n">
        <f aca="false">IFERROR(I94*1,0)</f>
        <v>0</v>
      </c>
    </row>
    <row r="95" customFormat="false" ht="15" hidden="true" customHeight="true" outlineLevel="0" collapsed="false">
      <c r="A95" s="130"/>
      <c r="B95" s="131"/>
      <c r="C95" s="130"/>
      <c r="D95" s="131"/>
      <c r="E95" s="131"/>
      <c r="F95" s="132"/>
      <c r="G95" s="130"/>
      <c r="H95" s="133"/>
      <c r="I95" s="132"/>
      <c r="J95" s="132"/>
      <c r="K95" s="132"/>
      <c r="L95" s="132"/>
      <c r="M95" s="132"/>
      <c r="N95" s="132"/>
      <c r="O95" s="135" t="n">
        <f aca="false">IFERROR(I95-(J95+K95+L95+M95+N95),"")</f>
        <v>0</v>
      </c>
      <c r="P95" s="135" t="str">
        <f aca="false">IFERROR(O95/I95,"")</f>
        <v/>
      </c>
      <c r="Q95" s="135" t="str">
        <f aca="false">IFERROR(IF(OR(I95="",S95="",S95="tbd"),"tbd",I95*IF(S95&lt;=1,S95,S95/100)),"–")</f>
        <v>tbd</v>
      </c>
      <c r="R95" s="130"/>
      <c r="S95" s="130"/>
      <c r="T95" s="131"/>
      <c r="U95" s="131"/>
      <c r="V95" s="131"/>
      <c r="W95" s="130"/>
      <c r="X95" s="131"/>
      <c r="Z95" s="1" t="str">
        <f aca="false">IF(AND(R95="WON",ISNUMBER(I95)),AA95,"")</f>
        <v/>
      </c>
      <c r="AA95" s="1" t="n">
        <f aca="false">IFERROR(I95*1,0)</f>
        <v>0</v>
      </c>
    </row>
    <row r="96" customFormat="false" ht="15" hidden="true" customHeight="true" outlineLevel="0" collapsed="false">
      <c r="A96" s="130"/>
      <c r="B96" s="131"/>
      <c r="C96" s="130"/>
      <c r="D96" s="131"/>
      <c r="E96" s="131"/>
      <c r="F96" s="132"/>
      <c r="G96" s="130"/>
      <c r="H96" s="133"/>
      <c r="I96" s="132"/>
      <c r="J96" s="132"/>
      <c r="K96" s="132"/>
      <c r="L96" s="132"/>
      <c r="M96" s="132"/>
      <c r="N96" s="132"/>
      <c r="O96" s="135" t="n">
        <f aca="false">IFERROR(I96-(J96+K96+L96+M96+N96),"")</f>
        <v>0</v>
      </c>
      <c r="P96" s="135" t="str">
        <f aca="false">IFERROR(O96/I96,"")</f>
        <v/>
      </c>
      <c r="Q96" s="135" t="str">
        <f aca="false">IFERROR(IF(OR(I96="",S96="",S96="tbd"),"tbd",I96*IF(S96&lt;=1,S96,S96/100)),"–")</f>
        <v>tbd</v>
      </c>
      <c r="R96" s="130"/>
      <c r="S96" s="130"/>
      <c r="T96" s="131"/>
      <c r="U96" s="131"/>
      <c r="V96" s="131"/>
      <c r="W96" s="130"/>
      <c r="X96" s="131"/>
      <c r="Z96" s="1" t="str">
        <f aca="false">IF(AND(R96="WON",ISNUMBER(I96)),AA96,"")</f>
        <v/>
      </c>
      <c r="AA96" s="1" t="n">
        <f aca="false">IFERROR(I96*1,0)</f>
        <v>0</v>
      </c>
    </row>
    <row r="97" customFormat="false" ht="15" hidden="true" customHeight="true" outlineLevel="0" collapsed="false">
      <c r="A97" s="130"/>
      <c r="B97" s="131"/>
      <c r="C97" s="130"/>
      <c r="D97" s="131"/>
      <c r="E97" s="131"/>
      <c r="F97" s="132"/>
      <c r="G97" s="130"/>
      <c r="H97" s="133"/>
      <c r="I97" s="132"/>
      <c r="J97" s="132"/>
      <c r="K97" s="132"/>
      <c r="L97" s="132"/>
      <c r="M97" s="132"/>
      <c r="N97" s="132"/>
      <c r="O97" s="135" t="n">
        <f aca="false">IFERROR(I97-(J97+K97+L97+M97+N97),"")</f>
        <v>0</v>
      </c>
      <c r="P97" s="135" t="str">
        <f aca="false">IFERROR(O97/I97,"")</f>
        <v/>
      </c>
      <c r="Q97" s="135" t="str">
        <f aca="false">IFERROR(IF(OR(I97="",S97="",S97="tbd"),"tbd",I97*IF(S97&lt;=1,S97,S97/100)),"–")</f>
        <v>tbd</v>
      </c>
      <c r="R97" s="130"/>
      <c r="S97" s="130"/>
      <c r="T97" s="131"/>
      <c r="U97" s="131"/>
      <c r="V97" s="131"/>
      <c r="W97" s="130"/>
      <c r="X97" s="131"/>
      <c r="Z97" s="1" t="str">
        <f aca="false">IF(AND(R97="WON",ISNUMBER(I97)),AA97,"")</f>
        <v/>
      </c>
      <c r="AA97" s="1" t="n">
        <f aca="false">IFERROR(I97*1,0)</f>
        <v>0</v>
      </c>
    </row>
    <row r="98" customFormat="false" ht="15" hidden="true" customHeight="true" outlineLevel="0" collapsed="false">
      <c r="A98" s="130"/>
      <c r="B98" s="131"/>
      <c r="C98" s="130"/>
      <c r="D98" s="131"/>
      <c r="E98" s="131"/>
      <c r="F98" s="132"/>
      <c r="G98" s="130"/>
      <c r="H98" s="133"/>
      <c r="I98" s="132"/>
      <c r="J98" s="132"/>
      <c r="K98" s="132"/>
      <c r="L98" s="132"/>
      <c r="M98" s="132"/>
      <c r="N98" s="132"/>
      <c r="O98" s="135" t="n">
        <f aca="false">IFERROR(I98-(J98+K98+L98+M98+N98),"")</f>
        <v>0</v>
      </c>
      <c r="P98" s="135" t="str">
        <f aca="false">IFERROR(O98/I98,"")</f>
        <v/>
      </c>
      <c r="Q98" s="135" t="str">
        <f aca="false">IFERROR(IF(OR(I98="",S98="",S98="tbd"),"tbd",I98*IF(S98&lt;=1,S98,S98/100)),"–")</f>
        <v>tbd</v>
      </c>
      <c r="R98" s="130"/>
      <c r="S98" s="130"/>
      <c r="T98" s="131"/>
      <c r="U98" s="131"/>
      <c r="V98" s="131"/>
      <c r="W98" s="130"/>
      <c r="X98" s="131"/>
      <c r="Z98" s="1" t="str">
        <f aca="false">IF(AND(R98="WON",ISNUMBER(I98)),AA98,"")</f>
        <v/>
      </c>
      <c r="AA98" s="1" t="n">
        <f aca="false">IFERROR(I98*1,0)</f>
        <v>0</v>
      </c>
    </row>
    <row r="99" customFormat="false" ht="15" hidden="true" customHeight="true" outlineLevel="0" collapsed="false">
      <c r="A99" s="130"/>
      <c r="B99" s="131"/>
      <c r="C99" s="130"/>
      <c r="D99" s="131"/>
      <c r="E99" s="131"/>
      <c r="F99" s="132"/>
      <c r="G99" s="130"/>
      <c r="H99" s="133"/>
      <c r="I99" s="132"/>
      <c r="J99" s="132"/>
      <c r="K99" s="132"/>
      <c r="L99" s="132"/>
      <c r="M99" s="132"/>
      <c r="N99" s="132"/>
      <c r="O99" s="135" t="n">
        <f aca="false">IFERROR(I99-(J99+K99+L99+M99+N99),"")</f>
        <v>0</v>
      </c>
      <c r="P99" s="135" t="str">
        <f aca="false">IFERROR(O99/I99,"")</f>
        <v/>
      </c>
      <c r="Q99" s="135" t="str">
        <f aca="false">IFERROR(IF(OR(I99="",S99="",S99="tbd"),"tbd",I99*IF(S99&lt;=1,S99,S99/100)),"–")</f>
        <v>tbd</v>
      </c>
      <c r="R99" s="130"/>
      <c r="S99" s="130"/>
      <c r="T99" s="131"/>
      <c r="U99" s="131"/>
      <c r="V99" s="131"/>
      <c r="W99" s="130"/>
      <c r="X99" s="131"/>
      <c r="Z99" s="1" t="str">
        <f aca="false">IF(AND(R99="WON",ISNUMBER(I99)),AA99,"")</f>
        <v/>
      </c>
      <c r="AA99" s="1" t="n">
        <f aca="false">IFERROR(I99*1,0)</f>
        <v>0</v>
      </c>
    </row>
    <row r="100" customFormat="false" ht="15" hidden="true" customHeight="true" outlineLevel="0" collapsed="false">
      <c r="A100" s="130"/>
      <c r="B100" s="131"/>
      <c r="C100" s="130"/>
      <c r="D100" s="131"/>
      <c r="E100" s="131"/>
      <c r="F100" s="132"/>
      <c r="G100" s="130"/>
      <c r="H100" s="133"/>
      <c r="I100" s="132"/>
      <c r="J100" s="132"/>
      <c r="K100" s="132"/>
      <c r="L100" s="132"/>
      <c r="M100" s="132"/>
      <c r="N100" s="132"/>
      <c r="O100" s="135" t="n">
        <f aca="false">IFERROR(I100-(J100+K100+L100+M100+N100),"")</f>
        <v>0</v>
      </c>
      <c r="P100" s="135" t="str">
        <f aca="false">IFERROR(O100/I100,"")</f>
        <v/>
      </c>
      <c r="Q100" s="135" t="str">
        <f aca="false">IFERROR(IF(OR(I100="",S100="",S100="tbd"),"tbd",I100*IF(S100&lt;=1,S100,S100/100)),"–")</f>
        <v>tbd</v>
      </c>
      <c r="R100" s="130"/>
      <c r="S100" s="130"/>
      <c r="T100" s="131"/>
      <c r="U100" s="131"/>
      <c r="V100" s="131"/>
      <c r="W100" s="130"/>
      <c r="X100" s="131"/>
      <c r="Z100" s="1" t="str">
        <f aca="false">IF(AND(R100="WON",ISNUMBER(I100)),AA100,"")</f>
        <v/>
      </c>
      <c r="AA100" s="1" t="n">
        <f aca="false">IFERROR(I100*1,0)</f>
        <v>0</v>
      </c>
    </row>
    <row r="101" customFormat="false" ht="15" hidden="true" customHeight="true" outlineLevel="0" collapsed="false">
      <c r="A101" s="130"/>
      <c r="B101" s="131"/>
      <c r="C101" s="130"/>
      <c r="D101" s="131"/>
      <c r="E101" s="131"/>
      <c r="F101" s="132"/>
      <c r="G101" s="130"/>
      <c r="H101" s="133"/>
      <c r="I101" s="132"/>
      <c r="J101" s="132"/>
      <c r="K101" s="132"/>
      <c r="L101" s="132"/>
      <c r="M101" s="132"/>
      <c r="N101" s="132"/>
      <c r="O101" s="135" t="n">
        <f aca="false">IFERROR(I101-(J101+K101+L101+M101+N101),"")</f>
        <v>0</v>
      </c>
      <c r="P101" s="135" t="str">
        <f aca="false">IFERROR(O101/I101,"")</f>
        <v/>
      </c>
      <c r="Q101" s="135" t="str">
        <f aca="false">IFERROR(IF(OR(I101="",S101="",S101="tbd"),"tbd",I101*IF(S101&lt;=1,S101,S101/100)),"–")</f>
        <v>tbd</v>
      </c>
      <c r="R101" s="130"/>
      <c r="S101" s="130"/>
      <c r="T101" s="131"/>
      <c r="U101" s="131"/>
      <c r="V101" s="131"/>
      <c r="W101" s="130"/>
      <c r="X101" s="131"/>
      <c r="Z101" s="1" t="str">
        <f aca="false">IF(AND(R101="WON",ISNUMBER(I101)),AA101,"")</f>
        <v/>
      </c>
      <c r="AA101" s="1" t="n">
        <f aca="false">IFERROR(I101*1,0)</f>
        <v>0</v>
      </c>
    </row>
    <row r="102" customFormat="false" ht="15" hidden="true" customHeight="true" outlineLevel="0" collapsed="false">
      <c r="A102" s="130"/>
      <c r="B102" s="131"/>
      <c r="C102" s="130"/>
      <c r="D102" s="131"/>
      <c r="E102" s="131"/>
      <c r="F102" s="132"/>
      <c r="G102" s="130"/>
      <c r="H102" s="133"/>
      <c r="I102" s="132"/>
      <c r="J102" s="132"/>
      <c r="K102" s="132"/>
      <c r="L102" s="132"/>
      <c r="M102" s="132"/>
      <c r="N102" s="132"/>
      <c r="O102" s="135" t="n">
        <f aca="false">IFERROR(I102-(J102+K102+L102+M102+N102),"")</f>
        <v>0</v>
      </c>
      <c r="P102" s="135" t="str">
        <f aca="false">IFERROR(O102/I102,"")</f>
        <v/>
      </c>
      <c r="Q102" s="135" t="str">
        <f aca="false">IFERROR(IF(OR(I102="",S102="",S102="tbd"),"tbd",I102*IF(S102&lt;=1,S102,S102/100)),"–")</f>
        <v>tbd</v>
      </c>
      <c r="R102" s="130"/>
      <c r="S102" s="130"/>
      <c r="T102" s="131"/>
      <c r="U102" s="131"/>
      <c r="V102" s="131"/>
      <c r="W102" s="130"/>
      <c r="X102" s="131"/>
      <c r="Z102" s="1" t="str">
        <f aca="false">IF(AND(R102="WON",ISNUMBER(I102)),AA102,"")</f>
        <v/>
      </c>
      <c r="AA102" s="1" t="n">
        <f aca="false">IFERROR(I102*1,0)</f>
        <v>0</v>
      </c>
    </row>
    <row r="103" customFormat="false" ht="15" hidden="true" customHeight="true" outlineLevel="0" collapsed="false">
      <c r="A103" s="130"/>
      <c r="B103" s="131"/>
      <c r="C103" s="130"/>
      <c r="D103" s="131"/>
      <c r="E103" s="131"/>
      <c r="F103" s="132"/>
      <c r="G103" s="130"/>
      <c r="H103" s="133"/>
      <c r="I103" s="132"/>
      <c r="J103" s="132"/>
      <c r="K103" s="132"/>
      <c r="L103" s="132"/>
      <c r="M103" s="132"/>
      <c r="N103" s="132"/>
      <c r="O103" s="135" t="n">
        <f aca="false">IFERROR(I103-(J103+K103+L103+M103+N103),"")</f>
        <v>0</v>
      </c>
      <c r="P103" s="135" t="str">
        <f aca="false">IFERROR(O103/I103,"")</f>
        <v/>
      </c>
      <c r="Q103" s="135" t="str">
        <f aca="false">IFERROR(IF(OR(I103="",S103="",S103="tbd"),"tbd",I103*IF(S103&lt;=1,S103,S103/100)),"–")</f>
        <v>tbd</v>
      </c>
      <c r="R103" s="130"/>
      <c r="S103" s="130"/>
      <c r="T103" s="131"/>
      <c r="U103" s="131"/>
      <c r="V103" s="131"/>
      <c r="W103" s="130"/>
      <c r="X103" s="131"/>
      <c r="Z103" s="1" t="str">
        <f aca="false">IF(AND(R103="WON",ISNUMBER(I103)),AA103,"")</f>
        <v/>
      </c>
      <c r="AA103" s="1" t="n">
        <f aca="false">IFERROR(I103*1,0)</f>
        <v>0</v>
      </c>
    </row>
    <row r="104" customFormat="false" ht="15" hidden="true" customHeight="true" outlineLevel="0" collapsed="false">
      <c r="A104" s="130"/>
      <c r="B104" s="131"/>
      <c r="C104" s="130"/>
      <c r="D104" s="131"/>
      <c r="E104" s="131"/>
      <c r="F104" s="132"/>
      <c r="G104" s="130"/>
      <c r="H104" s="133"/>
      <c r="I104" s="132"/>
      <c r="J104" s="132"/>
      <c r="K104" s="132"/>
      <c r="L104" s="132"/>
      <c r="M104" s="132"/>
      <c r="N104" s="132"/>
      <c r="O104" s="135" t="n">
        <f aca="false">IFERROR(I104-(J104+K104+L104+M104+N104),"")</f>
        <v>0</v>
      </c>
      <c r="P104" s="135" t="str">
        <f aca="false">IFERROR(O104/I104,"")</f>
        <v/>
      </c>
      <c r="Q104" s="135" t="str">
        <f aca="false">IFERROR(IF(OR(I104="",S104="",S104="tbd"),"tbd",I104*IF(S104&lt;=1,S104,S104/100)),"–")</f>
        <v>tbd</v>
      </c>
      <c r="R104" s="130"/>
      <c r="S104" s="130"/>
      <c r="T104" s="131"/>
      <c r="U104" s="131"/>
      <c r="V104" s="131"/>
      <c r="W104" s="130"/>
      <c r="X104" s="131"/>
      <c r="Z104" s="1" t="str">
        <f aca="false">IF(AND(R104="WON",ISNUMBER(I104)),AA104,"")</f>
        <v/>
      </c>
      <c r="AA104" s="1" t="n">
        <f aca="false">IFERROR(I104*1,0)</f>
        <v>0</v>
      </c>
    </row>
    <row r="105" customFormat="false" ht="15" hidden="true" customHeight="true" outlineLevel="0" collapsed="false">
      <c r="A105" s="130"/>
      <c r="B105" s="131"/>
      <c r="C105" s="130"/>
      <c r="D105" s="131"/>
      <c r="E105" s="131"/>
      <c r="F105" s="132"/>
      <c r="G105" s="130"/>
      <c r="H105" s="133"/>
      <c r="I105" s="132"/>
      <c r="J105" s="132"/>
      <c r="K105" s="132"/>
      <c r="L105" s="132"/>
      <c r="M105" s="132"/>
      <c r="N105" s="132"/>
      <c r="O105" s="135" t="n">
        <f aca="false">IFERROR(I105-(J105+K105+L105+M105+N105),"")</f>
        <v>0</v>
      </c>
      <c r="P105" s="135" t="str">
        <f aca="false">IFERROR(O105/I105,"")</f>
        <v/>
      </c>
      <c r="Q105" s="135" t="str">
        <f aca="false">IFERROR(IF(OR(I105="",S105="",S105="tbd"),"tbd",I105*IF(S105&lt;=1,S105,S105/100)),"–")</f>
        <v>tbd</v>
      </c>
      <c r="R105" s="130"/>
      <c r="S105" s="130"/>
      <c r="T105" s="131"/>
      <c r="U105" s="131"/>
      <c r="V105" s="131"/>
      <c r="W105" s="130"/>
      <c r="X105" s="131"/>
      <c r="Z105" s="1" t="str">
        <f aca="false">IF(AND(R105="WON",ISNUMBER(I105)),AA105,"")</f>
        <v/>
      </c>
      <c r="AA105" s="1" t="n">
        <f aca="false">IFERROR(I105*1,0)</f>
        <v>0</v>
      </c>
    </row>
    <row r="106" customFormat="false" ht="15" hidden="false" customHeight="true" outlineLevel="0" collapsed="false">
      <c r="Z106" s="1" t="str">
        <f aca="false">IF(AND(R106="WON",ISNUMBER(I106)),AA106,"")</f>
        <v/>
      </c>
      <c r="AA106" s="1" t="n">
        <f aca="false">IFERROR(I106*1,0)</f>
        <v>0</v>
      </c>
    </row>
    <row r="107" customFormat="false" ht="15" hidden="false" customHeight="true" outlineLevel="0" collapsed="false">
      <c r="Z107" s="1" t="str">
        <f aca="false">IF(AND(R107="WON",ISNUMBER(I107)),AA107,"")</f>
        <v/>
      </c>
      <c r="AA107" s="1" t="n">
        <f aca="false">IFERROR(I107*1,0)</f>
        <v>0</v>
      </c>
    </row>
    <row r="108" customFormat="false" ht="15" hidden="false" customHeight="true" outlineLevel="0" collapsed="false">
      <c r="Z108" s="1" t="str">
        <f aca="false">IF(AND(R108="WON",ISNUMBER(I108)),AA108,"")</f>
        <v/>
      </c>
      <c r="AA108" s="1" t="n">
        <f aca="false">IFERROR(I108*1,0)</f>
        <v>0</v>
      </c>
    </row>
    <row r="109" customFormat="false" ht="15" hidden="false" customHeight="true" outlineLevel="0" collapsed="false">
      <c r="Z109" s="1" t="str">
        <f aca="false">IF(AND(R109="WON",ISNUMBER(I109)),AA109,"")</f>
        <v/>
      </c>
      <c r="AA109" s="1" t="n">
        <f aca="false">IFERROR(I109*1,0)</f>
        <v>0</v>
      </c>
    </row>
    <row r="110" customFormat="false" ht="15" hidden="false" customHeight="true" outlineLevel="0" collapsed="false">
      <c r="Z110" s="1" t="str">
        <f aca="false">IF(AND(R110="WON",ISNUMBER(I110)),AA110,"")</f>
        <v/>
      </c>
      <c r="AA110" s="1" t="n">
        <f aca="false">IFERROR(I110*1,0)</f>
        <v>0</v>
      </c>
    </row>
    <row r="111" customFormat="false" ht="15" hidden="false" customHeight="true" outlineLevel="0" collapsed="false">
      <c r="Z111" s="1" t="str">
        <f aca="false">IF(AND(R111="WON",ISNUMBER(I111)),AA111,"")</f>
        <v/>
      </c>
      <c r="AA111" s="1" t="n">
        <f aca="false">IFERROR(I111*1,0)</f>
        <v>0</v>
      </c>
    </row>
    <row r="112" customFormat="false" ht="15" hidden="false" customHeight="true" outlineLevel="0" collapsed="false">
      <c r="Z112" s="1" t="str">
        <f aca="false">IF(AND(R112="WON",ISNUMBER(I112)),AA112,"")</f>
        <v/>
      </c>
      <c r="AA112" s="1" t="n">
        <f aca="false">IFERROR(I112*1,0)</f>
        <v>0</v>
      </c>
    </row>
    <row r="113" customFormat="false" ht="15" hidden="false" customHeight="true" outlineLevel="0" collapsed="false">
      <c r="Z113" s="1" t="str">
        <f aca="false">IF(AND(R113="WON",ISNUMBER(I113)),AA113,"")</f>
        <v/>
      </c>
      <c r="AA113" s="1" t="n">
        <f aca="false">IFERROR(I113*1,0)</f>
        <v>0</v>
      </c>
    </row>
    <row r="114" customFormat="false" ht="15" hidden="false" customHeight="true" outlineLevel="0" collapsed="false">
      <c r="Z114" s="1" t="str">
        <f aca="false">IF(AND(R114="WON",ISNUMBER(I114)),AA114,"")</f>
        <v/>
      </c>
      <c r="AA114" s="1" t="n">
        <f aca="false">IFERROR(I114*1,0)</f>
        <v>0</v>
      </c>
    </row>
    <row r="115" customFormat="false" ht="15" hidden="false" customHeight="true" outlineLevel="0" collapsed="false">
      <c r="Z115" s="1" t="str">
        <f aca="false">IF(AND(R115="WON",ISNUMBER(I115)),AA115,"")</f>
        <v/>
      </c>
      <c r="AA115" s="1" t="n">
        <f aca="false">IFERROR(I115*1,0)</f>
        <v>0</v>
      </c>
    </row>
    <row r="116" customFormat="false" ht="15" hidden="false" customHeight="true" outlineLevel="0" collapsed="false">
      <c r="Z116" s="1" t="str">
        <f aca="false">IF(AND(R116="WON",ISNUMBER(I116)),AA116,"")</f>
        <v/>
      </c>
      <c r="AA116" s="1" t="n">
        <f aca="false">IFERROR(I116*1,0)</f>
        <v>0</v>
      </c>
    </row>
    <row r="117" customFormat="false" ht="15" hidden="false" customHeight="true" outlineLevel="0" collapsed="false">
      <c r="Z117" s="1" t="str">
        <f aca="false">IF(AND(R117="WON",ISNUMBER(I117)),AA117,"")</f>
        <v/>
      </c>
      <c r="AA117" s="1" t="n">
        <f aca="false">IFERROR(I117*1,0)</f>
        <v>0</v>
      </c>
    </row>
    <row r="118" customFormat="false" ht="15" hidden="false" customHeight="true" outlineLevel="0" collapsed="false">
      <c r="Z118" s="1" t="str">
        <f aca="false">IF(AND(R118="WON",ISNUMBER(I118)),AA118,"")</f>
        <v/>
      </c>
      <c r="AA118" s="1" t="n">
        <f aca="false">IFERROR(I118*1,0)</f>
        <v>0</v>
      </c>
    </row>
    <row r="119" customFormat="false" ht="15" hidden="false" customHeight="true" outlineLevel="0" collapsed="false">
      <c r="Z119" s="1" t="str">
        <f aca="false">IF(AND(R119="WON",ISNUMBER(I119)),AA119,"")</f>
        <v/>
      </c>
      <c r="AA119" s="1" t="n">
        <f aca="false">IFERROR(I119*1,0)</f>
        <v>0</v>
      </c>
    </row>
    <row r="120" customFormat="false" ht="15" hidden="false" customHeight="true" outlineLevel="0" collapsed="false">
      <c r="Z120" s="1" t="str">
        <f aca="false">IF(AND(R120="WON",ISNUMBER(I120)),AA120,"")</f>
        <v/>
      </c>
      <c r="AA120" s="1" t="n">
        <f aca="false">IFERROR(I120*1,0)</f>
        <v>0</v>
      </c>
    </row>
    <row r="121" customFormat="false" ht="15" hidden="false" customHeight="true" outlineLevel="0" collapsed="false">
      <c r="Z121" s="1" t="str">
        <f aca="false">IF(AND(R121="WON",ISNUMBER(I121)),AA121,"")</f>
        <v/>
      </c>
      <c r="AA121" s="1" t="n">
        <f aca="false">IFERROR(I121*1,0)</f>
        <v>0</v>
      </c>
    </row>
    <row r="122" customFormat="false" ht="15" hidden="false" customHeight="true" outlineLevel="0" collapsed="false">
      <c r="Z122" s="1" t="str">
        <f aca="false">IF(AND(R122="WON",ISNUMBER(I122)),AA122,"")</f>
        <v/>
      </c>
      <c r="AA122" s="1" t="n">
        <f aca="false">IFERROR(I122*1,0)</f>
        <v>0</v>
      </c>
    </row>
    <row r="123" customFormat="false" ht="15" hidden="false" customHeight="true" outlineLevel="0" collapsed="false">
      <c r="Z123" s="1" t="str">
        <f aca="false">IF(AND(R123="WON",ISNUMBER(I123)),AA123,"")</f>
        <v/>
      </c>
      <c r="AA123" s="1" t="n">
        <f aca="false">IFERROR(I123*1,0)</f>
        <v>0</v>
      </c>
    </row>
    <row r="124" customFormat="false" ht="15" hidden="false" customHeight="true" outlineLevel="0" collapsed="false">
      <c r="Z124" s="1" t="str">
        <f aca="false">IF(AND(R124="WON",ISNUMBER(I124)),AA124,"")</f>
        <v/>
      </c>
      <c r="AA124" s="1" t="n">
        <f aca="false">IFERROR(I124*1,0)</f>
        <v>0</v>
      </c>
    </row>
    <row r="125" customFormat="false" ht="15" hidden="false" customHeight="true" outlineLevel="0" collapsed="false">
      <c r="Z125" s="1" t="str">
        <f aca="false">IF(AND(R125="WON",ISNUMBER(I125)),AA125,"")</f>
        <v/>
      </c>
      <c r="AA125" s="1" t="n">
        <f aca="false">IFERROR(I125*1,0)</f>
        <v>0</v>
      </c>
    </row>
    <row r="126" customFormat="false" ht="15" hidden="false" customHeight="true" outlineLevel="0" collapsed="false">
      <c r="Z126" s="1" t="str">
        <f aca="false">IF(AND(R126="WON",ISNUMBER(I126)),AA126,"")</f>
        <v/>
      </c>
      <c r="AA126" s="1" t="n">
        <f aca="false">IFERROR(I126*1,0)</f>
        <v>0</v>
      </c>
    </row>
    <row r="127" customFormat="false" ht="15" hidden="false" customHeight="true" outlineLevel="0" collapsed="false">
      <c r="Z127" s="1" t="str">
        <f aca="false">IF(AND(R127="WON",ISNUMBER(I127)),AA127,"")</f>
        <v/>
      </c>
      <c r="AA127" s="1" t="n">
        <f aca="false">IFERROR(I127*1,0)</f>
        <v>0</v>
      </c>
    </row>
    <row r="128" customFormat="false" ht="15" hidden="false" customHeight="true" outlineLevel="0" collapsed="false">
      <c r="Z128" s="1" t="str">
        <f aca="false">IF(AND(R128="WON",ISNUMBER(I128)),AA128,"")</f>
        <v/>
      </c>
      <c r="AA128" s="1" t="n">
        <f aca="false">IFERROR(I128*1,0)</f>
        <v>0</v>
      </c>
    </row>
    <row r="129" customFormat="false" ht="15" hidden="false" customHeight="true" outlineLevel="0" collapsed="false">
      <c r="Z129" s="1" t="str">
        <f aca="false">IF(AND(R129="WON",ISNUMBER(I129)),AA129,"")</f>
        <v/>
      </c>
      <c r="AA129" s="1" t="n">
        <f aca="false">IFERROR(I129*1,0)</f>
        <v>0</v>
      </c>
    </row>
    <row r="130" customFormat="false" ht="15" hidden="false" customHeight="true" outlineLevel="0" collapsed="false">
      <c r="Z130" s="1" t="str">
        <f aca="false">IF(AND(R130="WON",ISNUMBER(I130)),AA130,"")</f>
        <v/>
      </c>
      <c r="AA130" s="1" t="n">
        <f aca="false">IFERROR(I130*1,0)</f>
        <v>0</v>
      </c>
    </row>
    <row r="131" customFormat="false" ht="15" hidden="false" customHeight="true" outlineLevel="0" collapsed="false">
      <c r="Z131" s="1" t="str">
        <f aca="false">IF(AND(R131="WON",ISNUMBER(I131)),AA131,"")</f>
        <v/>
      </c>
      <c r="AA131" s="1" t="n">
        <f aca="false">IFERROR(I131*1,0)</f>
        <v>0</v>
      </c>
    </row>
    <row r="132" customFormat="false" ht="15" hidden="false" customHeight="true" outlineLevel="0" collapsed="false">
      <c r="Z132" s="1" t="str">
        <f aca="false">IF(AND(R132="WON",ISNUMBER(I132)),AA132,"")</f>
        <v/>
      </c>
      <c r="AA132" s="1" t="n">
        <f aca="false">IFERROR(I132*1,0)</f>
        <v>0</v>
      </c>
    </row>
    <row r="133" customFormat="false" ht="15" hidden="false" customHeight="true" outlineLevel="0" collapsed="false">
      <c r="Z133" s="1" t="str">
        <f aca="false">IF(AND(R133="WON",ISNUMBER(I133)),AA133,"")</f>
        <v/>
      </c>
      <c r="AA133" s="1" t="n">
        <f aca="false">IFERROR(I133*1,0)</f>
        <v>0</v>
      </c>
    </row>
    <row r="134" customFormat="false" ht="15" hidden="false" customHeight="true" outlineLevel="0" collapsed="false">
      <c r="Z134" s="1" t="str">
        <f aca="false">IF(AND(R134="WON",ISNUMBER(I134)),AA134,"")</f>
        <v/>
      </c>
      <c r="AA134" s="1" t="n">
        <f aca="false">IFERROR(I134*1,0)</f>
        <v>0</v>
      </c>
    </row>
    <row r="135" customFormat="false" ht="15" hidden="false" customHeight="true" outlineLevel="0" collapsed="false">
      <c r="Z135" s="1" t="str">
        <f aca="false">IF(AND(R135="WON",ISNUMBER(I135)),AA135,"")</f>
        <v/>
      </c>
      <c r="AA135" s="1" t="n">
        <f aca="false">IFERROR(I135*1,0)</f>
        <v>0</v>
      </c>
    </row>
    <row r="136" customFormat="false" ht="15" hidden="false" customHeight="true" outlineLevel="0" collapsed="false">
      <c r="Z136" s="1" t="str">
        <f aca="false">IF(AND(R136="WON",ISNUMBER(I136)),AA136,"")</f>
        <v/>
      </c>
      <c r="AA136" s="1" t="n">
        <f aca="false">IFERROR(I136*1,0)</f>
        <v>0</v>
      </c>
    </row>
    <row r="137" customFormat="false" ht="15" hidden="false" customHeight="true" outlineLevel="0" collapsed="false">
      <c r="Z137" s="1" t="str">
        <f aca="false">IF(AND(R137="WON",ISNUMBER(I137)),AA137,"")</f>
        <v/>
      </c>
      <c r="AA137" s="1" t="n">
        <f aca="false">IFERROR(I137*1,0)</f>
        <v>0</v>
      </c>
    </row>
    <row r="138" customFormat="false" ht="15" hidden="false" customHeight="true" outlineLevel="0" collapsed="false">
      <c r="Z138" s="1" t="str">
        <f aca="false">IF(AND(R138="WON",ISNUMBER(I138)),AA138,"")</f>
        <v/>
      </c>
      <c r="AA138" s="1" t="n">
        <f aca="false">IFERROR(I138*1,0)</f>
        <v>0</v>
      </c>
    </row>
    <row r="139" customFormat="false" ht="15" hidden="false" customHeight="true" outlineLevel="0" collapsed="false">
      <c r="Z139" s="1" t="str">
        <f aca="false">IF(AND(R139="WON",ISNUMBER(I139)),AA139,"")</f>
        <v/>
      </c>
      <c r="AA139" s="1" t="n">
        <f aca="false">IFERROR(I139*1,0)</f>
        <v>0</v>
      </c>
    </row>
    <row r="140" customFormat="false" ht="15" hidden="false" customHeight="true" outlineLevel="0" collapsed="false">
      <c r="Z140" s="1" t="str">
        <f aca="false">IF(AND(R140="WON",ISNUMBER(I140)),AA140,"")</f>
        <v/>
      </c>
      <c r="AA140" s="1" t="n">
        <f aca="false">IFERROR(I140*1,0)</f>
        <v>0</v>
      </c>
    </row>
    <row r="141" customFormat="false" ht="15" hidden="false" customHeight="true" outlineLevel="0" collapsed="false">
      <c r="Z141" s="1" t="str">
        <f aca="false">IF(AND(R141="WON",ISNUMBER(I141)),AA141,"")</f>
        <v/>
      </c>
      <c r="AA141" s="1" t="n">
        <f aca="false">IFERROR(I141*1,0)</f>
        <v>0</v>
      </c>
    </row>
    <row r="142" customFormat="false" ht="15" hidden="false" customHeight="true" outlineLevel="0" collapsed="false">
      <c r="Z142" s="1" t="str">
        <f aca="false">IF(AND(R142="WON",ISNUMBER(I142)),AA142,"")</f>
        <v/>
      </c>
      <c r="AA142" s="1" t="n">
        <f aca="false">IFERROR(I142*1,0)</f>
        <v>0</v>
      </c>
    </row>
    <row r="143" customFormat="false" ht="15" hidden="false" customHeight="true" outlineLevel="0" collapsed="false">
      <c r="Z143" s="1" t="str">
        <f aca="false">IF(AND(R143="WON",ISNUMBER(I143)),AA143,"")</f>
        <v/>
      </c>
      <c r="AA143" s="1" t="n">
        <f aca="false">IFERROR(I143*1,0)</f>
        <v>0</v>
      </c>
    </row>
    <row r="144" customFormat="false" ht="15" hidden="false" customHeight="true" outlineLevel="0" collapsed="false">
      <c r="Z144" s="1" t="str">
        <f aca="false">IF(AND(R144="WON",ISNUMBER(I144)),AA144,"")</f>
        <v/>
      </c>
      <c r="AA144" s="1" t="n">
        <f aca="false">IFERROR(I144*1,0)</f>
        <v>0</v>
      </c>
    </row>
    <row r="145" customFormat="false" ht="15" hidden="false" customHeight="true" outlineLevel="0" collapsed="false">
      <c r="Z145" s="1" t="str">
        <f aca="false">IF(AND(R145="WON",ISNUMBER(I145)),AA145,"")</f>
        <v/>
      </c>
      <c r="AA145" s="1" t="n">
        <f aca="false">IFERROR(I145*1,0)</f>
        <v>0</v>
      </c>
    </row>
    <row r="146" customFormat="false" ht="15" hidden="false" customHeight="true" outlineLevel="0" collapsed="false">
      <c r="Z146" s="1" t="str">
        <f aca="false">IF(AND(R146="WON",ISNUMBER(I146)),AA146,"")</f>
        <v/>
      </c>
      <c r="AA146" s="1" t="n">
        <f aca="false">IFERROR(I146*1,0)</f>
        <v>0</v>
      </c>
    </row>
    <row r="147" customFormat="false" ht="15" hidden="false" customHeight="true" outlineLevel="0" collapsed="false">
      <c r="Z147" s="1" t="str">
        <f aca="false">IF(AND(R147="WON",ISNUMBER(I147)),AA147,"")</f>
        <v/>
      </c>
      <c r="AA147" s="1" t="n">
        <f aca="false">IFERROR(I147*1,0)</f>
        <v>0</v>
      </c>
    </row>
    <row r="148" customFormat="false" ht="15" hidden="false" customHeight="true" outlineLevel="0" collapsed="false">
      <c r="Z148" s="1" t="str">
        <f aca="false">IF(AND(R148="WON",ISNUMBER(I148)),AA148,"")</f>
        <v/>
      </c>
      <c r="AA148" s="1" t="n">
        <f aca="false">IFERROR(I148*1,0)</f>
        <v>0</v>
      </c>
    </row>
    <row r="149" customFormat="false" ht="15" hidden="false" customHeight="true" outlineLevel="0" collapsed="false">
      <c r="Z149" s="1" t="str">
        <f aca="false">IF(AND(R149="WON",ISNUMBER(I149)),AA149,"")</f>
        <v/>
      </c>
      <c r="AA149" s="1" t="n">
        <f aca="false">IFERROR(I149*1,0)</f>
        <v>0</v>
      </c>
    </row>
    <row r="150" customFormat="false" ht="15" hidden="false" customHeight="true" outlineLevel="0" collapsed="false">
      <c r="Z150" s="1" t="str">
        <f aca="false">IF(AND(R150="WON",ISNUMBER(I150)),AA150,"")</f>
        <v/>
      </c>
      <c r="AA150" s="1" t="n">
        <f aca="false">IFERROR(I150*1,0)</f>
        <v>0</v>
      </c>
    </row>
    <row r="151" customFormat="false" ht="15" hidden="false" customHeight="true" outlineLevel="0" collapsed="false">
      <c r="Z151" s="1" t="str">
        <f aca="false">IF(AND(R151="WON",ISNUMBER(I151)),AA151,"")</f>
        <v/>
      </c>
      <c r="AA151" s="1" t="n">
        <f aca="false">IFERROR(I151*1,0)</f>
        <v>0</v>
      </c>
    </row>
    <row r="152" customFormat="false" ht="15" hidden="false" customHeight="true" outlineLevel="0" collapsed="false">
      <c r="Z152" s="1" t="str">
        <f aca="false">IF(AND(R152="WON",ISNUMBER(I152)),AA152,"")</f>
        <v/>
      </c>
      <c r="AA152" s="1" t="n">
        <f aca="false">IFERROR(I152*1,0)</f>
        <v>0</v>
      </c>
    </row>
    <row r="153" customFormat="false" ht="15" hidden="false" customHeight="true" outlineLevel="0" collapsed="false">
      <c r="Z153" s="1" t="str">
        <f aca="false">IF(AND(R153="WON",ISNUMBER(I153)),AA153,"")</f>
        <v/>
      </c>
      <c r="AA153" s="1" t="n">
        <f aca="false">IFERROR(I153*1,0)</f>
        <v>0</v>
      </c>
    </row>
    <row r="154" customFormat="false" ht="15" hidden="false" customHeight="true" outlineLevel="0" collapsed="false">
      <c r="Z154" s="1" t="str">
        <f aca="false">IF(AND(R154="WON",ISNUMBER(I154)),AA154,"")</f>
        <v/>
      </c>
      <c r="AA154" s="1" t="n">
        <f aca="false">IFERROR(I154*1,0)</f>
        <v>0</v>
      </c>
    </row>
    <row r="155" customFormat="false" ht="15" hidden="false" customHeight="true" outlineLevel="0" collapsed="false">
      <c r="Z155" s="1" t="str">
        <f aca="false">IF(AND(R155="WON",ISNUMBER(I155)),AA155,"")</f>
        <v/>
      </c>
      <c r="AA155" s="1" t="n">
        <f aca="false">IFERROR(I155*1,0)</f>
        <v>0</v>
      </c>
    </row>
    <row r="156" customFormat="false" ht="15" hidden="false" customHeight="true" outlineLevel="0" collapsed="false">
      <c r="Z156" s="1" t="str">
        <f aca="false">IF(AND(R156="WON",ISNUMBER(I156)),AA156,"")</f>
        <v/>
      </c>
      <c r="AA156" s="1" t="n">
        <f aca="false">IFERROR(I156*1,0)</f>
        <v>0</v>
      </c>
    </row>
    <row r="157" customFormat="false" ht="15" hidden="false" customHeight="true" outlineLevel="0" collapsed="false">
      <c r="Z157" s="1" t="str">
        <f aca="false">IF(AND(R157="WON",ISNUMBER(I157)),AA157,"")</f>
        <v/>
      </c>
      <c r="AA157" s="1" t="n">
        <f aca="false">IFERROR(I157*1,0)</f>
        <v>0</v>
      </c>
    </row>
    <row r="158" customFormat="false" ht="15" hidden="false" customHeight="true" outlineLevel="0" collapsed="false">
      <c r="Z158" s="1" t="str">
        <f aca="false">IF(AND(R158="WON",ISNUMBER(I158)),AA158,"")</f>
        <v/>
      </c>
      <c r="AA158" s="1" t="n">
        <f aca="false">IFERROR(I158*1,0)</f>
        <v>0</v>
      </c>
    </row>
    <row r="159" customFormat="false" ht="15" hidden="false" customHeight="true" outlineLevel="0" collapsed="false">
      <c r="Z159" s="1" t="str">
        <f aca="false">IF(AND(R159="WON",ISNUMBER(I159)),AA159,"")</f>
        <v/>
      </c>
      <c r="AA159" s="1" t="n">
        <f aca="false">IFERROR(I159*1,0)</f>
        <v>0</v>
      </c>
    </row>
    <row r="160" customFormat="false" ht="15" hidden="false" customHeight="true" outlineLevel="0" collapsed="false">
      <c r="Z160" s="1" t="str">
        <f aca="false">IF(AND(R160="WON",ISNUMBER(I160)),AA160,"")</f>
        <v/>
      </c>
      <c r="AA160" s="1" t="n">
        <f aca="false">IFERROR(I160*1,0)</f>
        <v>0</v>
      </c>
    </row>
    <row r="161" customFormat="false" ht="15" hidden="false" customHeight="true" outlineLevel="0" collapsed="false">
      <c r="Z161" s="1" t="str">
        <f aca="false">IF(AND(R161="WON",ISNUMBER(I161)),AA161,"")</f>
        <v/>
      </c>
      <c r="AA161" s="1" t="n">
        <f aca="false">IFERROR(I161*1,0)</f>
        <v>0</v>
      </c>
    </row>
    <row r="162" customFormat="false" ht="15" hidden="false" customHeight="true" outlineLevel="0" collapsed="false">
      <c r="Z162" s="1" t="str">
        <f aca="false">IF(AND(R162="WON",ISNUMBER(I162)),AA162,"")</f>
        <v/>
      </c>
      <c r="AA162" s="1" t="n">
        <f aca="false">IFERROR(I162*1,0)</f>
        <v>0</v>
      </c>
    </row>
    <row r="163" customFormat="false" ht="15" hidden="false" customHeight="true" outlineLevel="0" collapsed="false">
      <c r="Z163" s="1" t="str">
        <f aca="false">IF(AND(R163="WON",ISNUMBER(I163)),AA163,"")</f>
        <v/>
      </c>
      <c r="AA163" s="1" t="n">
        <f aca="false">IFERROR(I163*1,0)</f>
        <v>0</v>
      </c>
    </row>
    <row r="164" customFormat="false" ht="15" hidden="false" customHeight="true" outlineLevel="0" collapsed="false">
      <c r="Z164" s="1" t="str">
        <f aca="false">IF(AND(R164="WON",ISNUMBER(I164)),AA164,"")</f>
        <v/>
      </c>
      <c r="AA164" s="1" t="n">
        <f aca="false">IFERROR(I164*1,0)</f>
        <v>0</v>
      </c>
    </row>
    <row r="165" customFormat="false" ht="15" hidden="false" customHeight="true" outlineLevel="0" collapsed="false">
      <c r="Z165" s="1" t="str">
        <f aca="false">IF(AND(R165="WON",ISNUMBER(I165)),AA165,"")</f>
        <v/>
      </c>
      <c r="AA165" s="1" t="n">
        <f aca="false">IFERROR(I165*1,0)</f>
        <v>0</v>
      </c>
    </row>
    <row r="166" customFormat="false" ht="15" hidden="false" customHeight="true" outlineLevel="0" collapsed="false">
      <c r="Z166" s="1" t="str">
        <f aca="false">IF(AND(R166="WON",ISNUMBER(I166)),AA166,"")</f>
        <v/>
      </c>
      <c r="AA166" s="1" t="n">
        <f aca="false">IFERROR(I166*1,0)</f>
        <v>0</v>
      </c>
    </row>
    <row r="167" customFormat="false" ht="15" hidden="false" customHeight="true" outlineLevel="0" collapsed="false">
      <c r="Z167" s="1" t="str">
        <f aca="false">IF(AND(R167="WON",ISNUMBER(I167)),AA167,"")</f>
        <v/>
      </c>
      <c r="AA167" s="1" t="n">
        <f aca="false">IFERROR(I167*1,0)</f>
        <v>0</v>
      </c>
    </row>
    <row r="168" customFormat="false" ht="15" hidden="false" customHeight="true" outlineLevel="0" collapsed="false">
      <c r="Z168" s="1" t="str">
        <f aca="false">IF(AND(R168="WON",ISNUMBER(I168)),AA168,"")</f>
        <v/>
      </c>
      <c r="AA168" s="1" t="n">
        <f aca="false">IFERROR(I168*1,0)</f>
        <v>0</v>
      </c>
    </row>
    <row r="169" customFormat="false" ht="15" hidden="false" customHeight="true" outlineLevel="0" collapsed="false">
      <c r="Z169" s="1" t="str">
        <f aca="false">IF(AND(R169="WON",ISNUMBER(I169)),AA169,"")</f>
        <v/>
      </c>
      <c r="AA169" s="1" t="n">
        <f aca="false">IFERROR(I169*1,0)</f>
        <v>0</v>
      </c>
    </row>
    <row r="170" customFormat="false" ht="15" hidden="false" customHeight="true" outlineLevel="0" collapsed="false">
      <c r="Z170" s="1" t="str">
        <f aca="false">IF(AND(R170="WON",ISNUMBER(I170)),AA170,"")</f>
        <v/>
      </c>
      <c r="AA170" s="1" t="n">
        <f aca="false">IFERROR(I170*1,0)</f>
        <v>0</v>
      </c>
    </row>
    <row r="171" customFormat="false" ht="15" hidden="false" customHeight="true" outlineLevel="0" collapsed="false">
      <c r="Z171" s="1" t="str">
        <f aca="false">IF(AND(R171="WON",ISNUMBER(I171)),AA171,"")</f>
        <v/>
      </c>
      <c r="AA171" s="1" t="n">
        <f aca="false">IFERROR(I171*1,0)</f>
        <v>0</v>
      </c>
    </row>
    <row r="172" customFormat="false" ht="15" hidden="false" customHeight="true" outlineLevel="0" collapsed="false">
      <c r="Z172" s="1" t="str">
        <f aca="false">IF(AND(R172="WON",ISNUMBER(I172)),AA172,"")</f>
        <v/>
      </c>
      <c r="AA172" s="1" t="n">
        <f aca="false">IFERROR(I172*1,0)</f>
        <v>0</v>
      </c>
    </row>
    <row r="173" customFormat="false" ht="15" hidden="false" customHeight="true" outlineLevel="0" collapsed="false">
      <c r="Z173" s="1" t="str">
        <f aca="false">IF(AND(R173="WON",ISNUMBER(I173)),AA173,"")</f>
        <v/>
      </c>
      <c r="AA173" s="1" t="n">
        <f aca="false">IFERROR(I173*1,0)</f>
        <v>0</v>
      </c>
    </row>
    <row r="174" customFormat="false" ht="15" hidden="false" customHeight="true" outlineLevel="0" collapsed="false">
      <c r="Z174" s="1" t="str">
        <f aca="false">IF(AND(R174="WON",ISNUMBER(I174)),AA174,"")</f>
        <v/>
      </c>
      <c r="AA174" s="1" t="n">
        <f aca="false">IFERROR(I174*1,0)</f>
        <v>0</v>
      </c>
    </row>
    <row r="175" customFormat="false" ht="15" hidden="false" customHeight="true" outlineLevel="0" collapsed="false">
      <c r="Z175" s="1" t="str">
        <f aca="false">IF(AND(R175="WON",ISNUMBER(I175)),AA175,"")</f>
        <v/>
      </c>
      <c r="AA175" s="1" t="n">
        <f aca="false">IFERROR(I175*1,0)</f>
        <v>0</v>
      </c>
    </row>
    <row r="176" customFormat="false" ht="15" hidden="false" customHeight="true" outlineLevel="0" collapsed="false">
      <c r="Z176" s="1" t="str">
        <f aca="false">IF(AND(R176="WON",ISNUMBER(I176)),AA176,"")</f>
        <v/>
      </c>
      <c r="AA176" s="1" t="n">
        <f aca="false">IFERROR(I176*1,0)</f>
        <v>0</v>
      </c>
    </row>
    <row r="177" customFormat="false" ht="15" hidden="false" customHeight="true" outlineLevel="0" collapsed="false">
      <c r="Z177" s="1" t="str">
        <f aca="false">IF(AND(R177="WON",ISNUMBER(I177)),AA177,"")</f>
        <v/>
      </c>
      <c r="AA177" s="1" t="n">
        <f aca="false">IFERROR(I177*1,0)</f>
        <v>0</v>
      </c>
    </row>
    <row r="178" customFormat="false" ht="15" hidden="false" customHeight="true" outlineLevel="0" collapsed="false">
      <c r="Z178" s="1" t="str">
        <f aca="false">IF(AND(R178="WON",ISNUMBER(I178)),AA178,"")</f>
        <v/>
      </c>
      <c r="AA178" s="1" t="n">
        <f aca="false">IFERROR(I178*1,0)</f>
        <v>0</v>
      </c>
    </row>
    <row r="179" customFormat="false" ht="15" hidden="false" customHeight="true" outlineLevel="0" collapsed="false">
      <c r="Z179" s="1" t="str">
        <f aca="false">IF(AND(R179="WON",ISNUMBER(I179)),AA179,"")</f>
        <v/>
      </c>
      <c r="AA179" s="1" t="n">
        <f aca="false">IFERROR(I179*1,0)</f>
        <v>0</v>
      </c>
    </row>
    <row r="180" customFormat="false" ht="15" hidden="false" customHeight="true" outlineLevel="0" collapsed="false">
      <c r="Z180" s="1" t="str">
        <f aca="false">IF(AND(R180="WON",ISNUMBER(I180)),AA180,"")</f>
        <v/>
      </c>
      <c r="AA180" s="1" t="n">
        <f aca="false">IFERROR(I180*1,0)</f>
        <v>0</v>
      </c>
    </row>
    <row r="181" customFormat="false" ht="15" hidden="false" customHeight="true" outlineLevel="0" collapsed="false">
      <c r="Z181" s="1" t="str">
        <f aca="false">IF(AND(R181="WON",ISNUMBER(I181)),AA181,"")</f>
        <v/>
      </c>
      <c r="AA181" s="1" t="n">
        <f aca="false">IFERROR(I181*1,0)</f>
        <v>0</v>
      </c>
    </row>
    <row r="182" customFormat="false" ht="15" hidden="false" customHeight="true" outlineLevel="0" collapsed="false">
      <c r="Z182" s="1" t="str">
        <f aca="false">IF(AND(R182="WON",ISNUMBER(I182)),AA182,"")</f>
        <v/>
      </c>
      <c r="AA182" s="1" t="n">
        <f aca="false">IFERROR(I182*1,0)</f>
        <v>0</v>
      </c>
    </row>
    <row r="183" customFormat="false" ht="15" hidden="false" customHeight="true" outlineLevel="0" collapsed="false">
      <c r="Z183" s="1" t="str">
        <f aca="false">IF(AND(R183="WON",ISNUMBER(I183)),AA183,"")</f>
        <v/>
      </c>
      <c r="AA183" s="1" t="n">
        <f aca="false">IFERROR(I183*1,0)</f>
        <v>0</v>
      </c>
    </row>
    <row r="184" customFormat="false" ht="15" hidden="false" customHeight="true" outlineLevel="0" collapsed="false">
      <c r="Z184" s="1" t="str">
        <f aca="false">IF(AND(R184="WON",ISNUMBER(I184)),AA184,"")</f>
        <v/>
      </c>
      <c r="AA184" s="1" t="n">
        <f aca="false">IFERROR(I184*1,0)</f>
        <v>0</v>
      </c>
    </row>
    <row r="185" customFormat="false" ht="15" hidden="false" customHeight="true" outlineLevel="0" collapsed="false">
      <c r="Z185" s="1" t="str">
        <f aca="false">IF(AND(R185="WON",ISNUMBER(I185)),AA185,"")</f>
        <v/>
      </c>
      <c r="AA185" s="1" t="n">
        <f aca="false">IFERROR(I185*1,0)</f>
        <v>0</v>
      </c>
    </row>
    <row r="186" customFormat="false" ht="15" hidden="false" customHeight="true" outlineLevel="0" collapsed="false">
      <c r="Z186" s="1" t="str">
        <f aca="false">IF(AND(R186="WON",ISNUMBER(I186)),AA186,"")</f>
        <v/>
      </c>
      <c r="AA186" s="1" t="n">
        <f aca="false">IFERROR(I186*1,0)</f>
        <v>0</v>
      </c>
    </row>
    <row r="187" customFormat="false" ht="15" hidden="false" customHeight="true" outlineLevel="0" collapsed="false">
      <c r="Z187" s="1" t="str">
        <f aca="false">IF(AND(R187="WON",ISNUMBER(I187)),AA187,"")</f>
        <v/>
      </c>
      <c r="AA187" s="1" t="n">
        <f aca="false">IFERROR(I187*1,0)</f>
        <v>0</v>
      </c>
    </row>
    <row r="188" customFormat="false" ht="15" hidden="false" customHeight="true" outlineLevel="0" collapsed="false">
      <c r="Z188" s="1" t="str">
        <f aca="false">IF(AND(R188="WON",ISNUMBER(I188)),AA188,"")</f>
        <v/>
      </c>
      <c r="AA188" s="1" t="n">
        <f aca="false">IFERROR(I188*1,0)</f>
        <v>0</v>
      </c>
    </row>
    <row r="189" customFormat="false" ht="15" hidden="false" customHeight="true" outlineLevel="0" collapsed="false">
      <c r="Z189" s="1" t="str">
        <f aca="false">IF(AND(R189="WON",ISNUMBER(I189)),AA189,"")</f>
        <v/>
      </c>
      <c r="AA189" s="1" t="n">
        <f aca="false">IFERROR(I189*1,0)</f>
        <v>0</v>
      </c>
    </row>
    <row r="190" customFormat="false" ht="15" hidden="false" customHeight="true" outlineLevel="0" collapsed="false">
      <c r="Z190" s="1" t="str">
        <f aca="false">IF(AND(R190="WON",ISNUMBER(I190)),AA190,"")</f>
        <v/>
      </c>
      <c r="AA190" s="1" t="n">
        <f aca="false">IFERROR(I190*1,0)</f>
        <v>0</v>
      </c>
    </row>
    <row r="191" customFormat="false" ht="15" hidden="false" customHeight="true" outlineLevel="0" collapsed="false">
      <c r="Z191" s="1" t="str">
        <f aca="false">IF(AND(R191="WON",ISNUMBER(I191)),AA191,"")</f>
        <v/>
      </c>
      <c r="AA191" s="1" t="n">
        <f aca="false">IFERROR(I191*1,0)</f>
        <v>0</v>
      </c>
    </row>
    <row r="192" customFormat="false" ht="15" hidden="false" customHeight="true" outlineLevel="0" collapsed="false">
      <c r="Z192" s="1" t="str">
        <f aca="false">IF(AND(R192="WON",ISNUMBER(I192)),AA192,"")</f>
        <v/>
      </c>
      <c r="AA192" s="1" t="n">
        <f aca="false">IFERROR(I192*1,0)</f>
        <v>0</v>
      </c>
    </row>
    <row r="193" customFormat="false" ht="15" hidden="false" customHeight="true" outlineLevel="0" collapsed="false">
      <c r="Z193" s="1" t="str">
        <f aca="false">IF(AND(R193="WON",ISNUMBER(I193)),AA193,"")</f>
        <v/>
      </c>
      <c r="AA193" s="1" t="n">
        <f aca="false">IFERROR(I193*1,0)</f>
        <v>0</v>
      </c>
    </row>
    <row r="194" customFormat="false" ht="15" hidden="false" customHeight="true" outlineLevel="0" collapsed="false">
      <c r="Z194" s="1" t="str">
        <f aca="false">IF(AND(R194="WON",ISNUMBER(I194)),AA194,"")</f>
        <v/>
      </c>
      <c r="AA194" s="1" t="n">
        <f aca="false">IFERROR(I194*1,0)</f>
        <v>0</v>
      </c>
    </row>
    <row r="195" customFormat="false" ht="15" hidden="false" customHeight="true" outlineLevel="0" collapsed="false">
      <c r="Z195" s="1" t="str">
        <f aca="false">IF(AND(R195="WON",ISNUMBER(I195)),AA195,"")</f>
        <v/>
      </c>
      <c r="AA195" s="1" t="n">
        <f aca="false">IFERROR(I195*1,0)</f>
        <v>0</v>
      </c>
    </row>
    <row r="196" customFormat="false" ht="15" hidden="false" customHeight="true" outlineLevel="0" collapsed="false">
      <c r="Z196" s="1" t="str">
        <f aca="false">IF(AND(R196="WON",ISNUMBER(I196)),AA196,"")</f>
        <v/>
      </c>
      <c r="AA196" s="1" t="n">
        <f aca="false">IFERROR(I196*1,0)</f>
        <v>0</v>
      </c>
    </row>
    <row r="197" customFormat="false" ht="15" hidden="false" customHeight="true" outlineLevel="0" collapsed="false">
      <c r="Z197" s="1" t="str">
        <f aca="false">IF(AND(R197="WON",ISNUMBER(I197)),AA197,"")</f>
        <v/>
      </c>
      <c r="AA197" s="1" t="n">
        <f aca="false">IFERROR(I197*1,0)</f>
        <v>0</v>
      </c>
    </row>
    <row r="198" customFormat="false" ht="15" hidden="false" customHeight="true" outlineLevel="0" collapsed="false">
      <c r="Z198" s="1" t="str">
        <f aca="false">IF(AND(R198="WON",ISNUMBER(I198)),AA198,"")</f>
        <v/>
      </c>
      <c r="AA198" s="1" t="n">
        <f aca="false">IFERROR(I198*1,0)</f>
        <v>0</v>
      </c>
    </row>
    <row r="199" customFormat="false" ht="15" hidden="false" customHeight="true" outlineLevel="0" collapsed="false">
      <c r="Z199" s="1" t="str">
        <f aca="false">IF(AND(R199="WON",ISNUMBER(I199)),AA199,"")</f>
        <v/>
      </c>
      <c r="AA199" s="1" t="n">
        <f aca="false">IFERROR(I199*1,0)</f>
        <v>0</v>
      </c>
    </row>
    <row r="200" customFormat="false" ht="15" hidden="false" customHeight="true" outlineLevel="0" collapsed="false">
      <c r="Z200" s="1" t="str">
        <f aca="false">IF(AND(R200="WON",ISNUMBER(I200)),AA200,"")</f>
        <v/>
      </c>
      <c r="AA200" s="1" t="n">
        <f aca="false">IFERROR(I200*1,0)</f>
        <v>0</v>
      </c>
    </row>
    <row r="201" customFormat="false" ht="15" hidden="false" customHeight="true" outlineLevel="0" collapsed="false">
      <c r="Z201" s="1" t="str">
        <f aca="false">IF(AND(R201="WON",ISNUMBER(I201)),AA201,"")</f>
        <v/>
      </c>
      <c r="AA201" s="1" t="n">
        <f aca="false">IFERROR(I201*1,0)</f>
        <v>0</v>
      </c>
    </row>
    <row r="202" customFormat="false" ht="15" hidden="false" customHeight="true" outlineLevel="0" collapsed="false">
      <c r="Z202" s="1" t="str">
        <f aca="false">IF(AND(R202="WON",ISNUMBER(I202)),AA202,"")</f>
        <v/>
      </c>
      <c r="AA202" s="1" t="n">
        <f aca="false">IFERROR(I202*1,0)</f>
        <v>0</v>
      </c>
    </row>
    <row r="203" customFormat="false" ht="15" hidden="false" customHeight="true" outlineLevel="0" collapsed="false">
      <c r="Z203" s="1" t="str">
        <f aca="false">IF(AND(R203="WON",ISNUMBER(I203)),AA203,"")</f>
        <v/>
      </c>
      <c r="AA203" s="1" t="n">
        <f aca="false">IFERROR(I203*1,0)</f>
        <v>0</v>
      </c>
    </row>
    <row r="204" customFormat="false" ht="15" hidden="false" customHeight="true" outlineLevel="0" collapsed="false">
      <c r="Z204" s="1" t="str">
        <f aca="false">IF(AND(R204="WON",ISNUMBER(I204)),AA204,"")</f>
        <v/>
      </c>
      <c r="AA204" s="1" t="n">
        <f aca="false">IFERROR(I204*1,0)</f>
        <v>0</v>
      </c>
    </row>
    <row r="205" customFormat="false" ht="15" hidden="false" customHeight="true" outlineLevel="0" collapsed="false">
      <c r="Z205" s="1" t="str">
        <f aca="false">IF(AND(R205="WON",ISNUMBER(I205)),AA205,"")</f>
        <v/>
      </c>
      <c r="AA205" s="1" t="n">
        <f aca="false">IFERROR(I205*1,0)</f>
        <v>0</v>
      </c>
    </row>
    <row r="206" customFormat="false" ht="15" hidden="false" customHeight="true" outlineLevel="0" collapsed="false">
      <c r="Z206" s="1" t="str">
        <f aca="false">IF(AND(R206="WON",ISNUMBER(I206)),AA206,"")</f>
        <v/>
      </c>
      <c r="AA206" s="1" t="n">
        <f aca="false">IFERROR(I206*1,0)</f>
        <v>0</v>
      </c>
    </row>
    <row r="207" customFormat="false" ht="15" hidden="false" customHeight="true" outlineLevel="0" collapsed="false">
      <c r="Z207" s="1" t="str">
        <f aca="false">IF(AND(R207="WON",ISNUMBER(I207)),AA207,"")</f>
        <v/>
      </c>
      <c r="AA207" s="1" t="n">
        <f aca="false">IFERROR(I207*1,0)</f>
        <v>0</v>
      </c>
    </row>
    <row r="208" customFormat="false" ht="15" hidden="false" customHeight="true" outlineLevel="0" collapsed="false">
      <c r="Z208" s="1" t="str">
        <f aca="false">IF(AND(R208="WON",ISNUMBER(I208)),AA208,"")</f>
        <v/>
      </c>
      <c r="AA208" s="1" t="n">
        <f aca="false">IFERROR(I208*1,0)</f>
        <v>0</v>
      </c>
    </row>
    <row r="209" customFormat="false" ht="15" hidden="false" customHeight="true" outlineLevel="0" collapsed="false">
      <c r="Z209" s="1" t="str">
        <f aca="false">IF(AND(R209="WON",ISNUMBER(I209)),AA209,"")</f>
        <v/>
      </c>
      <c r="AA209" s="1" t="n">
        <f aca="false">IFERROR(I209*1,0)</f>
        <v>0</v>
      </c>
    </row>
    <row r="210" customFormat="false" ht="15" hidden="false" customHeight="true" outlineLevel="0" collapsed="false">
      <c r="Z210" s="1" t="str">
        <f aca="false">IF(AND(R210="WON",ISNUMBER(I210)),AA210,"")</f>
        <v/>
      </c>
      <c r="AA210" s="1" t="n">
        <f aca="false">IFERROR(I210*1,0)</f>
        <v>0</v>
      </c>
    </row>
    <row r="211" customFormat="false" ht="15" hidden="false" customHeight="true" outlineLevel="0" collapsed="false">
      <c r="Z211" s="1" t="str">
        <f aca="false">IF(AND(R211="WON",ISNUMBER(I211)),AA211,"")</f>
        <v/>
      </c>
      <c r="AA211" s="1" t="n">
        <f aca="false">IFERROR(I211*1,0)</f>
        <v>0</v>
      </c>
    </row>
    <row r="212" customFormat="false" ht="15" hidden="false" customHeight="true" outlineLevel="0" collapsed="false">
      <c r="Z212" s="1" t="str">
        <f aca="false">IF(AND(R212="WON",ISNUMBER(I212)),AA212,"")</f>
        <v/>
      </c>
      <c r="AA212" s="1" t="n">
        <f aca="false">IFERROR(I212*1,0)</f>
        <v>0</v>
      </c>
    </row>
    <row r="213" customFormat="false" ht="15" hidden="false" customHeight="true" outlineLevel="0" collapsed="false">
      <c r="Z213" s="1" t="str">
        <f aca="false">IF(AND(R213="WON",ISNUMBER(I213)),AA213,"")</f>
        <v/>
      </c>
      <c r="AA213" s="1" t="n">
        <f aca="false">IFERROR(I213*1,0)</f>
        <v>0</v>
      </c>
    </row>
    <row r="214" customFormat="false" ht="15" hidden="false" customHeight="true" outlineLevel="0" collapsed="false">
      <c r="Z214" s="1" t="str">
        <f aca="false">IF(AND(R214="WON",ISNUMBER(I214)),AA214,"")</f>
        <v/>
      </c>
      <c r="AA214" s="1" t="n">
        <f aca="false">IFERROR(I214*1,0)</f>
        <v>0</v>
      </c>
    </row>
    <row r="215" customFormat="false" ht="15" hidden="false" customHeight="true" outlineLevel="0" collapsed="false">
      <c r="Z215" s="1" t="str">
        <f aca="false">IF(AND(R215="WON",ISNUMBER(I215)),AA215,"")</f>
        <v/>
      </c>
      <c r="AA215" s="1" t="n">
        <f aca="false">IFERROR(I215*1,0)</f>
        <v>0</v>
      </c>
    </row>
    <row r="216" customFormat="false" ht="15" hidden="false" customHeight="true" outlineLevel="0" collapsed="false">
      <c r="Z216" s="1" t="str">
        <f aca="false">IF(AND(R216="WON",ISNUMBER(I216)),AA216,"")</f>
        <v/>
      </c>
      <c r="AA216" s="1" t="n">
        <f aca="false">IFERROR(I216*1,0)</f>
        <v>0</v>
      </c>
    </row>
    <row r="217" customFormat="false" ht="15" hidden="false" customHeight="true" outlineLevel="0" collapsed="false">
      <c r="Z217" s="1" t="str">
        <f aca="false">IF(AND(R217="WON",ISNUMBER(I217)),AA217,"")</f>
        <v/>
      </c>
      <c r="AA217" s="1" t="n">
        <f aca="false">IFERROR(I217*1,0)</f>
        <v>0</v>
      </c>
    </row>
    <row r="218" customFormat="false" ht="15" hidden="false" customHeight="true" outlineLevel="0" collapsed="false">
      <c r="Z218" s="1" t="str">
        <f aca="false">IF(AND(R218="WON",ISNUMBER(I218)),AA218,"")</f>
        <v/>
      </c>
      <c r="AA218" s="1" t="n">
        <f aca="false">IFERROR(I218*1,0)</f>
        <v>0</v>
      </c>
    </row>
    <row r="219" customFormat="false" ht="15" hidden="false" customHeight="true" outlineLevel="0" collapsed="false">
      <c r="Z219" s="1" t="str">
        <f aca="false">IF(AND(R219="WON",ISNUMBER(I219)),AA219,"")</f>
        <v/>
      </c>
      <c r="AA219" s="1" t="n">
        <f aca="false">IFERROR(I219*1,0)</f>
        <v>0</v>
      </c>
    </row>
    <row r="220" customFormat="false" ht="15" hidden="false" customHeight="true" outlineLevel="0" collapsed="false">
      <c r="Z220" s="1" t="str">
        <f aca="false">IF(AND(R220="WON",ISNUMBER(I220)),AA220,"")</f>
        <v/>
      </c>
      <c r="AA220" s="1" t="n">
        <f aca="false">IFERROR(I220*1,0)</f>
        <v>0</v>
      </c>
    </row>
    <row r="221" customFormat="false" ht="15" hidden="false" customHeight="true" outlineLevel="0" collapsed="false">
      <c r="Z221" s="1" t="str">
        <f aca="false">IF(AND(R221="WON",ISNUMBER(I221)),AA221,"")</f>
        <v/>
      </c>
      <c r="AA221" s="1" t="n">
        <f aca="false">IFERROR(I221*1,0)</f>
        <v>0</v>
      </c>
    </row>
    <row r="222" customFormat="false" ht="15" hidden="false" customHeight="true" outlineLevel="0" collapsed="false">
      <c r="Z222" s="1" t="str">
        <f aca="false">IF(AND(R222="WON",ISNUMBER(I222)),AA222,"")</f>
        <v/>
      </c>
      <c r="AA222" s="1" t="n">
        <f aca="false">IFERROR(I222*1,0)</f>
        <v>0</v>
      </c>
    </row>
    <row r="223" customFormat="false" ht="15" hidden="false" customHeight="true" outlineLevel="0" collapsed="false">
      <c r="Z223" s="1" t="str">
        <f aca="false">IF(AND(R223="WON",ISNUMBER(I223)),AA223,"")</f>
        <v/>
      </c>
      <c r="AA223" s="1" t="n">
        <f aca="false">IFERROR(I223*1,0)</f>
        <v>0</v>
      </c>
    </row>
    <row r="224" customFormat="false" ht="15" hidden="false" customHeight="true" outlineLevel="0" collapsed="false">
      <c r="Z224" s="1" t="str">
        <f aca="false">IF(AND(R224="WON",ISNUMBER(I224)),AA224,"")</f>
        <v/>
      </c>
      <c r="AA224" s="1" t="n">
        <f aca="false">IFERROR(I224*1,0)</f>
        <v>0</v>
      </c>
    </row>
    <row r="225" customFormat="false" ht="15" hidden="false" customHeight="true" outlineLevel="0" collapsed="false">
      <c r="Z225" s="1" t="str">
        <f aca="false">IF(AND(R225="WON",ISNUMBER(I225)),AA225,"")</f>
        <v/>
      </c>
      <c r="AA225" s="1" t="n">
        <f aca="false">IFERROR(I225*1,0)</f>
        <v>0</v>
      </c>
    </row>
    <row r="226" customFormat="false" ht="15" hidden="false" customHeight="true" outlineLevel="0" collapsed="false">
      <c r="Z226" s="1" t="str">
        <f aca="false">IF(AND(R226="WON",ISNUMBER(I226)),AA226,"")</f>
        <v/>
      </c>
      <c r="AA226" s="1" t="n">
        <f aca="false">IFERROR(I226*1,0)</f>
        <v>0</v>
      </c>
    </row>
    <row r="227" customFormat="false" ht="15" hidden="false" customHeight="true" outlineLevel="0" collapsed="false">
      <c r="Z227" s="1" t="str">
        <f aca="false">IF(AND(R227="WON",ISNUMBER(I227)),AA227,"")</f>
        <v/>
      </c>
      <c r="AA227" s="1" t="n">
        <f aca="false">IFERROR(I227*1,0)</f>
        <v>0</v>
      </c>
    </row>
    <row r="228" customFormat="false" ht="15" hidden="false" customHeight="true" outlineLevel="0" collapsed="false">
      <c r="Z228" s="1" t="str">
        <f aca="false">IF(AND(R228="WON",ISNUMBER(I228)),AA228,"")</f>
        <v/>
      </c>
      <c r="AA228" s="1" t="n">
        <f aca="false">IFERROR(I228*1,0)</f>
        <v>0</v>
      </c>
    </row>
    <row r="229" customFormat="false" ht="15" hidden="false" customHeight="true" outlineLevel="0" collapsed="false">
      <c r="Z229" s="1" t="str">
        <f aca="false">IF(AND(R229="WON",ISNUMBER(I229)),AA229,"")</f>
        <v/>
      </c>
      <c r="AA229" s="1" t="n">
        <f aca="false">IFERROR(I229*1,0)</f>
        <v>0</v>
      </c>
    </row>
    <row r="230" customFormat="false" ht="15" hidden="false" customHeight="true" outlineLevel="0" collapsed="false">
      <c r="Z230" s="1" t="str">
        <f aca="false">IF(AND(R230="WON",ISNUMBER(I230)),AA230,"")</f>
        <v/>
      </c>
      <c r="AA230" s="1" t="n">
        <f aca="false">IFERROR(I230*1,0)</f>
        <v>0</v>
      </c>
    </row>
    <row r="231" customFormat="false" ht="15" hidden="false" customHeight="true" outlineLevel="0" collapsed="false">
      <c r="Z231" s="1" t="str">
        <f aca="false">IF(AND(R231="WON",ISNUMBER(I231)),AA231,"")</f>
        <v/>
      </c>
      <c r="AA231" s="1" t="n">
        <f aca="false">IFERROR(I231*1,0)</f>
        <v>0</v>
      </c>
    </row>
    <row r="232" customFormat="false" ht="15" hidden="false" customHeight="true" outlineLevel="0" collapsed="false">
      <c r="Z232" s="1" t="str">
        <f aca="false">IF(AND(R232="WON",ISNUMBER(I232)),AA232,"")</f>
        <v/>
      </c>
      <c r="AA232" s="1" t="n">
        <f aca="false">IFERROR(I232*1,0)</f>
        <v>0</v>
      </c>
    </row>
    <row r="233" customFormat="false" ht="15" hidden="false" customHeight="true" outlineLevel="0" collapsed="false">
      <c r="Z233" s="1" t="str">
        <f aca="false">IF(AND(R233="WON",ISNUMBER(I233)),AA233,"")</f>
        <v/>
      </c>
      <c r="AA233" s="1" t="n">
        <f aca="false">IFERROR(I233*1,0)</f>
        <v>0</v>
      </c>
    </row>
    <row r="234" customFormat="false" ht="15" hidden="false" customHeight="true" outlineLevel="0" collapsed="false">
      <c r="Z234" s="1" t="str">
        <f aca="false">IF(AND(R234="WON",ISNUMBER(I234)),AA234,"")</f>
        <v/>
      </c>
      <c r="AA234" s="1" t="n">
        <f aca="false">IFERROR(I234*1,0)</f>
        <v>0</v>
      </c>
    </row>
    <row r="235" customFormat="false" ht="15" hidden="false" customHeight="true" outlineLevel="0" collapsed="false">
      <c r="Z235" s="1" t="str">
        <f aca="false">IF(AND(R235="WON",ISNUMBER(I235)),AA235,"")</f>
        <v/>
      </c>
      <c r="AA235" s="1" t="n">
        <f aca="false">IFERROR(I235*1,0)</f>
        <v>0</v>
      </c>
    </row>
    <row r="236" customFormat="false" ht="15" hidden="false" customHeight="true" outlineLevel="0" collapsed="false">
      <c r="Z236" s="1" t="str">
        <f aca="false">IF(AND(R236="WON",ISNUMBER(I236)),AA236,"")</f>
        <v/>
      </c>
      <c r="AA236" s="1" t="n">
        <f aca="false">IFERROR(I236*1,0)</f>
        <v>0</v>
      </c>
    </row>
    <row r="237" customFormat="false" ht="15" hidden="false" customHeight="true" outlineLevel="0" collapsed="false">
      <c r="Z237" s="1" t="str">
        <f aca="false">IF(AND(R237="WON",ISNUMBER(I237)),AA237,"")</f>
        <v/>
      </c>
      <c r="AA237" s="1" t="n">
        <f aca="false">IFERROR(I237*1,0)</f>
        <v>0</v>
      </c>
    </row>
    <row r="238" customFormat="false" ht="15" hidden="false" customHeight="true" outlineLevel="0" collapsed="false">
      <c r="Z238" s="1" t="str">
        <f aca="false">IF(AND(R238="WON",ISNUMBER(I238)),AA238,"")</f>
        <v/>
      </c>
      <c r="AA238" s="1" t="n">
        <f aca="false">IFERROR(I238*1,0)</f>
        <v>0</v>
      </c>
    </row>
    <row r="239" customFormat="false" ht="15" hidden="false" customHeight="true" outlineLevel="0" collapsed="false">
      <c r="Z239" s="1" t="str">
        <f aca="false">IF(AND(R239="WON",ISNUMBER(I239)),AA239,"")</f>
        <v/>
      </c>
      <c r="AA239" s="1" t="n">
        <f aca="false">IFERROR(I239*1,0)</f>
        <v>0</v>
      </c>
    </row>
    <row r="240" customFormat="false" ht="15" hidden="false" customHeight="true" outlineLevel="0" collapsed="false">
      <c r="Z240" s="1" t="str">
        <f aca="false">IF(AND(R240="WON",ISNUMBER(I240)),AA240,"")</f>
        <v/>
      </c>
      <c r="AA240" s="1" t="n">
        <f aca="false">IFERROR(I240*1,0)</f>
        <v>0</v>
      </c>
    </row>
    <row r="241" customFormat="false" ht="15" hidden="false" customHeight="true" outlineLevel="0" collapsed="false">
      <c r="Z241" s="1" t="str">
        <f aca="false">IF(AND(R241="WON",ISNUMBER(I241)),AA241,"")</f>
        <v/>
      </c>
      <c r="AA241" s="1" t="n">
        <f aca="false">IFERROR(I241*1,0)</f>
        <v>0</v>
      </c>
    </row>
    <row r="242" customFormat="false" ht="15" hidden="false" customHeight="true" outlineLevel="0" collapsed="false">
      <c r="Z242" s="1" t="str">
        <f aca="false">IF(AND(R242="WON",ISNUMBER(I242)),AA242,"")</f>
        <v/>
      </c>
      <c r="AA242" s="1" t="n">
        <f aca="false">IFERROR(I242*1,0)</f>
        <v>0</v>
      </c>
    </row>
    <row r="243" customFormat="false" ht="15" hidden="false" customHeight="true" outlineLevel="0" collapsed="false">
      <c r="Z243" s="1" t="str">
        <f aca="false">IF(AND(R243="WON",ISNUMBER(I243)),AA243,"")</f>
        <v/>
      </c>
      <c r="AA243" s="1" t="n">
        <f aca="false">IFERROR(I243*1,0)</f>
        <v>0</v>
      </c>
    </row>
    <row r="244" customFormat="false" ht="15" hidden="false" customHeight="true" outlineLevel="0" collapsed="false">
      <c r="Z244" s="1" t="str">
        <f aca="false">IF(AND(R244="WON",ISNUMBER(I244)),AA244,"")</f>
        <v/>
      </c>
      <c r="AA244" s="1" t="n">
        <f aca="false">IFERROR(I244*1,0)</f>
        <v>0</v>
      </c>
    </row>
    <row r="245" customFormat="false" ht="15" hidden="false" customHeight="true" outlineLevel="0" collapsed="false">
      <c r="Z245" s="1" t="str">
        <f aca="false">IF(AND(R245="WON",ISNUMBER(I245)),AA245,"")</f>
        <v/>
      </c>
      <c r="AA245" s="1" t="n">
        <f aca="false">IFERROR(I245*1,0)</f>
        <v>0</v>
      </c>
    </row>
    <row r="246" customFormat="false" ht="15" hidden="false" customHeight="true" outlineLevel="0" collapsed="false">
      <c r="Z246" s="1" t="str">
        <f aca="false">IF(AND(R246="WON",ISNUMBER(I246)),AA246,"")</f>
        <v/>
      </c>
      <c r="AA246" s="1" t="n">
        <f aca="false">IFERROR(I246*1,0)</f>
        <v>0</v>
      </c>
    </row>
    <row r="247" customFormat="false" ht="15" hidden="false" customHeight="true" outlineLevel="0" collapsed="false">
      <c r="Z247" s="1" t="str">
        <f aca="false">IF(AND(R247="WON",ISNUMBER(I247)),AA247,"")</f>
        <v/>
      </c>
      <c r="AA247" s="1" t="n">
        <f aca="false">IFERROR(I247*1,0)</f>
        <v>0</v>
      </c>
    </row>
    <row r="248" customFormat="false" ht="15" hidden="false" customHeight="true" outlineLevel="0" collapsed="false">
      <c r="Z248" s="1" t="str">
        <f aca="false">IF(AND(R248="WON",ISNUMBER(I248)),AA248,"")</f>
        <v/>
      </c>
      <c r="AA248" s="1" t="n">
        <f aca="false">IFERROR(I248*1,0)</f>
        <v>0</v>
      </c>
    </row>
    <row r="249" customFormat="false" ht="15" hidden="false" customHeight="true" outlineLevel="0" collapsed="false">
      <c r="Z249" s="1" t="str">
        <f aca="false">IF(AND(R249="WON",ISNUMBER(I249)),AA249,"")</f>
        <v/>
      </c>
      <c r="AA249" s="1" t="n">
        <f aca="false">IFERROR(I249*1,0)</f>
        <v>0</v>
      </c>
    </row>
    <row r="250" customFormat="false" ht="15" hidden="false" customHeight="true" outlineLevel="0" collapsed="false">
      <c r="Z250" s="1" t="str">
        <f aca="false">IF(AND(R250="WON",ISNUMBER(I250)),AA250,"")</f>
        <v/>
      </c>
      <c r="AA250" s="1" t="n">
        <f aca="false">IFERROR(I250*1,0)</f>
        <v>0</v>
      </c>
    </row>
    <row r="251" customFormat="false" ht="15" hidden="false" customHeight="true" outlineLevel="0" collapsed="false">
      <c r="Z251" s="1" t="str">
        <f aca="false">IF(AND(R251="WON",ISNUMBER(I251)),AA251,"")</f>
        <v/>
      </c>
      <c r="AA251" s="1" t="n">
        <f aca="false">IFERROR(I251*1,0)</f>
        <v>0</v>
      </c>
    </row>
    <row r="252" customFormat="false" ht="15" hidden="false" customHeight="true" outlineLevel="0" collapsed="false">
      <c r="Z252" s="1" t="str">
        <f aca="false">IF(AND(R252="WON",ISNUMBER(I252)),AA252,"")</f>
        <v/>
      </c>
      <c r="AA252" s="1" t="n">
        <f aca="false">IFERROR(I252*1,0)</f>
        <v>0</v>
      </c>
    </row>
    <row r="253" customFormat="false" ht="15" hidden="false" customHeight="true" outlineLevel="0" collapsed="false">
      <c r="Z253" s="1" t="str">
        <f aca="false">IF(AND(R253="WON",ISNUMBER(I253)),AA253,"")</f>
        <v/>
      </c>
      <c r="AA253" s="1" t="n">
        <f aca="false">IFERROR(I253*1,0)</f>
        <v>0</v>
      </c>
    </row>
    <row r="254" customFormat="false" ht="15" hidden="false" customHeight="true" outlineLevel="0" collapsed="false">
      <c r="Z254" s="1" t="str">
        <f aca="false">IF(AND(R254="WON",ISNUMBER(I254)),AA254,"")</f>
        <v/>
      </c>
      <c r="AA254" s="1" t="n">
        <f aca="false">IFERROR(I254*1,0)</f>
        <v>0</v>
      </c>
    </row>
    <row r="255" customFormat="false" ht="15" hidden="false" customHeight="true" outlineLevel="0" collapsed="false">
      <c r="Z255" s="1" t="str">
        <f aca="false">IF(AND(R255="WON",ISNUMBER(I255)),AA255,"")</f>
        <v/>
      </c>
      <c r="AA255" s="1" t="n">
        <f aca="false">IFERROR(I255*1,0)</f>
        <v>0</v>
      </c>
    </row>
    <row r="256" customFormat="false" ht="15" hidden="false" customHeight="true" outlineLevel="0" collapsed="false">
      <c r="Z256" s="1" t="str">
        <f aca="false">IF(AND(R256="WON",ISNUMBER(I256)),AA256,"")</f>
        <v/>
      </c>
      <c r="AA256" s="1" t="n">
        <f aca="false">IFERROR(I256*1,0)</f>
        <v>0</v>
      </c>
    </row>
    <row r="257" customFormat="false" ht="15" hidden="false" customHeight="true" outlineLevel="0" collapsed="false">
      <c r="Z257" s="1" t="str">
        <f aca="false">IF(AND(R257="WON",ISNUMBER(I257)),AA257,"")</f>
        <v/>
      </c>
      <c r="AA257" s="1" t="n">
        <f aca="false">IFERROR(I257*1,0)</f>
        <v>0</v>
      </c>
    </row>
    <row r="258" customFormat="false" ht="15" hidden="false" customHeight="true" outlineLevel="0" collapsed="false">
      <c r="Z258" s="1" t="str">
        <f aca="false">IF(AND(R258="WON",ISNUMBER(I258)),AA258,"")</f>
        <v/>
      </c>
      <c r="AA258" s="1" t="n">
        <f aca="false">IFERROR(I258*1,0)</f>
        <v>0</v>
      </c>
    </row>
    <row r="259" customFormat="false" ht="15" hidden="false" customHeight="true" outlineLevel="0" collapsed="false">
      <c r="Z259" s="1" t="str">
        <f aca="false">IF(AND(R259="WON",ISNUMBER(I259)),AA259,"")</f>
        <v/>
      </c>
      <c r="AA259" s="1" t="n">
        <f aca="false">IFERROR(I259*1,0)</f>
        <v>0</v>
      </c>
    </row>
    <row r="260" customFormat="false" ht="15" hidden="false" customHeight="true" outlineLevel="0" collapsed="false">
      <c r="Z260" s="1" t="str">
        <f aca="false">IF(AND(R260="WON",ISNUMBER(I260)),AA260,"")</f>
        <v/>
      </c>
      <c r="AA260" s="1" t="n">
        <f aca="false">IFERROR(I260*1,0)</f>
        <v>0</v>
      </c>
    </row>
    <row r="261" customFormat="false" ht="15" hidden="false" customHeight="true" outlineLevel="0" collapsed="false">
      <c r="Z261" s="1" t="str">
        <f aca="false">IF(AND(R261="WON",ISNUMBER(I261)),AA261,"")</f>
        <v/>
      </c>
      <c r="AA261" s="1" t="n">
        <f aca="false">IFERROR(I261*1,0)</f>
        <v>0</v>
      </c>
    </row>
    <row r="262" customFormat="false" ht="15" hidden="false" customHeight="true" outlineLevel="0" collapsed="false">
      <c r="Z262" s="1" t="str">
        <f aca="false">IF(AND(R262="WON",ISNUMBER(I262)),AA262,"")</f>
        <v/>
      </c>
      <c r="AA262" s="1" t="n">
        <f aca="false">IFERROR(I262*1,0)</f>
        <v>0</v>
      </c>
    </row>
    <row r="263" customFormat="false" ht="15" hidden="false" customHeight="true" outlineLevel="0" collapsed="false">
      <c r="Z263" s="1" t="str">
        <f aca="false">IF(AND(R263="WON",ISNUMBER(I263)),AA263,"")</f>
        <v/>
      </c>
      <c r="AA263" s="1" t="n">
        <f aca="false">IFERROR(I263*1,0)</f>
        <v>0</v>
      </c>
    </row>
    <row r="264" customFormat="false" ht="15" hidden="false" customHeight="true" outlineLevel="0" collapsed="false">
      <c r="Z264" s="1" t="str">
        <f aca="false">IF(AND(R264="WON",ISNUMBER(I264)),AA264,"")</f>
        <v/>
      </c>
      <c r="AA264" s="1" t="n">
        <f aca="false">IFERROR(I264*1,0)</f>
        <v>0</v>
      </c>
    </row>
    <row r="265" customFormat="false" ht="15" hidden="false" customHeight="true" outlineLevel="0" collapsed="false">
      <c r="Z265" s="1" t="str">
        <f aca="false">IF(AND(R265="WON",ISNUMBER(I265)),AA265,"")</f>
        <v/>
      </c>
      <c r="AA265" s="1" t="n">
        <f aca="false">IFERROR(I265*1,0)</f>
        <v>0</v>
      </c>
    </row>
    <row r="266" customFormat="false" ht="15" hidden="false" customHeight="true" outlineLevel="0" collapsed="false">
      <c r="Z266" s="1" t="str">
        <f aca="false">IF(AND(R266="WON",ISNUMBER(I266)),AA266,"")</f>
        <v/>
      </c>
      <c r="AA266" s="1" t="n">
        <f aca="false">IFERROR(I266*1,0)</f>
        <v>0</v>
      </c>
    </row>
    <row r="267" customFormat="false" ht="15" hidden="false" customHeight="true" outlineLevel="0" collapsed="false">
      <c r="Z267" s="1" t="str">
        <f aca="false">IF(AND(R267="WON",ISNUMBER(I267)),AA267,"")</f>
        <v/>
      </c>
      <c r="AA267" s="1" t="n">
        <f aca="false">IFERROR(I267*1,0)</f>
        <v>0</v>
      </c>
    </row>
    <row r="268" customFormat="false" ht="15" hidden="false" customHeight="true" outlineLevel="0" collapsed="false">
      <c r="Z268" s="1" t="str">
        <f aca="false">IF(AND(R268="WON",ISNUMBER(I268)),AA268,"")</f>
        <v/>
      </c>
      <c r="AA268" s="1" t="n">
        <f aca="false">IFERROR(I268*1,0)</f>
        <v>0</v>
      </c>
    </row>
    <row r="269" customFormat="false" ht="15" hidden="false" customHeight="true" outlineLevel="0" collapsed="false">
      <c r="Z269" s="1" t="str">
        <f aca="false">IF(AND(R269="WON",ISNUMBER(I269)),AA269,"")</f>
        <v/>
      </c>
      <c r="AA269" s="1" t="n">
        <f aca="false">IFERROR(I269*1,0)</f>
        <v>0</v>
      </c>
    </row>
    <row r="270" customFormat="false" ht="15" hidden="false" customHeight="true" outlineLevel="0" collapsed="false">
      <c r="Z270" s="1" t="str">
        <f aca="false">IF(AND(R270="WON",ISNUMBER(I270)),AA270,"")</f>
        <v/>
      </c>
      <c r="AA270" s="1" t="n">
        <f aca="false">IFERROR(I270*1,0)</f>
        <v>0</v>
      </c>
    </row>
    <row r="271" customFormat="false" ht="15" hidden="false" customHeight="true" outlineLevel="0" collapsed="false">
      <c r="Z271" s="1" t="str">
        <f aca="false">IF(AND(R271="WON",ISNUMBER(I271)),AA271,"")</f>
        <v/>
      </c>
      <c r="AA271" s="1" t="n">
        <f aca="false">IFERROR(I271*1,0)</f>
        <v>0</v>
      </c>
    </row>
    <row r="272" customFormat="false" ht="15" hidden="false" customHeight="true" outlineLevel="0" collapsed="false">
      <c r="Z272" s="1" t="str">
        <f aca="false">IF(AND(R272="WON",ISNUMBER(I272)),AA272,"")</f>
        <v/>
      </c>
      <c r="AA272" s="1" t="n">
        <f aca="false">IFERROR(I272*1,0)</f>
        <v>0</v>
      </c>
    </row>
    <row r="273" customFormat="false" ht="15" hidden="false" customHeight="true" outlineLevel="0" collapsed="false">
      <c r="Z273" s="1" t="str">
        <f aca="false">IF(AND(R273="WON",ISNUMBER(I273)),AA273,"")</f>
        <v/>
      </c>
      <c r="AA273" s="1" t="n">
        <f aca="false">IFERROR(I273*1,0)</f>
        <v>0</v>
      </c>
    </row>
    <row r="274" customFormat="false" ht="15" hidden="false" customHeight="true" outlineLevel="0" collapsed="false">
      <c r="Z274" s="1" t="str">
        <f aca="false">IF(AND(R274="WON",ISNUMBER(I274)),AA274,"")</f>
        <v/>
      </c>
      <c r="AA274" s="1" t="n">
        <f aca="false">IFERROR(I274*1,0)</f>
        <v>0</v>
      </c>
    </row>
    <row r="275" customFormat="false" ht="15" hidden="false" customHeight="true" outlineLevel="0" collapsed="false">
      <c r="Z275" s="1" t="str">
        <f aca="false">IF(AND(R275="WON",ISNUMBER(I275)),AA275,"")</f>
        <v/>
      </c>
      <c r="AA275" s="1" t="n">
        <f aca="false">IFERROR(I275*1,0)</f>
        <v>0</v>
      </c>
    </row>
    <row r="276" customFormat="false" ht="15" hidden="false" customHeight="true" outlineLevel="0" collapsed="false">
      <c r="Z276" s="1" t="str">
        <f aca="false">IF(AND(R276="WON",ISNUMBER(I276)),AA276,"")</f>
        <v/>
      </c>
      <c r="AA276" s="1" t="n">
        <f aca="false">IFERROR(I276*1,0)</f>
        <v>0</v>
      </c>
    </row>
    <row r="277" customFormat="false" ht="15" hidden="false" customHeight="true" outlineLevel="0" collapsed="false">
      <c r="Z277" s="1" t="str">
        <f aca="false">IF(AND(R277="WON",ISNUMBER(I277)),AA277,"")</f>
        <v/>
      </c>
      <c r="AA277" s="1" t="n">
        <f aca="false">IFERROR(I277*1,0)</f>
        <v>0</v>
      </c>
    </row>
    <row r="278" customFormat="false" ht="15" hidden="false" customHeight="true" outlineLevel="0" collapsed="false">
      <c r="Z278" s="1" t="str">
        <f aca="false">IF(AND(R278="WON",ISNUMBER(I278)),AA278,"")</f>
        <v/>
      </c>
      <c r="AA278" s="1" t="n">
        <f aca="false">IFERROR(I278*1,0)</f>
        <v>0</v>
      </c>
    </row>
    <row r="279" customFormat="false" ht="15" hidden="false" customHeight="true" outlineLevel="0" collapsed="false">
      <c r="Z279" s="1" t="str">
        <f aca="false">IF(AND(R279="WON",ISNUMBER(I279)),AA279,"")</f>
        <v/>
      </c>
      <c r="AA279" s="1" t="n">
        <f aca="false">IFERROR(I279*1,0)</f>
        <v>0</v>
      </c>
    </row>
    <row r="280" customFormat="false" ht="15" hidden="false" customHeight="true" outlineLevel="0" collapsed="false">
      <c r="Z280" s="1" t="str">
        <f aca="false">IF(AND(R280="WON",ISNUMBER(I280)),AA280,"")</f>
        <v/>
      </c>
      <c r="AA280" s="1" t="n">
        <f aca="false">IFERROR(I280*1,0)</f>
        <v>0</v>
      </c>
    </row>
    <row r="281" customFormat="false" ht="15" hidden="false" customHeight="true" outlineLevel="0" collapsed="false">
      <c r="Z281" s="1" t="str">
        <f aca="false">IF(AND(R281="WON",ISNUMBER(I281)),AA281,"")</f>
        <v/>
      </c>
      <c r="AA281" s="1" t="n">
        <f aca="false">IFERROR(I281*1,0)</f>
        <v>0</v>
      </c>
    </row>
    <row r="282" customFormat="false" ht="15" hidden="false" customHeight="true" outlineLevel="0" collapsed="false">
      <c r="Z282" s="1" t="str">
        <f aca="false">IF(AND(R282="WON",ISNUMBER(I282)),AA282,"")</f>
        <v/>
      </c>
      <c r="AA282" s="1" t="n">
        <f aca="false">IFERROR(I282*1,0)</f>
        <v>0</v>
      </c>
    </row>
    <row r="283" customFormat="false" ht="15" hidden="false" customHeight="true" outlineLevel="0" collapsed="false">
      <c r="Z283" s="1" t="str">
        <f aca="false">IF(AND(R283="WON",ISNUMBER(I283)),AA283,"")</f>
        <v/>
      </c>
      <c r="AA283" s="1" t="n">
        <f aca="false">IFERROR(I283*1,0)</f>
        <v>0</v>
      </c>
    </row>
    <row r="284" customFormat="false" ht="15" hidden="false" customHeight="true" outlineLevel="0" collapsed="false">
      <c r="Z284" s="1" t="str">
        <f aca="false">IF(AND(R284="WON",ISNUMBER(I284)),AA284,"")</f>
        <v/>
      </c>
      <c r="AA284" s="1" t="n">
        <f aca="false">IFERROR(I284*1,0)</f>
        <v>0</v>
      </c>
    </row>
    <row r="285" customFormat="false" ht="15" hidden="false" customHeight="true" outlineLevel="0" collapsed="false">
      <c r="Z285" s="1" t="str">
        <f aca="false">IF(AND(R285="WON",ISNUMBER(I285)),AA285,"")</f>
        <v/>
      </c>
      <c r="AA285" s="1" t="n">
        <f aca="false">IFERROR(I285*1,0)</f>
        <v>0</v>
      </c>
    </row>
    <row r="286" customFormat="false" ht="15" hidden="false" customHeight="true" outlineLevel="0" collapsed="false">
      <c r="Z286" s="1" t="str">
        <f aca="false">IF(AND(R286="WON",ISNUMBER(I286)),AA286,"")</f>
        <v/>
      </c>
      <c r="AA286" s="1" t="n">
        <f aca="false">IFERROR(I286*1,0)</f>
        <v>0</v>
      </c>
    </row>
    <row r="287" customFormat="false" ht="15" hidden="false" customHeight="true" outlineLevel="0" collapsed="false">
      <c r="Z287" s="1" t="str">
        <f aca="false">IF(AND(R287="WON",ISNUMBER(I287)),AA287,"")</f>
        <v/>
      </c>
      <c r="AA287" s="1" t="n">
        <f aca="false">IFERROR(I287*1,0)</f>
        <v>0</v>
      </c>
    </row>
    <row r="288" customFormat="false" ht="15" hidden="false" customHeight="true" outlineLevel="0" collapsed="false">
      <c r="Z288" s="1" t="str">
        <f aca="false">IF(AND(R288="WON",ISNUMBER(I288)),AA288,"")</f>
        <v/>
      </c>
      <c r="AA288" s="1" t="n">
        <f aca="false">IFERROR(I288*1,0)</f>
        <v>0</v>
      </c>
    </row>
    <row r="289" customFormat="false" ht="15" hidden="false" customHeight="true" outlineLevel="0" collapsed="false">
      <c r="Z289" s="1" t="str">
        <f aca="false">IF(AND(R289="WON",ISNUMBER(I289)),AA289,"")</f>
        <v/>
      </c>
      <c r="AA289" s="1" t="n">
        <f aca="false">IFERROR(I289*1,0)</f>
        <v>0</v>
      </c>
    </row>
    <row r="290" customFormat="false" ht="15" hidden="false" customHeight="true" outlineLevel="0" collapsed="false">
      <c r="Z290" s="1" t="str">
        <f aca="false">IF(AND(R290="WON",ISNUMBER(I290)),AA290,"")</f>
        <v/>
      </c>
      <c r="AA290" s="1" t="n">
        <f aca="false">IFERROR(I290*1,0)</f>
        <v>0</v>
      </c>
    </row>
    <row r="291" customFormat="false" ht="15" hidden="false" customHeight="true" outlineLevel="0" collapsed="false">
      <c r="Z291" s="1" t="str">
        <f aca="false">IF(AND(R291="WON",ISNUMBER(I291)),AA291,"")</f>
        <v/>
      </c>
      <c r="AA291" s="1" t="n">
        <f aca="false">IFERROR(I291*1,0)</f>
        <v>0</v>
      </c>
    </row>
    <row r="292" customFormat="false" ht="15" hidden="false" customHeight="true" outlineLevel="0" collapsed="false">
      <c r="Z292" s="1" t="str">
        <f aca="false">IF(AND(R292="WON",ISNUMBER(I292)),AA292,"")</f>
        <v/>
      </c>
      <c r="AA292" s="1" t="n">
        <f aca="false">IFERROR(I292*1,0)</f>
        <v>0</v>
      </c>
    </row>
    <row r="293" customFormat="false" ht="15" hidden="false" customHeight="true" outlineLevel="0" collapsed="false">
      <c r="Z293" s="1" t="str">
        <f aca="false">IF(AND(R293="WON",ISNUMBER(I293)),AA293,"")</f>
        <v/>
      </c>
      <c r="AA293" s="1" t="n">
        <f aca="false">IFERROR(I293*1,0)</f>
        <v>0</v>
      </c>
    </row>
    <row r="294" customFormat="false" ht="15" hidden="false" customHeight="true" outlineLevel="0" collapsed="false">
      <c r="Z294" s="1" t="str">
        <f aca="false">IF(AND(R294="WON",ISNUMBER(I294)),AA294,"")</f>
        <v/>
      </c>
      <c r="AA294" s="1" t="n">
        <f aca="false">IFERROR(I294*1,0)</f>
        <v>0</v>
      </c>
    </row>
    <row r="295" customFormat="false" ht="15" hidden="false" customHeight="true" outlineLevel="0" collapsed="false">
      <c r="Z295" s="1" t="str">
        <f aca="false">IF(AND(R295="WON",ISNUMBER(I295)),AA295,"")</f>
        <v/>
      </c>
      <c r="AA295" s="1" t="n">
        <f aca="false">IFERROR(I295*1,0)</f>
        <v>0</v>
      </c>
    </row>
    <row r="296" customFormat="false" ht="15" hidden="false" customHeight="true" outlineLevel="0" collapsed="false">
      <c r="Z296" s="1" t="str">
        <f aca="false">IF(AND(R296="WON",ISNUMBER(I296)),AA296,"")</f>
        <v/>
      </c>
      <c r="AA296" s="1" t="n">
        <f aca="false">IFERROR(I296*1,0)</f>
        <v>0</v>
      </c>
    </row>
    <row r="297" customFormat="false" ht="15" hidden="false" customHeight="true" outlineLevel="0" collapsed="false">
      <c r="Z297" s="1" t="str">
        <f aca="false">IF(AND(R297="WON",ISNUMBER(I297)),AA297,"")</f>
        <v/>
      </c>
      <c r="AA297" s="1" t="n">
        <f aca="false">IFERROR(I297*1,0)</f>
        <v>0</v>
      </c>
    </row>
    <row r="298" customFormat="false" ht="15" hidden="false" customHeight="true" outlineLevel="0" collapsed="false">
      <c r="Z298" s="1" t="str">
        <f aca="false">IF(AND(R298="WON",ISNUMBER(I298)),AA298,"")</f>
        <v/>
      </c>
      <c r="AA298" s="1" t="n">
        <f aca="false">IFERROR(I298*1,0)</f>
        <v>0</v>
      </c>
    </row>
    <row r="299" customFormat="false" ht="15" hidden="false" customHeight="true" outlineLevel="0" collapsed="false">
      <c r="Z299" s="1" t="str">
        <f aca="false">IF(AND(R299="WON",ISNUMBER(I299)),AA299,"")</f>
        <v/>
      </c>
      <c r="AA299" s="1" t="n">
        <f aca="false">IFERROR(I299*1,0)</f>
        <v>0</v>
      </c>
    </row>
    <row r="300" customFormat="false" ht="15" hidden="false" customHeight="true" outlineLevel="0" collapsed="false">
      <c r="Z300" s="1" t="str">
        <f aca="false">IF(AND(R300="WON",ISNUMBER(I300)),AA300,"")</f>
        <v/>
      </c>
      <c r="AA300" s="1" t="n">
        <f aca="false">IFERROR(I300*1,0)</f>
        <v>0</v>
      </c>
    </row>
    <row r="301" customFormat="false" ht="15" hidden="false" customHeight="true" outlineLevel="0" collapsed="false">
      <c r="Z301" s="1" t="str">
        <f aca="false">IF(AND(R301="WON",ISNUMBER(I301)),AA301,"")</f>
        <v/>
      </c>
      <c r="AA301" s="1" t="n">
        <f aca="false">IFERROR(I301*1,0)</f>
        <v>0</v>
      </c>
    </row>
    <row r="302" customFormat="false" ht="15" hidden="false" customHeight="true" outlineLevel="0" collapsed="false">
      <c r="Z302" s="1" t="str">
        <f aca="false">IF(AND(R302="WON",ISNUMBER(I302)),AA302,"")</f>
        <v/>
      </c>
      <c r="AA302" s="1" t="n">
        <f aca="false">IFERROR(I302*1,0)</f>
        <v>0</v>
      </c>
    </row>
    <row r="303" customFormat="false" ht="15" hidden="false" customHeight="true" outlineLevel="0" collapsed="false">
      <c r="Z303" s="1" t="str">
        <f aca="false">IF(AND(R303="WON",ISNUMBER(I303)),AA303,"")</f>
        <v/>
      </c>
      <c r="AA303" s="1" t="n">
        <f aca="false">IFERROR(I303*1,0)</f>
        <v>0</v>
      </c>
    </row>
    <row r="304" customFormat="false" ht="15" hidden="false" customHeight="true" outlineLevel="0" collapsed="false">
      <c r="Z304" s="1" t="str">
        <f aca="false">IF(AND(R304="WON",ISNUMBER(I304)),AA304,"")</f>
        <v/>
      </c>
      <c r="AA304" s="1" t="n">
        <f aca="false">IFERROR(I304*1,0)</f>
        <v>0</v>
      </c>
    </row>
    <row r="305" customFormat="false" ht="15" hidden="false" customHeight="true" outlineLevel="0" collapsed="false">
      <c r="Z305" s="1" t="str">
        <f aca="false">IF(AND(R305="WON",ISNUMBER(I305)),AA305,"")</f>
        <v/>
      </c>
      <c r="AA305" s="1" t="n">
        <f aca="false">IFERROR(I305*1,0)</f>
        <v>0</v>
      </c>
    </row>
    <row r="306" customFormat="false" ht="15" hidden="false" customHeight="true" outlineLevel="0" collapsed="false">
      <c r="Z306" s="1" t="str">
        <f aca="false">IF(AND(R306="WON",ISNUMBER(I306)),AA306,"")</f>
        <v/>
      </c>
      <c r="AA306" s="1" t="n">
        <f aca="false">IFERROR(I306*1,0)</f>
        <v>0</v>
      </c>
    </row>
    <row r="307" customFormat="false" ht="15" hidden="false" customHeight="true" outlineLevel="0" collapsed="false">
      <c r="Z307" s="1" t="str">
        <f aca="false">IF(AND(R307="WON",ISNUMBER(I307)),AA307,"")</f>
        <v/>
      </c>
      <c r="AA307" s="1" t="n">
        <f aca="false">IFERROR(I307*1,0)</f>
        <v>0</v>
      </c>
    </row>
    <row r="308" customFormat="false" ht="15" hidden="false" customHeight="true" outlineLevel="0" collapsed="false">
      <c r="Z308" s="1" t="str">
        <f aca="false">IF(AND(R308="WON",ISNUMBER(I308)),AA308,"")</f>
        <v/>
      </c>
      <c r="AA308" s="1" t="n">
        <f aca="false">IFERROR(I308*1,0)</f>
        <v>0</v>
      </c>
    </row>
    <row r="309" customFormat="false" ht="15" hidden="false" customHeight="true" outlineLevel="0" collapsed="false">
      <c r="Z309" s="1" t="str">
        <f aca="false">IF(AND(R309="WON",ISNUMBER(I309)),AA309,"")</f>
        <v/>
      </c>
      <c r="AA309" s="1" t="n">
        <f aca="false">IFERROR(I309*1,0)</f>
        <v>0</v>
      </c>
    </row>
    <row r="310" customFormat="false" ht="15" hidden="false" customHeight="true" outlineLevel="0" collapsed="false">
      <c r="Z310" s="1" t="str">
        <f aca="false">IF(AND(R310="WON",ISNUMBER(I310)),AA310,"")</f>
        <v/>
      </c>
      <c r="AA310" s="1" t="n">
        <f aca="false">IFERROR(I310*1,0)</f>
        <v>0</v>
      </c>
    </row>
    <row r="311" customFormat="false" ht="15" hidden="false" customHeight="true" outlineLevel="0" collapsed="false">
      <c r="Z311" s="1" t="str">
        <f aca="false">IF(AND(R311="WON",ISNUMBER(I311)),AA311,"")</f>
        <v/>
      </c>
      <c r="AA311" s="1" t="n">
        <f aca="false">IFERROR(I311*1,0)</f>
        <v>0</v>
      </c>
    </row>
    <row r="312" customFormat="false" ht="15" hidden="false" customHeight="true" outlineLevel="0" collapsed="false">
      <c r="Z312" s="1" t="str">
        <f aca="false">IF(AND(R312="WON",ISNUMBER(I312)),AA312,"")</f>
        <v/>
      </c>
      <c r="AA312" s="1" t="n">
        <f aca="false">IFERROR(I312*1,0)</f>
        <v>0</v>
      </c>
    </row>
    <row r="313" customFormat="false" ht="15" hidden="false" customHeight="true" outlineLevel="0" collapsed="false">
      <c r="Z313" s="1" t="str">
        <f aca="false">IF(AND(R313="WON",ISNUMBER(I313)),AA313,"")</f>
        <v/>
      </c>
      <c r="AA313" s="1" t="n">
        <f aca="false">IFERROR(I313*1,0)</f>
        <v>0</v>
      </c>
    </row>
    <row r="314" customFormat="false" ht="15" hidden="false" customHeight="true" outlineLevel="0" collapsed="false">
      <c r="Z314" s="1" t="str">
        <f aca="false">IF(AND(R314="WON",ISNUMBER(I314)),AA314,"")</f>
        <v/>
      </c>
      <c r="AA314" s="1" t="n">
        <f aca="false">IFERROR(I314*1,0)</f>
        <v>0</v>
      </c>
    </row>
    <row r="315" customFormat="false" ht="15" hidden="false" customHeight="true" outlineLevel="0" collapsed="false">
      <c r="Z315" s="1" t="str">
        <f aca="false">IF(AND(R315="WON",ISNUMBER(I315)),AA315,"")</f>
        <v/>
      </c>
      <c r="AA315" s="1" t="n">
        <f aca="false">IFERROR(I315*1,0)</f>
        <v>0</v>
      </c>
    </row>
    <row r="316" customFormat="false" ht="15" hidden="false" customHeight="true" outlineLevel="0" collapsed="false">
      <c r="Z316" s="1" t="str">
        <f aca="false">IF(AND(R316="WON",ISNUMBER(I316)),AA316,"")</f>
        <v/>
      </c>
      <c r="AA316" s="1" t="n">
        <f aca="false">IFERROR(I316*1,0)</f>
        <v>0</v>
      </c>
    </row>
    <row r="317" customFormat="false" ht="15" hidden="false" customHeight="true" outlineLevel="0" collapsed="false">
      <c r="Z317" s="1" t="str">
        <f aca="false">IF(AND(R317="WON",ISNUMBER(I317)),AA317,"")</f>
        <v/>
      </c>
      <c r="AA317" s="1" t="n">
        <f aca="false">IFERROR(I317*1,0)</f>
        <v>0</v>
      </c>
    </row>
    <row r="318" customFormat="false" ht="15" hidden="false" customHeight="true" outlineLevel="0" collapsed="false">
      <c r="Z318" s="1" t="str">
        <f aca="false">IF(AND(R318="WON",ISNUMBER(I318)),AA318,"")</f>
        <v/>
      </c>
      <c r="AA318" s="1" t="n">
        <f aca="false">IFERROR(I318*1,0)</f>
        <v>0</v>
      </c>
    </row>
    <row r="319" customFormat="false" ht="15" hidden="false" customHeight="true" outlineLevel="0" collapsed="false">
      <c r="Z319" s="1" t="str">
        <f aca="false">IF(AND(R319="WON",ISNUMBER(I319)),AA319,"")</f>
        <v/>
      </c>
      <c r="AA319" s="1" t="n">
        <f aca="false">IFERROR(I319*1,0)</f>
        <v>0</v>
      </c>
    </row>
    <row r="320" customFormat="false" ht="15" hidden="false" customHeight="true" outlineLevel="0" collapsed="false">
      <c r="Z320" s="1" t="str">
        <f aca="false">IF(AND(R320="WON",ISNUMBER(I320)),AA320,"")</f>
        <v/>
      </c>
      <c r="AA320" s="1" t="n">
        <f aca="false">IFERROR(I320*1,0)</f>
        <v>0</v>
      </c>
    </row>
    <row r="321" customFormat="false" ht="15" hidden="false" customHeight="true" outlineLevel="0" collapsed="false">
      <c r="Z321" s="1" t="str">
        <f aca="false">IF(AND(R321="WON",ISNUMBER(I321)),AA321,"")</f>
        <v/>
      </c>
      <c r="AA321" s="1" t="n">
        <f aca="false">IFERROR(I321*1,0)</f>
        <v>0</v>
      </c>
    </row>
    <row r="322" customFormat="false" ht="15" hidden="false" customHeight="true" outlineLevel="0" collapsed="false">
      <c r="Z322" s="1" t="str">
        <f aca="false">IF(AND(R322="WON",ISNUMBER(I322)),AA322,"")</f>
        <v/>
      </c>
      <c r="AA322" s="1" t="n">
        <f aca="false">IFERROR(I322*1,0)</f>
        <v>0</v>
      </c>
    </row>
    <row r="323" customFormat="false" ht="15" hidden="false" customHeight="true" outlineLevel="0" collapsed="false">
      <c r="Z323" s="1" t="str">
        <f aca="false">IF(AND(R323="WON",ISNUMBER(I323)),AA323,"")</f>
        <v/>
      </c>
      <c r="AA323" s="1" t="n">
        <f aca="false">IFERROR(I323*1,0)</f>
        <v>0</v>
      </c>
    </row>
    <row r="324" customFormat="false" ht="15" hidden="false" customHeight="true" outlineLevel="0" collapsed="false">
      <c r="Z324" s="1" t="str">
        <f aca="false">IF(AND(R324="WON",ISNUMBER(I324)),AA324,"")</f>
        <v/>
      </c>
      <c r="AA324" s="1" t="n">
        <f aca="false">IFERROR(I324*1,0)</f>
        <v>0</v>
      </c>
    </row>
    <row r="325" customFormat="false" ht="15" hidden="false" customHeight="true" outlineLevel="0" collapsed="false">
      <c r="Z325" s="1" t="str">
        <f aca="false">IF(AND(R325="WON",ISNUMBER(I325)),AA325,"")</f>
        <v/>
      </c>
      <c r="AA325" s="1" t="n">
        <f aca="false">IFERROR(I325*1,0)</f>
        <v>0</v>
      </c>
    </row>
    <row r="326" customFormat="false" ht="15" hidden="false" customHeight="true" outlineLevel="0" collapsed="false">
      <c r="Z326" s="1" t="str">
        <f aca="false">IF(AND(R326="WON",ISNUMBER(I326)),AA326,"")</f>
        <v/>
      </c>
      <c r="AA326" s="1" t="n">
        <f aca="false">IFERROR(I326*1,0)</f>
        <v>0</v>
      </c>
    </row>
    <row r="327" customFormat="false" ht="15" hidden="false" customHeight="true" outlineLevel="0" collapsed="false">
      <c r="Z327" s="1" t="str">
        <f aca="false">IF(AND(R327="WON",ISNUMBER(I327)),AA327,"")</f>
        <v/>
      </c>
      <c r="AA327" s="1" t="n">
        <f aca="false">IFERROR(I327*1,0)</f>
        <v>0</v>
      </c>
    </row>
    <row r="328" customFormat="false" ht="15" hidden="false" customHeight="true" outlineLevel="0" collapsed="false">
      <c r="Z328" s="1" t="str">
        <f aca="false">IF(AND(R328="WON",ISNUMBER(I328)),AA328,"")</f>
        <v/>
      </c>
      <c r="AA328" s="1" t="n">
        <f aca="false">IFERROR(I328*1,0)</f>
        <v>0</v>
      </c>
    </row>
    <row r="329" customFormat="false" ht="15" hidden="false" customHeight="true" outlineLevel="0" collapsed="false">
      <c r="Z329" s="1" t="str">
        <f aca="false">IF(AND(R329="WON",ISNUMBER(I329)),AA329,"")</f>
        <v/>
      </c>
      <c r="AA329" s="1" t="n">
        <f aca="false">IFERROR(I329*1,0)</f>
        <v>0</v>
      </c>
    </row>
    <row r="330" customFormat="false" ht="15" hidden="false" customHeight="true" outlineLevel="0" collapsed="false">
      <c r="Z330" s="1" t="str">
        <f aca="false">IF(AND(R330="WON",ISNUMBER(I330)),AA330,"")</f>
        <v/>
      </c>
      <c r="AA330" s="1" t="n">
        <f aca="false">IFERROR(I330*1,0)</f>
        <v>0</v>
      </c>
    </row>
    <row r="331" customFormat="false" ht="15" hidden="false" customHeight="true" outlineLevel="0" collapsed="false">
      <c r="Z331" s="1" t="str">
        <f aca="false">IF(AND(R331="WON",ISNUMBER(I331)),AA331,"")</f>
        <v/>
      </c>
      <c r="AA331" s="1" t="n">
        <f aca="false">IFERROR(I331*1,0)</f>
        <v>0</v>
      </c>
    </row>
    <row r="332" customFormat="false" ht="15" hidden="false" customHeight="true" outlineLevel="0" collapsed="false">
      <c r="Z332" s="1" t="str">
        <f aca="false">IF(AND(R332="WON",ISNUMBER(I332)),AA332,"")</f>
        <v/>
      </c>
      <c r="AA332" s="1" t="n">
        <f aca="false">IFERROR(I332*1,0)</f>
        <v>0</v>
      </c>
    </row>
    <row r="333" customFormat="false" ht="15" hidden="false" customHeight="true" outlineLevel="0" collapsed="false">
      <c r="Z333" s="1" t="str">
        <f aca="false">IF(AND(R333="WON",ISNUMBER(I333)),AA333,"")</f>
        <v/>
      </c>
      <c r="AA333" s="1" t="n">
        <f aca="false">IFERROR(I333*1,0)</f>
        <v>0</v>
      </c>
    </row>
    <row r="334" customFormat="false" ht="15" hidden="false" customHeight="true" outlineLevel="0" collapsed="false">
      <c r="Z334" s="1" t="str">
        <f aca="false">IF(AND(R334="WON",ISNUMBER(I334)),AA334,"")</f>
        <v/>
      </c>
      <c r="AA334" s="1" t="n">
        <f aca="false">IFERROR(I334*1,0)</f>
        <v>0</v>
      </c>
    </row>
    <row r="335" customFormat="false" ht="15" hidden="false" customHeight="true" outlineLevel="0" collapsed="false">
      <c r="Z335" s="1" t="str">
        <f aca="false">IF(AND(R335="WON",ISNUMBER(I335)),AA335,"")</f>
        <v/>
      </c>
      <c r="AA335" s="1" t="n">
        <f aca="false">IFERROR(I335*1,0)</f>
        <v>0</v>
      </c>
    </row>
    <row r="336" customFormat="false" ht="15" hidden="false" customHeight="true" outlineLevel="0" collapsed="false">
      <c r="Z336" s="1" t="str">
        <f aca="false">IF(AND(R336="WON",ISNUMBER(I336)),AA336,"")</f>
        <v/>
      </c>
      <c r="AA336" s="1" t="n">
        <f aca="false">IFERROR(I336*1,0)</f>
        <v>0</v>
      </c>
    </row>
    <row r="337" customFormat="false" ht="15" hidden="false" customHeight="true" outlineLevel="0" collapsed="false">
      <c r="Z337" s="1" t="str">
        <f aca="false">IF(AND(R337="WON",ISNUMBER(I337)),AA337,"")</f>
        <v/>
      </c>
      <c r="AA337" s="1" t="n">
        <f aca="false">IFERROR(I337*1,0)</f>
        <v>0</v>
      </c>
    </row>
    <row r="338" customFormat="false" ht="15" hidden="false" customHeight="true" outlineLevel="0" collapsed="false">
      <c r="Z338" s="1" t="str">
        <f aca="false">IF(AND(R338="WON",ISNUMBER(I338)),AA338,"")</f>
        <v/>
      </c>
      <c r="AA338" s="1" t="n">
        <f aca="false">IFERROR(I338*1,0)</f>
        <v>0</v>
      </c>
    </row>
    <row r="339" customFormat="false" ht="15" hidden="false" customHeight="true" outlineLevel="0" collapsed="false">
      <c r="Z339" s="1" t="str">
        <f aca="false">IF(AND(R339="WON",ISNUMBER(I339)),AA339,"")</f>
        <v/>
      </c>
      <c r="AA339" s="1" t="n">
        <f aca="false">IFERROR(I339*1,0)</f>
        <v>0</v>
      </c>
    </row>
    <row r="340" customFormat="false" ht="15" hidden="false" customHeight="true" outlineLevel="0" collapsed="false">
      <c r="Z340" s="1" t="str">
        <f aca="false">IF(AND(R340="WON",ISNUMBER(I340)),AA340,"")</f>
        <v/>
      </c>
      <c r="AA340" s="1" t="n">
        <f aca="false">IFERROR(I340*1,0)</f>
        <v>0</v>
      </c>
    </row>
    <row r="341" customFormat="false" ht="15" hidden="false" customHeight="true" outlineLevel="0" collapsed="false">
      <c r="Z341" s="1" t="str">
        <f aca="false">IF(AND(R341="WON",ISNUMBER(I341)),AA341,"")</f>
        <v/>
      </c>
      <c r="AA341" s="1" t="n">
        <f aca="false">IFERROR(I341*1,0)</f>
        <v>0</v>
      </c>
    </row>
    <row r="342" customFormat="false" ht="15" hidden="false" customHeight="true" outlineLevel="0" collapsed="false">
      <c r="Z342" s="1" t="str">
        <f aca="false">IF(AND(R342="WON",ISNUMBER(I342)),AA342,"")</f>
        <v/>
      </c>
      <c r="AA342" s="1" t="n">
        <f aca="false">IFERROR(I342*1,0)</f>
        <v>0</v>
      </c>
    </row>
    <row r="343" customFormat="false" ht="15" hidden="false" customHeight="true" outlineLevel="0" collapsed="false">
      <c r="Z343" s="1" t="str">
        <f aca="false">IF(AND(R343="WON",ISNUMBER(I343)),AA343,"")</f>
        <v/>
      </c>
      <c r="AA343" s="1" t="n">
        <f aca="false">IFERROR(I343*1,0)</f>
        <v>0</v>
      </c>
    </row>
    <row r="344" customFormat="false" ht="15" hidden="false" customHeight="true" outlineLevel="0" collapsed="false">
      <c r="Z344" s="1" t="str">
        <f aca="false">IF(AND(R344="WON",ISNUMBER(I344)),AA344,"")</f>
        <v/>
      </c>
      <c r="AA344" s="1" t="n">
        <f aca="false">IFERROR(I344*1,0)</f>
        <v>0</v>
      </c>
    </row>
    <row r="345" customFormat="false" ht="15" hidden="false" customHeight="true" outlineLevel="0" collapsed="false">
      <c r="Z345" s="1" t="str">
        <f aca="false">IF(AND(R345="WON",ISNUMBER(I345)),AA345,"")</f>
        <v/>
      </c>
      <c r="AA345" s="1" t="n">
        <f aca="false">IFERROR(I345*1,0)</f>
        <v>0</v>
      </c>
    </row>
    <row r="346" customFormat="false" ht="15" hidden="false" customHeight="true" outlineLevel="0" collapsed="false">
      <c r="Z346" s="1" t="str">
        <f aca="false">IF(AND(R346="WON",ISNUMBER(I346)),AA346,"")</f>
        <v/>
      </c>
      <c r="AA346" s="1" t="n">
        <f aca="false">IFERROR(I346*1,0)</f>
        <v>0</v>
      </c>
    </row>
    <row r="347" customFormat="false" ht="15" hidden="false" customHeight="true" outlineLevel="0" collapsed="false">
      <c r="Z347" s="1" t="str">
        <f aca="false">IF(AND(R347="WON",ISNUMBER(I347)),AA347,"")</f>
        <v/>
      </c>
      <c r="AA347" s="1" t="n">
        <f aca="false">IFERROR(I347*1,0)</f>
        <v>0</v>
      </c>
    </row>
    <row r="348" customFormat="false" ht="15" hidden="false" customHeight="true" outlineLevel="0" collapsed="false">
      <c r="Z348" s="1" t="str">
        <f aca="false">IF(AND(R348="WON",ISNUMBER(I348)),AA348,"")</f>
        <v/>
      </c>
      <c r="AA348" s="1" t="n">
        <f aca="false">IFERROR(I348*1,0)</f>
        <v>0</v>
      </c>
    </row>
    <row r="349" customFormat="false" ht="15" hidden="false" customHeight="true" outlineLevel="0" collapsed="false">
      <c r="Z349" s="1" t="str">
        <f aca="false">IF(AND(R349="WON",ISNUMBER(I349)),AA349,"")</f>
        <v/>
      </c>
      <c r="AA349" s="1" t="n">
        <f aca="false">IFERROR(I349*1,0)</f>
        <v>0</v>
      </c>
    </row>
    <row r="350" customFormat="false" ht="15" hidden="false" customHeight="true" outlineLevel="0" collapsed="false">
      <c r="Z350" s="1" t="str">
        <f aca="false">IF(AND(R350="WON",ISNUMBER(I350)),AA350,"")</f>
        <v/>
      </c>
      <c r="AA350" s="1" t="n">
        <f aca="false">IFERROR(I350*1,0)</f>
        <v>0</v>
      </c>
    </row>
    <row r="351" customFormat="false" ht="15" hidden="false" customHeight="true" outlineLevel="0" collapsed="false">
      <c r="Z351" s="1" t="str">
        <f aca="false">IF(AND(R351="WON",ISNUMBER(I351)),AA351,"")</f>
        <v/>
      </c>
      <c r="AA351" s="1" t="n">
        <f aca="false">IFERROR(I351*1,0)</f>
        <v>0</v>
      </c>
    </row>
    <row r="352" customFormat="false" ht="15" hidden="false" customHeight="true" outlineLevel="0" collapsed="false">
      <c r="Z352" s="1" t="str">
        <f aca="false">IF(AND(R352="WON",ISNUMBER(I352)),AA352,"")</f>
        <v/>
      </c>
      <c r="AA352" s="1" t="n">
        <f aca="false">IFERROR(I352*1,0)</f>
        <v>0</v>
      </c>
    </row>
    <row r="353" customFormat="false" ht="15" hidden="false" customHeight="true" outlineLevel="0" collapsed="false">
      <c r="Z353" s="1" t="str">
        <f aca="false">IF(AND(R353="WON",ISNUMBER(I353)),AA353,"")</f>
        <v/>
      </c>
      <c r="AA353" s="1" t="n">
        <f aca="false">IFERROR(I353*1,0)</f>
        <v>0</v>
      </c>
    </row>
    <row r="354" customFormat="false" ht="15" hidden="false" customHeight="true" outlineLevel="0" collapsed="false">
      <c r="Z354" s="1" t="str">
        <f aca="false">IF(AND(R354="WON",ISNUMBER(I354)),AA354,"")</f>
        <v/>
      </c>
      <c r="AA354" s="1" t="n">
        <f aca="false">IFERROR(I354*1,0)</f>
        <v>0</v>
      </c>
    </row>
    <row r="355" customFormat="false" ht="15" hidden="false" customHeight="true" outlineLevel="0" collapsed="false">
      <c r="Z355" s="1" t="str">
        <f aca="false">IF(AND(R355="WON",ISNUMBER(I355)),AA355,"")</f>
        <v/>
      </c>
      <c r="AA355" s="1" t="n">
        <f aca="false">IFERROR(I355*1,0)</f>
        <v>0</v>
      </c>
    </row>
    <row r="356" customFormat="false" ht="15" hidden="false" customHeight="true" outlineLevel="0" collapsed="false">
      <c r="Z356" s="1" t="str">
        <f aca="false">IF(AND(R356="WON",ISNUMBER(I356)),AA356,"")</f>
        <v/>
      </c>
      <c r="AA356" s="1" t="n">
        <f aca="false">IFERROR(I356*1,0)</f>
        <v>0</v>
      </c>
    </row>
    <row r="357" customFormat="false" ht="15" hidden="false" customHeight="true" outlineLevel="0" collapsed="false">
      <c r="Z357" s="1" t="str">
        <f aca="false">IF(AND(R357="WON",ISNUMBER(I357)),AA357,"")</f>
        <v/>
      </c>
      <c r="AA357" s="1" t="n">
        <f aca="false">IFERROR(I357*1,0)</f>
        <v>0</v>
      </c>
    </row>
    <row r="358" customFormat="false" ht="15" hidden="false" customHeight="true" outlineLevel="0" collapsed="false">
      <c r="Z358" s="1" t="str">
        <f aca="false">IF(AND(R358="WON",ISNUMBER(I358)),AA358,"")</f>
        <v/>
      </c>
      <c r="AA358" s="1" t="n">
        <f aca="false">IFERROR(I358*1,0)</f>
        <v>0</v>
      </c>
    </row>
    <row r="359" customFormat="false" ht="15" hidden="false" customHeight="true" outlineLevel="0" collapsed="false">
      <c r="Z359" s="1" t="str">
        <f aca="false">IF(AND(R359="WON",ISNUMBER(I359)),AA359,"")</f>
        <v/>
      </c>
      <c r="AA359" s="1" t="n">
        <f aca="false">IFERROR(I359*1,0)</f>
        <v>0</v>
      </c>
    </row>
    <row r="360" customFormat="false" ht="15" hidden="false" customHeight="true" outlineLevel="0" collapsed="false">
      <c r="Z360" s="1" t="str">
        <f aca="false">IF(AND(R360="WON",ISNUMBER(I360)),AA360,"")</f>
        <v/>
      </c>
      <c r="AA360" s="1" t="n">
        <f aca="false">IFERROR(I360*1,0)</f>
        <v>0</v>
      </c>
    </row>
    <row r="361" customFormat="false" ht="15" hidden="false" customHeight="true" outlineLevel="0" collapsed="false">
      <c r="Z361" s="1" t="str">
        <f aca="false">IF(AND(R361="WON",ISNUMBER(I361)),AA361,"")</f>
        <v/>
      </c>
      <c r="AA361" s="1" t="n">
        <f aca="false">IFERROR(I361*1,0)</f>
        <v>0</v>
      </c>
    </row>
    <row r="362" customFormat="false" ht="15" hidden="false" customHeight="true" outlineLevel="0" collapsed="false">
      <c r="Z362" s="1" t="str">
        <f aca="false">IF(AND(R362="WON",ISNUMBER(I362)),AA362,"")</f>
        <v/>
      </c>
      <c r="AA362" s="1" t="n">
        <f aca="false">IFERROR(I362*1,0)</f>
        <v>0</v>
      </c>
    </row>
    <row r="363" customFormat="false" ht="15" hidden="false" customHeight="true" outlineLevel="0" collapsed="false">
      <c r="Z363" s="1" t="str">
        <f aca="false">IF(AND(R363="WON",ISNUMBER(I363)),AA363,"")</f>
        <v/>
      </c>
      <c r="AA363" s="1" t="n">
        <f aca="false">IFERROR(I363*1,0)</f>
        <v>0</v>
      </c>
    </row>
    <row r="364" customFormat="false" ht="15" hidden="false" customHeight="true" outlineLevel="0" collapsed="false">
      <c r="Z364" s="1" t="str">
        <f aca="false">IF(AND(R364="WON",ISNUMBER(I364)),AA364,"")</f>
        <v/>
      </c>
      <c r="AA364" s="1" t="n">
        <f aca="false">IFERROR(I364*1,0)</f>
        <v>0</v>
      </c>
    </row>
    <row r="365" customFormat="false" ht="15" hidden="false" customHeight="true" outlineLevel="0" collapsed="false">
      <c r="Z365" s="1" t="str">
        <f aca="false">IF(AND(R365="WON",ISNUMBER(I365)),AA365,"")</f>
        <v/>
      </c>
      <c r="AA365" s="1" t="n">
        <f aca="false">IFERROR(I365*1,0)</f>
        <v>0</v>
      </c>
    </row>
    <row r="366" customFormat="false" ht="15" hidden="false" customHeight="true" outlineLevel="0" collapsed="false">
      <c r="Z366" s="1" t="str">
        <f aca="false">IF(AND(R366="WON",ISNUMBER(I366)),AA366,"")</f>
        <v/>
      </c>
      <c r="AA366" s="1" t="n">
        <f aca="false">IFERROR(I366*1,0)</f>
        <v>0</v>
      </c>
    </row>
    <row r="367" customFormat="false" ht="15" hidden="false" customHeight="true" outlineLevel="0" collapsed="false">
      <c r="Z367" s="1" t="str">
        <f aca="false">IF(AND(R367="WON",ISNUMBER(I367)),AA367,"")</f>
        <v/>
      </c>
      <c r="AA367" s="1" t="n">
        <f aca="false">IFERROR(I367*1,0)</f>
        <v>0</v>
      </c>
    </row>
    <row r="368" customFormat="false" ht="15" hidden="false" customHeight="true" outlineLevel="0" collapsed="false">
      <c r="Z368" s="1" t="str">
        <f aca="false">IF(AND(R368="WON",ISNUMBER(I368)),AA368,"")</f>
        <v/>
      </c>
      <c r="AA368" s="1" t="n">
        <f aca="false">IFERROR(I368*1,0)</f>
        <v>0</v>
      </c>
    </row>
    <row r="369" customFormat="false" ht="15" hidden="false" customHeight="true" outlineLevel="0" collapsed="false">
      <c r="Z369" s="1" t="str">
        <f aca="false">IF(AND(R369="WON",ISNUMBER(I369)),AA369,"")</f>
        <v/>
      </c>
      <c r="AA369" s="1" t="n">
        <f aca="false">IFERROR(I369*1,0)</f>
        <v>0</v>
      </c>
    </row>
    <row r="370" customFormat="false" ht="15" hidden="false" customHeight="true" outlineLevel="0" collapsed="false">
      <c r="Z370" s="1" t="str">
        <f aca="false">IF(AND(R370="WON",ISNUMBER(I370)),AA370,"")</f>
        <v/>
      </c>
      <c r="AA370" s="1" t="n">
        <f aca="false">IFERROR(I370*1,0)</f>
        <v>0</v>
      </c>
    </row>
    <row r="371" customFormat="false" ht="15" hidden="false" customHeight="true" outlineLevel="0" collapsed="false">
      <c r="Z371" s="1" t="str">
        <f aca="false">IF(AND(R371="WON",ISNUMBER(I371)),AA371,"")</f>
        <v/>
      </c>
      <c r="AA371" s="1" t="n">
        <f aca="false">IFERROR(I371*1,0)</f>
        <v>0</v>
      </c>
    </row>
    <row r="372" customFormat="false" ht="15" hidden="false" customHeight="true" outlineLevel="0" collapsed="false">
      <c r="Z372" s="1" t="str">
        <f aca="false">IF(AND(R372="WON",ISNUMBER(I372)),AA372,"")</f>
        <v/>
      </c>
      <c r="AA372" s="1" t="n">
        <f aca="false">IFERROR(I372*1,0)</f>
        <v>0</v>
      </c>
    </row>
    <row r="373" customFormat="false" ht="15" hidden="false" customHeight="true" outlineLevel="0" collapsed="false">
      <c r="Z373" s="1" t="str">
        <f aca="false">IF(AND(R373="WON",ISNUMBER(I373)),AA373,"")</f>
        <v/>
      </c>
      <c r="AA373" s="1" t="n">
        <f aca="false">IFERROR(I373*1,0)</f>
        <v>0</v>
      </c>
    </row>
    <row r="374" customFormat="false" ht="15" hidden="false" customHeight="true" outlineLevel="0" collapsed="false">
      <c r="Z374" s="1" t="str">
        <f aca="false">IF(AND(R374="WON",ISNUMBER(I374)),AA374,"")</f>
        <v/>
      </c>
      <c r="AA374" s="1" t="n">
        <f aca="false">IFERROR(I374*1,0)</f>
        <v>0</v>
      </c>
    </row>
    <row r="375" customFormat="false" ht="15" hidden="false" customHeight="true" outlineLevel="0" collapsed="false">
      <c r="Z375" s="1" t="str">
        <f aca="false">IF(AND(R375="WON",ISNUMBER(I375)),AA375,"")</f>
        <v/>
      </c>
      <c r="AA375" s="1" t="n">
        <f aca="false">IFERROR(I375*1,0)</f>
        <v>0</v>
      </c>
    </row>
    <row r="376" customFormat="false" ht="15" hidden="false" customHeight="true" outlineLevel="0" collapsed="false">
      <c r="Z376" s="1" t="str">
        <f aca="false">IF(AND(R376="WON",ISNUMBER(I376)),AA376,"")</f>
        <v/>
      </c>
      <c r="AA376" s="1" t="n">
        <f aca="false">IFERROR(I376*1,0)</f>
        <v>0</v>
      </c>
    </row>
    <row r="377" customFormat="false" ht="15" hidden="false" customHeight="true" outlineLevel="0" collapsed="false">
      <c r="Z377" s="1" t="str">
        <f aca="false">IF(AND(R377="WON",ISNUMBER(I377)),AA377,"")</f>
        <v/>
      </c>
      <c r="AA377" s="1" t="n">
        <f aca="false">IFERROR(I377*1,0)</f>
        <v>0</v>
      </c>
    </row>
    <row r="378" customFormat="false" ht="15" hidden="false" customHeight="true" outlineLevel="0" collapsed="false">
      <c r="Z378" s="1" t="str">
        <f aca="false">IF(AND(R378="WON",ISNUMBER(I378)),AA378,"")</f>
        <v/>
      </c>
      <c r="AA378" s="1" t="n">
        <f aca="false">IFERROR(I378*1,0)</f>
        <v>0</v>
      </c>
    </row>
    <row r="379" customFormat="false" ht="15" hidden="false" customHeight="true" outlineLevel="0" collapsed="false">
      <c r="Z379" s="1" t="str">
        <f aca="false">IF(AND(R379="WON",ISNUMBER(I379)),AA379,"")</f>
        <v/>
      </c>
      <c r="AA379" s="1" t="n">
        <f aca="false">IFERROR(I379*1,0)</f>
        <v>0</v>
      </c>
    </row>
    <row r="380" customFormat="false" ht="15" hidden="false" customHeight="true" outlineLevel="0" collapsed="false">
      <c r="Z380" s="1" t="str">
        <f aca="false">IF(AND(R380="WON",ISNUMBER(I380)),AA380,"")</f>
        <v/>
      </c>
      <c r="AA380" s="1" t="n">
        <f aca="false">IFERROR(I380*1,0)</f>
        <v>0</v>
      </c>
    </row>
    <row r="381" customFormat="false" ht="15" hidden="false" customHeight="true" outlineLevel="0" collapsed="false">
      <c r="Z381" s="1" t="str">
        <f aca="false">IF(AND(R381="WON",ISNUMBER(I381)),AA381,"")</f>
        <v/>
      </c>
      <c r="AA381" s="1" t="n">
        <f aca="false">IFERROR(I381*1,0)</f>
        <v>0</v>
      </c>
    </row>
    <row r="382" customFormat="false" ht="15" hidden="false" customHeight="true" outlineLevel="0" collapsed="false">
      <c r="Z382" s="1" t="str">
        <f aca="false">IF(AND(R382="WON",ISNUMBER(I382)),AA382,"")</f>
        <v/>
      </c>
      <c r="AA382" s="1" t="n">
        <f aca="false">IFERROR(I382*1,0)</f>
        <v>0</v>
      </c>
    </row>
    <row r="383" customFormat="false" ht="15" hidden="false" customHeight="true" outlineLevel="0" collapsed="false">
      <c r="Z383" s="1" t="str">
        <f aca="false">IF(AND(R383="WON",ISNUMBER(I383)),AA383,"")</f>
        <v/>
      </c>
      <c r="AA383" s="1" t="n">
        <f aca="false">IFERROR(I383*1,0)</f>
        <v>0</v>
      </c>
    </row>
    <row r="384" customFormat="false" ht="15" hidden="false" customHeight="true" outlineLevel="0" collapsed="false">
      <c r="Z384" s="1" t="str">
        <f aca="false">IF(AND(R384="WON",ISNUMBER(I384)),AA384,"")</f>
        <v/>
      </c>
      <c r="AA384" s="1" t="n">
        <f aca="false">IFERROR(I384*1,0)</f>
        <v>0</v>
      </c>
    </row>
    <row r="385" customFormat="false" ht="15" hidden="false" customHeight="true" outlineLevel="0" collapsed="false">
      <c r="Z385" s="1" t="str">
        <f aca="false">IF(AND(R385="WON",ISNUMBER(I385)),AA385,"")</f>
        <v/>
      </c>
      <c r="AA385" s="1" t="n">
        <f aca="false">IFERROR(I385*1,0)</f>
        <v>0</v>
      </c>
    </row>
    <row r="386" customFormat="false" ht="15" hidden="false" customHeight="true" outlineLevel="0" collapsed="false">
      <c r="Z386" s="1" t="str">
        <f aca="false">IF(AND(R386="WON",ISNUMBER(I386)),AA386,"")</f>
        <v/>
      </c>
      <c r="AA386" s="1" t="n">
        <f aca="false">IFERROR(I386*1,0)</f>
        <v>0</v>
      </c>
    </row>
    <row r="387" customFormat="false" ht="15" hidden="false" customHeight="true" outlineLevel="0" collapsed="false">
      <c r="Z387" s="1" t="str">
        <f aca="false">IF(AND(R387="WON",ISNUMBER(I387)),AA387,"")</f>
        <v/>
      </c>
      <c r="AA387" s="1" t="n">
        <f aca="false">IFERROR(I387*1,0)</f>
        <v>0</v>
      </c>
    </row>
    <row r="388" customFormat="false" ht="15" hidden="false" customHeight="true" outlineLevel="0" collapsed="false">
      <c r="Z388" s="1" t="str">
        <f aca="false">IF(AND(R388="WON",ISNUMBER(I388)),AA388,"")</f>
        <v/>
      </c>
      <c r="AA388" s="1" t="n">
        <f aca="false">IFERROR(I388*1,0)</f>
        <v>0</v>
      </c>
    </row>
    <row r="389" customFormat="false" ht="15" hidden="false" customHeight="true" outlineLevel="0" collapsed="false">
      <c r="Z389" s="1" t="str">
        <f aca="false">IF(AND(R389="WON",ISNUMBER(I389)),AA389,"")</f>
        <v/>
      </c>
      <c r="AA389" s="1" t="n">
        <f aca="false">IFERROR(I389*1,0)</f>
        <v>0</v>
      </c>
    </row>
    <row r="390" customFormat="false" ht="15" hidden="false" customHeight="true" outlineLevel="0" collapsed="false">
      <c r="Z390" s="1" t="str">
        <f aca="false">IF(AND(R390="WON",ISNUMBER(I390)),AA390,"")</f>
        <v/>
      </c>
      <c r="AA390" s="1" t="n">
        <f aca="false">IFERROR(I390*1,0)</f>
        <v>0</v>
      </c>
    </row>
    <row r="391" customFormat="false" ht="15" hidden="false" customHeight="true" outlineLevel="0" collapsed="false">
      <c r="Z391" s="1" t="str">
        <f aca="false">IF(AND(R391="WON",ISNUMBER(I391)),AA391,"")</f>
        <v/>
      </c>
      <c r="AA391" s="1" t="n">
        <f aca="false">IFERROR(I391*1,0)</f>
        <v>0</v>
      </c>
    </row>
    <row r="392" customFormat="false" ht="15" hidden="false" customHeight="true" outlineLevel="0" collapsed="false">
      <c r="Z392" s="1" t="str">
        <f aca="false">IF(AND(R392="WON",ISNUMBER(I392)),AA392,"")</f>
        <v/>
      </c>
      <c r="AA392" s="1" t="n">
        <f aca="false">IFERROR(I392*1,0)</f>
        <v>0</v>
      </c>
    </row>
    <row r="393" customFormat="false" ht="15" hidden="false" customHeight="true" outlineLevel="0" collapsed="false">
      <c r="Z393" s="1" t="str">
        <f aca="false">IF(AND(R393="WON",ISNUMBER(I393)),AA393,"")</f>
        <v/>
      </c>
      <c r="AA393" s="1" t="n">
        <f aca="false">IFERROR(I393*1,0)</f>
        <v>0</v>
      </c>
    </row>
    <row r="394" customFormat="false" ht="15" hidden="false" customHeight="true" outlineLevel="0" collapsed="false">
      <c r="Z394" s="1" t="str">
        <f aca="false">IF(AND(R394="WON",ISNUMBER(I394)),AA394,"")</f>
        <v/>
      </c>
      <c r="AA394" s="1" t="n">
        <f aca="false">IFERROR(I394*1,0)</f>
        <v>0</v>
      </c>
    </row>
    <row r="395" customFormat="false" ht="15" hidden="false" customHeight="true" outlineLevel="0" collapsed="false">
      <c r="Z395" s="1" t="str">
        <f aca="false">IF(AND(R395="WON",ISNUMBER(I395)),AA395,"")</f>
        <v/>
      </c>
      <c r="AA395" s="1" t="n">
        <f aca="false">IFERROR(I395*1,0)</f>
        <v>0</v>
      </c>
    </row>
    <row r="396" customFormat="false" ht="15" hidden="false" customHeight="true" outlineLevel="0" collapsed="false">
      <c r="Z396" s="1" t="str">
        <f aca="false">IF(AND(R396="WON",ISNUMBER(I396)),AA396,"")</f>
        <v/>
      </c>
      <c r="AA396" s="1" t="n">
        <f aca="false">IFERROR(I396*1,0)</f>
        <v>0</v>
      </c>
    </row>
    <row r="397" customFormat="false" ht="15" hidden="false" customHeight="true" outlineLevel="0" collapsed="false">
      <c r="Z397" s="1" t="str">
        <f aca="false">IF(AND(R397="WON",ISNUMBER(I397)),AA397,"")</f>
        <v/>
      </c>
      <c r="AA397" s="1" t="n">
        <f aca="false">IFERROR(I397*1,0)</f>
        <v>0</v>
      </c>
    </row>
    <row r="398" customFormat="false" ht="15" hidden="false" customHeight="true" outlineLevel="0" collapsed="false">
      <c r="Z398" s="1" t="str">
        <f aca="false">IF(AND(R398="WON",ISNUMBER(I398)),AA398,"")</f>
        <v/>
      </c>
      <c r="AA398" s="1" t="n">
        <f aca="false">IFERROR(I398*1,0)</f>
        <v>0</v>
      </c>
    </row>
    <row r="399" customFormat="false" ht="15" hidden="false" customHeight="true" outlineLevel="0" collapsed="false">
      <c r="Z399" s="1" t="str">
        <f aca="false">IF(AND(R399="WON",ISNUMBER(I399)),AA399,"")</f>
        <v/>
      </c>
      <c r="AA399" s="1" t="n">
        <f aca="false">IFERROR(I399*1,0)</f>
        <v>0</v>
      </c>
    </row>
    <row r="400" customFormat="false" ht="15" hidden="false" customHeight="true" outlineLevel="0" collapsed="false">
      <c r="Z400" s="1" t="str">
        <f aca="false">IF(AND(R400="WON",ISNUMBER(I400)),AA400,"")</f>
        <v/>
      </c>
      <c r="AA400" s="1" t="n">
        <f aca="false">IFERROR(I400*1,0)</f>
        <v>0</v>
      </c>
    </row>
    <row r="401" customFormat="false" ht="15" hidden="false" customHeight="true" outlineLevel="0" collapsed="false">
      <c r="Z401" s="1" t="str">
        <f aca="false">IF(AND(R401="WON",ISNUMBER(I401)),AA401,"")</f>
        <v/>
      </c>
      <c r="AA401" s="1" t="n">
        <f aca="false">IFERROR(I401*1,0)</f>
        <v>0</v>
      </c>
    </row>
    <row r="402" customFormat="false" ht="15" hidden="false" customHeight="true" outlineLevel="0" collapsed="false">
      <c r="Z402" s="1" t="str">
        <f aca="false">IF(AND(R402="WON",ISNUMBER(I402)),AA402,"")</f>
        <v/>
      </c>
      <c r="AA402" s="1" t="n">
        <f aca="false">IFERROR(I402*1,0)</f>
        <v>0</v>
      </c>
    </row>
    <row r="403" customFormat="false" ht="15" hidden="false" customHeight="true" outlineLevel="0" collapsed="false">
      <c r="Z403" s="1" t="str">
        <f aca="false">IF(AND(R403="WON",ISNUMBER(I403)),AA403,"")</f>
        <v/>
      </c>
      <c r="AA403" s="1" t="n">
        <f aca="false">IFERROR(I403*1,0)</f>
        <v>0</v>
      </c>
    </row>
    <row r="404" customFormat="false" ht="15" hidden="false" customHeight="true" outlineLevel="0" collapsed="false">
      <c r="Z404" s="1" t="str">
        <f aca="false">IF(AND(R404="WON",ISNUMBER(I404)),AA404,"")</f>
        <v/>
      </c>
      <c r="AA404" s="1" t="n">
        <f aca="false">IFERROR(I404*1,0)</f>
        <v>0</v>
      </c>
    </row>
    <row r="405" customFormat="false" ht="15" hidden="false" customHeight="true" outlineLevel="0" collapsed="false">
      <c r="Z405" s="1" t="str">
        <f aca="false">IF(AND(R405="WON",ISNUMBER(I405)),AA405,"")</f>
        <v/>
      </c>
      <c r="AA405" s="1" t="n">
        <f aca="false">IFERROR(I405*1,0)</f>
        <v>0</v>
      </c>
    </row>
    <row r="406" customFormat="false" ht="15" hidden="false" customHeight="true" outlineLevel="0" collapsed="false">
      <c r="Z406" s="1" t="str">
        <f aca="false">IF(AND(R406="WON",ISNUMBER(I406)),AA406,"")</f>
        <v/>
      </c>
      <c r="AA406" s="1" t="n">
        <f aca="false">IFERROR(I406*1,0)</f>
        <v>0</v>
      </c>
    </row>
    <row r="407" customFormat="false" ht="15" hidden="false" customHeight="true" outlineLevel="0" collapsed="false">
      <c r="Z407" s="1" t="str">
        <f aca="false">IF(AND(R407="WON",ISNUMBER(I407)),AA407,"")</f>
        <v/>
      </c>
      <c r="AA407" s="1" t="n">
        <f aca="false">IFERROR(I407*1,0)</f>
        <v>0</v>
      </c>
    </row>
    <row r="408" customFormat="false" ht="15" hidden="false" customHeight="true" outlineLevel="0" collapsed="false">
      <c r="Z408" s="1" t="str">
        <f aca="false">IF(AND(R408="WON",ISNUMBER(I408)),AA408,"")</f>
        <v/>
      </c>
      <c r="AA408" s="1" t="n">
        <f aca="false">IFERROR(I408*1,0)</f>
        <v>0</v>
      </c>
    </row>
    <row r="409" customFormat="false" ht="15" hidden="false" customHeight="true" outlineLevel="0" collapsed="false">
      <c r="Z409" s="1" t="str">
        <f aca="false">IF(AND(R409="WON",ISNUMBER(I409)),AA409,"")</f>
        <v/>
      </c>
      <c r="AA409" s="1" t="n">
        <f aca="false">IFERROR(I409*1,0)</f>
        <v>0</v>
      </c>
    </row>
    <row r="410" customFormat="false" ht="15" hidden="false" customHeight="true" outlineLevel="0" collapsed="false">
      <c r="Z410" s="1" t="str">
        <f aca="false">IF(AND(R410="WON",ISNUMBER(I410)),AA410,"")</f>
        <v/>
      </c>
      <c r="AA410" s="1" t="n">
        <f aca="false">IFERROR(I410*1,0)</f>
        <v>0</v>
      </c>
    </row>
    <row r="411" customFormat="false" ht="15" hidden="false" customHeight="true" outlineLevel="0" collapsed="false">
      <c r="Z411" s="1" t="str">
        <f aca="false">IF(AND(R411="WON",ISNUMBER(I411)),AA411,"")</f>
        <v/>
      </c>
      <c r="AA411" s="1" t="n">
        <f aca="false">IFERROR(I411*1,0)</f>
        <v>0</v>
      </c>
    </row>
    <row r="412" customFormat="false" ht="15" hidden="false" customHeight="true" outlineLevel="0" collapsed="false">
      <c r="Z412" s="1" t="str">
        <f aca="false">IF(AND(R412="WON",ISNUMBER(I412)),AA412,"")</f>
        <v/>
      </c>
      <c r="AA412" s="1" t="n">
        <f aca="false">IFERROR(I412*1,0)</f>
        <v>0</v>
      </c>
    </row>
    <row r="413" customFormat="false" ht="15" hidden="false" customHeight="true" outlineLevel="0" collapsed="false">
      <c r="Z413" s="1" t="str">
        <f aca="false">IF(AND(R413="WON",ISNUMBER(I413)),AA413,"")</f>
        <v/>
      </c>
      <c r="AA413" s="1" t="n">
        <f aca="false">IFERROR(I413*1,0)</f>
        <v>0</v>
      </c>
    </row>
    <row r="414" customFormat="false" ht="15" hidden="false" customHeight="true" outlineLevel="0" collapsed="false">
      <c r="Z414" s="1" t="str">
        <f aca="false">IF(AND(R414="WON",ISNUMBER(I414)),AA414,"")</f>
        <v/>
      </c>
      <c r="AA414" s="1" t="n">
        <f aca="false">IFERROR(I414*1,0)</f>
        <v>0</v>
      </c>
    </row>
    <row r="415" customFormat="false" ht="15" hidden="false" customHeight="true" outlineLevel="0" collapsed="false">
      <c r="Z415" s="1" t="str">
        <f aca="false">IF(AND(R415="WON",ISNUMBER(I415)),AA415,"")</f>
        <v/>
      </c>
      <c r="AA415" s="1" t="n">
        <f aca="false">IFERROR(I415*1,0)</f>
        <v>0</v>
      </c>
    </row>
    <row r="416" customFormat="false" ht="15" hidden="false" customHeight="true" outlineLevel="0" collapsed="false">
      <c r="Z416" s="1" t="str">
        <f aca="false">IF(AND(R416="WON",ISNUMBER(I416)),AA416,"")</f>
        <v/>
      </c>
      <c r="AA416" s="1" t="n">
        <f aca="false">IFERROR(I416*1,0)</f>
        <v>0</v>
      </c>
    </row>
    <row r="417" customFormat="false" ht="15" hidden="false" customHeight="true" outlineLevel="0" collapsed="false">
      <c r="Z417" s="1" t="str">
        <f aca="false">IF(AND(R417="WON",ISNUMBER(I417)),AA417,"")</f>
        <v/>
      </c>
      <c r="AA417" s="1" t="n">
        <f aca="false">IFERROR(I417*1,0)</f>
        <v>0</v>
      </c>
    </row>
    <row r="418" customFormat="false" ht="15" hidden="false" customHeight="true" outlineLevel="0" collapsed="false">
      <c r="Z418" s="1" t="str">
        <f aca="false">IF(AND(R418="WON",ISNUMBER(I418)),AA418,"")</f>
        <v/>
      </c>
      <c r="AA418" s="1" t="n">
        <f aca="false">IFERROR(I418*1,0)</f>
        <v>0</v>
      </c>
    </row>
    <row r="419" customFormat="false" ht="15" hidden="false" customHeight="true" outlineLevel="0" collapsed="false">
      <c r="Z419" s="1" t="str">
        <f aca="false">IF(AND(R419="WON",ISNUMBER(I419)),AA419,"")</f>
        <v/>
      </c>
      <c r="AA419" s="1" t="n">
        <f aca="false">IFERROR(I419*1,0)</f>
        <v>0</v>
      </c>
    </row>
    <row r="420" customFormat="false" ht="15" hidden="false" customHeight="true" outlineLevel="0" collapsed="false">
      <c r="Z420" s="1" t="str">
        <f aca="false">IF(AND(R420="WON",ISNUMBER(I420)),AA420,"")</f>
        <v/>
      </c>
      <c r="AA420" s="1" t="n">
        <f aca="false">IFERROR(I420*1,0)</f>
        <v>0</v>
      </c>
    </row>
    <row r="421" customFormat="false" ht="15" hidden="false" customHeight="true" outlineLevel="0" collapsed="false">
      <c r="Z421" s="1" t="str">
        <f aca="false">IF(AND(R421="WON",ISNUMBER(I421)),AA421,"")</f>
        <v/>
      </c>
      <c r="AA421" s="1" t="n">
        <f aca="false">IFERROR(I421*1,0)</f>
        <v>0</v>
      </c>
    </row>
    <row r="422" customFormat="false" ht="15" hidden="false" customHeight="true" outlineLevel="0" collapsed="false">
      <c r="Z422" s="1" t="str">
        <f aca="false">IF(AND(R422="WON",ISNUMBER(I422)),AA422,"")</f>
        <v/>
      </c>
      <c r="AA422" s="1" t="n">
        <f aca="false">IFERROR(I422*1,0)</f>
        <v>0</v>
      </c>
    </row>
    <row r="423" customFormat="false" ht="15" hidden="false" customHeight="true" outlineLevel="0" collapsed="false">
      <c r="Z423" s="1" t="str">
        <f aca="false">IF(AND(R423="WON",ISNUMBER(I423)),AA423,"")</f>
        <v/>
      </c>
      <c r="AA423" s="1" t="n">
        <f aca="false">IFERROR(I423*1,0)</f>
        <v>0</v>
      </c>
    </row>
    <row r="424" customFormat="false" ht="15" hidden="false" customHeight="true" outlineLevel="0" collapsed="false">
      <c r="Z424" s="1" t="str">
        <f aca="false">IF(AND(R424="WON",ISNUMBER(I424)),AA424,"")</f>
        <v/>
      </c>
      <c r="AA424" s="1" t="n">
        <f aca="false">IFERROR(I424*1,0)</f>
        <v>0</v>
      </c>
    </row>
    <row r="425" customFormat="false" ht="15" hidden="false" customHeight="true" outlineLevel="0" collapsed="false">
      <c r="Z425" s="1" t="str">
        <f aca="false">IF(AND(R425="WON",ISNUMBER(I425)),AA425,"")</f>
        <v/>
      </c>
      <c r="AA425" s="1" t="n">
        <f aca="false">IFERROR(I425*1,0)</f>
        <v>0</v>
      </c>
    </row>
    <row r="426" customFormat="false" ht="15" hidden="false" customHeight="true" outlineLevel="0" collapsed="false">
      <c r="Z426" s="1" t="str">
        <f aca="false">IF(AND(R426="WON",ISNUMBER(I426)),AA426,"")</f>
        <v/>
      </c>
      <c r="AA426" s="1" t="n">
        <f aca="false">IFERROR(I426*1,0)</f>
        <v>0</v>
      </c>
    </row>
    <row r="427" customFormat="false" ht="15" hidden="false" customHeight="true" outlineLevel="0" collapsed="false">
      <c r="Z427" s="1" t="str">
        <f aca="false">IF(AND(R427="WON",ISNUMBER(I427)),AA427,"")</f>
        <v/>
      </c>
      <c r="AA427" s="1" t="n">
        <f aca="false">IFERROR(I427*1,0)</f>
        <v>0</v>
      </c>
    </row>
    <row r="428" customFormat="false" ht="15" hidden="false" customHeight="true" outlineLevel="0" collapsed="false">
      <c r="Z428" s="1" t="str">
        <f aca="false">IF(AND(R428="WON",ISNUMBER(I428)),AA428,"")</f>
        <v/>
      </c>
      <c r="AA428" s="1" t="n">
        <f aca="false">IFERROR(I428*1,0)</f>
        <v>0</v>
      </c>
    </row>
    <row r="429" customFormat="false" ht="15" hidden="false" customHeight="true" outlineLevel="0" collapsed="false">
      <c r="Z429" s="1" t="str">
        <f aca="false">IF(AND(R429="WON",ISNUMBER(I429)),AA429,"")</f>
        <v/>
      </c>
      <c r="AA429" s="1" t="n">
        <f aca="false">IFERROR(I429*1,0)</f>
        <v>0</v>
      </c>
    </row>
    <row r="430" customFormat="false" ht="15" hidden="false" customHeight="true" outlineLevel="0" collapsed="false">
      <c r="Z430" s="1" t="str">
        <f aca="false">IF(AND(R430="WON",ISNUMBER(I430)),AA430,"")</f>
        <v/>
      </c>
      <c r="AA430" s="1" t="n">
        <f aca="false">IFERROR(I430*1,0)</f>
        <v>0</v>
      </c>
    </row>
    <row r="431" customFormat="false" ht="15" hidden="false" customHeight="true" outlineLevel="0" collapsed="false">
      <c r="Z431" s="1" t="str">
        <f aca="false">IF(AND(R431="WON",ISNUMBER(I431)),AA431,"")</f>
        <v/>
      </c>
      <c r="AA431" s="1" t="n">
        <f aca="false">IFERROR(I431*1,0)</f>
        <v>0</v>
      </c>
    </row>
    <row r="432" customFormat="false" ht="15" hidden="false" customHeight="true" outlineLevel="0" collapsed="false">
      <c r="Z432" s="1" t="str">
        <f aca="false">IF(AND(R432="WON",ISNUMBER(I432)),AA432,"")</f>
        <v/>
      </c>
      <c r="AA432" s="1" t="n">
        <f aca="false">IFERROR(I432*1,0)</f>
        <v>0</v>
      </c>
    </row>
    <row r="433" customFormat="false" ht="15" hidden="false" customHeight="true" outlineLevel="0" collapsed="false">
      <c r="Z433" s="1" t="str">
        <f aca="false">IF(AND(R433="WON",ISNUMBER(I433)),AA433,"")</f>
        <v/>
      </c>
      <c r="AA433" s="1" t="n">
        <f aca="false">IFERROR(I433*1,0)</f>
        <v>0</v>
      </c>
    </row>
    <row r="434" customFormat="false" ht="15" hidden="false" customHeight="true" outlineLevel="0" collapsed="false">
      <c r="Z434" s="1" t="str">
        <f aca="false">IF(AND(R434="WON",ISNUMBER(I434)),AA434,"")</f>
        <v/>
      </c>
      <c r="AA434" s="1" t="n">
        <f aca="false">IFERROR(I434*1,0)</f>
        <v>0</v>
      </c>
    </row>
    <row r="435" customFormat="false" ht="15" hidden="false" customHeight="true" outlineLevel="0" collapsed="false">
      <c r="Z435" s="1" t="str">
        <f aca="false">IF(AND(R435="WON",ISNUMBER(I435)),AA435,"")</f>
        <v/>
      </c>
      <c r="AA435" s="1" t="n">
        <f aca="false">IFERROR(I435*1,0)</f>
        <v>0</v>
      </c>
    </row>
    <row r="436" customFormat="false" ht="15" hidden="false" customHeight="true" outlineLevel="0" collapsed="false">
      <c r="Z436" s="1" t="str">
        <f aca="false">IF(AND(R436="WON",ISNUMBER(I436)),AA436,"")</f>
        <v/>
      </c>
      <c r="AA436" s="1" t="n">
        <f aca="false">IFERROR(I436*1,0)</f>
        <v>0</v>
      </c>
    </row>
    <row r="437" customFormat="false" ht="15" hidden="false" customHeight="true" outlineLevel="0" collapsed="false">
      <c r="Z437" s="1" t="str">
        <f aca="false">IF(AND(R437="WON",ISNUMBER(I437)),AA437,"")</f>
        <v/>
      </c>
      <c r="AA437" s="1" t="n">
        <f aca="false">IFERROR(I437*1,0)</f>
        <v>0</v>
      </c>
    </row>
    <row r="438" customFormat="false" ht="15" hidden="false" customHeight="true" outlineLevel="0" collapsed="false">
      <c r="Z438" s="1" t="str">
        <f aca="false">IF(AND(R438="WON",ISNUMBER(I438)),AA438,"")</f>
        <v/>
      </c>
      <c r="AA438" s="1" t="n">
        <f aca="false">IFERROR(I438*1,0)</f>
        <v>0</v>
      </c>
    </row>
    <row r="439" customFormat="false" ht="15" hidden="false" customHeight="true" outlineLevel="0" collapsed="false">
      <c r="Z439" s="1" t="str">
        <f aca="false">IF(AND(R439="WON",ISNUMBER(I439)),AA439,"")</f>
        <v/>
      </c>
      <c r="AA439" s="1" t="n">
        <f aca="false">IFERROR(I439*1,0)</f>
        <v>0</v>
      </c>
    </row>
    <row r="440" customFormat="false" ht="15" hidden="false" customHeight="true" outlineLevel="0" collapsed="false">
      <c r="Z440" s="1" t="str">
        <f aca="false">IF(AND(R440="WON",ISNUMBER(I440)),AA440,"")</f>
        <v/>
      </c>
      <c r="AA440" s="1" t="n">
        <f aca="false">IFERROR(I440*1,0)</f>
        <v>0</v>
      </c>
    </row>
    <row r="441" customFormat="false" ht="15" hidden="false" customHeight="true" outlineLevel="0" collapsed="false">
      <c r="Z441" s="1" t="str">
        <f aca="false">IF(AND(R441="WON",ISNUMBER(I441)),AA441,"")</f>
        <v/>
      </c>
      <c r="AA441" s="1" t="n">
        <f aca="false">IFERROR(I441*1,0)</f>
        <v>0</v>
      </c>
    </row>
    <row r="442" customFormat="false" ht="15" hidden="false" customHeight="true" outlineLevel="0" collapsed="false">
      <c r="Z442" s="1" t="str">
        <f aca="false">IF(AND(R442="WON",ISNUMBER(I442)),AA442,"")</f>
        <v/>
      </c>
      <c r="AA442" s="1" t="n">
        <f aca="false">IFERROR(I442*1,0)</f>
        <v>0</v>
      </c>
    </row>
    <row r="443" customFormat="false" ht="15" hidden="false" customHeight="true" outlineLevel="0" collapsed="false">
      <c r="Z443" s="1" t="str">
        <f aca="false">IF(AND(R443="WON",ISNUMBER(I443)),AA443,"")</f>
        <v/>
      </c>
      <c r="AA443" s="1" t="n">
        <f aca="false">IFERROR(I443*1,0)</f>
        <v>0</v>
      </c>
    </row>
    <row r="444" customFormat="false" ht="15" hidden="false" customHeight="true" outlineLevel="0" collapsed="false">
      <c r="Z444" s="1" t="str">
        <f aca="false">IF(AND(R444="WON",ISNUMBER(I444)),AA444,"")</f>
        <v/>
      </c>
      <c r="AA444" s="1" t="n">
        <f aca="false">IFERROR(I444*1,0)</f>
        <v>0</v>
      </c>
    </row>
    <row r="445" customFormat="false" ht="15" hidden="false" customHeight="true" outlineLevel="0" collapsed="false">
      <c r="Z445" s="1" t="str">
        <f aca="false">IF(AND(R445="WON",ISNUMBER(I445)),AA445,"")</f>
        <v/>
      </c>
      <c r="AA445" s="1" t="n">
        <f aca="false">IFERROR(I445*1,0)</f>
        <v>0</v>
      </c>
    </row>
    <row r="446" customFormat="false" ht="15" hidden="false" customHeight="true" outlineLevel="0" collapsed="false">
      <c r="Z446" s="1" t="str">
        <f aca="false">IF(AND(R446="WON",ISNUMBER(I446)),AA446,"")</f>
        <v/>
      </c>
      <c r="AA446" s="1" t="n">
        <f aca="false">IFERROR(I446*1,0)</f>
        <v>0</v>
      </c>
    </row>
    <row r="447" customFormat="false" ht="15" hidden="false" customHeight="true" outlineLevel="0" collapsed="false">
      <c r="Z447" s="1" t="str">
        <f aca="false">IF(AND(R447="WON",ISNUMBER(I447)),AA447,"")</f>
        <v/>
      </c>
      <c r="AA447" s="1" t="n">
        <f aca="false">IFERROR(I447*1,0)</f>
        <v>0</v>
      </c>
    </row>
    <row r="448" customFormat="false" ht="15" hidden="false" customHeight="true" outlineLevel="0" collapsed="false">
      <c r="Z448" s="1" t="str">
        <f aca="false">IF(AND(R448="WON",ISNUMBER(I448)),AA448,"")</f>
        <v/>
      </c>
      <c r="AA448" s="1" t="n">
        <f aca="false">IFERROR(I448*1,0)</f>
        <v>0</v>
      </c>
    </row>
    <row r="449" customFormat="false" ht="15" hidden="false" customHeight="true" outlineLevel="0" collapsed="false">
      <c r="Z449" s="1" t="str">
        <f aca="false">IF(AND(R449="WON",ISNUMBER(I449)),AA449,"")</f>
        <v/>
      </c>
      <c r="AA449" s="1" t="n">
        <f aca="false">IFERROR(I449*1,0)</f>
        <v>0</v>
      </c>
    </row>
    <row r="450" customFormat="false" ht="15" hidden="false" customHeight="true" outlineLevel="0" collapsed="false">
      <c r="Z450" s="1" t="str">
        <f aca="false">IF(AND(R450="WON",ISNUMBER(I450)),AA450,"")</f>
        <v/>
      </c>
      <c r="AA450" s="1" t="n">
        <f aca="false">IFERROR(I450*1,0)</f>
        <v>0</v>
      </c>
    </row>
    <row r="451" customFormat="false" ht="15" hidden="false" customHeight="true" outlineLevel="0" collapsed="false">
      <c r="Z451" s="1" t="str">
        <f aca="false">IF(AND(R451="WON",ISNUMBER(I451)),AA451,"")</f>
        <v/>
      </c>
      <c r="AA451" s="1" t="n">
        <f aca="false">IFERROR(I451*1,0)</f>
        <v>0</v>
      </c>
    </row>
    <row r="452" customFormat="false" ht="15" hidden="false" customHeight="true" outlineLevel="0" collapsed="false">
      <c r="Z452" s="1" t="str">
        <f aca="false">IF(AND(R452="WON",ISNUMBER(I452)),AA452,"")</f>
        <v/>
      </c>
      <c r="AA452" s="1" t="n">
        <f aca="false">IFERROR(I452*1,0)</f>
        <v>0</v>
      </c>
    </row>
    <row r="453" customFormat="false" ht="15" hidden="false" customHeight="true" outlineLevel="0" collapsed="false">
      <c r="Z453" s="1" t="str">
        <f aca="false">IF(AND(R453="WON",ISNUMBER(I453)),AA453,"")</f>
        <v/>
      </c>
      <c r="AA453" s="1" t="n">
        <f aca="false">IFERROR(I453*1,0)</f>
        <v>0</v>
      </c>
    </row>
    <row r="454" customFormat="false" ht="15" hidden="false" customHeight="true" outlineLevel="0" collapsed="false">
      <c r="Z454" s="1" t="str">
        <f aca="false">IF(AND(R454="WON",ISNUMBER(I454)),AA454,"")</f>
        <v/>
      </c>
      <c r="AA454" s="1" t="n">
        <f aca="false">IFERROR(I454*1,0)</f>
        <v>0</v>
      </c>
    </row>
    <row r="455" customFormat="false" ht="15" hidden="false" customHeight="true" outlineLevel="0" collapsed="false">
      <c r="Z455" s="1" t="str">
        <f aca="false">IF(AND(R455="WON",ISNUMBER(I455)),AA455,"")</f>
        <v/>
      </c>
      <c r="AA455" s="1" t="n">
        <f aca="false">IFERROR(I455*1,0)</f>
        <v>0</v>
      </c>
    </row>
    <row r="456" customFormat="false" ht="15" hidden="false" customHeight="true" outlineLevel="0" collapsed="false">
      <c r="Z456" s="1" t="str">
        <f aca="false">IF(AND(R456="WON",ISNUMBER(I456)),AA456,"")</f>
        <v/>
      </c>
      <c r="AA456" s="1" t="n">
        <f aca="false">IFERROR(I456*1,0)</f>
        <v>0</v>
      </c>
    </row>
    <row r="457" customFormat="false" ht="15" hidden="false" customHeight="true" outlineLevel="0" collapsed="false">
      <c r="Z457" s="1" t="str">
        <f aca="false">IF(AND(R457="WON",ISNUMBER(I457)),AA457,"")</f>
        <v/>
      </c>
      <c r="AA457" s="1" t="n">
        <f aca="false">IFERROR(I457*1,0)</f>
        <v>0</v>
      </c>
    </row>
    <row r="458" customFormat="false" ht="15" hidden="false" customHeight="true" outlineLevel="0" collapsed="false">
      <c r="Z458" s="1" t="str">
        <f aca="false">IF(AND(R458="WON",ISNUMBER(I458)),AA458,"")</f>
        <v/>
      </c>
      <c r="AA458" s="1" t="n">
        <f aca="false">IFERROR(I458*1,0)</f>
        <v>0</v>
      </c>
    </row>
    <row r="459" customFormat="false" ht="15" hidden="false" customHeight="true" outlineLevel="0" collapsed="false">
      <c r="Z459" s="1" t="str">
        <f aca="false">IF(AND(R459="WON",ISNUMBER(I459)),AA459,"")</f>
        <v/>
      </c>
      <c r="AA459" s="1" t="n">
        <f aca="false">IFERROR(I459*1,0)</f>
        <v>0</v>
      </c>
    </row>
    <row r="460" customFormat="false" ht="15" hidden="false" customHeight="true" outlineLevel="0" collapsed="false">
      <c r="Z460" s="1" t="str">
        <f aca="false">IF(AND(R460="WON",ISNUMBER(I460)),AA460,"")</f>
        <v/>
      </c>
      <c r="AA460" s="1" t="n">
        <f aca="false">IFERROR(I460*1,0)</f>
        <v>0</v>
      </c>
    </row>
    <row r="461" customFormat="false" ht="15" hidden="false" customHeight="true" outlineLevel="0" collapsed="false">
      <c r="Z461" s="1" t="str">
        <f aca="false">IF(AND(R461="WON",ISNUMBER(I461)),AA461,"")</f>
        <v/>
      </c>
      <c r="AA461" s="1" t="n">
        <f aca="false">IFERROR(I461*1,0)</f>
        <v>0</v>
      </c>
    </row>
    <row r="462" customFormat="false" ht="15" hidden="false" customHeight="true" outlineLevel="0" collapsed="false">
      <c r="Z462" s="1" t="str">
        <f aca="false">IF(AND(R462="WON",ISNUMBER(I462)),AA462,"")</f>
        <v/>
      </c>
      <c r="AA462" s="1" t="n">
        <f aca="false">IFERROR(I462*1,0)</f>
        <v>0</v>
      </c>
    </row>
    <row r="463" customFormat="false" ht="15" hidden="false" customHeight="true" outlineLevel="0" collapsed="false">
      <c r="Z463" s="1" t="str">
        <f aca="false">IF(AND(R463="WON",ISNUMBER(I463)),AA463,"")</f>
        <v/>
      </c>
      <c r="AA463" s="1" t="n">
        <f aca="false">IFERROR(I463*1,0)</f>
        <v>0</v>
      </c>
    </row>
    <row r="464" customFormat="false" ht="15" hidden="false" customHeight="true" outlineLevel="0" collapsed="false">
      <c r="Z464" s="1" t="str">
        <f aca="false">IF(AND(R464="WON",ISNUMBER(I464)),AA464,"")</f>
        <v/>
      </c>
      <c r="AA464" s="1" t="n">
        <f aca="false">IFERROR(I464*1,0)</f>
        <v>0</v>
      </c>
    </row>
    <row r="465" customFormat="false" ht="15" hidden="false" customHeight="true" outlineLevel="0" collapsed="false">
      <c r="Z465" s="1" t="str">
        <f aca="false">IF(AND(R465="WON",ISNUMBER(I465)),AA465,"")</f>
        <v/>
      </c>
      <c r="AA465" s="1" t="n">
        <f aca="false">IFERROR(I465*1,0)</f>
        <v>0</v>
      </c>
    </row>
    <row r="466" customFormat="false" ht="15" hidden="false" customHeight="true" outlineLevel="0" collapsed="false">
      <c r="Z466" s="1" t="str">
        <f aca="false">IF(AND(R466="WON",ISNUMBER(I466)),AA466,"")</f>
        <v/>
      </c>
      <c r="AA466" s="1" t="n">
        <f aca="false">IFERROR(I466*1,0)</f>
        <v>0</v>
      </c>
    </row>
    <row r="467" customFormat="false" ht="15" hidden="false" customHeight="true" outlineLevel="0" collapsed="false">
      <c r="Z467" s="1" t="str">
        <f aca="false">IF(AND(R467="WON",ISNUMBER(I467)),AA467,"")</f>
        <v/>
      </c>
      <c r="AA467" s="1" t="n">
        <f aca="false">IFERROR(I467*1,0)</f>
        <v>0</v>
      </c>
    </row>
    <row r="468" customFormat="false" ht="15" hidden="false" customHeight="true" outlineLevel="0" collapsed="false">
      <c r="Z468" s="1" t="str">
        <f aca="false">IF(AND(R468="WON",ISNUMBER(I468)),AA468,"")</f>
        <v/>
      </c>
      <c r="AA468" s="1" t="n">
        <f aca="false">IFERROR(I468*1,0)</f>
        <v>0</v>
      </c>
    </row>
    <row r="469" customFormat="false" ht="15" hidden="false" customHeight="true" outlineLevel="0" collapsed="false">
      <c r="Z469" s="1" t="str">
        <f aca="false">IF(AND(R469="WON",ISNUMBER(I469)),AA469,"")</f>
        <v/>
      </c>
      <c r="AA469" s="1" t="n">
        <f aca="false">IFERROR(I469*1,0)</f>
        <v>0</v>
      </c>
    </row>
    <row r="470" customFormat="false" ht="15" hidden="false" customHeight="true" outlineLevel="0" collapsed="false">
      <c r="Z470" s="1" t="str">
        <f aca="false">IF(AND(R470="WON",ISNUMBER(I470)),AA470,"")</f>
        <v/>
      </c>
      <c r="AA470" s="1" t="n">
        <f aca="false">IFERROR(I470*1,0)</f>
        <v>0</v>
      </c>
    </row>
    <row r="471" customFormat="false" ht="15" hidden="false" customHeight="true" outlineLevel="0" collapsed="false">
      <c r="Z471" s="1" t="str">
        <f aca="false">IF(AND(R471="WON",ISNUMBER(I471)),AA471,"")</f>
        <v/>
      </c>
      <c r="AA471" s="1" t="n">
        <f aca="false">IFERROR(I471*1,0)</f>
        <v>0</v>
      </c>
    </row>
    <row r="472" customFormat="false" ht="15" hidden="false" customHeight="true" outlineLevel="0" collapsed="false">
      <c r="Z472" s="1" t="str">
        <f aca="false">IF(AND(R472="WON",ISNUMBER(I472)),AA472,"")</f>
        <v/>
      </c>
      <c r="AA472" s="1" t="n">
        <f aca="false">IFERROR(I472*1,0)</f>
        <v>0</v>
      </c>
    </row>
    <row r="473" customFormat="false" ht="15" hidden="false" customHeight="true" outlineLevel="0" collapsed="false">
      <c r="Z473" s="1" t="str">
        <f aca="false">IF(AND(R473="WON",ISNUMBER(I473)),AA473,"")</f>
        <v/>
      </c>
      <c r="AA473" s="1" t="n">
        <f aca="false">IFERROR(I473*1,0)</f>
        <v>0</v>
      </c>
    </row>
    <row r="474" customFormat="false" ht="15" hidden="false" customHeight="true" outlineLevel="0" collapsed="false">
      <c r="Z474" s="1" t="str">
        <f aca="false">IF(AND(R474="WON",ISNUMBER(I474)),AA474,"")</f>
        <v/>
      </c>
      <c r="AA474" s="1" t="n">
        <f aca="false">IFERROR(I474*1,0)</f>
        <v>0</v>
      </c>
    </row>
    <row r="475" customFormat="false" ht="15" hidden="false" customHeight="true" outlineLevel="0" collapsed="false">
      <c r="Z475" s="1" t="str">
        <f aca="false">IF(AND(R475="WON",ISNUMBER(I475)),AA475,"")</f>
        <v/>
      </c>
      <c r="AA475" s="1" t="n">
        <f aca="false">IFERROR(I475*1,0)</f>
        <v>0</v>
      </c>
    </row>
    <row r="476" customFormat="false" ht="15" hidden="false" customHeight="true" outlineLevel="0" collapsed="false">
      <c r="Z476" s="1" t="str">
        <f aca="false">IF(AND(R476="WON",ISNUMBER(I476)),AA476,"")</f>
        <v/>
      </c>
      <c r="AA476" s="1" t="n">
        <f aca="false">IFERROR(I476*1,0)</f>
        <v>0</v>
      </c>
    </row>
    <row r="477" customFormat="false" ht="15" hidden="false" customHeight="true" outlineLevel="0" collapsed="false">
      <c r="Z477" s="1" t="str">
        <f aca="false">IF(AND(R477="WON",ISNUMBER(I477)),AA477,"")</f>
        <v/>
      </c>
      <c r="AA477" s="1" t="n">
        <f aca="false">IFERROR(I477*1,0)</f>
        <v>0</v>
      </c>
    </row>
    <row r="478" customFormat="false" ht="15" hidden="false" customHeight="true" outlineLevel="0" collapsed="false">
      <c r="Z478" s="1" t="str">
        <f aca="false">IF(AND(R478="WON",ISNUMBER(I478)),AA478,"")</f>
        <v/>
      </c>
      <c r="AA478" s="1" t="n">
        <f aca="false">IFERROR(I478*1,0)</f>
        <v>0</v>
      </c>
    </row>
    <row r="479" customFormat="false" ht="15" hidden="false" customHeight="true" outlineLevel="0" collapsed="false">
      <c r="Z479" s="1" t="str">
        <f aca="false">IF(AND(R479="WON",ISNUMBER(I479)),AA479,"")</f>
        <v/>
      </c>
      <c r="AA479" s="1" t="n">
        <f aca="false">IFERROR(I479*1,0)</f>
        <v>0</v>
      </c>
    </row>
    <row r="480" customFormat="false" ht="15" hidden="false" customHeight="true" outlineLevel="0" collapsed="false">
      <c r="Z480" s="1" t="str">
        <f aca="false">IF(AND(R480="WON",ISNUMBER(I480)),AA480,"")</f>
        <v/>
      </c>
      <c r="AA480" s="1" t="n">
        <f aca="false">IFERROR(I480*1,0)</f>
        <v>0</v>
      </c>
    </row>
    <row r="481" customFormat="false" ht="15" hidden="false" customHeight="true" outlineLevel="0" collapsed="false">
      <c r="Z481" s="1" t="str">
        <f aca="false">IF(AND(R481="WON",ISNUMBER(I481)),AA481,"")</f>
        <v/>
      </c>
      <c r="AA481" s="1" t="n">
        <f aca="false">IFERROR(I481*1,0)</f>
        <v>0</v>
      </c>
    </row>
    <row r="482" customFormat="false" ht="15" hidden="false" customHeight="true" outlineLevel="0" collapsed="false">
      <c r="Z482" s="1" t="str">
        <f aca="false">IF(AND(R482="WON",ISNUMBER(I482)),AA482,"")</f>
        <v/>
      </c>
      <c r="AA482" s="1" t="n">
        <f aca="false">IFERROR(I482*1,0)</f>
        <v>0</v>
      </c>
    </row>
    <row r="483" customFormat="false" ht="15" hidden="false" customHeight="true" outlineLevel="0" collapsed="false">
      <c r="Z483" s="1" t="str">
        <f aca="false">IF(AND(R483="WON",ISNUMBER(I483)),AA483,"")</f>
        <v/>
      </c>
      <c r="AA483" s="1" t="n">
        <f aca="false">IFERROR(I483*1,0)</f>
        <v>0</v>
      </c>
    </row>
    <row r="484" customFormat="false" ht="15" hidden="false" customHeight="true" outlineLevel="0" collapsed="false">
      <c r="Z484" s="1" t="str">
        <f aca="false">IF(AND(R484="WON",ISNUMBER(I484)),AA484,"")</f>
        <v/>
      </c>
      <c r="AA484" s="1" t="n">
        <f aca="false">IFERROR(I484*1,0)</f>
        <v>0</v>
      </c>
    </row>
    <row r="485" customFormat="false" ht="15" hidden="false" customHeight="true" outlineLevel="0" collapsed="false">
      <c r="Z485" s="1" t="str">
        <f aca="false">IF(AND(R485="WON",ISNUMBER(I485)),AA485,"")</f>
        <v/>
      </c>
      <c r="AA485" s="1" t="n">
        <f aca="false">IFERROR(I485*1,0)</f>
        <v>0</v>
      </c>
    </row>
    <row r="486" customFormat="false" ht="15" hidden="false" customHeight="true" outlineLevel="0" collapsed="false">
      <c r="Z486" s="1" t="str">
        <f aca="false">IF(AND(R486="WON",ISNUMBER(I486)),AA486,"")</f>
        <v/>
      </c>
      <c r="AA486" s="1" t="n">
        <f aca="false">IFERROR(I486*1,0)</f>
        <v>0</v>
      </c>
    </row>
    <row r="487" customFormat="false" ht="15" hidden="false" customHeight="true" outlineLevel="0" collapsed="false">
      <c r="Z487" s="1" t="str">
        <f aca="false">IF(AND(R487="WON",ISNUMBER(I487)),AA487,"")</f>
        <v/>
      </c>
      <c r="AA487" s="1" t="n">
        <f aca="false">IFERROR(I487*1,0)</f>
        <v>0</v>
      </c>
    </row>
    <row r="488" customFormat="false" ht="15" hidden="false" customHeight="true" outlineLevel="0" collapsed="false">
      <c r="Z488" s="1" t="str">
        <f aca="false">IF(AND(R488="WON",ISNUMBER(I488)),AA488,"")</f>
        <v/>
      </c>
      <c r="AA488" s="1" t="n">
        <f aca="false">IFERROR(I488*1,0)</f>
        <v>0</v>
      </c>
    </row>
    <row r="489" customFormat="false" ht="15" hidden="false" customHeight="true" outlineLevel="0" collapsed="false">
      <c r="Z489" s="1" t="str">
        <f aca="false">IF(AND(R489="WON",ISNUMBER(I489)),AA489,"")</f>
        <v/>
      </c>
      <c r="AA489" s="1" t="n">
        <f aca="false">IFERROR(I489*1,0)</f>
        <v>0</v>
      </c>
    </row>
    <row r="490" customFormat="false" ht="15" hidden="false" customHeight="true" outlineLevel="0" collapsed="false">
      <c r="Z490" s="1" t="str">
        <f aca="false">IF(AND(R490="WON",ISNUMBER(I490)),AA490,"")</f>
        <v/>
      </c>
      <c r="AA490" s="1" t="n">
        <f aca="false">IFERROR(I490*1,0)</f>
        <v>0</v>
      </c>
    </row>
    <row r="491" customFormat="false" ht="15" hidden="false" customHeight="true" outlineLevel="0" collapsed="false">
      <c r="Z491" s="1" t="str">
        <f aca="false">IF(AND(R491="WON",ISNUMBER(I491)),AA491,"")</f>
        <v/>
      </c>
      <c r="AA491" s="1" t="n">
        <f aca="false">IFERROR(I491*1,0)</f>
        <v>0</v>
      </c>
    </row>
    <row r="492" customFormat="false" ht="15" hidden="false" customHeight="true" outlineLevel="0" collapsed="false">
      <c r="Z492" s="1" t="str">
        <f aca="false">IF(AND(R492="WON",ISNUMBER(I492)),AA492,"")</f>
        <v/>
      </c>
      <c r="AA492" s="1" t="n">
        <f aca="false">IFERROR(I492*1,0)</f>
        <v>0</v>
      </c>
    </row>
    <row r="493" customFormat="false" ht="15" hidden="false" customHeight="true" outlineLevel="0" collapsed="false">
      <c r="Z493" s="1" t="str">
        <f aca="false">IF(AND(R493="WON",ISNUMBER(I493)),AA493,"")</f>
        <v/>
      </c>
      <c r="AA493" s="1" t="n">
        <f aca="false">IFERROR(I493*1,0)</f>
        <v>0</v>
      </c>
    </row>
    <row r="494" customFormat="false" ht="15" hidden="false" customHeight="true" outlineLevel="0" collapsed="false">
      <c r="Z494" s="1" t="str">
        <f aca="false">IF(AND(R494="WON",ISNUMBER(I494)),AA494,"")</f>
        <v/>
      </c>
      <c r="AA494" s="1" t="n">
        <f aca="false">IFERROR(I494*1,0)</f>
        <v>0</v>
      </c>
    </row>
    <row r="495" customFormat="false" ht="15" hidden="false" customHeight="true" outlineLevel="0" collapsed="false">
      <c r="Z495" s="1" t="str">
        <f aca="false">IF(AND(R495="WON",ISNUMBER(I495)),AA495,"")</f>
        <v/>
      </c>
      <c r="AA495" s="1" t="n">
        <f aca="false">IFERROR(I495*1,0)</f>
        <v>0</v>
      </c>
    </row>
    <row r="496" customFormat="false" ht="15" hidden="false" customHeight="true" outlineLevel="0" collapsed="false">
      <c r="Z496" s="1" t="str">
        <f aca="false">IF(AND(R496="WON",ISNUMBER(I496)),AA496,"")</f>
        <v/>
      </c>
      <c r="AA496" s="1" t="n">
        <f aca="false">IFERROR(I496*1,0)</f>
        <v>0</v>
      </c>
    </row>
    <row r="497" customFormat="false" ht="15" hidden="false" customHeight="true" outlineLevel="0" collapsed="false">
      <c r="Z497" s="1" t="str">
        <f aca="false">IF(AND(R497="WON",ISNUMBER(I497)),AA497,"")</f>
        <v/>
      </c>
      <c r="AA497" s="1" t="n">
        <f aca="false">IFERROR(I497*1,0)</f>
        <v>0</v>
      </c>
    </row>
    <row r="498" customFormat="false" ht="15" hidden="false" customHeight="true" outlineLevel="0" collapsed="false">
      <c r="Z498" s="1" t="str">
        <f aca="false">IF(AND(R498="WON",ISNUMBER(I498)),AA498,"")</f>
        <v/>
      </c>
      <c r="AA498" s="1" t="n">
        <f aca="false">IFERROR(I498*1,0)</f>
        <v>0</v>
      </c>
    </row>
    <row r="499" customFormat="false" ht="15" hidden="false" customHeight="true" outlineLevel="0" collapsed="false">
      <c r="Z499" s="1" t="str">
        <f aca="false">IF(AND(R499="WON",ISNUMBER(I499)),AA499,"")</f>
        <v/>
      </c>
      <c r="AA499" s="1" t="n">
        <f aca="false">IFERROR(I499*1,0)</f>
        <v>0</v>
      </c>
    </row>
    <row r="500" customFormat="false" ht="15" hidden="false" customHeight="true" outlineLevel="0" collapsed="false">
      <c r="Z500" s="1" t="str">
        <f aca="false">IF(AND(R500="WON",ISNUMBER(I500)),AA500,"")</f>
        <v/>
      </c>
      <c r="AA500" s="1" t="n">
        <f aca="false">IFERROR(I500*1,0)</f>
        <v>0</v>
      </c>
    </row>
    <row r="501" customFormat="false" ht="15" hidden="false" customHeight="true" outlineLevel="0" collapsed="false">
      <c r="Z501" s="1" t="str">
        <f aca="false">IF(AND(R501="WON",ISNUMBER(I501)),AA501,"")</f>
        <v/>
      </c>
      <c r="AA501" s="1" t="n">
        <f aca="false">IFERROR(I501*1,0)</f>
        <v>0</v>
      </c>
    </row>
    <row r="502" customFormat="false" ht="15" hidden="false" customHeight="true" outlineLevel="0" collapsed="false">
      <c r="Z502" s="1" t="str">
        <f aca="false">IF(AND(R502="WON",ISNUMBER(I502)),AA502,"")</f>
        <v/>
      </c>
      <c r="AA502" s="1" t="n">
        <f aca="false">IFERROR(I502*1,0)</f>
        <v>0</v>
      </c>
    </row>
    <row r="503" customFormat="false" ht="15" hidden="false" customHeight="true" outlineLevel="0" collapsed="false">
      <c r="Z503" s="1" t="str">
        <f aca="false">IF(AND(R503="WON",ISNUMBER(I503)),AA503,"")</f>
        <v/>
      </c>
      <c r="AA503" s="1" t="n">
        <f aca="false">IFERROR(I503*1,0)</f>
        <v>0</v>
      </c>
    </row>
    <row r="504" customFormat="false" ht="15" hidden="false" customHeight="true" outlineLevel="0" collapsed="false">
      <c r="Z504" s="1" t="str">
        <f aca="false">IF(AND(R504="WON",ISNUMBER(I504)),AA504,"")</f>
        <v/>
      </c>
      <c r="AA504" s="1" t="n">
        <f aca="false">IFERROR(I504*1,0)</f>
        <v>0</v>
      </c>
    </row>
    <row r="505" customFormat="false" ht="15" hidden="false" customHeight="true" outlineLevel="0" collapsed="false">
      <c r="Z505" s="1" t="str">
        <f aca="false">IF(AND(R505="WON",ISNUMBER(I505)),AA505,"")</f>
        <v/>
      </c>
      <c r="AA505" s="1" t="n">
        <f aca="false">IFERROR(I505*1,0)</f>
        <v>0</v>
      </c>
    </row>
    <row r="506" customFormat="false" ht="15" hidden="false" customHeight="true" outlineLevel="0" collapsed="false">
      <c r="Z506" s="1" t="str">
        <f aca="false">IF(AND(R506="WON",ISNUMBER(I506)),AA506,"")</f>
        <v/>
      </c>
      <c r="AA506" s="1" t="n">
        <f aca="false">IFERROR(I506*1,0)</f>
        <v>0</v>
      </c>
    </row>
    <row r="507" customFormat="false" ht="15" hidden="false" customHeight="true" outlineLevel="0" collapsed="false">
      <c r="Z507" s="1" t="str">
        <f aca="false">IF(AND(R507="WON",ISNUMBER(I507)),AA507,"")</f>
        <v/>
      </c>
      <c r="AA507" s="1" t="n">
        <f aca="false">IFERROR(I507*1,0)</f>
        <v>0</v>
      </c>
    </row>
    <row r="508" customFormat="false" ht="15" hidden="false" customHeight="true" outlineLevel="0" collapsed="false">
      <c r="Z508" s="1" t="str">
        <f aca="false">IF(AND(R508="WON",ISNUMBER(I508)),AA508,"")</f>
        <v/>
      </c>
      <c r="AA508" s="1" t="n">
        <f aca="false">IFERROR(I508*1,0)</f>
        <v>0</v>
      </c>
    </row>
    <row r="509" customFormat="false" ht="15" hidden="false" customHeight="true" outlineLevel="0" collapsed="false">
      <c r="Z509" s="1" t="str">
        <f aca="false">IF(AND(R509="WON",ISNUMBER(I509)),AA509,"")</f>
        <v/>
      </c>
      <c r="AA509" s="1" t="n">
        <f aca="false">IFERROR(I509*1,0)</f>
        <v>0</v>
      </c>
    </row>
    <row r="510" customFormat="false" ht="15" hidden="false" customHeight="true" outlineLevel="0" collapsed="false">
      <c r="Z510" s="1" t="str">
        <f aca="false">IF(AND(R510="WON",ISNUMBER(I510)),AA510,"")</f>
        <v/>
      </c>
      <c r="AA510" s="1" t="n">
        <f aca="false">IFERROR(I510*1,0)</f>
        <v>0</v>
      </c>
    </row>
    <row r="511" customFormat="false" ht="15" hidden="false" customHeight="true" outlineLevel="0" collapsed="false">
      <c r="Z511" s="1" t="str">
        <f aca="false">IF(AND(R511="WON",ISNUMBER(I511)),AA511,"")</f>
        <v/>
      </c>
      <c r="AA511" s="1" t="n">
        <f aca="false">IFERROR(I511*1,0)</f>
        <v>0</v>
      </c>
    </row>
    <row r="512" customFormat="false" ht="15" hidden="false" customHeight="true" outlineLevel="0" collapsed="false">
      <c r="Z512" s="1" t="str">
        <f aca="false">IF(AND(R512="WON",ISNUMBER(I512)),AA512,"")</f>
        <v/>
      </c>
      <c r="AA512" s="1" t="n">
        <f aca="false">IFERROR(I512*1,0)</f>
        <v>0</v>
      </c>
    </row>
    <row r="513" customFormat="false" ht="15" hidden="false" customHeight="true" outlineLevel="0" collapsed="false">
      <c r="Z513" s="1" t="str">
        <f aca="false">IF(AND(R513="WON",ISNUMBER(I513)),AA513,"")</f>
        <v/>
      </c>
      <c r="AA513" s="1" t="n">
        <f aca="false">IFERROR(I513*1,0)</f>
        <v>0</v>
      </c>
    </row>
    <row r="514" customFormat="false" ht="15" hidden="false" customHeight="true" outlineLevel="0" collapsed="false">
      <c r="Z514" s="1" t="str">
        <f aca="false">IF(AND(R514="WON",ISNUMBER(I514)),AA514,"")</f>
        <v/>
      </c>
      <c r="AA514" s="1" t="n">
        <f aca="false">IFERROR(I514*1,0)</f>
        <v>0</v>
      </c>
    </row>
    <row r="515" customFormat="false" ht="15" hidden="false" customHeight="true" outlineLevel="0" collapsed="false">
      <c r="Z515" s="1" t="str">
        <f aca="false">IF(AND(R515="WON",ISNUMBER(I515)),AA515,"")</f>
        <v/>
      </c>
      <c r="AA515" s="1" t="n">
        <f aca="false">IFERROR(I515*1,0)</f>
        <v>0</v>
      </c>
    </row>
    <row r="516" customFormat="false" ht="15" hidden="false" customHeight="true" outlineLevel="0" collapsed="false">
      <c r="Z516" s="1" t="str">
        <f aca="false">IF(AND(R516="WON",ISNUMBER(I516)),AA516,"")</f>
        <v/>
      </c>
      <c r="AA516" s="1" t="n">
        <f aca="false">IFERROR(I516*1,0)</f>
        <v>0</v>
      </c>
    </row>
    <row r="517" customFormat="false" ht="15" hidden="false" customHeight="true" outlineLevel="0" collapsed="false">
      <c r="Z517" s="1" t="str">
        <f aca="false">IF(AND(R517="WON",ISNUMBER(I517)),AA517,"")</f>
        <v/>
      </c>
      <c r="AA517" s="1" t="n">
        <f aca="false">IFERROR(I517*1,0)</f>
        <v>0</v>
      </c>
    </row>
    <row r="518" customFormat="false" ht="15" hidden="false" customHeight="true" outlineLevel="0" collapsed="false">
      <c r="Z518" s="1" t="str">
        <f aca="false">IF(AND(R518="WON",ISNUMBER(I518)),AA518,"")</f>
        <v/>
      </c>
      <c r="AA518" s="1" t="n">
        <f aca="false">IFERROR(I518*1,0)</f>
        <v>0</v>
      </c>
    </row>
    <row r="519" customFormat="false" ht="15" hidden="false" customHeight="true" outlineLevel="0" collapsed="false">
      <c r="Z519" s="1" t="str">
        <f aca="false">IF(AND(R519="WON",ISNUMBER(I519)),AA519,"")</f>
        <v/>
      </c>
      <c r="AA519" s="1" t="n">
        <f aca="false">IFERROR(I519*1,0)</f>
        <v>0</v>
      </c>
    </row>
    <row r="520" customFormat="false" ht="15" hidden="false" customHeight="true" outlineLevel="0" collapsed="false">
      <c r="Z520" s="1" t="str">
        <f aca="false">IF(AND(R520="WON",ISNUMBER(I520)),AA520,"")</f>
        <v/>
      </c>
      <c r="AA520" s="1" t="n">
        <f aca="false">IFERROR(I520*1,0)</f>
        <v>0</v>
      </c>
    </row>
    <row r="521" customFormat="false" ht="15" hidden="false" customHeight="true" outlineLevel="0" collapsed="false">
      <c r="Z521" s="1" t="str">
        <f aca="false">IF(AND(R521="WON",ISNUMBER(I521)),AA521,"")</f>
        <v/>
      </c>
      <c r="AA521" s="1" t="n">
        <f aca="false">IFERROR(I521*1,0)</f>
        <v>0</v>
      </c>
    </row>
    <row r="522" customFormat="false" ht="15" hidden="false" customHeight="true" outlineLevel="0" collapsed="false">
      <c r="Z522" s="1" t="str">
        <f aca="false">IF(AND(R522="WON",ISNUMBER(I522)),AA522,"")</f>
        <v/>
      </c>
      <c r="AA522" s="1" t="n">
        <f aca="false">IFERROR(I522*1,0)</f>
        <v>0</v>
      </c>
    </row>
    <row r="523" customFormat="false" ht="15" hidden="false" customHeight="true" outlineLevel="0" collapsed="false">
      <c r="Z523" s="1" t="str">
        <f aca="false">IF(AND(R523="WON",ISNUMBER(I523)),AA523,"")</f>
        <v/>
      </c>
      <c r="AA523" s="1" t="n">
        <f aca="false">IFERROR(I523*1,0)</f>
        <v>0</v>
      </c>
    </row>
    <row r="524" customFormat="false" ht="15" hidden="false" customHeight="true" outlineLevel="0" collapsed="false">
      <c r="Z524" s="1" t="str">
        <f aca="false">IF(AND(R524="WON",ISNUMBER(I524)),AA524,"")</f>
        <v/>
      </c>
      <c r="AA524" s="1" t="n">
        <f aca="false">IFERROR(I524*1,0)</f>
        <v>0</v>
      </c>
    </row>
    <row r="525" customFormat="false" ht="15" hidden="false" customHeight="true" outlineLevel="0" collapsed="false">
      <c r="Z525" s="1" t="str">
        <f aca="false">IF(AND(R525="WON",ISNUMBER(I525)),AA525,"")</f>
        <v/>
      </c>
      <c r="AA525" s="1" t="n">
        <f aca="false">IFERROR(I525*1,0)</f>
        <v>0</v>
      </c>
    </row>
    <row r="526" customFormat="false" ht="15" hidden="false" customHeight="true" outlineLevel="0" collapsed="false">
      <c r="Z526" s="1" t="str">
        <f aca="false">IF(AND(R526="WON",ISNUMBER(I526)),AA526,"")</f>
        <v/>
      </c>
      <c r="AA526" s="1" t="n">
        <f aca="false">IFERROR(I526*1,0)</f>
        <v>0</v>
      </c>
    </row>
    <row r="527" customFormat="false" ht="15" hidden="false" customHeight="true" outlineLevel="0" collapsed="false">
      <c r="Z527" s="1" t="str">
        <f aca="false">IF(AND(R527="WON",ISNUMBER(I527)),AA527,"")</f>
        <v/>
      </c>
      <c r="AA527" s="1" t="n">
        <f aca="false">IFERROR(I527*1,0)</f>
        <v>0</v>
      </c>
    </row>
    <row r="528" customFormat="false" ht="15" hidden="false" customHeight="true" outlineLevel="0" collapsed="false">
      <c r="Z528" s="1" t="str">
        <f aca="false">IF(AND(R528="WON",ISNUMBER(I528)),AA528,"")</f>
        <v/>
      </c>
      <c r="AA528" s="1" t="n">
        <f aca="false">IFERROR(I528*1,0)</f>
        <v>0</v>
      </c>
    </row>
    <row r="529" customFormat="false" ht="15" hidden="false" customHeight="true" outlineLevel="0" collapsed="false">
      <c r="Z529" s="1" t="str">
        <f aca="false">IF(AND(R529="WON",ISNUMBER(I529)),AA529,"")</f>
        <v/>
      </c>
      <c r="AA529" s="1" t="n">
        <f aca="false">IFERROR(I529*1,0)</f>
        <v>0</v>
      </c>
    </row>
    <row r="530" customFormat="false" ht="15" hidden="false" customHeight="true" outlineLevel="0" collapsed="false">
      <c r="Z530" s="1" t="str">
        <f aca="false">IF(AND(R530="WON",ISNUMBER(I530)),AA530,"")</f>
        <v/>
      </c>
      <c r="AA530" s="1" t="n">
        <f aca="false">IFERROR(I530*1,0)</f>
        <v>0</v>
      </c>
    </row>
    <row r="531" customFormat="false" ht="15" hidden="false" customHeight="true" outlineLevel="0" collapsed="false">
      <c r="Z531" s="1" t="str">
        <f aca="false">IF(AND(R531="WON",ISNUMBER(I531)),AA531,"")</f>
        <v/>
      </c>
      <c r="AA531" s="1" t="n">
        <f aca="false">IFERROR(I531*1,0)</f>
        <v>0</v>
      </c>
    </row>
    <row r="532" customFormat="false" ht="15" hidden="false" customHeight="true" outlineLevel="0" collapsed="false">
      <c r="Z532" s="1" t="str">
        <f aca="false">IF(AND(R532="WON",ISNUMBER(I532)),AA532,"")</f>
        <v/>
      </c>
      <c r="AA532" s="1" t="n">
        <f aca="false">IFERROR(I532*1,0)</f>
        <v>0</v>
      </c>
    </row>
    <row r="533" customFormat="false" ht="15" hidden="false" customHeight="true" outlineLevel="0" collapsed="false">
      <c r="Z533" s="1" t="str">
        <f aca="false">IF(AND(R533="WON",ISNUMBER(I533)),AA533,"")</f>
        <v/>
      </c>
      <c r="AA533" s="1" t="n">
        <f aca="false">IFERROR(I533*1,0)</f>
        <v>0</v>
      </c>
    </row>
    <row r="534" customFormat="false" ht="15" hidden="false" customHeight="true" outlineLevel="0" collapsed="false">
      <c r="Z534" s="1" t="str">
        <f aca="false">IF(AND(R534="WON",ISNUMBER(I534)),AA534,"")</f>
        <v/>
      </c>
      <c r="AA534" s="1" t="n">
        <f aca="false">IFERROR(I534*1,0)</f>
        <v>0</v>
      </c>
    </row>
    <row r="535" customFormat="false" ht="15" hidden="false" customHeight="true" outlineLevel="0" collapsed="false">
      <c r="Z535" s="1" t="str">
        <f aca="false">IF(AND(R535="WON",ISNUMBER(I535)),AA535,"")</f>
        <v/>
      </c>
      <c r="AA535" s="1" t="n">
        <f aca="false">IFERROR(I535*1,0)</f>
        <v>0</v>
      </c>
    </row>
    <row r="536" customFormat="false" ht="15" hidden="false" customHeight="true" outlineLevel="0" collapsed="false">
      <c r="Z536" s="1" t="str">
        <f aca="false">IF(AND(R536="WON",ISNUMBER(I536)),AA536,"")</f>
        <v/>
      </c>
      <c r="AA536" s="1" t="n">
        <f aca="false">IFERROR(I536*1,0)</f>
        <v>0</v>
      </c>
    </row>
    <row r="537" customFormat="false" ht="15" hidden="false" customHeight="true" outlineLevel="0" collapsed="false">
      <c r="Z537" s="1" t="str">
        <f aca="false">IF(AND(R537="WON",ISNUMBER(I537)),AA537,"")</f>
        <v/>
      </c>
      <c r="AA537" s="1" t="n">
        <f aca="false">IFERROR(I537*1,0)</f>
        <v>0</v>
      </c>
    </row>
    <row r="538" customFormat="false" ht="15" hidden="false" customHeight="true" outlineLevel="0" collapsed="false">
      <c r="Z538" s="1" t="str">
        <f aca="false">IF(AND(R538="WON",ISNUMBER(I538)),AA538,"")</f>
        <v/>
      </c>
      <c r="AA538" s="1" t="n">
        <f aca="false">IFERROR(I538*1,0)</f>
        <v>0</v>
      </c>
    </row>
    <row r="539" customFormat="false" ht="15" hidden="false" customHeight="true" outlineLevel="0" collapsed="false">
      <c r="Z539" s="1" t="str">
        <f aca="false">IF(AND(R539="WON",ISNUMBER(I539)),AA539,"")</f>
        <v/>
      </c>
      <c r="AA539" s="1" t="n">
        <f aca="false">IFERROR(I539*1,0)</f>
        <v>0</v>
      </c>
    </row>
    <row r="540" customFormat="false" ht="15" hidden="false" customHeight="true" outlineLevel="0" collapsed="false">
      <c r="Z540" s="1" t="str">
        <f aca="false">IF(AND(R540="WON",ISNUMBER(I540)),AA540,"")</f>
        <v/>
      </c>
      <c r="AA540" s="1" t="n">
        <f aca="false">IFERROR(I540*1,0)</f>
        <v>0</v>
      </c>
    </row>
    <row r="541" customFormat="false" ht="15" hidden="false" customHeight="true" outlineLevel="0" collapsed="false">
      <c r="Z541" s="1" t="str">
        <f aca="false">IF(AND(R541="WON",ISNUMBER(I541)),AA541,"")</f>
        <v/>
      </c>
      <c r="AA541" s="1" t="n">
        <f aca="false">IFERROR(I541*1,0)</f>
        <v>0</v>
      </c>
    </row>
    <row r="542" customFormat="false" ht="15" hidden="false" customHeight="true" outlineLevel="0" collapsed="false">
      <c r="Z542" s="1" t="str">
        <f aca="false">IF(AND(R542="WON",ISNUMBER(I542)),AA542,"")</f>
        <v/>
      </c>
      <c r="AA542" s="1" t="n">
        <f aca="false">IFERROR(I542*1,0)</f>
        <v>0</v>
      </c>
    </row>
    <row r="543" customFormat="false" ht="15" hidden="false" customHeight="true" outlineLevel="0" collapsed="false">
      <c r="Z543" s="1" t="str">
        <f aca="false">IF(AND(R543="WON",ISNUMBER(I543)),AA543,"")</f>
        <v/>
      </c>
      <c r="AA543" s="1" t="n">
        <f aca="false">IFERROR(I543*1,0)</f>
        <v>0</v>
      </c>
    </row>
    <row r="544" customFormat="false" ht="15" hidden="false" customHeight="true" outlineLevel="0" collapsed="false">
      <c r="Z544" s="1" t="str">
        <f aca="false">IF(AND(R544="WON",ISNUMBER(I544)),AA544,"")</f>
        <v/>
      </c>
      <c r="AA544" s="1" t="n">
        <f aca="false">IFERROR(I544*1,0)</f>
        <v>0</v>
      </c>
    </row>
    <row r="545" customFormat="false" ht="15" hidden="false" customHeight="true" outlineLevel="0" collapsed="false">
      <c r="Z545" s="1" t="str">
        <f aca="false">IF(AND(R545="WON",ISNUMBER(I545)),AA545,"")</f>
        <v/>
      </c>
      <c r="AA545" s="1" t="n">
        <f aca="false">IFERROR(I545*1,0)</f>
        <v>0</v>
      </c>
    </row>
    <row r="546" customFormat="false" ht="15" hidden="false" customHeight="true" outlineLevel="0" collapsed="false">
      <c r="Z546" s="1" t="str">
        <f aca="false">IF(AND(R546="WON",ISNUMBER(I546)),AA546,"")</f>
        <v/>
      </c>
      <c r="AA546" s="1" t="n">
        <f aca="false">IFERROR(I546*1,0)</f>
        <v>0</v>
      </c>
    </row>
    <row r="547" customFormat="false" ht="15" hidden="false" customHeight="true" outlineLevel="0" collapsed="false">
      <c r="Z547" s="1" t="str">
        <f aca="false">IF(AND(R547="WON",ISNUMBER(I547)),AA547,"")</f>
        <v/>
      </c>
      <c r="AA547" s="1" t="n">
        <f aca="false">IFERROR(I547*1,0)</f>
        <v>0</v>
      </c>
    </row>
    <row r="548" customFormat="false" ht="15" hidden="false" customHeight="true" outlineLevel="0" collapsed="false">
      <c r="Z548" s="1" t="str">
        <f aca="false">IF(AND(R548="WON",ISNUMBER(I548)),AA548,"")</f>
        <v/>
      </c>
      <c r="AA548" s="1" t="n">
        <f aca="false">IFERROR(I548*1,0)</f>
        <v>0</v>
      </c>
    </row>
    <row r="549" customFormat="false" ht="15" hidden="false" customHeight="true" outlineLevel="0" collapsed="false">
      <c r="Z549" s="1" t="str">
        <f aca="false">IF(AND(R549="WON",ISNUMBER(I549)),AA549,"")</f>
        <v/>
      </c>
      <c r="AA549" s="1" t="n">
        <f aca="false">IFERROR(I549*1,0)</f>
        <v>0</v>
      </c>
    </row>
    <row r="550" customFormat="false" ht="15" hidden="false" customHeight="true" outlineLevel="0" collapsed="false">
      <c r="Z550" s="1" t="str">
        <f aca="false">IF(AND(R550="WON",ISNUMBER(I550)),AA550,"")</f>
        <v/>
      </c>
      <c r="AA550" s="1" t="n">
        <f aca="false">IFERROR(I550*1,0)</f>
        <v>0</v>
      </c>
    </row>
    <row r="551" customFormat="false" ht="15" hidden="false" customHeight="true" outlineLevel="0" collapsed="false">
      <c r="Z551" s="1" t="str">
        <f aca="false">IF(AND(R551="WON",ISNUMBER(I551)),AA551,"")</f>
        <v/>
      </c>
      <c r="AA551" s="1" t="n">
        <f aca="false">IFERROR(I551*1,0)</f>
        <v>0</v>
      </c>
    </row>
    <row r="552" customFormat="false" ht="15" hidden="false" customHeight="true" outlineLevel="0" collapsed="false">
      <c r="Z552" s="1" t="str">
        <f aca="false">IF(AND(R552="WON",ISNUMBER(I552)),AA552,"")</f>
        <v/>
      </c>
      <c r="AA552" s="1" t="n">
        <f aca="false">IFERROR(I552*1,0)</f>
        <v>0</v>
      </c>
    </row>
    <row r="553" customFormat="false" ht="15" hidden="false" customHeight="true" outlineLevel="0" collapsed="false">
      <c r="Z553" s="1" t="str">
        <f aca="false">IF(AND(R553="WON",ISNUMBER(I553)),AA553,"")</f>
        <v/>
      </c>
      <c r="AA553" s="1" t="n">
        <f aca="false">IFERROR(I553*1,0)</f>
        <v>0</v>
      </c>
    </row>
    <row r="554" customFormat="false" ht="15" hidden="false" customHeight="true" outlineLevel="0" collapsed="false">
      <c r="Z554" s="1" t="str">
        <f aca="false">IF(AND(R554="WON",ISNUMBER(I554)),AA554,"")</f>
        <v/>
      </c>
      <c r="AA554" s="1" t="n">
        <f aca="false">IFERROR(I554*1,0)</f>
        <v>0</v>
      </c>
    </row>
    <row r="555" customFormat="false" ht="15" hidden="false" customHeight="true" outlineLevel="0" collapsed="false">
      <c r="Z555" s="1" t="str">
        <f aca="false">IF(AND(R555="WON",ISNUMBER(I555)),AA555,"")</f>
        <v/>
      </c>
      <c r="AA555" s="1" t="n">
        <f aca="false">IFERROR(I555*1,0)</f>
        <v>0</v>
      </c>
    </row>
    <row r="556" customFormat="false" ht="15" hidden="false" customHeight="true" outlineLevel="0" collapsed="false">
      <c r="Z556" s="1" t="str">
        <f aca="false">IF(AND(R556="WON",ISNUMBER(I556)),AA556,"")</f>
        <v/>
      </c>
      <c r="AA556" s="1" t="n">
        <f aca="false">IFERROR(I556*1,0)</f>
        <v>0</v>
      </c>
    </row>
    <row r="557" customFormat="false" ht="15" hidden="false" customHeight="true" outlineLevel="0" collapsed="false">
      <c r="Z557" s="1" t="str">
        <f aca="false">IF(AND(R557="WON",ISNUMBER(I557)),AA557,"")</f>
        <v/>
      </c>
      <c r="AA557" s="1" t="n">
        <f aca="false">IFERROR(I557*1,0)</f>
        <v>0</v>
      </c>
    </row>
    <row r="558" customFormat="false" ht="15" hidden="false" customHeight="true" outlineLevel="0" collapsed="false">
      <c r="Z558" s="1" t="str">
        <f aca="false">IF(AND(R558="WON",ISNUMBER(I558)),AA558,"")</f>
        <v/>
      </c>
      <c r="AA558" s="1" t="n">
        <f aca="false">IFERROR(I558*1,0)</f>
        <v>0</v>
      </c>
    </row>
    <row r="559" customFormat="false" ht="15" hidden="false" customHeight="true" outlineLevel="0" collapsed="false">
      <c r="Z559" s="1" t="str">
        <f aca="false">IF(AND(R559="WON",ISNUMBER(I559)),AA559,"")</f>
        <v/>
      </c>
      <c r="AA559" s="1" t="n">
        <f aca="false">IFERROR(I559*1,0)</f>
        <v>0</v>
      </c>
    </row>
    <row r="560" customFormat="false" ht="15" hidden="false" customHeight="true" outlineLevel="0" collapsed="false">
      <c r="Z560" s="1" t="str">
        <f aca="false">IF(AND(R560="WON",ISNUMBER(I560)),AA560,"")</f>
        <v/>
      </c>
      <c r="AA560" s="1" t="n">
        <f aca="false">IFERROR(I560*1,0)</f>
        <v>0</v>
      </c>
    </row>
    <row r="561" customFormat="false" ht="15" hidden="false" customHeight="true" outlineLevel="0" collapsed="false">
      <c r="Z561" s="1" t="str">
        <f aca="false">IF(AND(R561="WON",ISNUMBER(I561)),AA561,"")</f>
        <v/>
      </c>
      <c r="AA561" s="1" t="n">
        <f aca="false">IFERROR(I561*1,0)</f>
        <v>0</v>
      </c>
    </row>
    <row r="562" customFormat="false" ht="15" hidden="false" customHeight="true" outlineLevel="0" collapsed="false">
      <c r="Z562" s="1" t="str">
        <f aca="false">IF(AND(R562="WON",ISNUMBER(I562)),AA562,"")</f>
        <v/>
      </c>
      <c r="AA562" s="1" t="n">
        <f aca="false">IFERROR(I562*1,0)</f>
        <v>0</v>
      </c>
    </row>
    <row r="563" customFormat="false" ht="15" hidden="false" customHeight="true" outlineLevel="0" collapsed="false">
      <c r="Z563" s="1" t="str">
        <f aca="false">IF(AND(R563="WON",ISNUMBER(I563)),AA563,"")</f>
        <v/>
      </c>
      <c r="AA563" s="1" t="n">
        <f aca="false">IFERROR(I563*1,0)</f>
        <v>0</v>
      </c>
    </row>
    <row r="564" customFormat="false" ht="15" hidden="false" customHeight="true" outlineLevel="0" collapsed="false">
      <c r="Z564" s="1" t="str">
        <f aca="false">IF(AND(R564="WON",ISNUMBER(I564)),AA564,"")</f>
        <v/>
      </c>
      <c r="AA564" s="1" t="n">
        <f aca="false">IFERROR(I564*1,0)</f>
        <v>0</v>
      </c>
    </row>
    <row r="565" customFormat="false" ht="15" hidden="false" customHeight="true" outlineLevel="0" collapsed="false">
      <c r="Z565" s="1" t="str">
        <f aca="false">IF(AND(R565="WON",ISNUMBER(I565)),AA565,"")</f>
        <v/>
      </c>
      <c r="AA565" s="1" t="n">
        <f aca="false">IFERROR(I565*1,0)</f>
        <v>0</v>
      </c>
    </row>
    <row r="566" customFormat="false" ht="15" hidden="false" customHeight="true" outlineLevel="0" collapsed="false">
      <c r="Z566" s="1" t="str">
        <f aca="false">IF(AND(R566="WON",ISNUMBER(I566)),AA566,"")</f>
        <v/>
      </c>
      <c r="AA566" s="1" t="n">
        <f aca="false">IFERROR(I566*1,0)</f>
        <v>0</v>
      </c>
    </row>
    <row r="567" customFormat="false" ht="15" hidden="false" customHeight="true" outlineLevel="0" collapsed="false">
      <c r="Z567" s="1" t="str">
        <f aca="false">IF(AND(R567="WON",ISNUMBER(I567)),AA567,"")</f>
        <v/>
      </c>
      <c r="AA567" s="1" t="n">
        <f aca="false">IFERROR(I567*1,0)</f>
        <v>0</v>
      </c>
    </row>
    <row r="568" customFormat="false" ht="15" hidden="false" customHeight="true" outlineLevel="0" collapsed="false">
      <c r="Z568" s="1" t="str">
        <f aca="false">IF(AND(R568="WON",ISNUMBER(I568)),AA568,"")</f>
        <v/>
      </c>
      <c r="AA568" s="1" t="n">
        <f aca="false">IFERROR(I568*1,0)</f>
        <v>0</v>
      </c>
    </row>
    <row r="569" customFormat="false" ht="15" hidden="false" customHeight="true" outlineLevel="0" collapsed="false">
      <c r="Z569" s="1" t="str">
        <f aca="false">IF(AND(R569="WON",ISNUMBER(I569)),AA569,"")</f>
        <v/>
      </c>
      <c r="AA569" s="1" t="n">
        <f aca="false">IFERROR(I569*1,0)</f>
        <v>0</v>
      </c>
    </row>
    <row r="570" customFormat="false" ht="15" hidden="false" customHeight="true" outlineLevel="0" collapsed="false">
      <c r="Z570" s="1" t="str">
        <f aca="false">IF(AND(R570="WON",ISNUMBER(I570)),AA570,"")</f>
        <v/>
      </c>
      <c r="AA570" s="1" t="n">
        <f aca="false">IFERROR(I570*1,0)</f>
        <v>0</v>
      </c>
    </row>
    <row r="571" customFormat="false" ht="15" hidden="false" customHeight="true" outlineLevel="0" collapsed="false">
      <c r="Z571" s="1" t="str">
        <f aca="false">IF(AND(R571="WON",ISNUMBER(I571)),AA571,"")</f>
        <v/>
      </c>
      <c r="AA571" s="1" t="n">
        <f aca="false">IFERROR(I571*1,0)</f>
        <v>0</v>
      </c>
    </row>
    <row r="572" customFormat="false" ht="15" hidden="false" customHeight="true" outlineLevel="0" collapsed="false">
      <c r="Z572" s="1" t="str">
        <f aca="false">IF(AND(R572="WON",ISNUMBER(I572)),AA572,"")</f>
        <v/>
      </c>
      <c r="AA572" s="1" t="n">
        <f aca="false">IFERROR(I572*1,0)</f>
        <v>0</v>
      </c>
    </row>
    <row r="573" customFormat="false" ht="15" hidden="false" customHeight="true" outlineLevel="0" collapsed="false">
      <c r="Z573" s="1" t="str">
        <f aca="false">IF(AND(R573="WON",ISNUMBER(I573)),AA573,"")</f>
        <v/>
      </c>
      <c r="AA573" s="1" t="n">
        <f aca="false">IFERROR(I573*1,0)</f>
        <v>0</v>
      </c>
    </row>
    <row r="574" customFormat="false" ht="15" hidden="false" customHeight="true" outlineLevel="0" collapsed="false">
      <c r="Z574" s="1" t="str">
        <f aca="false">IF(AND(R574="WON",ISNUMBER(I574)),AA574,"")</f>
        <v/>
      </c>
      <c r="AA574" s="1" t="n">
        <f aca="false">IFERROR(I574*1,0)</f>
        <v>0</v>
      </c>
    </row>
    <row r="575" customFormat="false" ht="15" hidden="false" customHeight="true" outlineLevel="0" collapsed="false">
      <c r="Z575" s="1" t="str">
        <f aca="false">IF(AND(R575="WON",ISNUMBER(I575)),AA575,"")</f>
        <v/>
      </c>
      <c r="AA575" s="1" t="n">
        <f aca="false">IFERROR(I575*1,0)</f>
        <v>0</v>
      </c>
    </row>
    <row r="576" customFormat="false" ht="15" hidden="false" customHeight="true" outlineLevel="0" collapsed="false">
      <c r="Z576" s="1" t="str">
        <f aca="false">IF(AND(R576="WON",ISNUMBER(I576)),AA576,"")</f>
        <v/>
      </c>
      <c r="AA576" s="1" t="n">
        <f aca="false">IFERROR(I576*1,0)</f>
        <v>0</v>
      </c>
    </row>
    <row r="577" customFormat="false" ht="15" hidden="false" customHeight="true" outlineLevel="0" collapsed="false">
      <c r="Z577" s="1" t="str">
        <f aca="false">IF(AND(R577="WON",ISNUMBER(I577)),AA577,"")</f>
        <v/>
      </c>
      <c r="AA577" s="1" t="n">
        <f aca="false">IFERROR(I577*1,0)</f>
        <v>0</v>
      </c>
    </row>
    <row r="578" customFormat="false" ht="15" hidden="false" customHeight="true" outlineLevel="0" collapsed="false">
      <c r="Z578" s="1" t="str">
        <f aca="false">IF(AND(R578="WON",ISNUMBER(I578)),AA578,"")</f>
        <v/>
      </c>
      <c r="AA578" s="1" t="n">
        <f aca="false">IFERROR(I578*1,0)</f>
        <v>0</v>
      </c>
    </row>
    <row r="579" customFormat="false" ht="15" hidden="false" customHeight="true" outlineLevel="0" collapsed="false">
      <c r="Z579" s="1" t="str">
        <f aca="false">IF(AND(R579="WON",ISNUMBER(I579)),AA579,"")</f>
        <v/>
      </c>
      <c r="AA579" s="1" t="n">
        <f aca="false">IFERROR(I579*1,0)</f>
        <v>0</v>
      </c>
    </row>
    <row r="580" customFormat="false" ht="15" hidden="false" customHeight="true" outlineLevel="0" collapsed="false">
      <c r="Z580" s="1" t="str">
        <f aca="false">IF(AND(R580="WON",ISNUMBER(I580)),AA580,"")</f>
        <v/>
      </c>
      <c r="AA580" s="1" t="n">
        <f aca="false">IFERROR(I580*1,0)</f>
        <v>0</v>
      </c>
    </row>
    <row r="581" customFormat="false" ht="15" hidden="false" customHeight="true" outlineLevel="0" collapsed="false">
      <c r="Z581" s="1" t="str">
        <f aca="false">IF(AND(R581="WON",ISNUMBER(I581)),AA581,"")</f>
        <v/>
      </c>
      <c r="AA581" s="1" t="n">
        <f aca="false">IFERROR(I581*1,0)</f>
        <v>0</v>
      </c>
    </row>
    <row r="582" customFormat="false" ht="15" hidden="false" customHeight="true" outlineLevel="0" collapsed="false">
      <c r="Z582" s="1" t="str">
        <f aca="false">IF(AND(R582="WON",ISNUMBER(I582)),AA582,"")</f>
        <v/>
      </c>
      <c r="AA582" s="1" t="n">
        <f aca="false">IFERROR(I582*1,0)</f>
        <v>0</v>
      </c>
    </row>
    <row r="583" customFormat="false" ht="15" hidden="false" customHeight="true" outlineLevel="0" collapsed="false">
      <c r="Z583" s="1" t="str">
        <f aca="false">IF(AND(R583="WON",ISNUMBER(I583)),AA583,"")</f>
        <v/>
      </c>
      <c r="AA583" s="1" t="n">
        <f aca="false">IFERROR(I583*1,0)</f>
        <v>0</v>
      </c>
    </row>
    <row r="584" customFormat="false" ht="15" hidden="false" customHeight="true" outlineLevel="0" collapsed="false">
      <c r="Z584" s="1" t="str">
        <f aca="false">IF(AND(R584="WON",ISNUMBER(I584)),AA584,"")</f>
        <v/>
      </c>
      <c r="AA584" s="1" t="n">
        <f aca="false">IFERROR(I584*1,0)</f>
        <v>0</v>
      </c>
    </row>
    <row r="585" customFormat="false" ht="15" hidden="false" customHeight="true" outlineLevel="0" collapsed="false">
      <c r="Z585" s="1" t="str">
        <f aca="false">IF(AND(R585="WON",ISNUMBER(I585)),AA585,"")</f>
        <v/>
      </c>
      <c r="AA585" s="1" t="n">
        <f aca="false">IFERROR(I585*1,0)</f>
        <v>0</v>
      </c>
    </row>
    <row r="586" customFormat="false" ht="15" hidden="false" customHeight="true" outlineLevel="0" collapsed="false">
      <c r="Z586" s="1" t="str">
        <f aca="false">IF(AND(R586="WON",ISNUMBER(I586)),AA586,"")</f>
        <v/>
      </c>
      <c r="AA586" s="1" t="n">
        <f aca="false">IFERROR(I586*1,0)</f>
        <v>0</v>
      </c>
    </row>
    <row r="587" customFormat="false" ht="15" hidden="false" customHeight="true" outlineLevel="0" collapsed="false">
      <c r="Z587" s="1" t="str">
        <f aca="false">IF(AND(R587="WON",ISNUMBER(I587)),AA587,"")</f>
        <v/>
      </c>
      <c r="AA587" s="1" t="n">
        <f aca="false">IFERROR(I587*1,0)</f>
        <v>0</v>
      </c>
    </row>
    <row r="588" customFormat="false" ht="15" hidden="false" customHeight="true" outlineLevel="0" collapsed="false">
      <c r="Z588" s="1" t="str">
        <f aca="false">IF(AND(R588="WON",ISNUMBER(I588)),AA588,"")</f>
        <v/>
      </c>
      <c r="AA588" s="1" t="n">
        <f aca="false">IFERROR(I588*1,0)</f>
        <v>0</v>
      </c>
    </row>
    <row r="589" customFormat="false" ht="15" hidden="false" customHeight="true" outlineLevel="0" collapsed="false">
      <c r="Z589" s="1" t="str">
        <f aca="false">IF(AND(R589="WON",ISNUMBER(I589)),AA589,"")</f>
        <v/>
      </c>
      <c r="AA589" s="1" t="n">
        <f aca="false">IFERROR(I589*1,0)</f>
        <v>0</v>
      </c>
    </row>
    <row r="590" customFormat="false" ht="15" hidden="false" customHeight="true" outlineLevel="0" collapsed="false">
      <c r="Z590" s="1" t="str">
        <f aca="false">IF(AND(R590="WON",ISNUMBER(I590)),AA590,"")</f>
        <v/>
      </c>
      <c r="AA590" s="1" t="n">
        <f aca="false">IFERROR(I590*1,0)</f>
        <v>0</v>
      </c>
    </row>
    <row r="591" customFormat="false" ht="15" hidden="false" customHeight="true" outlineLevel="0" collapsed="false">
      <c r="Z591" s="1" t="str">
        <f aca="false">IF(AND(R591="WON",ISNUMBER(I591)),AA591,"")</f>
        <v/>
      </c>
      <c r="AA591" s="1" t="n">
        <f aca="false">IFERROR(I591*1,0)</f>
        <v>0</v>
      </c>
    </row>
    <row r="592" customFormat="false" ht="15" hidden="false" customHeight="true" outlineLevel="0" collapsed="false">
      <c r="Z592" s="1" t="str">
        <f aca="false">IF(AND(R592="WON",ISNUMBER(I592)),AA592,"")</f>
        <v/>
      </c>
      <c r="AA592" s="1" t="n">
        <f aca="false">IFERROR(I592*1,0)</f>
        <v>0</v>
      </c>
    </row>
    <row r="593" customFormat="false" ht="15" hidden="false" customHeight="true" outlineLevel="0" collapsed="false">
      <c r="Z593" s="1" t="str">
        <f aca="false">IF(AND(R593="WON",ISNUMBER(I593)),AA593,"")</f>
        <v/>
      </c>
      <c r="AA593" s="1" t="n">
        <f aca="false">IFERROR(I593*1,0)</f>
        <v>0</v>
      </c>
    </row>
    <row r="594" customFormat="false" ht="15" hidden="false" customHeight="true" outlineLevel="0" collapsed="false">
      <c r="Z594" s="1" t="str">
        <f aca="false">IF(AND(R594="WON",ISNUMBER(I594)),AA594,"")</f>
        <v/>
      </c>
      <c r="AA594" s="1" t="n">
        <f aca="false">IFERROR(I594*1,0)</f>
        <v>0</v>
      </c>
    </row>
    <row r="595" customFormat="false" ht="15" hidden="false" customHeight="true" outlineLevel="0" collapsed="false">
      <c r="Z595" s="1" t="str">
        <f aca="false">IF(AND(R595="WON",ISNUMBER(I595)),AA595,"")</f>
        <v/>
      </c>
      <c r="AA595" s="1" t="n">
        <f aca="false">IFERROR(I595*1,0)</f>
        <v>0</v>
      </c>
    </row>
    <row r="596" customFormat="false" ht="15" hidden="false" customHeight="true" outlineLevel="0" collapsed="false">
      <c r="Z596" s="1" t="str">
        <f aca="false">IF(AND(R596="WON",ISNUMBER(I596)),AA596,"")</f>
        <v/>
      </c>
      <c r="AA596" s="1" t="n">
        <f aca="false">IFERROR(I596*1,0)</f>
        <v>0</v>
      </c>
    </row>
    <row r="597" customFormat="false" ht="15" hidden="false" customHeight="true" outlineLevel="0" collapsed="false">
      <c r="Z597" s="1" t="str">
        <f aca="false">IF(AND(R597="WON",ISNUMBER(I597)),AA597,"")</f>
        <v/>
      </c>
      <c r="AA597" s="1" t="n">
        <f aca="false">IFERROR(I597*1,0)</f>
        <v>0</v>
      </c>
    </row>
    <row r="598" customFormat="false" ht="15" hidden="false" customHeight="true" outlineLevel="0" collapsed="false">
      <c r="Z598" s="1" t="str">
        <f aca="false">IF(AND(R598="WON",ISNUMBER(I598)),AA598,"")</f>
        <v/>
      </c>
      <c r="AA598" s="1" t="n">
        <f aca="false">IFERROR(I598*1,0)</f>
        <v>0</v>
      </c>
    </row>
    <row r="599" customFormat="false" ht="15" hidden="false" customHeight="true" outlineLevel="0" collapsed="false">
      <c r="Z599" s="1" t="str">
        <f aca="false">IF(AND(R599="WON",ISNUMBER(I599)),AA599,"")</f>
        <v/>
      </c>
      <c r="AA599" s="1" t="n">
        <f aca="false">IFERROR(I599*1,0)</f>
        <v>0</v>
      </c>
    </row>
    <row r="600" customFormat="false" ht="15" hidden="false" customHeight="true" outlineLevel="0" collapsed="false">
      <c r="Z600" s="1" t="str">
        <f aca="false">IF(AND(R600="WON",ISNUMBER(I600)),AA600,"")</f>
        <v/>
      </c>
      <c r="AA600" s="1" t="n">
        <f aca="false">IFERROR(I600*1,0)</f>
        <v>0</v>
      </c>
    </row>
    <row r="601" customFormat="false" ht="15" hidden="false" customHeight="true" outlineLevel="0" collapsed="false">
      <c r="Z601" s="1" t="str">
        <f aca="false">IF(AND(R601="WON",ISNUMBER(I601)),AA601,"")</f>
        <v/>
      </c>
      <c r="AA601" s="1" t="n">
        <f aca="false">IFERROR(I601*1,0)</f>
        <v>0</v>
      </c>
    </row>
    <row r="602" customFormat="false" ht="15" hidden="false" customHeight="true" outlineLevel="0" collapsed="false">
      <c r="Z602" s="1" t="str">
        <f aca="false">IF(AND(R602="WON",ISNUMBER(I602)),AA602,"")</f>
        <v/>
      </c>
      <c r="AA602" s="1" t="n">
        <f aca="false">IFERROR(I602*1,0)</f>
        <v>0</v>
      </c>
    </row>
    <row r="603" customFormat="false" ht="15" hidden="false" customHeight="true" outlineLevel="0" collapsed="false">
      <c r="Z603" s="1" t="str">
        <f aca="false">IF(AND(R603="WON",ISNUMBER(I603)),AA603,"")</f>
        <v/>
      </c>
      <c r="AA603" s="1" t="n">
        <f aca="false">IFERROR(I603*1,0)</f>
        <v>0</v>
      </c>
    </row>
    <row r="604" customFormat="false" ht="15" hidden="false" customHeight="true" outlineLevel="0" collapsed="false">
      <c r="Z604" s="1" t="str">
        <f aca="false">IF(AND(R604="WON",ISNUMBER(I604)),AA604,"")</f>
        <v/>
      </c>
      <c r="AA604" s="1" t="n">
        <f aca="false">IFERROR(I604*1,0)</f>
        <v>0</v>
      </c>
    </row>
    <row r="605" customFormat="false" ht="15" hidden="false" customHeight="true" outlineLevel="0" collapsed="false">
      <c r="Z605" s="1" t="str">
        <f aca="false">IF(AND(R605="WON",ISNUMBER(I605)),AA605,"")</f>
        <v/>
      </c>
      <c r="AA605" s="1" t="n">
        <f aca="false">IFERROR(I605*1,0)</f>
        <v>0</v>
      </c>
    </row>
    <row r="606" customFormat="false" ht="15" hidden="false" customHeight="true" outlineLevel="0" collapsed="false">
      <c r="Z606" s="1" t="str">
        <f aca="false">IF(AND(R606="WON",ISNUMBER(I606)),AA606,"")</f>
        <v/>
      </c>
      <c r="AA606" s="1" t="n">
        <f aca="false">IFERROR(I606*1,0)</f>
        <v>0</v>
      </c>
    </row>
    <row r="607" customFormat="false" ht="15" hidden="false" customHeight="true" outlineLevel="0" collapsed="false">
      <c r="Z607" s="1" t="str">
        <f aca="false">IF(AND(R607="WON",ISNUMBER(I607)),AA607,"")</f>
        <v/>
      </c>
      <c r="AA607" s="1" t="n">
        <f aca="false">IFERROR(I607*1,0)</f>
        <v>0</v>
      </c>
    </row>
    <row r="608" customFormat="false" ht="15" hidden="false" customHeight="true" outlineLevel="0" collapsed="false">
      <c r="Z608" s="1" t="str">
        <f aca="false">IF(AND(R608="WON",ISNUMBER(I608)),AA608,"")</f>
        <v/>
      </c>
      <c r="AA608" s="1" t="n">
        <f aca="false">IFERROR(I608*1,0)</f>
        <v>0</v>
      </c>
    </row>
    <row r="609" customFormat="false" ht="15" hidden="false" customHeight="true" outlineLevel="0" collapsed="false">
      <c r="Z609" s="1" t="str">
        <f aca="false">IF(AND(R609="WON",ISNUMBER(I609)),AA609,"")</f>
        <v/>
      </c>
      <c r="AA609" s="1" t="n">
        <f aca="false">IFERROR(I609*1,0)</f>
        <v>0</v>
      </c>
    </row>
    <row r="610" customFormat="false" ht="15" hidden="false" customHeight="true" outlineLevel="0" collapsed="false">
      <c r="Z610" s="1" t="str">
        <f aca="false">IF(AND(R610="WON",ISNUMBER(I610)),AA610,"")</f>
        <v/>
      </c>
      <c r="AA610" s="1" t="n">
        <f aca="false">IFERROR(I610*1,0)</f>
        <v>0</v>
      </c>
    </row>
    <row r="611" customFormat="false" ht="15" hidden="false" customHeight="true" outlineLevel="0" collapsed="false">
      <c r="Z611" s="1" t="str">
        <f aca="false">IF(AND(R611="WON",ISNUMBER(I611)),AA611,"")</f>
        <v/>
      </c>
      <c r="AA611" s="1" t="n">
        <f aca="false">IFERROR(I611*1,0)</f>
        <v>0</v>
      </c>
    </row>
    <row r="612" customFormat="false" ht="15" hidden="false" customHeight="true" outlineLevel="0" collapsed="false">
      <c r="Z612" s="1" t="str">
        <f aca="false">IF(AND(R612="WON",ISNUMBER(I612)),AA612,"")</f>
        <v/>
      </c>
      <c r="AA612" s="1" t="n">
        <f aca="false">IFERROR(I612*1,0)</f>
        <v>0</v>
      </c>
    </row>
    <row r="613" customFormat="false" ht="15" hidden="false" customHeight="true" outlineLevel="0" collapsed="false">
      <c r="Z613" s="1" t="str">
        <f aca="false">IF(AND(R613="WON",ISNUMBER(I613)),AA613,"")</f>
        <v/>
      </c>
      <c r="AA613" s="1" t="n">
        <f aca="false">IFERROR(I613*1,0)</f>
        <v>0</v>
      </c>
    </row>
    <row r="614" customFormat="false" ht="15" hidden="false" customHeight="true" outlineLevel="0" collapsed="false">
      <c r="Z614" s="1" t="str">
        <f aca="false">IF(AND(R614="WON",ISNUMBER(I614)),AA614,"")</f>
        <v/>
      </c>
      <c r="AA614" s="1" t="n">
        <f aca="false">IFERROR(I614*1,0)</f>
        <v>0</v>
      </c>
    </row>
    <row r="615" customFormat="false" ht="15" hidden="false" customHeight="true" outlineLevel="0" collapsed="false">
      <c r="Z615" s="1" t="str">
        <f aca="false">IF(AND(R615="WON",ISNUMBER(I615)),AA615,"")</f>
        <v/>
      </c>
      <c r="AA615" s="1" t="n">
        <f aca="false">IFERROR(I615*1,0)</f>
        <v>0</v>
      </c>
    </row>
    <row r="616" customFormat="false" ht="15" hidden="false" customHeight="true" outlineLevel="0" collapsed="false">
      <c r="Z616" s="1" t="str">
        <f aca="false">IF(AND(R616="WON",ISNUMBER(I616)),AA616,"")</f>
        <v/>
      </c>
      <c r="AA616" s="1" t="n">
        <f aca="false">IFERROR(I616*1,0)</f>
        <v>0</v>
      </c>
    </row>
    <row r="617" customFormat="false" ht="15" hidden="false" customHeight="true" outlineLevel="0" collapsed="false">
      <c r="Z617" s="1" t="str">
        <f aca="false">IF(AND(R617="WON",ISNUMBER(I617)),AA617,"")</f>
        <v/>
      </c>
      <c r="AA617" s="1" t="n">
        <f aca="false">IFERROR(I617*1,0)</f>
        <v>0</v>
      </c>
    </row>
    <row r="618" customFormat="false" ht="15" hidden="false" customHeight="true" outlineLevel="0" collapsed="false">
      <c r="Z618" s="1" t="str">
        <f aca="false">IF(AND(R618="WON",ISNUMBER(I618)),AA618,"")</f>
        <v/>
      </c>
      <c r="AA618" s="1" t="n">
        <f aca="false">IFERROR(I618*1,0)</f>
        <v>0</v>
      </c>
    </row>
    <row r="619" customFormat="false" ht="15" hidden="false" customHeight="true" outlineLevel="0" collapsed="false">
      <c r="Z619" s="1" t="str">
        <f aca="false">IF(AND(R619="WON",ISNUMBER(I619)),AA619,"")</f>
        <v/>
      </c>
      <c r="AA619" s="1" t="n">
        <f aca="false">IFERROR(I619*1,0)</f>
        <v>0</v>
      </c>
    </row>
    <row r="620" customFormat="false" ht="15" hidden="false" customHeight="true" outlineLevel="0" collapsed="false">
      <c r="Z620" s="1" t="str">
        <f aca="false">IF(AND(R620="WON",ISNUMBER(I620)),AA620,"")</f>
        <v/>
      </c>
      <c r="AA620" s="1" t="n">
        <f aca="false">IFERROR(I620*1,0)</f>
        <v>0</v>
      </c>
    </row>
    <row r="621" customFormat="false" ht="15" hidden="false" customHeight="true" outlineLevel="0" collapsed="false">
      <c r="Z621" s="1" t="str">
        <f aca="false">IF(AND(R621="WON",ISNUMBER(I621)),AA621,"")</f>
        <v/>
      </c>
      <c r="AA621" s="1" t="n">
        <f aca="false">IFERROR(I621*1,0)</f>
        <v>0</v>
      </c>
    </row>
    <row r="622" customFormat="false" ht="15" hidden="false" customHeight="true" outlineLevel="0" collapsed="false">
      <c r="Z622" s="1" t="str">
        <f aca="false">IF(AND(R622="WON",ISNUMBER(I622)),AA622,"")</f>
        <v/>
      </c>
      <c r="AA622" s="1" t="n">
        <f aca="false">IFERROR(I622*1,0)</f>
        <v>0</v>
      </c>
    </row>
    <row r="623" customFormat="false" ht="15" hidden="false" customHeight="true" outlineLevel="0" collapsed="false">
      <c r="Z623" s="1" t="str">
        <f aca="false">IF(AND(R623="WON",ISNUMBER(I623)),AA623,"")</f>
        <v/>
      </c>
      <c r="AA623" s="1" t="n">
        <f aca="false">IFERROR(I623*1,0)</f>
        <v>0</v>
      </c>
    </row>
    <row r="624" customFormat="false" ht="15" hidden="false" customHeight="true" outlineLevel="0" collapsed="false">
      <c r="Z624" s="1" t="str">
        <f aca="false">IF(AND(R624="WON",ISNUMBER(I624)),AA624,"")</f>
        <v/>
      </c>
      <c r="AA624" s="1" t="n">
        <f aca="false">IFERROR(I624*1,0)</f>
        <v>0</v>
      </c>
    </row>
    <row r="625" customFormat="false" ht="15" hidden="false" customHeight="true" outlineLevel="0" collapsed="false">
      <c r="Z625" s="1" t="str">
        <f aca="false">IF(AND(R625="WON",ISNUMBER(I625)),AA625,"")</f>
        <v/>
      </c>
      <c r="AA625" s="1" t="n">
        <f aca="false">IFERROR(I625*1,0)</f>
        <v>0</v>
      </c>
    </row>
    <row r="626" customFormat="false" ht="15" hidden="false" customHeight="true" outlineLevel="0" collapsed="false">
      <c r="Z626" s="1" t="str">
        <f aca="false">IF(AND(R626="WON",ISNUMBER(I626)),AA626,"")</f>
        <v/>
      </c>
      <c r="AA626" s="1" t="n">
        <f aca="false">IFERROR(I626*1,0)</f>
        <v>0</v>
      </c>
    </row>
    <row r="627" customFormat="false" ht="15" hidden="false" customHeight="true" outlineLevel="0" collapsed="false">
      <c r="Z627" s="1" t="str">
        <f aca="false">IF(AND(R627="WON",ISNUMBER(I627)),AA627,"")</f>
        <v/>
      </c>
      <c r="AA627" s="1" t="n">
        <f aca="false">IFERROR(I627*1,0)</f>
        <v>0</v>
      </c>
    </row>
    <row r="628" customFormat="false" ht="15" hidden="false" customHeight="true" outlineLevel="0" collapsed="false">
      <c r="Z628" s="1" t="str">
        <f aca="false">IF(AND(R628="WON",ISNUMBER(I628)),AA628,"")</f>
        <v/>
      </c>
      <c r="AA628" s="1" t="n">
        <f aca="false">IFERROR(I628*1,0)</f>
        <v>0</v>
      </c>
    </row>
    <row r="629" customFormat="false" ht="15" hidden="false" customHeight="true" outlineLevel="0" collapsed="false">
      <c r="Z629" s="1" t="str">
        <f aca="false">IF(AND(R629="WON",ISNUMBER(I629)),AA629,"")</f>
        <v/>
      </c>
      <c r="AA629" s="1" t="n">
        <f aca="false">IFERROR(I629*1,0)</f>
        <v>0</v>
      </c>
    </row>
    <row r="630" customFormat="false" ht="15" hidden="false" customHeight="true" outlineLevel="0" collapsed="false">
      <c r="Z630" s="1" t="str">
        <f aca="false">IF(AND(R630="WON",ISNUMBER(I630)),AA630,"")</f>
        <v/>
      </c>
      <c r="AA630" s="1" t="n">
        <f aca="false">IFERROR(I630*1,0)</f>
        <v>0</v>
      </c>
    </row>
    <row r="631" customFormat="false" ht="15" hidden="false" customHeight="true" outlineLevel="0" collapsed="false">
      <c r="Z631" s="1" t="str">
        <f aca="false">IF(AND(R631="WON",ISNUMBER(I631)),AA631,"")</f>
        <v/>
      </c>
      <c r="AA631" s="1" t="n">
        <f aca="false">IFERROR(I631*1,0)</f>
        <v>0</v>
      </c>
    </row>
    <row r="632" customFormat="false" ht="15" hidden="false" customHeight="true" outlineLevel="0" collapsed="false">
      <c r="Z632" s="1" t="str">
        <f aca="false">IF(AND(R632="WON",ISNUMBER(I632)),AA632,"")</f>
        <v/>
      </c>
      <c r="AA632" s="1" t="n">
        <f aca="false">IFERROR(I632*1,0)</f>
        <v>0</v>
      </c>
    </row>
    <row r="633" customFormat="false" ht="15" hidden="false" customHeight="true" outlineLevel="0" collapsed="false">
      <c r="Z633" s="1" t="str">
        <f aca="false">IF(AND(R633="WON",ISNUMBER(I633)),AA633,"")</f>
        <v/>
      </c>
      <c r="AA633" s="1" t="n">
        <f aca="false">IFERROR(I633*1,0)</f>
        <v>0</v>
      </c>
    </row>
    <row r="634" customFormat="false" ht="15" hidden="false" customHeight="true" outlineLevel="0" collapsed="false">
      <c r="Z634" s="1" t="str">
        <f aca="false">IF(AND(R634="WON",ISNUMBER(I634)),AA634,"")</f>
        <v/>
      </c>
      <c r="AA634" s="1" t="n">
        <f aca="false">IFERROR(I634*1,0)</f>
        <v>0</v>
      </c>
    </row>
    <row r="635" customFormat="false" ht="15" hidden="false" customHeight="true" outlineLevel="0" collapsed="false">
      <c r="Z635" s="1" t="str">
        <f aca="false">IF(AND(R635="WON",ISNUMBER(I635)),AA635,"")</f>
        <v/>
      </c>
      <c r="AA635" s="1" t="n">
        <f aca="false">IFERROR(I635*1,0)</f>
        <v>0</v>
      </c>
    </row>
    <row r="636" customFormat="false" ht="15" hidden="false" customHeight="true" outlineLevel="0" collapsed="false">
      <c r="Z636" s="1" t="str">
        <f aca="false">IF(AND(R636="WON",ISNUMBER(I636)),AA636,"")</f>
        <v/>
      </c>
      <c r="AA636" s="1" t="n">
        <f aca="false">IFERROR(I636*1,0)</f>
        <v>0</v>
      </c>
    </row>
    <row r="637" customFormat="false" ht="15" hidden="false" customHeight="true" outlineLevel="0" collapsed="false">
      <c r="Z637" s="1" t="str">
        <f aca="false">IF(AND(R637="WON",ISNUMBER(I637)),AA637,"")</f>
        <v/>
      </c>
      <c r="AA637" s="1" t="n">
        <f aca="false">IFERROR(I637*1,0)</f>
        <v>0</v>
      </c>
    </row>
    <row r="638" customFormat="false" ht="15" hidden="false" customHeight="true" outlineLevel="0" collapsed="false">
      <c r="Z638" s="1" t="str">
        <f aca="false">IF(AND(R638="WON",ISNUMBER(I638)),AA638,"")</f>
        <v/>
      </c>
      <c r="AA638" s="1" t="n">
        <f aca="false">IFERROR(I638*1,0)</f>
        <v>0</v>
      </c>
    </row>
    <row r="639" customFormat="false" ht="15" hidden="false" customHeight="true" outlineLevel="0" collapsed="false">
      <c r="Z639" s="1" t="str">
        <f aca="false">IF(AND(R639="WON",ISNUMBER(I639)),AA639,"")</f>
        <v/>
      </c>
      <c r="AA639" s="1" t="n">
        <f aca="false">IFERROR(I639*1,0)</f>
        <v>0</v>
      </c>
    </row>
    <row r="640" customFormat="false" ht="15" hidden="false" customHeight="true" outlineLevel="0" collapsed="false">
      <c r="Z640" s="1" t="str">
        <f aca="false">IF(AND(R640="WON",ISNUMBER(I640)),AA640,"")</f>
        <v/>
      </c>
      <c r="AA640" s="1" t="n">
        <f aca="false">IFERROR(I640*1,0)</f>
        <v>0</v>
      </c>
    </row>
    <row r="641" customFormat="false" ht="15" hidden="false" customHeight="true" outlineLevel="0" collapsed="false">
      <c r="Z641" s="1" t="str">
        <f aca="false">IF(AND(R641="WON",ISNUMBER(I641)),AA641,"")</f>
        <v/>
      </c>
      <c r="AA641" s="1" t="n">
        <f aca="false">IFERROR(I641*1,0)</f>
        <v>0</v>
      </c>
    </row>
    <row r="642" customFormat="false" ht="15" hidden="false" customHeight="true" outlineLevel="0" collapsed="false">
      <c r="Z642" s="1" t="str">
        <f aca="false">IF(AND(R642="WON",ISNUMBER(I642)),AA642,"")</f>
        <v/>
      </c>
      <c r="AA642" s="1" t="n">
        <f aca="false">IFERROR(I642*1,0)</f>
        <v>0</v>
      </c>
    </row>
    <row r="643" customFormat="false" ht="15" hidden="false" customHeight="true" outlineLevel="0" collapsed="false">
      <c r="Z643" s="1" t="str">
        <f aca="false">IF(AND(R643="WON",ISNUMBER(I643)),AA643,"")</f>
        <v/>
      </c>
      <c r="AA643" s="1" t="n">
        <f aca="false">IFERROR(I643*1,0)</f>
        <v>0</v>
      </c>
    </row>
    <row r="644" customFormat="false" ht="15" hidden="false" customHeight="true" outlineLevel="0" collapsed="false">
      <c r="Z644" s="1" t="str">
        <f aca="false">IF(AND(R644="WON",ISNUMBER(I644)),AA644,"")</f>
        <v/>
      </c>
      <c r="AA644" s="1" t="n">
        <f aca="false">IFERROR(I644*1,0)</f>
        <v>0</v>
      </c>
    </row>
    <row r="645" customFormat="false" ht="15" hidden="false" customHeight="true" outlineLevel="0" collapsed="false">
      <c r="Z645" s="1" t="str">
        <f aca="false">IF(AND(R645="WON",ISNUMBER(I645)),AA645,"")</f>
        <v/>
      </c>
      <c r="AA645" s="1" t="n">
        <f aca="false">IFERROR(I645*1,0)</f>
        <v>0</v>
      </c>
    </row>
    <row r="646" customFormat="false" ht="15" hidden="false" customHeight="true" outlineLevel="0" collapsed="false">
      <c r="Z646" s="1" t="str">
        <f aca="false">IF(AND(R646="WON",ISNUMBER(I646)),AA646,"")</f>
        <v/>
      </c>
      <c r="AA646" s="1" t="n">
        <f aca="false">IFERROR(I646*1,0)</f>
        <v>0</v>
      </c>
    </row>
    <row r="647" customFormat="false" ht="15" hidden="false" customHeight="true" outlineLevel="0" collapsed="false">
      <c r="Z647" s="1" t="str">
        <f aca="false">IF(AND(R647="WON",ISNUMBER(I647)),AA647,"")</f>
        <v/>
      </c>
      <c r="AA647" s="1" t="n">
        <f aca="false">IFERROR(I647*1,0)</f>
        <v>0</v>
      </c>
    </row>
    <row r="648" customFormat="false" ht="15" hidden="false" customHeight="true" outlineLevel="0" collapsed="false">
      <c r="Z648" s="1" t="str">
        <f aca="false">IF(AND(R648="WON",ISNUMBER(I648)),AA648,"")</f>
        <v/>
      </c>
      <c r="AA648" s="1" t="n">
        <f aca="false">IFERROR(I648*1,0)</f>
        <v>0</v>
      </c>
    </row>
    <row r="649" customFormat="false" ht="15" hidden="false" customHeight="true" outlineLevel="0" collapsed="false">
      <c r="Z649" s="1" t="str">
        <f aca="false">IF(AND(R649="WON",ISNUMBER(I649)),AA649,"")</f>
        <v/>
      </c>
      <c r="AA649" s="1" t="n">
        <f aca="false">IFERROR(I649*1,0)</f>
        <v>0</v>
      </c>
    </row>
    <row r="650" customFormat="false" ht="15" hidden="false" customHeight="true" outlineLevel="0" collapsed="false">
      <c r="Z650" s="1" t="str">
        <f aca="false">IF(AND(R650="WON",ISNUMBER(I650)),AA650,"")</f>
        <v/>
      </c>
      <c r="AA650" s="1" t="n">
        <f aca="false">IFERROR(I650*1,0)</f>
        <v>0</v>
      </c>
    </row>
    <row r="651" customFormat="false" ht="15" hidden="false" customHeight="true" outlineLevel="0" collapsed="false">
      <c r="Z651" s="1" t="str">
        <f aca="false">IF(AND(R651="WON",ISNUMBER(I651)),AA651,"")</f>
        <v/>
      </c>
      <c r="AA651" s="1" t="n">
        <f aca="false">IFERROR(I651*1,0)</f>
        <v>0</v>
      </c>
    </row>
    <row r="652" customFormat="false" ht="15" hidden="false" customHeight="true" outlineLevel="0" collapsed="false">
      <c r="Z652" s="1" t="str">
        <f aca="false">IF(AND(R652="WON",ISNUMBER(I652)),AA652,"")</f>
        <v/>
      </c>
      <c r="AA652" s="1" t="n">
        <f aca="false">IFERROR(I652*1,0)</f>
        <v>0</v>
      </c>
    </row>
    <row r="653" customFormat="false" ht="15" hidden="false" customHeight="true" outlineLevel="0" collapsed="false">
      <c r="Z653" s="1" t="str">
        <f aca="false">IF(AND(R653="WON",ISNUMBER(I653)),AA653,"")</f>
        <v/>
      </c>
      <c r="AA653" s="1" t="n">
        <f aca="false">IFERROR(I653*1,0)</f>
        <v>0</v>
      </c>
    </row>
    <row r="654" customFormat="false" ht="15" hidden="false" customHeight="true" outlineLevel="0" collapsed="false">
      <c r="Z654" s="1" t="str">
        <f aca="false">IF(AND(R654="WON",ISNUMBER(I654)),AA654,"")</f>
        <v/>
      </c>
      <c r="AA654" s="1" t="n">
        <f aca="false">IFERROR(I654*1,0)</f>
        <v>0</v>
      </c>
    </row>
    <row r="655" customFormat="false" ht="15" hidden="false" customHeight="true" outlineLevel="0" collapsed="false">
      <c r="Z655" s="1" t="str">
        <f aca="false">IF(AND(R655="WON",ISNUMBER(I655)),AA655,"")</f>
        <v/>
      </c>
      <c r="AA655" s="1" t="n">
        <f aca="false">IFERROR(I655*1,0)</f>
        <v>0</v>
      </c>
    </row>
    <row r="656" customFormat="false" ht="15" hidden="false" customHeight="true" outlineLevel="0" collapsed="false">
      <c r="Z656" s="1" t="str">
        <f aca="false">IF(AND(R656="WON",ISNUMBER(I656)),AA656,"")</f>
        <v/>
      </c>
      <c r="AA656" s="1" t="n">
        <f aca="false">IFERROR(I656*1,0)</f>
        <v>0</v>
      </c>
    </row>
    <row r="657" customFormat="false" ht="15" hidden="false" customHeight="true" outlineLevel="0" collapsed="false">
      <c r="Z657" s="1" t="str">
        <f aca="false">IF(AND(R657="WON",ISNUMBER(I657)),AA657,"")</f>
        <v/>
      </c>
      <c r="AA657" s="1" t="n">
        <f aca="false">IFERROR(I657*1,0)</f>
        <v>0</v>
      </c>
    </row>
    <row r="658" customFormat="false" ht="15" hidden="false" customHeight="true" outlineLevel="0" collapsed="false">
      <c r="Z658" s="1" t="str">
        <f aca="false">IF(AND(R658="WON",ISNUMBER(I658)),AA658,"")</f>
        <v/>
      </c>
      <c r="AA658" s="1" t="n">
        <f aca="false">IFERROR(I658*1,0)</f>
        <v>0</v>
      </c>
    </row>
    <row r="659" customFormat="false" ht="15" hidden="false" customHeight="true" outlineLevel="0" collapsed="false">
      <c r="Z659" s="1" t="str">
        <f aca="false">IF(AND(R659="WON",ISNUMBER(I659)),AA659,"")</f>
        <v/>
      </c>
      <c r="AA659" s="1" t="n">
        <f aca="false">IFERROR(I659*1,0)</f>
        <v>0</v>
      </c>
    </row>
    <row r="660" customFormat="false" ht="15" hidden="false" customHeight="true" outlineLevel="0" collapsed="false">
      <c r="Z660" s="1" t="str">
        <f aca="false">IF(AND(R660="WON",ISNUMBER(I660)),AA660,"")</f>
        <v/>
      </c>
      <c r="AA660" s="1" t="n">
        <f aca="false">IFERROR(I660*1,0)</f>
        <v>0</v>
      </c>
    </row>
    <row r="661" customFormat="false" ht="15" hidden="false" customHeight="true" outlineLevel="0" collapsed="false">
      <c r="Z661" s="1" t="str">
        <f aca="false">IF(AND(R661="WON",ISNUMBER(I661)),AA661,"")</f>
        <v/>
      </c>
      <c r="AA661" s="1" t="n">
        <f aca="false">IFERROR(I661*1,0)</f>
        <v>0</v>
      </c>
    </row>
    <row r="662" customFormat="false" ht="15" hidden="false" customHeight="true" outlineLevel="0" collapsed="false">
      <c r="Z662" s="1" t="str">
        <f aca="false">IF(AND(R662="WON",ISNUMBER(I662)),AA662,"")</f>
        <v/>
      </c>
      <c r="AA662" s="1" t="n">
        <f aca="false">IFERROR(I662*1,0)</f>
        <v>0</v>
      </c>
    </row>
    <row r="663" customFormat="false" ht="15" hidden="false" customHeight="true" outlineLevel="0" collapsed="false">
      <c r="Z663" s="1" t="str">
        <f aca="false">IF(AND(R663="WON",ISNUMBER(I663)),AA663,"")</f>
        <v/>
      </c>
      <c r="AA663" s="1" t="n">
        <f aca="false">IFERROR(I663*1,0)</f>
        <v>0</v>
      </c>
    </row>
    <row r="664" customFormat="false" ht="15" hidden="false" customHeight="true" outlineLevel="0" collapsed="false">
      <c r="Z664" s="1" t="str">
        <f aca="false">IF(AND(R664="WON",ISNUMBER(I664)),AA664,"")</f>
        <v/>
      </c>
      <c r="AA664" s="1" t="n">
        <f aca="false">IFERROR(I664*1,0)</f>
        <v>0</v>
      </c>
    </row>
    <row r="665" customFormat="false" ht="15" hidden="false" customHeight="true" outlineLevel="0" collapsed="false">
      <c r="Z665" s="1" t="str">
        <f aca="false">IF(AND(R665="WON",ISNUMBER(I665)),AA665,"")</f>
        <v/>
      </c>
      <c r="AA665" s="1" t="n">
        <f aca="false">IFERROR(I665*1,0)</f>
        <v>0</v>
      </c>
    </row>
    <row r="666" customFormat="false" ht="15" hidden="false" customHeight="true" outlineLevel="0" collapsed="false">
      <c r="Z666" s="1" t="str">
        <f aca="false">IF(AND(R666="WON",ISNUMBER(I666)),AA666,"")</f>
        <v/>
      </c>
      <c r="AA666" s="1" t="n">
        <f aca="false">IFERROR(I666*1,0)</f>
        <v>0</v>
      </c>
    </row>
    <row r="667" customFormat="false" ht="15" hidden="false" customHeight="true" outlineLevel="0" collapsed="false">
      <c r="Z667" s="1" t="str">
        <f aca="false">IF(AND(R667="WON",ISNUMBER(I667)),AA667,"")</f>
        <v/>
      </c>
      <c r="AA667" s="1" t="n">
        <f aca="false">IFERROR(I667*1,0)</f>
        <v>0</v>
      </c>
    </row>
    <row r="668" customFormat="false" ht="15" hidden="false" customHeight="true" outlineLevel="0" collapsed="false">
      <c r="Z668" s="1" t="str">
        <f aca="false">IF(AND(R668="WON",ISNUMBER(I668)),AA668,"")</f>
        <v/>
      </c>
      <c r="AA668" s="1" t="n">
        <f aca="false">IFERROR(I668*1,0)</f>
        <v>0</v>
      </c>
    </row>
    <row r="669" customFormat="false" ht="15" hidden="false" customHeight="true" outlineLevel="0" collapsed="false">
      <c r="Z669" s="1" t="str">
        <f aca="false">IF(AND(R669="WON",ISNUMBER(I669)),AA669,"")</f>
        <v/>
      </c>
      <c r="AA669" s="1" t="n">
        <f aca="false">IFERROR(I669*1,0)</f>
        <v>0</v>
      </c>
    </row>
    <row r="670" customFormat="false" ht="15" hidden="false" customHeight="true" outlineLevel="0" collapsed="false">
      <c r="Z670" s="1" t="str">
        <f aca="false">IF(AND(R670="WON",ISNUMBER(I670)),AA670,"")</f>
        <v/>
      </c>
      <c r="AA670" s="1" t="n">
        <f aca="false">IFERROR(I670*1,0)</f>
        <v>0</v>
      </c>
    </row>
    <row r="671" customFormat="false" ht="15" hidden="false" customHeight="true" outlineLevel="0" collapsed="false">
      <c r="Z671" s="1" t="str">
        <f aca="false">IF(AND(R671="WON",ISNUMBER(I671)),AA671,"")</f>
        <v/>
      </c>
      <c r="AA671" s="1" t="n">
        <f aca="false">IFERROR(I671*1,0)</f>
        <v>0</v>
      </c>
    </row>
    <row r="672" customFormat="false" ht="15" hidden="false" customHeight="true" outlineLevel="0" collapsed="false">
      <c r="Z672" s="1" t="str">
        <f aca="false">IF(AND(R672="WON",ISNUMBER(I672)),AA672,"")</f>
        <v/>
      </c>
      <c r="AA672" s="1" t="n">
        <f aca="false">IFERROR(I672*1,0)</f>
        <v>0</v>
      </c>
    </row>
    <row r="673" customFormat="false" ht="15" hidden="false" customHeight="true" outlineLevel="0" collapsed="false">
      <c r="Z673" s="1" t="str">
        <f aca="false">IF(AND(R673="WON",ISNUMBER(I673)),AA673,"")</f>
        <v/>
      </c>
      <c r="AA673" s="1" t="n">
        <f aca="false">IFERROR(I673*1,0)</f>
        <v>0</v>
      </c>
    </row>
    <row r="674" customFormat="false" ht="15" hidden="false" customHeight="true" outlineLevel="0" collapsed="false">
      <c r="Z674" s="1" t="str">
        <f aca="false">IF(AND(R674="WON",ISNUMBER(I674)),AA674,"")</f>
        <v/>
      </c>
      <c r="AA674" s="1" t="n">
        <f aca="false">IFERROR(I674*1,0)</f>
        <v>0</v>
      </c>
    </row>
    <row r="675" customFormat="false" ht="15" hidden="false" customHeight="true" outlineLevel="0" collapsed="false">
      <c r="Z675" s="1" t="str">
        <f aca="false">IF(AND(R675="WON",ISNUMBER(I675)),AA675,"")</f>
        <v/>
      </c>
      <c r="AA675" s="1" t="n">
        <f aca="false">IFERROR(I675*1,0)</f>
        <v>0</v>
      </c>
    </row>
    <row r="676" customFormat="false" ht="15" hidden="false" customHeight="true" outlineLevel="0" collapsed="false">
      <c r="Z676" s="1" t="str">
        <f aca="false">IF(AND(R676="WON",ISNUMBER(I676)),AA676,"")</f>
        <v/>
      </c>
      <c r="AA676" s="1" t="n">
        <f aca="false">IFERROR(I676*1,0)</f>
        <v>0</v>
      </c>
    </row>
    <row r="677" customFormat="false" ht="15" hidden="false" customHeight="true" outlineLevel="0" collapsed="false">
      <c r="Z677" s="1" t="str">
        <f aca="false">IF(AND(R677="WON",ISNUMBER(I677)),AA677,"")</f>
        <v/>
      </c>
      <c r="AA677" s="1" t="n">
        <f aca="false">IFERROR(I677*1,0)</f>
        <v>0</v>
      </c>
    </row>
    <row r="678" customFormat="false" ht="15" hidden="false" customHeight="true" outlineLevel="0" collapsed="false">
      <c r="Z678" s="1" t="str">
        <f aca="false">IF(AND(R678="WON",ISNUMBER(I678)),AA678,"")</f>
        <v/>
      </c>
      <c r="AA678" s="1" t="n">
        <f aca="false">IFERROR(I678*1,0)</f>
        <v>0</v>
      </c>
    </row>
    <row r="679" customFormat="false" ht="15" hidden="false" customHeight="true" outlineLevel="0" collapsed="false">
      <c r="Z679" s="1" t="str">
        <f aca="false">IF(AND(R679="WON",ISNUMBER(I679)),AA679,"")</f>
        <v/>
      </c>
      <c r="AA679" s="1" t="n">
        <f aca="false">IFERROR(I679*1,0)</f>
        <v>0</v>
      </c>
    </row>
    <row r="680" customFormat="false" ht="15" hidden="false" customHeight="true" outlineLevel="0" collapsed="false">
      <c r="Z680" s="1" t="str">
        <f aca="false">IF(AND(R680="WON",ISNUMBER(I680)),AA680,"")</f>
        <v/>
      </c>
      <c r="AA680" s="1" t="n">
        <f aca="false">IFERROR(I680*1,0)</f>
        <v>0</v>
      </c>
    </row>
    <row r="681" customFormat="false" ht="15" hidden="false" customHeight="true" outlineLevel="0" collapsed="false">
      <c r="Z681" s="1" t="str">
        <f aca="false">IF(AND(R681="WON",ISNUMBER(I681)),AA681,"")</f>
        <v/>
      </c>
      <c r="AA681" s="1" t="n">
        <f aca="false">IFERROR(I681*1,0)</f>
        <v>0</v>
      </c>
    </row>
    <row r="682" customFormat="false" ht="15" hidden="false" customHeight="true" outlineLevel="0" collapsed="false">
      <c r="Z682" s="1" t="str">
        <f aca="false">IF(AND(R682="WON",ISNUMBER(I682)),AA682,"")</f>
        <v/>
      </c>
      <c r="AA682" s="1" t="n">
        <f aca="false">IFERROR(I682*1,0)</f>
        <v>0</v>
      </c>
    </row>
    <row r="683" customFormat="false" ht="15" hidden="false" customHeight="true" outlineLevel="0" collapsed="false">
      <c r="Z683" s="1" t="str">
        <f aca="false">IF(AND(R683="WON",ISNUMBER(I683)),AA683,"")</f>
        <v/>
      </c>
      <c r="AA683" s="1" t="n">
        <f aca="false">IFERROR(I683*1,0)</f>
        <v>0</v>
      </c>
    </row>
    <row r="684" customFormat="false" ht="15" hidden="false" customHeight="true" outlineLevel="0" collapsed="false">
      <c r="Z684" s="1" t="str">
        <f aca="false">IF(AND(R684="WON",ISNUMBER(I684)),AA684,"")</f>
        <v/>
      </c>
      <c r="AA684" s="1" t="n">
        <f aca="false">IFERROR(I684*1,0)</f>
        <v>0</v>
      </c>
    </row>
    <row r="685" customFormat="false" ht="15" hidden="false" customHeight="true" outlineLevel="0" collapsed="false">
      <c r="Z685" s="1" t="str">
        <f aca="false">IF(AND(R685="WON",ISNUMBER(I685)),AA685,"")</f>
        <v/>
      </c>
      <c r="AA685" s="1" t="n">
        <f aca="false">IFERROR(I685*1,0)</f>
        <v>0</v>
      </c>
    </row>
    <row r="686" customFormat="false" ht="15" hidden="false" customHeight="true" outlineLevel="0" collapsed="false">
      <c r="Z686" s="1" t="str">
        <f aca="false">IF(AND(R686="WON",ISNUMBER(I686)),AA686,"")</f>
        <v/>
      </c>
      <c r="AA686" s="1" t="n">
        <f aca="false">IFERROR(I686*1,0)</f>
        <v>0</v>
      </c>
    </row>
    <row r="687" customFormat="false" ht="15" hidden="false" customHeight="true" outlineLevel="0" collapsed="false">
      <c r="Z687" s="1" t="str">
        <f aca="false">IF(AND(R687="WON",ISNUMBER(I687)),AA687,"")</f>
        <v/>
      </c>
      <c r="AA687" s="1" t="n">
        <f aca="false">IFERROR(I687*1,0)</f>
        <v>0</v>
      </c>
    </row>
    <row r="688" customFormat="false" ht="15" hidden="false" customHeight="true" outlineLevel="0" collapsed="false">
      <c r="Z688" s="1" t="str">
        <f aca="false">IF(AND(R688="WON",ISNUMBER(I688)),AA688,"")</f>
        <v/>
      </c>
      <c r="AA688" s="1" t="n">
        <f aca="false">IFERROR(I688*1,0)</f>
        <v>0</v>
      </c>
    </row>
    <row r="689" customFormat="false" ht="15" hidden="false" customHeight="true" outlineLevel="0" collapsed="false">
      <c r="Z689" s="1" t="str">
        <f aca="false">IF(AND(R689="WON",ISNUMBER(I689)),AA689,"")</f>
        <v/>
      </c>
      <c r="AA689" s="1" t="n">
        <f aca="false">IFERROR(I689*1,0)</f>
        <v>0</v>
      </c>
    </row>
    <row r="690" customFormat="false" ht="15" hidden="false" customHeight="true" outlineLevel="0" collapsed="false">
      <c r="Z690" s="1" t="str">
        <f aca="false">IF(AND(R690="WON",ISNUMBER(I690)),AA690,"")</f>
        <v/>
      </c>
      <c r="AA690" s="1" t="n">
        <f aca="false">IFERROR(I690*1,0)</f>
        <v>0</v>
      </c>
    </row>
    <row r="691" customFormat="false" ht="15" hidden="false" customHeight="true" outlineLevel="0" collapsed="false">
      <c r="Z691" s="1" t="str">
        <f aca="false">IF(AND(R691="WON",ISNUMBER(I691)),AA691,"")</f>
        <v/>
      </c>
      <c r="AA691" s="1" t="n">
        <f aca="false">IFERROR(I691*1,0)</f>
        <v>0</v>
      </c>
    </row>
    <row r="692" customFormat="false" ht="15" hidden="false" customHeight="true" outlineLevel="0" collapsed="false">
      <c r="Z692" s="1" t="str">
        <f aca="false">IF(AND(R692="WON",ISNUMBER(I692)),AA692,"")</f>
        <v/>
      </c>
      <c r="AA692" s="1" t="n">
        <f aca="false">IFERROR(I692*1,0)</f>
        <v>0</v>
      </c>
    </row>
    <row r="693" customFormat="false" ht="15" hidden="false" customHeight="true" outlineLevel="0" collapsed="false">
      <c r="Z693" s="1" t="str">
        <f aca="false">IF(AND(R693="WON",ISNUMBER(I693)),AA693,"")</f>
        <v/>
      </c>
      <c r="AA693" s="1" t="n">
        <f aca="false">IFERROR(I693*1,0)</f>
        <v>0</v>
      </c>
    </row>
    <row r="694" customFormat="false" ht="15" hidden="false" customHeight="true" outlineLevel="0" collapsed="false">
      <c r="Z694" s="1" t="str">
        <f aca="false">IF(AND(R694="WON",ISNUMBER(I694)),AA694,"")</f>
        <v/>
      </c>
      <c r="AA694" s="1" t="n">
        <f aca="false">IFERROR(I694*1,0)</f>
        <v>0</v>
      </c>
    </row>
    <row r="695" customFormat="false" ht="15" hidden="false" customHeight="true" outlineLevel="0" collapsed="false">
      <c r="Z695" s="1" t="str">
        <f aca="false">IF(AND(R695="WON",ISNUMBER(I695)),AA695,"")</f>
        <v/>
      </c>
      <c r="AA695" s="1" t="n">
        <f aca="false">IFERROR(I695*1,0)</f>
        <v>0</v>
      </c>
    </row>
    <row r="696" customFormat="false" ht="15" hidden="false" customHeight="true" outlineLevel="0" collapsed="false">
      <c r="Z696" s="1" t="str">
        <f aca="false">IF(AND(R696="WON",ISNUMBER(I696)),AA696,"")</f>
        <v/>
      </c>
      <c r="AA696" s="1" t="n">
        <f aca="false">IFERROR(I696*1,0)</f>
        <v>0</v>
      </c>
    </row>
    <row r="697" customFormat="false" ht="15" hidden="false" customHeight="true" outlineLevel="0" collapsed="false">
      <c r="Z697" s="1" t="str">
        <f aca="false">IF(AND(R697="WON",ISNUMBER(I697)),AA697,"")</f>
        <v/>
      </c>
      <c r="AA697" s="1" t="n">
        <f aca="false">IFERROR(I697*1,0)</f>
        <v>0</v>
      </c>
    </row>
    <row r="698" customFormat="false" ht="15" hidden="false" customHeight="true" outlineLevel="0" collapsed="false">
      <c r="Z698" s="1" t="str">
        <f aca="false">IF(AND(R698="WON",ISNUMBER(I698)),AA698,"")</f>
        <v/>
      </c>
      <c r="AA698" s="1" t="n">
        <f aca="false">IFERROR(I698*1,0)</f>
        <v>0</v>
      </c>
    </row>
    <row r="699" customFormat="false" ht="15" hidden="false" customHeight="true" outlineLevel="0" collapsed="false">
      <c r="Z699" s="1" t="str">
        <f aca="false">IF(AND(R699="WON",ISNUMBER(I699)),AA699,"")</f>
        <v/>
      </c>
      <c r="AA699" s="1" t="n">
        <f aca="false">IFERROR(I699*1,0)</f>
        <v>0</v>
      </c>
    </row>
    <row r="700" customFormat="false" ht="15" hidden="false" customHeight="true" outlineLevel="0" collapsed="false">
      <c r="Z700" s="1" t="str">
        <f aca="false">IF(AND(R700="WON",ISNUMBER(I700)),AA700,"")</f>
        <v/>
      </c>
      <c r="AA700" s="1" t="n">
        <f aca="false">IFERROR(I700*1,0)</f>
        <v>0</v>
      </c>
    </row>
    <row r="701" customFormat="false" ht="15" hidden="false" customHeight="true" outlineLevel="0" collapsed="false">
      <c r="Z701" s="1" t="str">
        <f aca="false">IF(AND(R701="WON",ISNUMBER(I701)),AA701,"")</f>
        <v/>
      </c>
      <c r="AA701" s="1" t="n">
        <f aca="false">IFERROR(I701*1,0)</f>
        <v>0</v>
      </c>
    </row>
    <row r="702" customFormat="false" ht="15" hidden="false" customHeight="true" outlineLevel="0" collapsed="false">
      <c r="Z702" s="1" t="str">
        <f aca="false">IF(AND(R702="WON",ISNUMBER(I702)),AA702,"")</f>
        <v/>
      </c>
      <c r="AA702" s="1" t="n">
        <f aca="false">IFERROR(I702*1,0)</f>
        <v>0</v>
      </c>
    </row>
    <row r="703" customFormat="false" ht="15" hidden="false" customHeight="true" outlineLevel="0" collapsed="false">
      <c r="Z703" s="1" t="str">
        <f aca="false">IF(AND(R703="WON",ISNUMBER(I703)),AA703,"")</f>
        <v/>
      </c>
      <c r="AA703" s="1" t="n">
        <f aca="false">IFERROR(I703*1,0)</f>
        <v>0</v>
      </c>
    </row>
    <row r="704" customFormat="false" ht="15" hidden="false" customHeight="true" outlineLevel="0" collapsed="false">
      <c r="Z704" s="1" t="str">
        <f aca="false">IF(AND(R704="WON",ISNUMBER(I704)),AA704,"")</f>
        <v/>
      </c>
      <c r="AA704" s="1" t="n">
        <f aca="false">IFERROR(I704*1,0)</f>
        <v>0</v>
      </c>
    </row>
    <row r="705" customFormat="false" ht="15" hidden="false" customHeight="true" outlineLevel="0" collapsed="false">
      <c r="Z705" s="1" t="str">
        <f aca="false">IF(AND(R705="WON",ISNUMBER(I705)),AA705,"")</f>
        <v/>
      </c>
      <c r="AA705" s="1" t="n">
        <f aca="false">IFERROR(I705*1,0)</f>
        <v>0</v>
      </c>
    </row>
    <row r="706" customFormat="false" ht="15" hidden="false" customHeight="true" outlineLevel="0" collapsed="false">
      <c r="Z706" s="1" t="str">
        <f aca="false">IF(AND(R706="WON",ISNUMBER(I706)),AA706,"")</f>
        <v/>
      </c>
      <c r="AA706" s="1" t="n">
        <f aca="false">IFERROR(I706*1,0)</f>
        <v>0</v>
      </c>
    </row>
    <row r="707" customFormat="false" ht="15" hidden="false" customHeight="true" outlineLevel="0" collapsed="false">
      <c r="Z707" s="1" t="str">
        <f aca="false">IF(AND(R707="WON",ISNUMBER(I707)),AA707,"")</f>
        <v/>
      </c>
      <c r="AA707" s="1" t="n">
        <f aca="false">IFERROR(I707*1,0)</f>
        <v>0</v>
      </c>
    </row>
    <row r="708" customFormat="false" ht="15" hidden="false" customHeight="true" outlineLevel="0" collapsed="false">
      <c r="Z708" s="1" t="str">
        <f aca="false">IF(AND(R708="WON",ISNUMBER(I708)),AA708,"")</f>
        <v/>
      </c>
      <c r="AA708" s="1" t="n">
        <f aca="false">IFERROR(I708*1,0)</f>
        <v>0</v>
      </c>
    </row>
    <row r="709" customFormat="false" ht="15" hidden="false" customHeight="true" outlineLevel="0" collapsed="false">
      <c r="Z709" s="1" t="str">
        <f aca="false">IF(AND(R709="WON",ISNUMBER(I709)),AA709,"")</f>
        <v/>
      </c>
      <c r="AA709" s="1" t="n">
        <f aca="false">IFERROR(I709*1,0)</f>
        <v>0</v>
      </c>
    </row>
    <row r="710" customFormat="false" ht="15" hidden="false" customHeight="true" outlineLevel="0" collapsed="false">
      <c r="Z710" s="1" t="str">
        <f aca="false">IF(AND(R710="WON",ISNUMBER(I710)),AA710,"")</f>
        <v/>
      </c>
      <c r="AA710" s="1" t="n">
        <f aca="false">IFERROR(I710*1,0)</f>
        <v>0</v>
      </c>
    </row>
    <row r="711" customFormat="false" ht="15" hidden="false" customHeight="true" outlineLevel="0" collapsed="false">
      <c r="Z711" s="1" t="str">
        <f aca="false">IF(AND(R711="WON",ISNUMBER(I711)),AA711,"")</f>
        <v/>
      </c>
      <c r="AA711" s="1" t="n">
        <f aca="false">IFERROR(I711*1,0)</f>
        <v>0</v>
      </c>
    </row>
    <row r="712" customFormat="false" ht="15" hidden="false" customHeight="true" outlineLevel="0" collapsed="false">
      <c r="Z712" s="1" t="str">
        <f aca="false">IF(AND(R712="WON",ISNUMBER(I712)),AA712,"")</f>
        <v/>
      </c>
      <c r="AA712" s="1" t="n">
        <f aca="false">IFERROR(I712*1,0)</f>
        <v>0</v>
      </c>
    </row>
    <row r="713" customFormat="false" ht="15" hidden="false" customHeight="true" outlineLevel="0" collapsed="false">
      <c r="Z713" s="1" t="str">
        <f aca="false">IF(AND(R713="WON",ISNUMBER(I713)),AA713,"")</f>
        <v/>
      </c>
      <c r="AA713" s="1" t="n">
        <f aca="false">IFERROR(I713*1,0)</f>
        <v>0</v>
      </c>
    </row>
    <row r="714" customFormat="false" ht="15" hidden="false" customHeight="true" outlineLevel="0" collapsed="false">
      <c r="Z714" s="1" t="str">
        <f aca="false">IF(AND(R714="WON",ISNUMBER(I714)),AA714,"")</f>
        <v/>
      </c>
      <c r="AA714" s="1" t="n">
        <f aca="false">IFERROR(I714*1,0)</f>
        <v>0</v>
      </c>
    </row>
    <row r="715" customFormat="false" ht="15" hidden="false" customHeight="true" outlineLevel="0" collapsed="false">
      <c r="Z715" s="1" t="str">
        <f aca="false">IF(AND(R715="WON",ISNUMBER(I715)),AA715,"")</f>
        <v/>
      </c>
      <c r="AA715" s="1" t="n">
        <f aca="false">IFERROR(I715*1,0)</f>
        <v>0</v>
      </c>
    </row>
    <row r="716" customFormat="false" ht="15" hidden="false" customHeight="true" outlineLevel="0" collapsed="false">
      <c r="Z716" s="1" t="str">
        <f aca="false">IF(AND(R716="WON",ISNUMBER(I716)),AA716,"")</f>
        <v/>
      </c>
      <c r="AA716" s="1" t="n">
        <f aca="false">IFERROR(I716*1,0)</f>
        <v>0</v>
      </c>
    </row>
    <row r="717" customFormat="false" ht="15" hidden="false" customHeight="true" outlineLevel="0" collapsed="false">
      <c r="Z717" s="1" t="str">
        <f aca="false">IF(AND(R717="WON",ISNUMBER(I717)),AA717,"")</f>
        <v/>
      </c>
      <c r="AA717" s="1" t="n">
        <f aca="false">IFERROR(I717*1,0)</f>
        <v>0</v>
      </c>
    </row>
    <row r="718" customFormat="false" ht="15" hidden="false" customHeight="true" outlineLevel="0" collapsed="false">
      <c r="Z718" s="1" t="str">
        <f aca="false">IF(AND(R718="WON",ISNUMBER(I718)),AA718,"")</f>
        <v/>
      </c>
      <c r="AA718" s="1" t="n">
        <f aca="false">IFERROR(I718*1,0)</f>
        <v>0</v>
      </c>
    </row>
    <row r="719" customFormat="false" ht="15" hidden="false" customHeight="true" outlineLevel="0" collapsed="false">
      <c r="Z719" s="1" t="str">
        <f aca="false">IF(AND(R719="WON",ISNUMBER(I719)),AA719,"")</f>
        <v/>
      </c>
      <c r="AA719" s="1" t="n">
        <f aca="false">IFERROR(I719*1,0)</f>
        <v>0</v>
      </c>
    </row>
    <row r="720" customFormat="false" ht="15" hidden="false" customHeight="true" outlineLevel="0" collapsed="false">
      <c r="Z720" s="1" t="str">
        <f aca="false">IF(AND(R720="WON",ISNUMBER(I720)),AA720,"")</f>
        <v/>
      </c>
      <c r="AA720" s="1" t="n">
        <f aca="false">IFERROR(I720*1,0)</f>
        <v>0</v>
      </c>
    </row>
    <row r="721" customFormat="false" ht="15" hidden="false" customHeight="true" outlineLevel="0" collapsed="false">
      <c r="Z721" s="1" t="str">
        <f aca="false">IF(AND(R721="WON",ISNUMBER(I721)),AA721,"")</f>
        <v/>
      </c>
      <c r="AA721" s="1" t="n">
        <f aca="false">IFERROR(I721*1,0)</f>
        <v>0</v>
      </c>
    </row>
    <row r="722" customFormat="false" ht="15" hidden="false" customHeight="true" outlineLevel="0" collapsed="false">
      <c r="Z722" s="1" t="str">
        <f aca="false">IF(AND(R722="WON",ISNUMBER(I722)),AA722,"")</f>
        <v/>
      </c>
      <c r="AA722" s="1" t="n">
        <f aca="false">IFERROR(I722*1,0)</f>
        <v>0</v>
      </c>
    </row>
    <row r="723" customFormat="false" ht="15" hidden="false" customHeight="true" outlineLevel="0" collapsed="false">
      <c r="Z723" s="1" t="str">
        <f aca="false">IF(AND(R723="WON",ISNUMBER(I723)),AA723,"")</f>
        <v/>
      </c>
      <c r="AA723" s="1" t="n">
        <f aca="false">IFERROR(I723*1,0)</f>
        <v>0</v>
      </c>
    </row>
    <row r="724" customFormat="false" ht="15" hidden="false" customHeight="true" outlineLevel="0" collapsed="false">
      <c r="Z724" s="1" t="str">
        <f aca="false">IF(AND(R724="WON",ISNUMBER(I724)),AA724,"")</f>
        <v/>
      </c>
      <c r="AA724" s="1" t="n">
        <f aca="false">IFERROR(I724*1,0)</f>
        <v>0</v>
      </c>
    </row>
    <row r="725" customFormat="false" ht="15" hidden="false" customHeight="true" outlineLevel="0" collapsed="false">
      <c r="Z725" s="1" t="str">
        <f aca="false">IF(AND(R725="WON",ISNUMBER(I725)),AA725,"")</f>
        <v/>
      </c>
      <c r="AA725" s="1" t="n">
        <f aca="false">IFERROR(I725*1,0)</f>
        <v>0</v>
      </c>
    </row>
    <row r="726" customFormat="false" ht="15" hidden="false" customHeight="true" outlineLevel="0" collapsed="false">
      <c r="Z726" s="1" t="str">
        <f aca="false">IF(AND(R726="WON",ISNUMBER(I726)),AA726,"")</f>
        <v/>
      </c>
      <c r="AA726" s="1" t="n">
        <f aca="false">IFERROR(I726*1,0)</f>
        <v>0</v>
      </c>
    </row>
    <row r="727" customFormat="false" ht="15" hidden="false" customHeight="true" outlineLevel="0" collapsed="false">
      <c r="Z727" s="1" t="str">
        <f aca="false">IF(AND(R727="WON",ISNUMBER(I727)),AA727,"")</f>
        <v/>
      </c>
      <c r="AA727" s="1" t="n">
        <f aca="false">IFERROR(I727*1,0)</f>
        <v>0</v>
      </c>
    </row>
    <row r="728" customFormat="false" ht="15" hidden="false" customHeight="true" outlineLevel="0" collapsed="false">
      <c r="Z728" s="1" t="str">
        <f aca="false">IF(AND(R728="WON",ISNUMBER(I728)),AA728,"")</f>
        <v/>
      </c>
      <c r="AA728" s="1" t="n">
        <f aca="false">IFERROR(I728*1,0)</f>
        <v>0</v>
      </c>
    </row>
    <row r="729" customFormat="false" ht="15" hidden="false" customHeight="true" outlineLevel="0" collapsed="false">
      <c r="Z729" s="1" t="str">
        <f aca="false">IF(AND(R729="WON",ISNUMBER(I729)),AA729,"")</f>
        <v/>
      </c>
      <c r="AA729" s="1" t="n">
        <f aca="false">IFERROR(I729*1,0)</f>
        <v>0</v>
      </c>
    </row>
    <row r="730" customFormat="false" ht="15" hidden="false" customHeight="true" outlineLevel="0" collapsed="false">
      <c r="Z730" s="1" t="str">
        <f aca="false">IF(AND(R730="WON",ISNUMBER(I730)),AA730,"")</f>
        <v/>
      </c>
      <c r="AA730" s="1" t="n">
        <f aca="false">IFERROR(I730*1,0)</f>
        <v>0</v>
      </c>
    </row>
    <row r="731" customFormat="false" ht="15" hidden="false" customHeight="true" outlineLevel="0" collapsed="false">
      <c r="Z731" s="1" t="str">
        <f aca="false">IF(AND(R731="WON",ISNUMBER(I731)),AA731,"")</f>
        <v/>
      </c>
      <c r="AA731" s="1" t="n">
        <f aca="false">IFERROR(I731*1,0)</f>
        <v>0</v>
      </c>
    </row>
    <row r="732" customFormat="false" ht="15" hidden="false" customHeight="true" outlineLevel="0" collapsed="false">
      <c r="Z732" s="1" t="str">
        <f aca="false">IF(AND(R732="WON",ISNUMBER(I732)),AA732,"")</f>
        <v/>
      </c>
      <c r="AA732" s="1" t="n">
        <f aca="false">IFERROR(I732*1,0)</f>
        <v>0</v>
      </c>
    </row>
    <row r="733" customFormat="false" ht="15" hidden="false" customHeight="true" outlineLevel="0" collapsed="false">
      <c r="Z733" s="1" t="str">
        <f aca="false">IF(AND(R733="WON",ISNUMBER(I733)),AA733,"")</f>
        <v/>
      </c>
      <c r="AA733" s="1" t="n">
        <f aca="false">IFERROR(I733*1,0)</f>
        <v>0</v>
      </c>
    </row>
    <row r="734" customFormat="false" ht="15" hidden="false" customHeight="true" outlineLevel="0" collapsed="false">
      <c r="Z734" s="1" t="str">
        <f aca="false">IF(AND(R734="WON",ISNUMBER(I734)),AA734,"")</f>
        <v/>
      </c>
      <c r="AA734" s="1" t="n">
        <f aca="false">IFERROR(I734*1,0)</f>
        <v>0</v>
      </c>
    </row>
    <row r="735" customFormat="false" ht="15" hidden="false" customHeight="true" outlineLevel="0" collapsed="false">
      <c r="Z735" s="1" t="str">
        <f aca="false">IF(AND(R735="WON",ISNUMBER(I735)),AA735,"")</f>
        <v/>
      </c>
      <c r="AA735" s="1" t="n">
        <f aca="false">IFERROR(I735*1,0)</f>
        <v>0</v>
      </c>
    </row>
    <row r="736" customFormat="false" ht="15" hidden="false" customHeight="true" outlineLevel="0" collapsed="false">
      <c r="Z736" s="1" t="str">
        <f aca="false">IF(AND(R736="WON",ISNUMBER(I736)),AA736,"")</f>
        <v/>
      </c>
      <c r="AA736" s="1" t="n">
        <f aca="false">IFERROR(I736*1,0)</f>
        <v>0</v>
      </c>
    </row>
    <row r="737" customFormat="false" ht="15" hidden="false" customHeight="true" outlineLevel="0" collapsed="false">
      <c r="Z737" s="1" t="str">
        <f aca="false">IF(AND(R737="WON",ISNUMBER(I737)),AA737,"")</f>
        <v/>
      </c>
      <c r="AA737" s="1" t="n">
        <f aca="false">IFERROR(I737*1,0)</f>
        <v>0</v>
      </c>
    </row>
    <row r="738" customFormat="false" ht="15" hidden="false" customHeight="true" outlineLevel="0" collapsed="false">
      <c r="Z738" s="1" t="str">
        <f aca="false">IF(AND(R738="WON",ISNUMBER(I738)),AA738,"")</f>
        <v/>
      </c>
      <c r="AA738" s="1" t="n">
        <f aca="false">IFERROR(I738*1,0)</f>
        <v>0</v>
      </c>
    </row>
    <row r="739" customFormat="false" ht="15" hidden="false" customHeight="true" outlineLevel="0" collapsed="false">
      <c r="Z739" s="1" t="str">
        <f aca="false">IF(AND(R739="WON",ISNUMBER(I739)),AA739,"")</f>
        <v/>
      </c>
      <c r="AA739" s="1" t="n">
        <f aca="false">IFERROR(I739*1,0)</f>
        <v>0</v>
      </c>
    </row>
    <row r="740" customFormat="false" ht="15" hidden="false" customHeight="true" outlineLevel="0" collapsed="false">
      <c r="Z740" s="1" t="str">
        <f aca="false">IF(AND(R740="WON",ISNUMBER(I740)),AA740,"")</f>
        <v/>
      </c>
      <c r="AA740" s="1" t="n">
        <f aca="false">IFERROR(I740*1,0)</f>
        <v>0</v>
      </c>
    </row>
    <row r="741" customFormat="false" ht="15" hidden="false" customHeight="true" outlineLevel="0" collapsed="false">
      <c r="Z741" s="1" t="str">
        <f aca="false">IF(AND(R741="WON",ISNUMBER(I741)),AA741,"")</f>
        <v/>
      </c>
      <c r="AA741" s="1" t="n">
        <f aca="false">IFERROR(I741*1,0)</f>
        <v>0</v>
      </c>
    </row>
    <row r="742" customFormat="false" ht="15" hidden="false" customHeight="true" outlineLevel="0" collapsed="false">
      <c r="Z742" s="1" t="str">
        <f aca="false">IF(AND(R742="WON",ISNUMBER(I742)),AA742,"")</f>
        <v/>
      </c>
      <c r="AA742" s="1" t="n">
        <f aca="false">IFERROR(I742*1,0)</f>
        <v>0</v>
      </c>
    </row>
    <row r="743" customFormat="false" ht="15" hidden="false" customHeight="true" outlineLevel="0" collapsed="false">
      <c r="Z743" s="1" t="str">
        <f aca="false">IF(AND(R743="WON",ISNUMBER(I743)),AA743,"")</f>
        <v/>
      </c>
      <c r="AA743" s="1" t="n">
        <f aca="false">IFERROR(I743*1,0)</f>
        <v>0</v>
      </c>
    </row>
    <row r="744" customFormat="false" ht="15" hidden="false" customHeight="true" outlineLevel="0" collapsed="false">
      <c r="Z744" s="1" t="str">
        <f aca="false">IF(AND(R744="WON",ISNUMBER(I744)),AA744,"")</f>
        <v/>
      </c>
      <c r="AA744" s="1" t="n">
        <f aca="false">IFERROR(I744*1,0)</f>
        <v>0</v>
      </c>
    </row>
    <row r="745" customFormat="false" ht="15" hidden="false" customHeight="true" outlineLevel="0" collapsed="false">
      <c r="Z745" s="1" t="str">
        <f aca="false">IF(AND(R745="WON",ISNUMBER(I745)),AA745,"")</f>
        <v/>
      </c>
      <c r="AA745" s="1" t="n">
        <f aca="false">IFERROR(I745*1,0)</f>
        <v>0</v>
      </c>
    </row>
    <row r="746" customFormat="false" ht="15" hidden="false" customHeight="true" outlineLevel="0" collapsed="false">
      <c r="Z746" s="1" t="str">
        <f aca="false">IF(AND(R746="WON",ISNUMBER(I746)),AA746,"")</f>
        <v/>
      </c>
      <c r="AA746" s="1" t="n">
        <f aca="false">IFERROR(I746*1,0)</f>
        <v>0</v>
      </c>
    </row>
    <row r="747" customFormat="false" ht="15" hidden="false" customHeight="true" outlineLevel="0" collapsed="false">
      <c r="Z747" s="1" t="str">
        <f aca="false">IF(AND(R747="WON",ISNUMBER(I747)),AA747,"")</f>
        <v/>
      </c>
      <c r="AA747" s="1" t="n">
        <f aca="false">IFERROR(I747*1,0)</f>
        <v>0</v>
      </c>
    </row>
    <row r="748" customFormat="false" ht="15" hidden="false" customHeight="true" outlineLevel="0" collapsed="false">
      <c r="Z748" s="1" t="str">
        <f aca="false">IF(AND(R748="WON",ISNUMBER(I748)),AA748,"")</f>
        <v/>
      </c>
      <c r="AA748" s="1" t="n">
        <f aca="false">IFERROR(I748*1,0)</f>
        <v>0</v>
      </c>
    </row>
    <row r="749" customFormat="false" ht="15" hidden="false" customHeight="true" outlineLevel="0" collapsed="false">
      <c r="Z749" s="1" t="str">
        <f aca="false">IF(AND(R749="WON",ISNUMBER(I749)),AA749,"")</f>
        <v/>
      </c>
      <c r="AA749" s="1" t="n">
        <f aca="false">IFERROR(I749*1,0)</f>
        <v>0</v>
      </c>
    </row>
    <row r="750" customFormat="false" ht="15" hidden="false" customHeight="true" outlineLevel="0" collapsed="false">
      <c r="Z750" s="1" t="str">
        <f aca="false">IF(AND(R750="WON",ISNUMBER(I750)),AA750,"")</f>
        <v/>
      </c>
      <c r="AA750" s="1" t="n">
        <f aca="false">IFERROR(I750*1,0)</f>
        <v>0</v>
      </c>
    </row>
    <row r="751" customFormat="false" ht="15" hidden="false" customHeight="true" outlineLevel="0" collapsed="false">
      <c r="Z751" s="1" t="str">
        <f aca="false">IF(AND(R751="WON",ISNUMBER(I751)),AA751,"")</f>
        <v/>
      </c>
      <c r="AA751" s="1" t="n">
        <f aca="false">IFERROR(I751*1,0)</f>
        <v>0</v>
      </c>
    </row>
    <row r="752" customFormat="false" ht="15" hidden="false" customHeight="true" outlineLevel="0" collapsed="false">
      <c r="Z752" s="1" t="str">
        <f aca="false">IF(AND(R752="WON",ISNUMBER(I752)),AA752,"")</f>
        <v/>
      </c>
      <c r="AA752" s="1" t="n">
        <f aca="false">IFERROR(I752*1,0)</f>
        <v>0</v>
      </c>
    </row>
    <row r="753" customFormat="false" ht="15" hidden="false" customHeight="true" outlineLevel="0" collapsed="false">
      <c r="Z753" s="1" t="str">
        <f aca="false">IF(AND(R753="WON",ISNUMBER(I753)),AA753,"")</f>
        <v/>
      </c>
      <c r="AA753" s="1" t="n">
        <f aca="false">IFERROR(I753*1,0)</f>
        <v>0</v>
      </c>
    </row>
    <row r="754" customFormat="false" ht="15" hidden="false" customHeight="true" outlineLevel="0" collapsed="false">
      <c r="Z754" s="1" t="str">
        <f aca="false">IF(AND(R754="WON",ISNUMBER(I754)),AA754,"")</f>
        <v/>
      </c>
      <c r="AA754" s="1" t="n">
        <f aca="false">IFERROR(I754*1,0)</f>
        <v>0</v>
      </c>
    </row>
    <row r="755" customFormat="false" ht="15" hidden="false" customHeight="true" outlineLevel="0" collapsed="false">
      <c r="Z755" s="1" t="str">
        <f aca="false">IF(AND(R755="WON",ISNUMBER(I755)),AA755,"")</f>
        <v/>
      </c>
      <c r="AA755" s="1" t="n">
        <f aca="false">IFERROR(I755*1,0)</f>
        <v>0</v>
      </c>
    </row>
    <row r="756" customFormat="false" ht="15" hidden="false" customHeight="true" outlineLevel="0" collapsed="false">
      <c r="Z756" s="1" t="str">
        <f aca="false">IF(AND(R756="WON",ISNUMBER(I756)),AA756,"")</f>
        <v/>
      </c>
      <c r="AA756" s="1" t="n">
        <f aca="false">IFERROR(I756*1,0)</f>
        <v>0</v>
      </c>
    </row>
    <row r="757" customFormat="false" ht="15" hidden="false" customHeight="true" outlineLevel="0" collapsed="false">
      <c r="Z757" s="1" t="str">
        <f aca="false">IF(AND(R757="WON",ISNUMBER(I757)),AA757,"")</f>
        <v/>
      </c>
      <c r="AA757" s="1" t="n">
        <f aca="false">IFERROR(I757*1,0)</f>
        <v>0</v>
      </c>
    </row>
    <row r="758" customFormat="false" ht="15" hidden="false" customHeight="true" outlineLevel="0" collapsed="false">
      <c r="Z758" s="1" t="str">
        <f aca="false">IF(AND(R758="WON",ISNUMBER(I758)),AA758,"")</f>
        <v/>
      </c>
      <c r="AA758" s="1" t="n">
        <f aca="false">IFERROR(I758*1,0)</f>
        <v>0</v>
      </c>
    </row>
    <row r="759" customFormat="false" ht="15" hidden="false" customHeight="true" outlineLevel="0" collapsed="false">
      <c r="Z759" s="1" t="str">
        <f aca="false">IF(AND(R759="WON",ISNUMBER(I759)),AA759,"")</f>
        <v/>
      </c>
      <c r="AA759" s="1" t="n">
        <f aca="false">IFERROR(I759*1,0)</f>
        <v>0</v>
      </c>
    </row>
    <row r="760" customFormat="false" ht="15" hidden="false" customHeight="true" outlineLevel="0" collapsed="false">
      <c r="Z760" s="1" t="str">
        <f aca="false">IF(AND(R760="WON",ISNUMBER(I760)),AA760,"")</f>
        <v/>
      </c>
      <c r="AA760" s="1" t="n">
        <f aca="false">IFERROR(I760*1,0)</f>
        <v>0</v>
      </c>
    </row>
    <row r="761" customFormat="false" ht="15" hidden="false" customHeight="true" outlineLevel="0" collapsed="false">
      <c r="Z761" s="1" t="str">
        <f aca="false">IF(AND(R761="WON",ISNUMBER(I761)),AA761,"")</f>
        <v/>
      </c>
      <c r="AA761" s="1" t="n">
        <f aca="false">IFERROR(I761*1,0)</f>
        <v>0</v>
      </c>
    </row>
    <row r="762" customFormat="false" ht="15" hidden="false" customHeight="true" outlineLevel="0" collapsed="false">
      <c r="Z762" s="1" t="str">
        <f aca="false">IF(AND(R762="WON",ISNUMBER(I762)),AA762,"")</f>
        <v/>
      </c>
      <c r="AA762" s="1" t="n">
        <f aca="false">IFERROR(I762*1,0)</f>
        <v>0</v>
      </c>
    </row>
    <row r="763" customFormat="false" ht="15" hidden="false" customHeight="true" outlineLevel="0" collapsed="false">
      <c r="Z763" s="1" t="str">
        <f aca="false">IF(AND(R763="WON",ISNUMBER(I763)),AA763,"")</f>
        <v/>
      </c>
      <c r="AA763" s="1" t="n">
        <f aca="false">IFERROR(I763*1,0)</f>
        <v>0</v>
      </c>
    </row>
    <row r="764" customFormat="false" ht="15" hidden="false" customHeight="true" outlineLevel="0" collapsed="false">
      <c r="Z764" s="1" t="str">
        <f aca="false">IF(AND(R764="WON",ISNUMBER(I764)),AA764,"")</f>
        <v/>
      </c>
      <c r="AA764" s="1" t="n">
        <f aca="false">IFERROR(I764*1,0)</f>
        <v>0</v>
      </c>
    </row>
    <row r="765" customFormat="false" ht="15" hidden="false" customHeight="true" outlineLevel="0" collapsed="false">
      <c r="Z765" s="1" t="str">
        <f aca="false">IF(AND(R765="WON",ISNUMBER(I765)),AA765,"")</f>
        <v/>
      </c>
      <c r="AA765" s="1" t="n">
        <f aca="false">IFERROR(I765*1,0)</f>
        <v>0</v>
      </c>
    </row>
    <row r="766" customFormat="false" ht="15" hidden="false" customHeight="true" outlineLevel="0" collapsed="false">
      <c r="Z766" s="1" t="str">
        <f aca="false">IF(AND(R766="WON",ISNUMBER(I766)),AA766,"")</f>
        <v/>
      </c>
      <c r="AA766" s="1" t="n">
        <f aca="false">IFERROR(I766*1,0)</f>
        <v>0</v>
      </c>
    </row>
    <row r="767" customFormat="false" ht="15" hidden="false" customHeight="true" outlineLevel="0" collapsed="false">
      <c r="Z767" s="1" t="str">
        <f aca="false">IF(AND(R767="WON",ISNUMBER(I767)),AA767,"")</f>
        <v/>
      </c>
      <c r="AA767" s="1" t="n">
        <f aca="false">IFERROR(I767*1,0)</f>
        <v>0</v>
      </c>
    </row>
    <row r="768" customFormat="false" ht="15" hidden="false" customHeight="true" outlineLevel="0" collapsed="false">
      <c r="Z768" s="1" t="str">
        <f aca="false">IF(AND(R768="WON",ISNUMBER(I768)),AA768,"")</f>
        <v/>
      </c>
      <c r="AA768" s="1" t="n">
        <f aca="false">IFERROR(I768*1,0)</f>
        <v>0</v>
      </c>
    </row>
    <row r="769" customFormat="false" ht="15" hidden="false" customHeight="true" outlineLevel="0" collapsed="false">
      <c r="Z769" s="1" t="str">
        <f aca="false">IF(AND(R769="WON",ISNUMBER(I769)),AA769,"")</f>
        <v/>
      </c>
      <c r="AA769" s="1" t="n">
        <f aca="false">IFERROR(I769*1,0)</f>
        <v>0</v>
      </c>
    </row>
    <row r="770" customFormat="false" ht="15" hidden="false" customHeight="true" outlineLevel="0" collapsed="false">
      <c r="Z770" s="1" t="str">
        <f aca="false">IF(AND(R770="WON",ISNUMBER(I770)),AA770,"")</f>
        <v/>
      </c>
      <c r="AA770" s="1" t="n">
        <f aca="false">IFERROR(I770*1,0)</f>
        <v>0</v>
      </c>
    </row>
    <row r="771" customFormat="false" ht="15" hidden="false" customHeight="true" outlineLevel="0" collapsed="false">
      <c r="Z771" s="1" t="str">
        <f aca="false">IF(AND(R771="WON",ISNUMBER(I771)),AA771,"")</f>
        <v/>
      </c>
      <c r="AA771" s="1" t="n">
        <f aca="false">IFERROR(I771*1,0)</f>
        <v>0</v>
      </c>
    </row>
    <row r="772" customFormat="false" ht="15" hidden="false" customHeight="true" outlineLevel="0" collapsed="false">
      <c r="Z772" s="1" t="str">
        <f aca="false">IF(AND(R772="WON",ISNUMBER(I772)),AA772,"")</f>
        <v/>
      </c>
      <c r="AA772" s="1" t="n">
        <f aca="false">IFERROR(I772*1,0)</f>
        <v>0</v>
      </c>
    </row>
    <row r="773" customFormat="false" ht="15" hidden="false" customHeight="true" outlineLevel="0" collapsed="false">
      <c r="Z773" s="1" t="str">
        <f aca="false">IF(AND(R773="WON",ISNUMBER(I773)),AA773,"")</f>
        <v/>
      </c>
      <c r="AA773" s="1" t="n">
        <f aca="false">IFERROR(I773*1,0)</f>
        <v>0</v>
      </c>
    </row>
    <row r="774" customFormat="false" ht="15" hidden="false" customHeight="true" outlineLevel="0" collapsed="false">
      <c r="Z774" s="1" t="str">
        <f aca="false">IF(AND(R774="WON",ISNUMBER(I774)),AA774,"")</f>
        <v/>
      </c>
      <c r="AA774" s="1" t="n">
        <f aca="false">IFERROR(I774*1,0)</f>
        <v>0</v>
      </c>
    </row>
    <row r="775" customFormat="false" ht="15" hidden="false" customHeight="true" outlineLevel="0" collapsed="false">
      <c r="Z775" s="1" t="str">
        <f aca="false">IF(AND(R775="WON",ISNUMBER(I775)),AA775,"")</f>
        <v/>
      </c>
      <c r="AA775" s="1" t="n">
        <f aca="false">IFERROR(I775*1,0)</f>
        <v>0</v>
      </c>
    </row>
    <row r="776" customFormat="false" ht="15" hidden="false" customHeight="true" outlineLevel="0" collapsed="false">
      <c r="Z776" s="1" t="str">
        <f aca="false">IF(AND(R776="WON",ISNUMBER(I776)),AA776,"")</f>
        <v/>
      </c>
      <c r="AA776" s="1" t="n">
        <f aca="false">IFERROR(I776*1,0)</f>
        <v>0</v>
      </c>
    </row>
    <row r="777" customFormat="false" ht="15" hidden="false" customHeight="true" outlineLevel="0" collapsed="false">
      <c r="Z777" s="1" t="str">
        <f aca="false">IF(AND(R777="WON",ISNUMBER(I777)),AA777,"")</f>
        <v/>
      </c>
      <c r="AA777" s="1" t="n">
        <f aca="false">IFERROR(I777*1,0)</f>
        <v>0</v>
      </c>
    </row>
    <row r="778" customFormat="false" ht="15" hidden="false" customHeight="true" outlineLevel="0" collapsed="false">
      <c r="Z778" s="1" t="str">
        <f aca="false">IF(AND(R778="WON",ISNUMBER(I778)),AA778,"")</f>
        <v/>
      </c>
      <c r="AA778" s="1" t="n">
        <f aca="false">IFERROR(I778*1,0)</f>
        <v>0</v>
      </c>
    </row>
    <row r="779" customFormat="false" ht="15" hidden="false" customHeight="true" outlineLevel="0" collapsed="false">
      <c r="Z779" s="1" t="str">
        <f aca="false">IF(AND(R779="WON",ISNUMBER(I779)),AA779,"")</f>
        <v/>
      </c>
      <c r="AA779" s="1" t="n">
        <f aca="false">IFERROR(I779*1,0)</f>
        <v>0</v>
      </c>
    </row>
    <row r="780" customFormat="false" ht="15" hidden="false" customHeight="true" outlineLevel="0" collapsed="false">
      <c r="Z780" s="1" t="str">
        <f aca="false">IF(AND(R780="WON",ISNUMBER(I780)),AA780,"")</f>
        <v/>
      </c>
      <c r="AA780" s="1" t="n">
        <f aca="false">IFERROR(I780*1,0)</f>
        <v>0</v>
      </c>
    </row>
    <row r="781" customFormat="false" ht="15" hidden="false" customHeight="true" outlineLevel="0" collapsed="false">
      <c r="Z781" s="1" t="str">
        <f aca="false">IF(AND(R781="WON",ISNUMBER(I781)),AA781,"")</f>
        <v/>
      </c>
      <c r="AA781" s="1" t="n">
        <f aca="false">IFERROR(I781*1,0)</f>
        <v>0</v>
      </c>
    </row>
    <row r="782" customFormat="false" ht="15" hidden="false" customHeight="true" outlineLevel="0" collapsed="false">
      <c r="Z782" s="1" t="str">
        <f aca="false">IF(AND(R782="WON",ISNUMBER(I782)),AA782,"")</f>
        <v/>
      </c>
      <c r="AA782" s="1" t="n">
        <f aca="false">IFERROR(I782*1,0)</f>
        <v>0</v>
      </c>
    </row>
    <row r="783" customFormat="false" ht="15" hidden="false" customHeight="true" outlineLevel="0" collapsed="false">
      <c r="Z783" s="1" t="str">
        <f aca="false">IF(AND(R783="WON",ISNUMBER(I783)),AA783,"")</f>
        <v/>
      </c>
      <c r="AA783" s="1" t="n">
        <f aca="false">IFERROR(I783*1,0)</f>
        <v>0</v>
      </c>
    </row>
    <row r="784" customFormat="false" ht="15" hidden="false" customHeight="true" outlineLevel="0" collapsed="false">
      <c r="Z784" s="1" t="str">
        <f aca="false">IF(AND(R784="WON",ISNUMBER(I784)),AA784,"")</f>
        <v/>
      </c>
      <c r="AA784" s="1" t="n">
        <f aca="false">IFERROR(I784*1,0)</f>
        <v>0</v>
      </c>
    </row>
    <row r="785" customFormat="false" ht="15" hidden="false" customHeight="true" outlineLevel="0" collapsed="false">
      <c r="Z785" s="1" t="str">
        <f aca="false">IF(AND(R785="WON",ISNUMBER(I785)),AA785,"")</f>
        <v/>
      </c>
      <c r="AA785" s="1" t="n">
        <f aca="false">IFERROR(I785*1,0)</f>
        <v>0</v>
      </c>
    </row>
    <row r="786" customFormat="false" ht="15" hidden="false" customHeight="true" outlineLevel="0" collapsed="false">
      <c r="Z786" s="1" t="str">
        <f aca="false">IF(AND(R786="WON",ISNUMBER(I786)),AA786,"")</f>
        <v/>
      </c>
      <c r="AA786" s="1" t="n">
        <f aca="false">IFERROR(I786*1,0)</f>
        <v>0</v>
      </c>
    </row>
    <row r="787" customFormat="false" ht="15" hidden="false" customHeight="true" outlineLevel="0" collapsed="false">
      <c r="Z787" s="1" t="str">
        <f aca="false">IF(AND(R787="WON",ISNUMBER(I787)),AA787,"")</f>
        <v/>
      </c>
      <c r="AA787" s="1" t="n">
        <f aca="false">IFERROR(I787*1,0)</f>
        <v>0</v>
      </c>
    </row>
    <row r="788" customFormat="false" ht="15" hidden="false" customHeight="true" outlineLevel="0" collapsed="false">
      <c r="Z788" s="1" t="str">
        <f aca="false">IF(AND(R788="WON",ISNUMBER(I788)),AA788,"")</f>
        <v/>
      </c>
      <c r="AA788" s="1" t="n">
        <f aca="false">IFERROR(I788*1,0)</f>
        <v>0</v>
      </c>
    </row>
    <row r="789" customFormat="false" ht="15" hidden="false" customHeight="true" outlineLevel="0" collapsed="false">
      <c r="Z789" s="1" t="str">
        <f aca="false">IF(AND(R789="WON",ISNUMBER(I789)),AA789,"")</f>
        <v/>
      </c>
      <c r="AA789" s="1" t="n">
        <f aca="false">IFERROR(I789*1,0)</f>
        <v>0</v>
      </c>
    </row>
    <row r="790" customFormat="false" ht="15" hidden="false" customHeight="true" outlineLevel="0" collapsed="false">
      <c r="Z790" s="1" t="str">
        <f aca="false">IF(AND(R790="WON",ISNUMBER(I790)),AA790,"")</f>
        <v/>
      </c>
      <c r="AA790" s="1" t="n">
        <f aca="false">IFERROR(I790*1,0)</f>
        <v>0</v>
      </c>
    </row>
    <row r="791" customFormat="false" ht="15" hidden="false" customHeight="true" outlineLevel="0" collapsed="false">
      <c r="Z791" s="1" t="str">
        <f aca="false">IF(AND(R791="WON",ISNUMBER(I791)),AA791,"")</f>
        <v/>
      </c>
      <c r="AA791" s="1" t="n">
        <f aca="false">IFERROR(I791*1,0)</f>
        <v>0</v>
      </c>
    </row>
    <row r="792" customFormat="false" ht="15" hidden="false" customHeight="true" outlineLevel="0" collapsed="false">
      <c r="Z792" s="1" t="str">
        <f aca="false">IF(AND(R792="WON",ISNUMBER(I792)),AA792,"")</f>
        <v/>
      </c>
      <c r="AA792" s="1" t="n">
        <f aca="false">IFERROR(I792*1,0)</f>
        <v>0</v>
      </c>
    </row>
    <row r="793" customFormat="false" ht="15" hidden="false" customHeight="true" outlineLevel="0" collapsed="false">
      <c r="Z793" s="1" t="str">
        <f aca="false">IF(AND(R793="WON",ISNUMBER(I793)),AA793,"")</f>
        <v/>
      </c>
      <c r="AA793" s="1" t="n">
        <f aca="false">IFERROR(I793*1,0)</f>
        <v>0</v>
      </c>
    </row>
    <row r="794" customFormat="false" ht="15" hidden="false" customHeight="true" outlineLevel="0" collapsed="false">
      <c r="Z794" s="1" t="str">
        <f aca="false">IF(AND(R794="WON",ISNUMBER(I794)),AA794,"")</f>
        <v/>
      </c>
      <c r="AA794" s="1" t="n">
        <f aca="false">IFERROR(I794*1,0)</f>
        <v>0</v>
      </c>
    </row>
    <row r="795" customFormat="false" ht="15" hidden="false" customHeight="true" outlineLevel="0" collapsed="false">
      <c r="Z795" s="1" t="str">
        <f aca="false">IF(AND(R795="WON",ISNUMBER(I795)),AA795,"")</f>
        <v/>
      </c>
      <c r="AA795" s="1" t="n">
        <f aca="false">IFERROR(I795*1,0)</f>
        <v>0</v>
      </c>
    </row>
    <row r="796" customFormat="false" ht="15" hidden="false" customHeight="true" outlineLevel="0" collapsed="false">
      <c r="Z796" s="1" t="str">
        <f aca="false">IF(AND(R796="WON",ISNUMBER(I796)),AA796,"")</f>
        <v/>
      </c>
      <c r="AA796" s="1" t="n">
        <f aca="false">IFERROR(I796*1,0)</f>
        <v>0</v>
      </c>
    </row>
    <row r="797" customFormat="false" ht="15" hidden="false" customHeight="true" outlineLevel="0" collapsed="false">
      <c r="Z797" s="1" t="str">
        <f aca="false">IF(AND(R797="WON",ISNUMBER(I797)),AA797,"")</f>
        <v/>
      </c>
      <c r="AA797" s="1" t="n">
        <f aca="false">IFERROR(I797*1,0)</f>
        <v>0</v>
      </c>
    </row>
    <row r="798" customFormat="false" ht="15" hidden="false" customHeight="true" outlineLevel="0" collapsed="false">
      <c r="Z798" s="1" t="str">
        <f aca="false">IF(AND(R798="WON",ISNUMBER(I798)),AA798,"")</f>
        <v/>
      </c>
      <c r="AA798" s="1" t="n">
        <f aca="false">IFERROR(I798*1,0)</f>
        <v>0</v>
      </c>
    </row>
    <row r="799" customFormat="false" ht="15" hidden="false" customHeight="true" outlineLevel="0" collapsed="false">
      <c r="Z799" s="1" t="str">
        <f aca="false">IF(AND(R799="WON",ISNUMBER(I799)),AA799,"")</f>
        <v/>
      </c>
      <c r="AA799" s="1" t="n">
        <f aca="false">IFERROR(I799*1,0)</f>
        <v>0</v>
      </c>
    </row>
    <row r="800" customFormat="false" ht="15" hidden="false" customHeight="true" outlineLevel="0" collapsed="false">
      <c r="Z800" s="1" t="str">
        <f aca="false">IF(AND(R800="WON",ISNUMBER(I800)),AA800,"")</f>
        <v/>
      </c>
      <c r="AA800" s="1" t="n">
        <f aca="false">IFERROR(I800*1,0)</f>
        <v>0</v>
      </c>
    </row>
    <row r="801" customFormat="false" ht="15" hidden="false" customHeight="true" outlineLevel="0" collapsed="false">
      <c r="Z801" s="1" t="str">
        <f aca="false">IF(AND(R801="WON",ISNUMBER(I801)),AA801,"")</f>
        <v/>
      </c>
      <c r="AA801" s="1" t="n">
        <f aca="false">IFERROR(I801*1,0)</f>
        <v>0</v>
      </c>
    </row>
    <row r="802" customFormat="false" ht="15" hidden="false" customHeight="true" outlineLevel="0" collapsed="false">
      <c r="Z802" s="1" t="str">
        <f aca="false">IF(AND(R802="WON",ISNUMBER(I802)),AA802,"")</f>
        <v/>
      </c>
      <c r="AA802" s="1" t="n">
        <f aca="false">IFERROR(I802*1,0)</f>
        <v>0</v>
      </c>
    </row>
    <row r="803" customFormat="false" ht="15" hidden="false" customHeight="true" outlineLevel="0" collapsed="false">
      <c r="Z803" s="1" t="str">
        <f aca="false">IF(AND(R803="WON",ISNUMBER(I803)),AA803,"")</f>
        <v/>
      </c>
      <c r="AA803" s="1" t="n">
        <f aca="false">IFERROR(I803*1,0)</f>
        <v>0</v>
      </c>
    </row>
    <row r="804" customFormat="false" ht="15" hidden="false" customHeight="true" outlineLevel="0" collapsed="false">
      <c r="Z804" s="1" t="str">
        <f aca="false">IF(AND(R804="WON",ISNUMBER(I804)),AA804,"")</f>
        <v/>
      </c>
      <c r="AA804" s="1" t="n">
        <f aca="false">IFERROR(I804*1,0)</f>
        <v>0</v>
      </c>
    </row>
    <row r="805" customFormat="false" ht="15" hidden="false" customHeight="true" outlineLevel="0" collapsed="false">
      <c r="Z805" s="1" t="str">
        <f aca="false">IF(AND(R805="WON",ISNUMBER(I805)),AA805,"")</f>
        <v/>
      </c>
      <c r="AA805" s="1" t="n">
        <f aca="false">IFERROR(I805*1,0)</f>
        <v>0</v>
      </c>
    </row>
    <row r="806" customFormat="false" ht="15" hidden="false" customHeight="true" outlineLevel="0" collapsed="false">
      <c r="Z806" s="1" t="str">
        <f aca="false">IF(AND(R806="WON",ISNUMBER(I806)),AA806,"")</f>
        <v/>
      </c>
      <c r="AA806" s="1" t="n">
        <f aca="false">IFERROR(I806*1,0)</f>
        <v>0</v>
      </c>
    </row>
    <row r="807" customFormat="false" ht="15" hidden="false" customHeight="true" outlineLevel="0" collapsed="false">
      <c r="Z807" s="1" t="str">
        <f aca="false">IF(AND(R807="WON",ISNUMBER(I807)),AA807,"")</f>
        <v/>
      </c>
      <c r="AA807" s="1" t="n">
        <f aca="false">IFERROR(I807*1,0)</f>
        <v>0</v>
      </c>
    </row>
    <row r="808" customFormat="false" ht="15" hidden="false" customHeight="true" outlineLevel="0" collapsed="false">
      <c r="Z808" s="1" t="str">
        <f aca="false">IF(AND(R808="WON",ISNUMBER(I808)),AA808,"")</f>
        <v/>
      </c>
      <c r="AA808" s="1" t="n">
        <f aca="false">IFERROR(I808*1,0)</f>
        <v>0</v>
      </c>
    </row>
    <row r="809" customFormat="false" ht="15" hidden="false" customHeight="true" outlineLevel="0" collapsed="false">
      <c r="Z809" s="1" t="str">
        <f aca="false">IF(AND(R809="WON",ISNUMBER(I809)),AA809,"")</f>
        <v/>
      </c>
      <c r="AA809" s="1" t="n">
        <f aca="false">IFERROR(I809*1,0)</f>
        <v>0</v>
      </c>
    </row>
    <row r="810" customFormat="false" ht="15" hidden="false" customHeight="true" outlineLevel="0" collapsed="false">
      <c r="Z810" s="1" t="str">
        <f aca="false">IF(AND(R810="WON",ISNUMBER(I810)),AA810,"")</f>
        <v/>
      </c>
      <c r="AA810" s="1" t="n">
        <f aca="false">IFERROR(I810*1,0)</f>
        <v>0</v>
      </c>
    </row>
    <row r="811" customFormat="false" ht="15" hidden="false" customHeight="true" outlineLevel="0" collapsed="false">
      <c r="Z811" s="1" t="str">
        <f aca="false">IF(AND(R811="WON",ISNUMBER(I811)),AA811,"")</f>
        <v/>
      </c>
      <c r="AA811" s="1" t="n">
        <f aca="false">IFERROR(I811*1,0)</f>
        <v>0</v>
      </c>
    </row>
    <row r="812" customFormat="false" ht="15" hidden="false" customHeight="true" outlineLevel="0" collapsed="false">
      <c r="Z812" s="1" t="str">
        <f aca="false">IF(AND(R812="WON",ISNUMBER(I812)),AA812,"")</f>
        <v/>
      </c>
      <c r="AA812" s="1" t="n">
        <f aca="false">IFERROR(I812*1,0)</f>
        <v>0</v>
      </c>
    </row>
    <row r="813" customFormat="false" ht="15" hidden="false" customHeight="true" outlineLevel="0" collapsed="false">
      <c r="Z813" s="1" t="str">
        <f aca="false">IF(AND(R813="WON",ISNUMBER(I813)),AA813,"")</f>
        <v/>
      </c>
      <c r="AA813" s="1" t="n">
        <f aca="false">IFERROR(I813*1,0)</f>
        <v>0</v>
      </c>
    </row>
    <row r="814" customFormat="false" ht="15" hidden="false" customHeight="true" outlineLevel="0" collapsed="false">
      <c r="Z814" s="1" t="str">
        <f aca="false">IF(AND(R814="WON",ISNUMBER(I814)),AA814,"")</f>
        <v/>
      </c>
      <c r="AA814" s="1" t="n">
        <f aca="false">IFERROR(I814*1,0)</f>
        <v>0</v>
      </c>
    </row>
    <row r="815" customFormat="false" ht="15" hidden="false" customHeight="true" outlineLevel="0" collapsed="false">
      <c r="Z815" s="1" t="str">
        <f aca="false">IF(AND(R815="WON",ISNUMBER(I815)),AA815,"")</f>
        <v/>
      </c>
      <c r="AA815" s="1" t="n">
        <f aca="false">IFERROR(I815*1,0)</f>
        <v>0</v>
      </c>
    </row>
    <row r="816" customFormat="false" ht="15" hidden="false" customHeight="true" outlineLevel="0" collapsed="false">
      <c r="Z816" s="1" t="str">
        <f aca="false">IF(AND(R816="WON",ISNUMBER(I816)),AA816,"")</f>
        <v/>
      </c>
      <c r="AA816" s="1" t="n">
        <f aca="false">IFERROR(I816*1,0)</f>
        <v>0</v>
      </c>
    </row>
    <row r="817" customFormat="false" ht="15" hidden="false" customHeight="true" outlineLevel="0" collapsed="false">
      <c r="Z817" s="1" t="str">
        <f aca="false">IF(AND(R817="WON",ISNUMBER(I817)),AA817,"")</f>
        <v/>
      </c>
      <c r="AA817" s="1" t="n">
        <f aca="false">IFERROR(I817*1,0)</f>
        <v>0</v>
      </c>
    </row>
    <row r="818" customFormat="false" ht="15" hidden="false" customHeight="true" outlineLevel="0" collapsed="false">
      <c r="Z818" s="1" t="str">
        <f aca="false">IF(AND(R818="WON",ISNUMBER(I818)),AA818,"")</f>
        <v/>
      </c>
      <c r="AA818" s="1" t="n">
        <f aca="false">IFERROR(I818*1,0)</f>
        <v>0</v>
      </c>
    </row>
    <row r="819" customFormat="false" ht="15" hidden="false" customHeight="true" outlineLevel="0" collapsed="false">
      <c r="Z819" s="1" t="str">
        <f aca="false">IF(AND(R819="WON",ISNUMBER(I819)),AA819,"")</f>
        <v/>
      </c>
      <c r="AA819" s="1" t="n">
        <f aca="false">IFERROR(I819*1,0)</f>
        <v>0</v>
      </c>
    </row>
    <row r="820" customFormat="false" ht="15" hidden="false" customHeight="true" outlineLevel="0" collapsed="false">
      <c r="Z820" s="1" t="str">
        <f aca="false">IF(AND(R820="WON",ISNUMBER(I820)),AA820,"")</f>
        <v/>
      </c>
      <c r="AA820" s="1" t="n">
        <f aca="false">IFERROR(I820*1,0)</f>
        <v>0</v>
      </c>
    </row>
    <row r="821" customFormat="false" ht="15" hidden="false" customHeight="true" outlineLevel="0" collapsed="false">
      <c r="Z821" s="1" t="str">
        <f aca="false">IF(AND(R821="WON",ISNUMBER(I821)),AA821,"")</f>
        <v/>
      </c>
      <c r="AA821" s="1" t="n">
        <f aca="false">IFERROR(I821*1,0)</f>
        <v>0</v>
      </c>
    </row>
    <row r="822" customFormat="false" ht="15" hidden="false" customHeight="true" outlineLevel="0" collapsed="false">
      <c r="Z822" s="1" t="str">
        <f aca="false">IF(AND(R822="WON",ISNUMBER(I822)),AA822,"")</f>
        <v/>
      </c>
      <c r="AA822" s="1" t="n">
        <f aca="false">IFERROR(I822*1,0)</f>
        <v>0</v>
      </c>
    </row>
    <row r="823" customFormat="false" ht="15" hidden="false" customHeight="true" outlineLevel="0" collapsed="false">
      <c r="Z823" s="1" t="str">
        <f aca="false">IF(AND(R823="WON",ISNUMBER(I823)),AA823,"")</f>
        <v/>
      </c>
      <c r="AA823" s="1" t="n">
        <f aca="false">IFERROR(I823*1,0)</f>
        <v>0</v>
      </c>
    </row>
    <row r="824" customFormat="false" ht="15" hidden="false" customHeight="true" outlineLevel="0" collapsed="false">
      <c r="Z824" s="1" t="str">
        <f aca="false">IF(AND(R824="WON",ISNUMBER(I824)),AA824,"")</f>
        <v/>
      </c>
      <c r="AA824" s="1" t="n">
        <f aca="false">IFERROR(I824*1,0)</f>
        <v>0</v>
      </c>
    </row>
    <row r="825" customFormat="false" ht="15" hidden="false" customHeight="true" outlineLevel="0" collapsed="false">
      <c r="Z825" s="1" t="str">
        <f aca="false">IF(AND(R825="WON",ISNUMBER(I825)),AA825,"")</f>
        <v/>
      </c>
      <c r="AA825" s="1" t="n">
        <f aca="false">IFERROR(I825*1,0)</f>
        <v>0</v>
      </c>
    </row>
    <row r="826" customFormat="false" ht="15" hidden="false" customHeight="true" outlineLevel="0" collapsed="false">
      <c r="Z826" s="1" t="str">
        <f aca="false">IF(AND(R826="WON",ISNUMBER(I826)),AA826,"")</f>
        <v/>
      </c>
      <c r="AA826" s="1" t="n">
        <f aca="false">IFERROR(I826*1,0)</f>
        <v>0</v>
      </c>
    </row>
    <row r="827" customFormat="false" ht="15" hidden="false" customHeight="true" outlineLevel="0" collapsed="false">
      <c r="Z827" s="1" t="str">
        <f aca="false">IF(AND(R827="WON",ISNUMBER(I827)),AA827,"")</f>
        <v/>
      </c>
      <c r="AA827" s="1" t="n">
        <f aca="false">IFERROR(I827*1,0)</f>
        <v>0</v>
      </c>
    </row>
    <row r="828" customFormat="false" ht="15" hidden="false" customHeight="true" outlineLevel="0" collapsed="false">
      <c r="Z828" s="1" t="str">
        <f aca="false">IF(AND(R828="WON",ISNUMBER(I828)),AA828,"")</f>
        <v/>
      </c>
      <c r="AA828" s="1" t="n">
        <f aca="false">IFERROR(I828*1,0)</f>
        <v>0</v>
      </c>
    </row>
    <row r="829" customFormat="false" ht="15" hidden="false" customHeight="true" outlineLevel="0" collapsed="false">
      <c r="Z829" s="1" t="str">
        <f aca="false">IF(AND(R829="WON",ISNUMBER(I829)),AA829,"")</f>
        <v/>
      </c>
      <c r="AA829" s="1" t="n">
        <f aca="false">IFERROR(I829*1,0)</f>
        <v>0</v>
      </c>
    </row>
    <row r="830" customFormat="false" ht="15" hidden="false" customHeight="true" outlineLevel="0" collapsed="false">
      <c r="Z830" s="1" t="str">
        <f aca="false">IF(AND(R830="WON",ISNUMBER(I830)),AA830,"")</f>
        <v/>
      </c>
      <c r="AA830" s="1" t="n">
        <f aca="false">IFERROR(I830*1,0)</f>
        <v>0</v>
      </c>
    </row>
    <row r="831" customFormat="false" ht="15" hidden="false" customHeight="true" outlineLevel="0" collapsed="false">
      <c r="Z831" s="1" t="str">
        <f aca="false">IF(AND(R831="WON",ISNUMBER(I831)),AA831,"")</f>
        <v/>
      </c>
      <c r="AA831" s="1" t="n">
        <f aca="false">IFERROR(I831*1,0)</f>
        <v>0</v>
      </c>
    </row>
    <row r="832" customFormat="false" ht="15" hidden="false" customHeight="true" outlineLevel="0" collapsed="false">
      <c r="Z832" s="1" t="str">
        <f aca="false">IF(AND(R832="WON",ISNUMBER(I832)),AA832,"")</f>
        <v/>
      </c>
      <c r="AA832" s="1" t="n">
        <f aca="false">IFERROR(I832*1,0)</f>
        <v>0</v>
      </c>
    </row>
    <row r="833" customFormat="false" ht="15" hidden="false" customHeight="true" outlineLevel="0" collapsed="false">
      <c r="Z833" s="1" t="str">
        <f aca="false">IF(AND(R833="WON",ISNUMBER(I833)),AA833,"")</f>
        <v/>
      </c>
      <c r="AA833" s="1" t="n">
        <f aca="false">IFERROR(I833*1,0)</f>
        <v>0</v>
      </c>
    </row>
    <row r="834" customFormat="false" ht="15" hidden="false" customHeight="true" outlineLevel="0" collapsed="false">
      <c r="Z834" s="1" t="str">
        <f aca="false">IF(AND(R834="WON",ISNUMBER(I834)),AA834,"")</f>
        <v/>
      </c>
      <c r="AA834" s="1" t="n">
        <f aca="false">IFERROR(I834*1,0)</f>
        <v>0</v>
      </c>
    </row>
    <row r="835" customFormat="false" ht="15" hidden="false" customHeight="true" outlineLevel="0" collapsed="false">
      <c r="Z835" s="1" t="str">
        <f aca="false">IF(AND(R835="WON",ISNUMBER(I835)),AA835,"")</f>
        <v/>
      </c>
      <c r="AA835" s="1" t="n">
        <f aca="false">IFERROR(I835*1,0)</f>
        <v>0</v>
      </c>
    </row>
    <row r="836" customFormat="false" ht="15" hidden="false" customHeight="true" outlineLevel="0" collapsed="false">
      <c r="Z836" s="1" t="str">
        <f aca="false">IF(AND(R836="WON",ISNUMBER(I836)),AA836,"")</f>
        <v/>
      </c>
      <c r="AA836" s="1" t="n">
        <f aca="false">IFERROR(I836*1,0)</f>
        <v>0</v>
      </c>
    </row>
    <row r="837" customFormat="false" ht="15" hidden="false" customHeight="true" outlineLevel="0" collapsed="false">
      <c r="Z837" s="1" t="str">
        <f aca="false">IF(AND(R837="WON",ISNUMBER(I837)),AA837,"")</f>
        <v/>
      </c>
      <c r="AA837" s="1" t="n">
        <f aca="false">IFERROR(I837*1,0)</f>
        <v>0</v>
      </c>
    </row>
    <row r="838" customFormat="false" ht="15" hidden="false" customHeight="true" outlineLevel="0" collapsed="false">
      <c r="Z838" s="1" t="str">
        <f aca="false">IF(AND(R838="WON",ISNUMBER(I838)),AA838,"")</f>
        <v/>
      </c>
      <c r="AA838" s="1" t="n">
        <f aca="false">IFERROR(I838*1,0)</f>
        <v>0</v>
      </c>
    </row>
    <row r="839" customFormat="false" ht="15" hidden="false" customHeight="true" outlineLevel="0" collapsed="false">
      <c r="Z839" s="1" t="str">
        <f aca="false">IF(AND(R839="WON",ISNUMBER(I839)),AA839,"")</f>
        <v/>
      </c>
      <c r="AA839" s="1" t="n">
        <f aca="false">IFERROR(I839*1,0)</f>
        <v>0</v>
      </c>
    </row>
    <row r="840" customFormat="false" ht="15" hidden="false" customHeight="true" outlineLevel="0" collapsed="false">
      <c r="Z840" s="1" t="str">
        <f aca="false">IF(AND(R840="WON",ISNUMBER(I840)),AA840,"")</f>
        <v/>
      </c>
      <c r="AA840" s="1" t="n">
        <f aca="false">IFERROR(I840*1,0)</f>
        <v>0</v>
      </c>
    </row>
    <row r="841" customFormat="false" ht="15" hidden="false" customHeight="true" outlineLevel="0" collapsed="false">
      <c r="Z841" s="1" t="str">
        <f aca="false">IF(AND(R841="WON",ISNUMBER(I841)),AA841,"")</f>
        <v/>
      </c>
      <c r="AA841" s="1" t="n">
        <f aca="false">IFERROR(I841*1,0)</f>
        <v>0</v>
      </c>
    </row>
    <row r="842" customFormat="false" ht="15" hidden="false" customHeight="true" outlineLevel="0" collapsed="false">
      <c r="Z842" s="1" t="str">
        <f aca="false">IF(AND(R842="WON",ISNUMBER(I842)),AA842,"")</f>
        <v/>
      </c>
      <c r="AA842" s="1" t="n">
        <f aca="false">IFERROR(I842*1,0)</f>
        <v>0</v>
      </c>
    </row>
    <row r="843" customFormat="false" ht="15" hidden="false" customHeight="true" outlineLevel="0" collapsed="false">
      <c r="Z843" s="1" t="str">
        <f aca="false">IF(AND(R843="WON",ISNUMBER(I843)),AA843,"")</f>
        <v/>
      </c>
      <c r="AA843" s="1" t="n">
        <f aca="false">IFERROR(I843*1,0)</f>
        <v>0</v>
      </c>
    </row>
    <row r="844" customFormat="false" ht="15" hidden="false" customHeight="true" outlineLevel="0" collapsed="false">
      <c r="Z844" s="1" t="str">
        <f aca="false">IF(AND(R844="WON",ISNUMBER(I844)),AA844,"")</f>
        <v/>
      </c>
      <c r="AA844" s="1" t="n">
        <f aca="false">IFERROR(I844*1,0)</f>
        <v>0</v>
      </c>
    </row>
    <row r="845" customFormat="false" ht="15" hidden="false" customHeight="true" outlineLevel="0" collapsed="false">
      <c r="Z845" s="1" t="str">
        <f aca="false">IF(AND(R845="WON",ISNUMBER(I845)),AA845,"")</f>
        <v/>
      </c>
      <c r="AA845" s="1" t="n">
        <f aca="false">IFERROR(I845*1,0)</f>
        <v>0</v>
      </c>
    </row>
    <row r="846" customFormat="false" ht="15" hidden="false" customHeight="true" outlineLevel="0" collapsed="false">
      <c r="Z846" s="1" t="str">
        <f aca="false">IF(AND(R846="WON",ISNUMBER(I846)),AA846,"")</f>
        <v/>
      </c>
      <c r="AA846" s="1" t="n">
        <f aca="false">IFERROR(I846*1,0)</f>
        <v>0</v>
      </c>
    </row>
    <row r="847" customFormat="false" ht="15" hidden="false" customHeight="true" outlineLevel="0" collapsed="false">
      <c r="Z847" s="1" t="str">
        <f aca="false">IF(AND(R847="WON",ISNUMBER(I847)),AA847,"")</f>
        <v/>
      </c>
      <c r="AA847" s="1" t="n">
        <f aca="false">IFERROR(I847*1,0)</f>
        <v>0</v>
      </c>
    </row>
    <row r="848" customFormat="false" ht="15" hidden="false" customHeight="true" outlineLevel="0" collapsed="false">
      <c r="Z848" s="1" t="str">
        <f aca="false">IF(AND(R848="WON",ISNUMBER(I848)),AA848,"")</f>
        <v/>
      </c>
      <c r="AA848" s="1" t="n">
        <f aca="false">IFERROR(I848*1,0)</f>
        <v>0</v>
      </c>
    </row>
    <row r="849" customFormat="false" ht="15" hidden="false" customHeight="true" outlineLevel="0" collapsed="false">
      <c r="Z849" s="1" t="str">
        <f aca="false">IF(AND(R849="WON",ISNUMBER(I849)),AA849,"")</f>
        <v/>
      </c>
      <c r="AA849" s="1" t="n">
        <f aca="false">IFERROR(I849*1,0)</f>
        <v>0</v>
      </c>
    </row>
    <row r="850" customFormat="false" ht="15" hidden="false" customHeight="true" outlineLevel="0" collapsed="false">
      <c r="Z850" s="1" t="str">
        <f aca="false">IF(AND(R850="WON",ISNUMBER(I850)),AA850,"")</f>
        <v/>
      </c>
      <c r="AA850" s="1" t="n">
        <f aca="false">IFERROR(I850*1,0)</f>
        <v>0</v>
      </c>
    </row>
    <row r="851" customFormat="false" ht="15" hidden="false" customHeight="true" outlineLevel="0" collapsed="false">
      <c r="Z851" s="1" t="str">
        <f aca="false">IF(AND(R851="WON",ISNUMBER(I851)),AA851,"")</f>
        <v/>
      </c>
      <c r="AA851" s="1" t="n">
        <f aca="false">IFERROR(I851*1,0)</f>
        <v>0</v>
      </c>
    </row>
    <row r="852" customFormat="false" ht="15" hidden="false" customHeight="true" outlineLevel="0" collapsed="false">
      <c r="Z852" s="1" t="str">
        <f aca="false">IF(AND(R852="WON",ISNUMBER(I852)),AA852,"")</f>
        <v/>
      </c>
      <c r="AA852" s="1" t="n">
        <f aca="false">IFERROR(I852*1,0)</f>
        <v>0</v>
      </c>
    </row>
    <row r="853" customFormat="false" ht="15" hidden="false" customHeight="true" outlineLevel="0" collapsed="false">
      <c r="Z853" s="1" t="str">
        <f aca="false">IF(AND(R853="WON",ISNUMBER(I853)),AA853,"")</f>
        <v/>
      </c>
      <c r="AA853" s="1" t="n">
        <f aca="false">IFERROR(I853*1,0)</f>
        <v>0</v>
      </c>
    </row>
    <row r="854" customFormat="false" ht="15" hidden="false" customHeight="true" outlineLevel="0" collapsed="false">
      <c r="Z854" s="1" t="str">
        <f aca="false">IF(AND(R854="WON",ISNUMBER(I854)),AA854,"")</f>
        <v/>
      </c>
      <c r="AA854" s="1" t="n">
        <f aca="false">IFERROR(I854*1,0)</f>
        <v>0</v>
      </c>
    </row>
    <row r="855" customFormat="false" ht="15" hidden="false" customHeight="true" outlineLevel="0" collapsed="false">
      <c r="Z855" s="1" t="str">
        <f aca="false">IF(AND(R855="WON",ISNUMBER(I855)),AA855,"")</f>
        <v/>
      </c>
      <c r="AA855" s="1" t="n">
        <f aca="false">IFERROR(I855*1,0)</f>
        <v>0</v>
      </c>
    </row>
    <row r="856" customFormat="false" ht="15" hidden="false" customHeight="true" outlineLevel="0" collapsed="false">
      <c r="Z856" s="1" t="str">
        <f aca="false">IF(AND(R856="WON",ISNUMBER(I856)),AA856,"")</f>
        <v/>
      </c>
      <c r="AA856" s="1" t="n">
        <f aca="false">IFERROR(I856*1,0)</f>
        <v>0</v>
      </c>
    </row>
    <row r="857" customFormat="false" ht="15" hidden="false" customHeight="true" outlineLevel="0" collapsed="false">
      <c r="Z857" s="1" t="str">
        <f aca="false">IF(AND(R857="WON",ISNUMBER(I857)),AA857,"")</f>
        <v/>
      </c>
      <c r="AA857" s="1" t="n">
        <f aca="false">IFERROR(I857*1,0)</f>
        <v>0</v>
      </c>
    </row>
    <row r="858" customFormat="false" ht="15" hidden="false" customHeight="true" outlineLevel="0" collapsed="false">
      <c r="Z858" s="1" t="str">
        <f aca="false">IF(AND(R858="WON",ISNUMBER(I858)),AA858,"")</f>
        <v/>
      </c>
      <c r="AA858" s="1" t="n">
        <f aca="false">IFERROR(I858*1,0)</f>
        <v>0</v>
      </c>
    </row>
    <row r="859" customFormat="false" ht="15" hidden="false" customHeight="true" outlineLevel="0" collapsed="false">
      <c r="Z859" s="1" t="str">
        <f aca="false">IF(AND(R859="WON",ISNUMBER(I859)),AA859,"")</f>
        <v/>
      </c>
      <c r="AA859" s="1" t="n">
        <f aca="false">IFERROR(I859*1,0)</f>
        <v>0</v>
      </c>
    </row>
    <row r="860" customFormat="false" ht="15" hidden="false" customHeight="true" outlineLevel="0" collapsed="false">
      <c r="Z860" s="1" t="str">
        <f aca="false">IF(AND(R860="WON",ISNUMBER(I860)),AA860,"")</f>
        <v/>
      </c>
      <c r="AA860" s="1" t="n">
        <f aca="false">IFERROR(I860*1,0)</f>
        <v>0</v>
      </c>
    </row>
    <row r="861" customFormat="false" ht="15" hidden="false" customHeight="true" outlineLevel="0" collapsed="false">
      <c r="Z861" s="1" t="str">
        <f aca="false">IF(AND(R861="WON",ISNUMBER(I861)),AA861,"")</f>
        <v/>
      </c>
      <c r="AA861" s="1" t="n">
        <f aca="false">IFERROR(I861*1,0)</f>
        <v>0</v>
      </c>
    </row>
    <row r="862" customFormat="false" ht="15" hidden="false" customHeight="true" outlineLevel="0" collapsed="false">
      <c r="Z862" s="1" t="str">
        <f aca="false">IF(AND(R862="WON",ISNUMBER(I862)),AA862,"")</f>
        <v/>
      </c>
      <c r="AA862" s="1" t="n">
        <f aca="false">IFERROR(I862*1,0)</f>
        <v>0</v>
      </c>
    </row>
    <row r="863" customFormat="false" ht="15" hidden="false" customHeight="true" outlineLevel="0" collapsed="false">
      <c r="Z863" s="1" t="str">
        <f aca="false">IF(AND(R863="WON",ISNUMBER(I863)),AA863,"")</f>
        <v/>
      </c>
      <c r="AA863" s="1" t="n">
        <f aca="false">IFERROR(I863*1,0)</f>
        <v>0</v>
      </c>
    </row>
    <row r="864" customFormat="false" ht="15" hidden="false" customHeight="true" outlineLevel="0" collapsed="false">
      <c r="Z864" s="1" t="str">
        <f aca="false">IF(AND(R864="WON",ISNUMBER(I864)),AA864,"")</f>
        <v/>
      </c>
      <c r="AA864" s="1" t="n">
        <f aca="false">IFERROR(I864*1,0)</f>
        <v>0</v>
      </c>
    </row>
    <row r="865" customFormat="false" ht="15" hidden="false" customHeight="true" outlineLevel="0" collapsed="false">
      <c r="Z865" s="1" t="str">
        <f aca="false">IF(AND(R865="WON",ISNUMBER(I865)),AA865,"")</f>
        <v/>
      </c>
      <c r="AA865" s="1" t="n">
        <f aca="false">IFERROR(I865*1,0)</f>
        <v>0</v>
      </c>
    </row>
    <row r="866" customFormat="false" ht="15" hidden="false" customHeight="true" outlineLevel="0" collapsed="false">
      <c r="Z866" s="1" t="str">
        <f aca="false">IF(AND(R866="WON",ISNUMBER(I866)),AA866,"")</f>
        <v/>
      </c>
      <c r="AA866" s="1" t="n">
        <f aca="false">IFERROR(I866*1,0)</f>
        <v>0</v>
      </c>
    </row>
    <row r="867" customFormat="false" ht="15" hidden="false" customHeight="true" outlineLevel="0" collapsed="false">
      <c r="Z867" s="1" t="str">
        <f aca="false">IF(AND(R867="WON",ISNUMBER(I867)),AA867,"")</f>
        <v/>
      </c>
      <c r="AA867" s="1" t="n">
        <f aca="false">IFERROR(I867*1,0)</f>
        <v>0</v>
      </c>
    </row>
    <row r="868" customFormat="false" ht="15" hidden="false" customHeight="true" outlineLevel="0" collapsed="false">
      <c r="Z868" s="1" t="str">
        <f aca="false">IF(AND(R868="WON",ISNUMBER(I868)),AA868,"")</f>
        <v/>
      </c>
      <c r="AA868" s="1" t="n">
        <f aca="false">IFERROR(I868*1,0)</f>
        <v>0</v>
      </c>
    </row>
    <row r="869" customFormat="false" ht="15" hidden="false" customHeight="true" outlineLevel="0" collapsed="false">
      <c r="Z869" s="1" t="str">
        <f aca="false">IF(AND(R869="WON",ISNUMBER(I869)),AA869,"")</f>
        <v/>
      </c>
      <c r="AA869" s="1" t="n">
        <f aca="false">IFERROR(I869*1,0)</f>
        <v>0</v>
      </c>
    </row>
    <row r="870" customFormat="false" ht="15" hidden="false" customHeight="true" outlineLevel="0" collapsed="false">
      <c r="Z870" s="1" t="str">
        <f aca="false">IF(AND(R870="WON",ISNUMBER(I870)),AA870,"")</f>
        <v/>
      </c>
      <c r="AA870" s="1" t="n">
        <f aca="false">IFERROR(I870*1,0)</f>
        <v>0</v>
      </c>
    </row>
    <row r="871" customFormat="false" ht="15" hidden="false" customHeight="true" outlineLevel="0" collapsed="false">
      <c r="Z871" s="1" t="str">
        <f aca="false">IF(AND(R871="WON",ISNUMBER(I871)),AA871,"")</f>
        <v/>
      </c>
      <c r="AA871" s="1" t="n">
        <f aca="false">IFERROR(I871*1,0)</f>
        <v>0</v>
      </c>
    </row>
    <row r="872" customFormat="false" ht="15" hidden="false" customHeight="true" outlineLevel="0" collapsed="false">
      <c r="Z872" s="1" t="str">
        <f aca="false">IF(AND(R872="WON",ISNUMBER(I872)),AA872,"")</f>
        <v/>
      </c>
      <c r="AA872" s="1" t="n">
        <f aca="false">IFERROR(I872*1,0)</f>
        <v>0</v>
      </c>
    </row>
    <row r="873" customFormat="false" ht="15" hidden="false" customHeight="true" outlineLevel="0" collapsed="false">
      <c r="Z873" s="1" t="str">
        <f aca="false">IF(AND(R873="WON",ISNUMBER(I873)),AA873,"")</f>
        <v/>
      </c>
      <c r="AA873" s="1" t="n">
        <f aca="false">IFERROR(I873*1,0)</f>
        <v>0</v>
      </c>
    </row>
    <row r="874" customFormat="false" ht="15" hidden="false" customHeight="true" outlineLevel="0" collapsed="false">
      <c r="Z874" s="1" t="str">
        <f aca="false">IF(AND(R874="WON",ISNUMBER(I874)),AA874,"")</f>
        <v/>
      </c>
      <c r="AA874" s="1" t="n">
        <f aca="false">IFERROR(I874*1,0)</f>
        <v>0</v>
      </c>
    </row>
    <row r="875" customFormat="false" ht="15" hidden="false" customHeight="true" outlineLevel="0" collapsed="false">
      <c r="Z875" s="1" t="str">
        <f aca="false">IF(AND(R875="WON",ISNUMBER(I875)),AA875,"")</f>
        <v/>
      </c>
      <c r="AA875" s="1" t="n">
        <f aca="false">IFERROR(I875*1,0)</f>
        <v>0</v>
      </c>
    </row>
    <row r="876" customFormat="false" ht="15" hidden="false" customHeight="true" outlineLevel="0" collapsed="false">
      <c r="Z876" s="1" t="str">
        <f aca="false">IF(AND(R876="WON",ISNUMBER(I876)),AA876,"")</f>
        <v/>
      </c>
      <c r="AA876" s="1" t="n">
        <f aca="false">IFERROR(I876*1,0)</f>
        <v>0</v>
      </c>
    </row>
    <row r="877" customFormat="false" ht="15" hidden="false" customHeight="true" outlineLevel="0" collapsed="false">
      <c r="Z877" s="1" t="str">
        <f aca="false">IF(AND(R877="WON",ISNUMBER(I877)),AA877,"")</f>
        <v/>
      </c>
      <c r="AA877" s="1" t="n">
        <f aca="false">IFERROR(I877*1,0)</f>
        <v>0</v>
      </c>
    </row>
    <row r="878" customFormat="false" ht="15" hidden="false" customHeight="true" outlineLevel="0" collapsed="false">
      <c r="Z878" s="1" t="str">
        <f aca="false">IF(AND(R878="WON",ISNUMBER(I878)),AA878,"")</f>
        <v/>
      </c>
      <c r="AA878" s="1" t="n">
        <f aca="false">IFERROR(I878*1,0)</f>
        <v>0</v>
      </c>
    </row>
    <row r="879" customFormat="false" ht="15" hidden="false" customHeight="true" outlineLevel="0" collapsed="false">
      <c r="Z879" s="1" t="str">
        <f aca="false">IF(AND(R879="WON",ISNUMBER(I879)),AA879,"")</f>
        <v/>
      </c>
      <c r="AA879" s="1" t="n">
        <f aca="false">IFERROR(I879*1,0)</f>
        <v>0</v>
      </c>
    </row>
    <row r="880" customFormat="false" ht="15" hidden="false" customHeight="true" outlineLevel="0" collapsed="false">
      <c r="Z880" s="1" t="str">
        <f aca="false">IF(AND(R880="WON",ISNUMBER(I880)),AA880,"")</f>
        <v/>
      </c>
      <c r="AA880" s="1" t="n">
        <f aca="false">IFERROR(I880*1,0)</f>
        <v>0</v>
      </c>
    </row>
    <row r="881" customFormat="false" ht="15" hidden="false" customHeight="true" outlineLevel="0" collapsed="false">
      <c r="Z881" s="1" t="str">
        <f aca="false">IF(AND(R881="WON",ISNUMBER(I881)),AA881,"")</f>
        <v/>
      </c>
      <c r="AA881" s="1" t="n">
        <f aca="false">IFERROR(I881*1,0)</f>
        <v>0</v>
      </c>
    </row>
    <row r="882" customFormat="false" ht="15" hidden="false" customHeight="true" outlineLevel="0" collapsed="false">
      <c r="Z882" s="1" t="str">
        <f aca="false">IF(AND(R882="WON",ISNUMBER(I882)),AA882,"")</f>
        <v/>
      </c>
      <c r="AA882" s="1" t="n">
        <f aca="false">IFERROR(I882*1,0)</f>
        <v>0</v>
      </c>
    </row>
    <row r="883" customFormat="false" ht="15" hidden="false" customHeight="true" outlineLevel="0" collapsed="false">
      <c r="Z883" s="1" t="str">
        <f aca="false">IF(AND(R883="WON",ISNUMBER(I883)),AA883,"")</f>
        <v/>
      </c>
      <c r="AA883" s="1" t="n">
        <f aca="false">IFERROR(I883*1,0)</f>
        <v>0</v>
      </c>
    </row>
    <row r="884" customFormat="false" ht="15" hidden="false" customHeight="true" outlineLevel="0" collapsed="false">
      <c r="Z884" s="1" t="str">
        <f aca="false">IF(AND(R884="WON",ISNUMBER(I884)),AA884,"")</f>
        <v/>
      </c>
      <c r="AA884" s="1" t="n">
        <f aca="false">IFERROR(I884*1,0)</f>
        <v>0</v>
      </c>
    </row>
    <row r="885" customFormat="false" ht="15" hidden="false" customHeight="true" outlineLevel="0" collapsed="false">
      <c r="Z885" s="1" t="str">
        <f aca="false">IF(AND(R885="WON",ISNUMBER(I885)),AA885,"")</f>
        <v/>
      </c>
      <c r="AA885" s="1" t="n">
        <f aca="false">IFERROR(I885*1,0)</f>
        <v>0</v>
      </c>
    </row>
    <row r="886" customFormat="false" ht="15" hidden="false" customHeight="true" outlineLevel="0" collapsed="false">
      <c r="Z886" s="1" t="str">
        <f aca="false">IF(AND(R886="WON",ISNUMBER(I886)),AA886,"")</f>
        <v/>
      </c>
      <c r="AA886" s="1" t="n">
        <f aca="false">IFERROR(I886*1,0)</f>
        <v>0</v>
      </c>
    </row>
    <row r="887" customFormat="false" ht="15" hidden="false" customHeight="true" outlineLevel="0" collapsed="false">
      <c r="Z887" s="1" t="str">
        <f aca="false">IF(AND(R887="WON",ISNUMBER(I887)),AA887,"")</f>
        <v/>
      </c>
      <c r="AA887" s="1" t="n">
        <f aca="false">IFERROR(I887*1,0)</f>
        <v>0</v>
      </c>
    </row>
    <row r="888" customFormat="false" ht="15" hidden="false" customHeight="true" outlineLevel="0" collapsed="false">
      <c r="Z888" s="1" t="str">
        <f aca="false">IF(AND(R888="WON",ISNUMBER(I888)),AA888,"")</f>
        <v/>
      </c>
      <c r="AA888" s="1" t="n">
        <f aca="false">IFERROR(I888*1,0)</f>
        <v>0</v>
      </c>
    </row>
    <row r="889" customFormat="false" ht="15" hidden="false" customHeight="true" outlineLevel="0" collapsed="false">
      <c r="Z889" s="1" t="str">
        <f aca="false">IF(AND(R889="WON",ISNUMBER(I889)),AA889,"")</f>
        <v/>
      </c>
      <c r="AA889" s="1" t="n">
        <f aca="false">IFERROR(I889*1,0)</f>
        <v>0</v>
      </c>
    </row>
    <row r="890" customFormat="false" ht="15" hidden="false" customHeight="true" outlineLevel="0" collapsed="false">
      <c r="Z890" s="1" t="str">
        <f aca="false">IF(AND(R890="WON",ISNUMBER(I890)),AA890,"")</f>
        <v/>
      </c>
      <c r="AA890" s="1" t="n">
        <f aca="false">IFERROR(I890*1,0)</f>
        <v>0</v>
      </c>
    </row>
    <row r="891" customFormat="false" ht="15" hidden="false" customHeight="true" outlineLevel="0" collapsed="false">
      <c r="Z891" s="1" t="str">
        <f aca="false">IF(AND(R891="WON",ISNUMBER(I891)),AA891,"")</f>
        <v/>
      </c>
      <c r="AA891" s="1" t="n">
        <f aca="false">IFERROR(I891*1,0)</f>
        <v>0</v>
      </c>
    </row>
    <row r="892" customFormat="false" ht="15" hidden="false" customHeight="true" outlineLevel="0" collapsed="false">
      <c r="Z892" s="1" t="str">
        <f aca="false">IF(AND(R892="WON",ISNUMBER(I892)),AA892,"")</f>
        <v/>
      </c>
      <c r="AA892" s="1" t="n">
        <f aca="false">IFERROR(I892*1,0)</f>
        <v>0</v>
      </c>
    </row>
    <row r="893" customFormat="false" ht="15" hidden="false" customHeight="true" outlineLevel="0" collapsed="false">
      <c r="Z893" s="1" t="str">
        <f aca="false">IF(AND(R893="WON",ISNUMBER(I893)),AA893,"")</f>
        <v/>
      </c>
      <c r="AA893" s="1" t="n">
        <f aca="false">IFERROR(I893*1,0)</f>
        <v>0</v>
      </c>
    </row>
    <row r="894" customFormat="false" ht="15" hidden="false" customHeight="true" outlineLevel="0" collapsed="false">
      <c r="Z894" s="1" t="str">
        <f aca="false">IF(AND(R894="WON",ISNUMBER(I894)),AA894,"")</f>
        <v/>
      </c>
      <c r="AA894" s="1" t="n">
        <f aca="false">IFERROR(I894*1,0)</f>
        <v>0</v>
      </c>
    </row>
    <row r="895" customFormat="false" ht="15" hidden="false" customHeight="true" outlineLevel="0" collapsed="false">
      <c r="Z895" s="1" t="str">
        <f aca="false">IF(AND(R895="WON",ISNUMBER(I895)),AA895,"")</f>
        <v/>
      </c>
      <c r="AA895" s="1" t="n">
        <f aca="false">IFERROR(I895*1,0)</f>
        <v>0</v>
      </c>
    </row>
    <row r="896" customFormat="false" ht="15" hidden="false" customHeight="true" outlineLevel="0" collapsed="false">
      <c r="Z896" s="1" t="str">
        <f aca="false">IF(AND(R896="WON",ISNUMBER(I896)),AA896,"")</f>
        <v/>
      </c>
      <c r="AA896" s="1" t="n">
        <f aca="false">IFERROR(I896*1,0)</f>
        <v>0</v>
      </c>
    </row>
    <row r="897" customFormat="false" ht="15" hidden="false" customHeight="true" outlineLevel="0" collapsed="false">
      <c r="Z897" s="1" t="str">
        <f aca="false">IF(AND(R897="WON",ISNUMBER(I897)),AA897,"")</f>
        <v/>
      </c>
      <c r="AA897" s="1" t="n">
        <f aca="false">IFERROR(I897*1,0)</f>
        <v>0</v>
      </c>
    </row>
    <row r="898" customFormat="false" ht="15" hidden="false" customHeight="true" outlineLevel="0" collapsed="false">
      <c r="Z898" s="1" t="str">
        <f aca="false">IF(AND(R898="WON",ISNUMBER(I898)),AA898,"")</f>
        <v/>
      </c>
      <c r="AA898" s="1" t="n">
        <f aca="false">IFERROR(I898*1,0)</f>
        <v>0</v>
      </c>
    </row>
    <row r="899" customFormat="false" ht="15" hidden="false" customHeight="true" outlineLevel="0" collapsed="false">
      <c r="Z899" s="1" t="str">
        <f aca="false">IF(AND(R899="WON",ISNUMBER(I899)),AA899,"")</f>
        <v/>
      </c>
      <c r="AA899" s="1" t="n">
        <f aca="false">IFERROR(I899*1,0)</f>
        <v>0</v>
      </c>
    </row>
    <row r="900" customFormat="false" ht="15" hidden="false" customHeight="true" outlineLevel="0" collapsed="false">
      <c r="Z900" s="1" t="str">
        <f aca="false">IF(AND(R900="WON",ISNUMBER(I900)),AA900,"")</f>
        <v/>
      </c>
      <c r="AA900" s="1" t="n">
        <f aca="false">IFERROR(I900*1,0)</f>
        <v>0</v>
      </c>
    </row>
    <row r="901" customFormat="false" ht="15" hidden="false" customHeight="true" outlineLevel="0" collapsed="false">
      <c r="Z901" s="1" t="str">
        <f aca="false">IF(AND(R901="WON",ISNUMBER(I901)),AA901,"")</f>
        <v/>
      </c>
      <c r="AA901" s="1" t="n">
        <f aca="false">IFERROR(I901*1,0)</f>
        <v>0</v>
      </c>
    </row>
    <row r="902" customFormat="false" ht="15" hidden="false" customHeight="true" outlineLevel="0" collapsed="false">
      <c r="Z902" s="1" t="str">
        <f aca="false">IF(AND(R902="WON",ISNUMBER(I902)),AA902,"")</f>
        <v/>
      </c>
      <c r="AA902" s="1" t="n">
        <f aca="false">IFERROR(I902*1,0)</f>
        <v>0</v>
      </c>
    </row>
    <row r="903" customFormat="false" ht="15" hidden="false" customHeight="true" outlineLevel="0" collapsed="false">
      <c r="Z903" s="1" t="str">
        <f aca="false">IF(AND(R903="WON",ISNUMBER(I903)),AA903,"")</f>
        <v/>
      </c>
      <c r="AA903" s="1" t="n">
        <f aca="false">IFERROR(I903*1,0)</f>
        <v>0</v>
      </c>
    </row>
    <row r="904" customFormat="false" ht="15" hidden="false" customHeight="true" outlineLevel="0" collapsed="false">
      <c r="Z904" s="1" t="str">
        <f aca="false">IF(AND(R904="WON",ISNUMBER(I904)),AA904,"")</f>
        <v/>
      </c>
      <c r="AA904" s="1" t="n">
        <f aca="false">IFERROR(I904*1,0)</f>
        <v>0</v>
      </c>
    </row>
  </sheetData>
  <autoFilter ref="A5:X105">
    <filterColumn colId="17">
      <filters>
        <filter val="Evaluation"/>
        <filter val="follow-up"/>
        <filter val="In evaluation"/>
        <filter val="offered"/>
        <filter val="on hold"/>
        <filter val="tbd"/>
      </filters>
    </filterColumn>
  </autoFilter>
  <mergeCells count="11">
    <mergeCell ref="A1:X1"/>
    <mergeCell ref="A2:X2"/>
    <mergeCell ref="A3:X3"/>
    <mergeCell ref="A4:B4"/>
    <mergeCell ref="C4:F4"/>
    <mergeCell ref="G4:H4"/>
    <mergeCell ref="I4:L4"/>
    <mergeCell ref="M4:N4"/>
    <mergeCell ref="O4:R4"/>
    <mergeCell ref="S4:T4"/>
    <mergeCell ref="U4:X4"/>
  </mergeCells>
  <dataValidations count="3">
    <dataValidation allowBlank="true" errorStyle="stop" operator="between" showDropDown="false" showErrorMessage="false" showInputMessage="false" sqref="R6:R42" type="list">
      <formula1>"WON,LOST,Declined,offered,follow-up,on hold,Evaluation,to be offered,In evaluation,tbd"</formula1>
      <formula2>0</formula2>
    </dataValidation>
    <dataValidation allowBlank="true" errorStyle="stop" operator="between" showDropDown="false" showErrorMessage="false" showInputMessage="false" sqref="C6:C42" type="list">
      <formula1>"ZH,BE,AG,SG,GR,TG,SO,GE,VD,BS,BL,LU,ZG,SZ,TI,VS,FR,UR,NW,OW,GL,AI,AR,NE,SH,JU,CH,tbd"</formula1>
      <formula2>0</formula2>
    </dataValidation>
    <dataValidation allowBlank="true" errorStyle="stop" operator="between" showDropDown="false" showErrorMessage="false" showInputMessage="false" sqref="T6:T42" type="list">
      <formula1>"Kalt,Warm,Warm - Aggreko,Warm - CBM,Warm - Netzwerk,Inbound"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4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0"/>
    <col collapsed="false" customWidth="true" hidden="false" outlineLevel="0" max="9" min="9" style="1" width="18"/>
    <col collapsed="false" customWidth="true" hidden="false" outlineLevel="0" max="10" min="10" style="1" width="35"/>
  </cols>
  <sheetData>
    <row r="1" customFormat="false" ht="33.75" hidden="false" customHeight="true" outlineLevel="0" collapsed="false">
      <c r="A1" s="153" t="s">
        <v>311</v>
      </c>
      <c r="B1" s="153"/>
      <c r="C1" s="153"/>
      <c r="D1" s="153"/>
      <c r="E1" s="153"/>
      <c r="F1" s="153"/>
      <c r="G1" s="153"/>
      <c r="H1" s="153"/>
      <c r="I1" s="153"/>
      <c r="J1" s="153"/>
    </row>
    <row r="2" customFormat="false" ht="15.75" hidden="false" customHeight="true" outlineLevel="0" collapsed="false">
      <c r="A2" s="154" t="s">
        <v>312</v>
      </c>
      <c r="B2" s="154"/>
      <c r="C2" s="154"/>
      <c r="D2" s="154"/>
      <c r="E2" s="154"/>
      <c r="F2" s="154"/>
      <c r="G2" s="154"/>
      <c r="H2" s="154"/>
      <c r="I2" s="154"/>
      <c r="J2" s="154"/>
    </row>
    <row r="3" customFormat="false" ht="21.75" hidden="false" customHeight="true" outlineLevel="0" collapsed="false">
      <c r="A3" s="155" t="s">
        <v>6</v>
      </c>
      <c r="B3" s="156" t="s">
        <v>7</v>
      </c>
      <c r="C3" s="156" t="s">
        <v>9</v>
      </c>
      <c r="D3" s="155" t="s">
        <v>8</v>
      </c>
      <c r="E3" s="156" t="s">
        <v>313</v>
      </c>
      <c r="F3" s="156" t="s">
        <v>314</v>
      </c>
      <c r="G3" s="156" t="s">
        <v>315</v>
      </c>
      <c r="H3" s="155" t="s">
        <v>316</v>
      </c>
      <c r="I3" s="155" t="s">
        <v>14</v>
      </c>
      <c r="J3" s="156" t="s">
        <v>317</v>
      </c>
    </row>
    <row r="4" customFormat="false" ht="19.5" hidden="false" customHeight="true" outlineLevel="0" collapsed="false">
      <c r="A4" s="130" t="n">
        <v>1</v>
      </c>
      <c r="B4" s="131" t="s">
        <v>318</v>
      </c>
      <c r="C4" s="131" t="s">
        <v>51</v>
      </c>
      <c r="D4" s="130" t="s">
        <v>319</v>
      </c>
      <c r="E4" s="131" t="s">
        <v>320</v>
      </c>
      <c r="F4" s="131" t="s">
        <v>321</v>
      </c>
      <c r="G4" s="131" t="s">
        <v>322</v>
      </c>
      <c r="H4" s="130" t="str">
        <f aca="false">IF(B4="","",IF(COUNTIF('MiT Strom Pipeline'!$B$6:$B$904,B4)&gt;0,"✓",""))</f>
        <v/>
      </c>
      <c r="I4" s="130" t="str">
        <f aca="false">IF(B4="","",IFERROR(VLOOKUP(B4,'MiT Strom Pipeline'!$B$6:$R$904,17,0),""))</f>
        <v/>
      </c>
      <c r="J4" s="131" t="s">
        <v>323</v>
      </c>
    </row>
    <row r="5" customFormat="false" ht="19.5" hidden="false" customHeight="true" outlineLevel="0" collapsed="false">
      <c r="A5" s="22" t="n">
        <v>2</v>
      </c>
      <c r="B5" s="23" t="s">
        <v>324</v>
      </c>
      <c r="C5" s="23" t="s">
        <v>51</v>
      </c>
      <c r="D5" s="22" t="s">
        <v>44</v>
      </c>
      <c r="E5" s="23" t="s">
        <v>320</v>
      </c>
      <c r="F5" s="23" t="s">
        <v>325</v>
      </c>
      <c r="G5" s="23" t="s">
        <v>326</v>
      </c>
      <c r="H5" s="22" t="str">
        <f aca="false">IF(B5="","",IF(COUNTIF('MiT Strom Pipeline'!$B$6:$B$904,B5)&gt;0,"✓",""))</f>
        <v/>
      </c>
      <c r="I5" s="22" t="str">
        <f aca="false">IF(B5="","",IFERROR(VLOOKUP(B5,'MiT Strom Pipeline'!$B$6:$R$904,17,0),""))</f>
        <v/>
      </c>
      <c r="J5" s="23" t="s">
        <v>327</v>
      </c>
    </row>
    <row r="6" customFormat="false" ht="19.5" hidden="false" customHeight="true" outlineLevel="0" collapsed="false">
      <c r="A6" s="130" t="n">
        <v>3</v>
      </c>
      <c r="B6" s="131" t="s">
        <v>328</v>
      </c>
      <c r="C6" s="131" t="s">
        <v>84</v>
      </c>
      <c r="D6" s="130" t="s">
        <v>319</v>
      </c>
      <c r="E6" s="131" t="s">
        <v>328</v>
      </c>
      <c r="F6" s="131" t="s">
        <v>329</v>
      </c>
      <c r="G6" s="131" t="s">
        <v>330</v>
      </c>
      <c r="H6" s="130" t="str">
        <f aca="false">IF(B6="","",IF(COUNTIF('MiT Strom Pipeline'!$B$6:$B$904,B6)&gt;0,"✓",""))</f>
        <v/>
      </c>
      <c r="I6" s="130" t="str">
        <f aca="false">IF(B6="","",IFERROR(VLOOKUP(B6,'MiT Strom Pipeline'!$B$6:$R$904,17,0),""))</f>
        <v/>
      </c>
      <c r="J6" s="131" t="s">
        <v>331</v>
      </c>
    </row>
    <row r="7" customFormat="false" ht="19.5" hidden="false" customHeight="true" outlineLevel="0" collapsed="false">
      <c r="A7" s="22" t="n">
        <v>4</v>
      </c>
      <c r="B7" s="23" t="s">
        <v>332</v>
      </c>
      <c r="C7" s="23" t="s">
        <v>84</v>
      </c>
      <c r="D7" s="22" t="s">
        <v>319</v>
      </c>
      <c r="E7" s="23" t="s">
        <v>333</v>
      </c>
      <c r="F7" s="23"/>
      <c r="G7" s="23"/>
      <c r="H7" s="22" t="str">
        <f aca="false">IF(B7="","",IF(COUNTIF('MiT Strom Pipeline'!$B$6:$B$904,B7)&gt;0,"✓",""))</f>
        <v/>
      </c>
      <c r="I7" s="22" t="str">
        <f aca="false">IF(B7="","",IFERROR(VLOOKUP(B7,'MiT Strom Pipeline'!$B$6:$R$904,17,0),""))</f>
        <v/>
      </c>
      <c r="J7" s="23"/>
    </row>
    <row r="8" customFormat="false" ht="19.5" hidden="false" customHeight="true" outlineLevel="0" collapsed="false">
      <c r="A8" s="130" t="n">
        <v>5</v>
      </c>
      <c r="B8" s="131" t="s">
        <v>334</v>
      </c>
      <c r="C8" s="131" t="s">
        <v>335</v>
      </c>
      <c r="D8" s="130" t="s">
        <v>78</v>
      </c>
      <c r="E8" s="131" t="s">
        <v>320</v>
      </c>
      <c r="F8" s="131" t="s">
        <v>336</v>
      </c>
      <c r="G8" s="131" t="s">
        <v>337</v>
      </c>
      <c r="H8" s="130" t="str">
        <f aca="false">IF(B8="","",IF(COUNTIF('MiT Strom Pipeline'!$B$6:$B$904,B8)&gt;0,"✓",""))</f>
        <v/>
      </c>
      <c r="I8" s="130" t="str">
        <f aca="false">IF(B8="","",IFERROR(VLOOKUP(B8,'MiT Strom Pipeline'!$B$6:$R$904,17,0),""))</f>
        <v/>
      </c>
      <c r="J8" s="131" t="s">
        <v>338</v>
      </c>
    </row>
    <row r="9" customFormat="false" ht="19.5" hidden="false" customHeight="true" outlineLevel="0" collapsed="false">
      <c r="A9" s="22" t="n">
        <v>6</v>
      </c>
      <c r="B9" s="23" t="s">
        <v>339</v>
      </c>
      <c r="C9" s="23" t="s">
        <v>333</v>
      </c>
      <c r="D9" s="22" t="s">
        <v>319</v>
      </c>
      <c r="E9" s="23" t="s">
        <v>333</v>
      </c>
      <c r="F9" s="23"/>
      <c r="G9" s="23"/>
      <c r="H9" s="22" t="str">
        <f aca="false">IF(B9="","",IF(COUNTIF('MiT Strom Pipeline'!$B$6:$B$904,B9)&gt;0,"✓",""))</f>
        <v/>
      </c>
      <c r="I9" s="22" t="str">
        <f aca="false">IF(B9="","",IFERROR(VLOOKUP(B9,'MiT Strom Pipeline'!$B$6:$R$904,17,0),""))</f>
        <v/>
      </c>
      <c r="J9" s="23"/>
    </row>
    <row r="10" customFormat="false" ht="19.5" hidden="false" customHeight="true" outlineLevel="0" collapsed="false">
      <c r="A10" s="130" t="n">
        <v>7</v>
      </c>
      <c r="B10" s="131" t="s">
        <v>340</v>
      </c>
      <c r="C10" s="131" t="s">
        <v>84</v>
      </c>
      <c r="D10" s="130" t="s">
        <v>319</v>
      </c>
      <c r="E10" s="131" t="s">
        <v>320</v>
      </c>
      <c r="F10" s="131"/>
      <c r="G10" s="131"/>
      <c r="H10" s="130" t="str">
        <f aca="false">IF(B10="","",IF(COUNTIF('MiT Strom Pipeline'!$B$6:$B$904,B10)&gt;0,"✓",""))</f>
        <v/>
      </c>
      <c r="I10" s="130" t="str">
        <f aca="false">IF(B10="","",IFERROR(VLOOKUP(B10,'MiT Strom Pipeline'!$B$6:$R$904,17,0),""))</f>
        <v/>
      </c>
      <c r="J10" s="131"/>
    </row>
    <row r="11" customFormat="false" ht="19.5" hidden="false" customHeight="true" outlineLevel="0" collapsed="false">
      <c r="A11" s="22" t="n">
        <v>8</v>
      </c>
      <c r="B11" s="23" t="s">
        <v>341</v>
      </c>
      <c r="C11" s="23" t="s">
        <v>75</v>
      </c>
      <c r="D11" s="22" t="s">
        <v>319</v>
      </c>
      <c r="E11" s="23" t="s">
        <v>320</v>
      </c>
      <c r="F11" s="23"/>
      <c r="G11" s="23"/>
      <c r="H11" s="22" t="str">
        <f aca="false">IF(B11="","",IF(COUNTIF('MiT Strom Pipeline'!$B$6:$B$904,B11)&gt;0,"✓",""))</f>
        <v/>
      </c>
      <c r="I11" s="22" t="str">
        <f aca="false">IF(B11="","",IFERROR(VLOOKUP(B11,'MiT Strom Pipeline'!$B$6:$R$904,17,0),""))</f>
        <v/>
      </c>
      <c r="J11" s="23"/>
    </row>
    <row r="12" customFormat="false" ht="19.5" hidden="false" customHeight="true" outlineLevel="0" collapsed="false">
      <c r="A12" s="130" t="n">
        <v>9</v>
      </c>
      <c r="B12" s="131" t="s">
        <v>342</v>
      </c>
      <c r="C12" s="131" t="s">
        <v>84</v>
      </c>
      <c r="D12" s="130" t="s">
        <v>319</v>
      </c>
      <c r="E12" s="131" t="s">
        <v>320</v>
      </c>
      <c r="F12" s="131"/>
      <c r="G12" s="131"/>
      <c r="H12" s="130" t="str">
        <f aca="false">IF(B12="","",IF(COUNTIF('MiT Strom Pipeline'!$B$6:$B$904,B12)&gt;0,"✓",""))</f>
        <v/>
      </c>
      <c r="I12" s="130" t="str">
        <f aca="false">IF(B12="","",IFERROR(VLOOKUP(B12,'MiT Strom Pipeline'!$B$6:$R$904,17,0),""))</f>
        <v/>
      </c>
      <c r="J12" s="131"/>
    </row>
    <row r="13" customFormat="false" ht="19.5" hidden="false" customHeight="true" outlineLevel="0" collapsed="false">
      <c r="A13" s="22" t="n">
        <v>10</v>
      </c>
      <c r="B13" s="23" t="s">
        <v>343</v>
      </c>
      <c r="C13" s="23" t="s">
        <v>54</v>
      </c>
      <c r="D13" s="22" t="s">
        <v>319</v>
      </c>
      <c r="E13" s="23" t="s">
        <v>320</v>
      </c>
      <c r="F13" s="23"/>
      <c r="G13" s="23"/>
      <c r="H13" s="22" t="str">
        <f aca="false">IF(B13="","",IF(COUNTIF('MiT Strom Pipeline'!$B$6:$B$904,B13)&gt;0,"✓",""))</f>
        <v/>
      </c>
      <c r="I13" s="22" t="str">
        <f aca="false">IF(B13="","",IFERROR(VLOOKUP(B13,'MiT Strom Pipeline'!$B$6:$R$904,17,0),""))</f>
        <v/>
      </c>
      <c r="J13" s="23"/>
    </row>
    <row r="14" customFormat="false" ht="19.5" hidden="false" customHeight="true" outlineLevel="0" collapsed="false">
      <c r="A14" s="130" t="n">
        <v>11</v>
      </c>
      <c r="B14" s="131" t="s">
        <v>344</v>
      </c>
      <c r="C14" s="131" t="s">
        <v>84</v>
      </c>
      <c r="D14" s="130" t="s">
        <v>345</v>
      </c>
      <c r="E14" s="131" t="s">
        <v>320</v>
      </c>
      <c r="F14" s="131"/>
      <c r="G14" s="131"/>
      <c r="H14" s="130" t="str">
        <f aca="false">IF(B14="","",IF(COUNTIF('MiT Strom Pipeline'!$B$6:$B$904,B14)&gt;0,"✓",""))</f>
        <v/>
      </c>
      <c r="I14" s="130" t="str">
        <f aca="false">IF(B14="","",IFERROR(VLOOKUP(B14,'MiT Strom Pipeline'!$B$6:$R$904,17,0),""))</f>
        <v/>
      </c>
      <c r="J14" s="131"/>
    </row>
    <row r="15" customFormat="false" ht="19.5" hidden="false" customHeight="true" outlineLevel="0" collapsed="false">
      <c r="A15" s="22" t="n">
        <v>12</v>
      </c>
      <c r="B15" s="23" t="s">
        <v>346</v>
      </c>
      <c r="C15" s="23" t="s">
        <v>347</v>
      </c>
      <c r="D15" s="22" t="s">
        <v>56</v>
      </c>
      <c r="E15" s="23" t="s">
        <v>320</v>
      </c>
      <c r="F15" s="23"/>
      <c r="G15" s="23"/>
      <c r="H15" s="22" t="str">
        <f aca="false">IF(B15="","",IF(COUNTIF('MiT Strom Pipeline'!$B$6:$B$904,B15)&gt;0,"✓",""))</f>
        <v/>
      </c>
      <c r="I15" s="22" t="str">
        <f aca="false">IF(B15="","",IFERROR(VLOOKUP(B15,'MiT Strom Pipeline'!$B$6:$R$904,17,0),""))</f>
        <v/>
      </c>
      <c r="J15" s="23"/>
    </row>
    <row r="16" customFormat="false" ht="19.5" hidden="false" customHeight="true" outlineLevel="0" collapsed="false">
      <c r="A16" s="130" t="n">
        <v>13</v>
      </c>
      <c r="B16" s="131" t="s">
        <v>348</v>
      </c>
      <c r="C16" s="131" t="s">
        <v>349</v>
      </c>
      <c r="D16" s="130" t="s">
        <v>319</v>
      </c>
      <c r="E16" s="131" t="s">
        <v>320</v>
      </c>
      <c r="F16" s="131"/>
      <c r="G16" s="131"/>
      <c r="H16" s="130" t="str">
        <f aca="false">IF(B16="","",IF(COUNTIF('MiT Strom Pipeline'!$B$6:$B$904,B16)&gt;0,"✓",""))</f>
        <v/>
      </c>
      <c r="I16" s="130" t="str">
        <f aca="false">IF(B16="","",IFERROR(VLOOKUP(B16,'MiT Strom Pipeline'!$B$6:$R$904,17,0),""))</f>
        <v/>
      </c>
      <c r="J16" s="131"/>
    </row>
    <row r="17" customFormat="false" ht="19.5" hidden="false" customHeight="true" outlineLevel="0" collapsed="false">
      <c r="A17" s="22" t="n">
        <v>14</v>
      </c>
      <c r="B17" s="23" t="s">
        <v>350</v>
      </c>
      <c r="C17" s="23" t="s">
        <v>84</v>
      </c>
      <c r="D17" s="22" t="s">
        <v>319</v>
      </c>
      <c r="E17" s="23" t="s">
        <v>320</v>
      </c>
      <c r="F17" s="23"/>
      <c r="G17" s="23"/>
      <c r="H17" s="22" t="str">
        <f aca="false">IF(B17="","",IF(COUNTIF('MiT Strom Pipeline'!$B$6:$B$904,B17)&gt;0,"✓",""))</f>
        <v/>
      </c>
      <c r="I17" s="22" t="str">
        <f aca="false">IF(B17="","",IFERROR(VLOOKUP(B17,'MiT Strom Pipeline'!$B$6:$R$904,17,0),""))</f>
        <v/>
      </c>
      <c r="J17" s="23"/>
    </row>
    <row r="18" customFormat="false" ht="19.5" hidden="false" customHeight="true" outlineLevel="0" collapsed="false">
      <c r="A18" s="130" t="n">
        <v>15</v>
      </c>
      <c r="B18" s="131" t="s">
        <v>351</v>
      </c>
      <c r="C18" s="131" t="s">
        <v>352</v>
      </c>
      <c r="D18" s="130" t="s">
        <v>319</v>
      </c>
      <c r="E18" s="131" t="s">
        <v>320</v>
      </c>
      <c r="F18" s="131"/>
      <c r="G18" s="131"/>
      <c r="H18" s="130" t="str">
        <f aca="false">IF(B18="","",IF(COUNTIF('MiT Strom Pipeline'!$B$6:$B$904,B18)&gt;0,"✓",""))</f>
        <v/>
      </c>
      <c r="I18" s="130" t="str">
        <f aca="false">IF(B18="","",IFERROR(VLOOKUP(B18,'MiT Strom Pipeline'!$B$6:$R$904,17,0),""))</f>
        <v/>
      </c>
      <c r="J18" s="131"/>
    </row>
    <row r="19" customFormat="false" ht="19.5" hidden="false" customHeight="true" outlineLevel="0" collapsed="false">
      <c r="A19" s="22" t="n">
        <v>16</v>
      </c>
      <c r="B19" s="23" t="s">
        <v>353</v>
      </c>
      <c r="C19" s="23" t="s">
        <v>51</v>
      </c>
      <c r="D19" s="22" t="s">
        <v>319</v>
      </c>
      <c r="E19" s="23" t="s">
        <v>320</v>
      </c>
      <c r="F19" s="23"/>
      <c r="G19" s="23"/>
      <c r="H19" s="22" t="str">
        <f aca="false">IF(B19="","",IF(COUNTIF('MiT Strom Pipeline'!$B$6:$B$904,B19)&gt;0,"✓",""))</f>
        <v/>
      </c>
      <c r="I19" s="22" t="str">
        <f aca="false">IF(B19="","",IFERROR(VLOOKUP(B19,'MiT Strom Pipeline'!$B$6:$R$904,17,0),""))</f>
        <v/>
      </c>
      <c r="J19" s="23"/>
    </row>
    <row r="20" customFormat="false" ht="19.5" hidden="false" customHeight="true" outlineLevel="0" collapsed="false">
      <c r="A20" s="130" t="n">
        <v>17</v>
      </c>
      <c r="B20" s="131" t="s">
        <v>354</v>
      </c>
      <c r="C20" s="131" t="s">
        <v>347</v>
      </c>
      <c r="D20" s="130" t="s">
        <v>319</v>
      </c>
      <c r="E20" s="131" t="s">
        <v>320</v>
      </c>
      <c r="F20" s="131"/>
      <c r="G20" s="131"/>
      <c r="H20" s="130" t="str">
        <f aca="false">IF(B20="","",IF(COUNTIF('MiT Strom Pipeline'!$B$6:$B$904,B20)&gt;0,"✓",""))</f>
        <v/>
      </c>
      <c r="I20" s="130" t="str">
        <f aca="false">IF(B20="","",IFERROR(VLOOKUP(B20,'MiT Strom Pipeline'!$B$6:$R$904,17,0),""))</f>
        <v/>
      </c>
      <c r="J20" s="131"/>
    </row>
    <row r="21" customFormat="false" ht="19.5" hidden="false" customHeight="true" outlineLevel="0" collapsed="false">
      <c r="A21" s="22" t="n">
        <v>18</v>
      </c>
      <c r="B21" s="23" t="s">
        <v>355</v>
      </c>
      <c r="C21" s="23" t="s">
        <v>84</v>
      </c>
      <c r="D21" s="22" t="s">
        <v>319</v>
      </c>
      <c r="E21" s="23" t="s">
        <v>320</v>
      </c>
      <c r="F21" s="23"/>
      <c r="G21" s="23"/>
      <c r="H21" s="22" t="str">
        <f aca="false">IF(B21="","",IF(COUNTIF('MiT Strom Pipeline'!$B$6:$B$904,B21)&gt;0,"✓",""))</f>
        <v/>
      </c>
      <c r="I21" s="22" t="str">
        <f aca="false">IF(B21="","",IFERROR(VLOOKUP(B21,'MiT Strom Pipeline'!$B$6:$R$904,17,0),""))</f>
        <v/>
      </c>
      <c r="J21" s="23"/>
    </row>
    <row r="22" customFormat="false" ht="19.5" hidden="false" customHeight="true" outlineLevel="0" collapsed="false">
      <c r="A22" s="130" t="n">
        <v>19</v>
      </c>
      <c r="B22" s="131" t="s">
        <v>356</v>
      </c>
      <c r="C22" s="131" t="s">
        <v>84</v>
      </c>
      <c r="D22" s="130" t="s">
        <v>319</v>
      </c>
      <c r="E22" s="131" t="s">
        <v>320</v>
      </c>
      <c r="F22" s="131"/>
      <c r="G22" s="131"/>
      <c r="H22" s="130" t="str">
        <f aca="false">IF(B22="","",IF(COUNTIF('MiT Strom Pipeline'!$B$6:$B$904,B22)&gt;0,"✓",""))</f>
        <v/>
      </c>
      <c r="I22" s="130" t="str">
        <f aca="false">IF(B22="","",IFERROR(VLOOKUP(B22,'MiT Strom Pipeline'!$B$6:$R$904,17,0),""))</f>
        <v/>
      </c>
      <c r="J22" s="131"/>
    </row>
    <row r="23" customFormat="false" ht="19.5" hidden="false" customHeight="true" outlineLevel="0" collapsed="false">
      <c r="A23" s="22" t="n">
        <v>20</v>
      </c>
      <c r="B23" s="23" t="s">
        <v>357</v>
      </c>
      <c r="C23" s="23" t="s">
        <v>54</v>
      </c>
      <c r="D23" s="22" t="s">
        <v>319</v>
      </c>
      <c r="E23" s="23" t="s">
        <v>320</v>
      </c>
      <c r="F23" s="23"/>
      <c r="G23" s="23"/>
      <c r="H23" s="22" t="str">
        <f aca="false">IF(B23="","",IF(COUNTIF('MiT Strom Pipeline'!$B$6:$B$904,B23)&gt;0,"✓",""))</f>
        <v/>
      </c>
      <c r="I23" s="22" t="str">
        <f aca="false">IF(B23="","",IFERROR(VLOOKUP(B23,'MiT Strom Pipeline'!$B$6:$R$904,17,0),""))</f>
        <v/>
      </c>
      <c r="J23" s="23"/>
    </row>
    <row r="24" customFormat="false" ht="19.5" hidden="false" customHeight="true" outlineLevel="0" collapsed="false">
      <c r="A24" s="130" t="n">
        <v>21</v>
      </c>
      <c r="B24" s="131" t="s">
        <v>358</v>
      </c>
      <c r="C24" s="131" t="s">
        <v>84</v>
      </c>
      <c r="D24" s="130" t="s">
        <v>319</v>
      </c>
      <c r="E24" s="131" t="s">
        <v>320</v>
      </c>
      <c r="F24" s="131"/>
      <c r="G24" s="131"/>
      <c r="H24" s="130" t="str">
        <f aca="false">IF(B24="","",IF(COUNTIF('MiT Strom Pipeline'!$B$6:$B$904,B24)&gt;0,"✓",""))</f>
        <v/>
      </c>
      <c r="I24" s="130" t="str">
        <f aca="false">IF(B24="","",IFERROR(VLOOKUP(B24,'MiT Strom Pipeline'!$B$6:$R$904,17,0),""))</f>
        <v/>
      </c>
      <c r="J24" s="131"/>
    </row>
    <row r="25" customFormat="false" ht="19.5" hidden="false" customHeight="true" outlineLevel="0" collapsed="false">
      <c r="A25" s="22" t="n">
        <v>22</v>
      </c>
      <c r="B25" s="23" t="s">
        <v>353</v>
      </c>
      <c r="C25" s="23" t="s">
        <v>51</v>
      </c>
      <c r="D25" s="22" t="s">
        <v>319</v>
      </c>
      <c r="E25" s="23" t="s">
        <v>320</v>
      </c>
      <c r="F25" s="23"/>
      <c r="G25" s="23"/>
      <c r="H25" s="22" t="str">
        <f aca="false">IF(B25="","",IF(COUNTIF('MiT Strom Pipeline'!$B$6:$B$904,B25)&gt;0,"✓",""))</f>
        <v/>
      </c>
      <c r="I25" s="22" t="str">
        <f aca="false">IF(B25="","",IFERROR(VLOOKUP(B25,'MiT Strom Pipeline'!$B$6:$R$904,17,0),""))</f>
        <v/>
      </c>
      <c r="J25" s="23"/>
    </row>
    <row r="26" customFormat="false" ht="19.5" hidden="false" customHeight="true" outlineLevel="0" collapsed="false">
      <c r="A26" s="130" t="n">
        <v>23</v>
      </c>
      <c r="B26" s="131" t="s">
        <v>359</v>
      </c>
      <c r="C26" s="131" t="s">
        <v>360</v>
      </c>
      <c r="D26" s="130" t="s">
        <v>319</v>
      </c>
      <c r="E26" s="131" t="s">
        <v>320</v>
      </c>
      <c r="F26" s="131"/>
      <c r="G26" s="131"/>
      <c r="H26" s="130" t="str">
        <f aca="false">IF(B26="","",IF(COUNTIF('MiT Strom Pipeline'!$B$6:$B$904,B26)&gt;0,"✓",""))</f>
        <v/>
      </c>
      <c r="I26" s="130" t="str">
        <f aca="false">IF(B26="","",IFERROR(VLOOKUP(B26,'MiT Strom Pipeline'!$B$6:$R$904,17,0),""))</f>
        <v/>
      </c>
      <c r="J26" s="131"/>
    </row>
    <row r="27" customFormat="false" ht="19.5" hidden="false" customHeight="true" outlineLevel="0" collapsed="false">
      <c r="A27" s="22" t="n">
        <v>24</v>
      </c>
      <c r="B27" s="23" t="s">
        <v>361</v>
      </c>
      <c r="C27" s="23" t="s">
        <v>51</v>
      </c>
      <c r="D27" s="22" t="s">
        <v>44</v>
      </c>
      <c r="E27" s="23" t="s">
        <v>320</v>
      </c>
      <c r="F27" s="23"/>
      <c r="G27" s="23"/>
      <c r="H27" s="22" t="str">
        <f aca="false">IF(B27="","",IF(COUNTIF('MiT Strom Pipeline'!$B$6:$B$904,B27)&gt;0,"✓",""))</f>
        <v/>
      </c>
      <c r="I27" s="22" t="str">
        <f aca="false">IF(B27="","",IFERROR(VLOOKUP(B27,'MiT Strom Pipeline'!$B$6:$R$904,17,0),""))</f>
        <v/>
      </c>
      <c r="J27" s="23"/>
    </row>
    <row r="28" customFormat="false" ht="19.5" hidden="false" customHeight="true" outlineLevel="0" collapsed="false">
      <c r="A28" s="130" t="n">
        <v>25</v>
      </c>
      <c r="B28" s="131" t="s">
        <v>362</v>
      </c>
      <c r="C28" s="131" t="s">
        <v>54</v>
      </c>
      <c r="D28" s="130" t="s">
        <v>319</v>
      </c>
      <c r="E28" s="131" t="s">
        <v>320</v>
      </c>
      <c r="F28" s="131"/>
      <c r="G28" s="131"/>
      <c r="H28" s="130" t="str">
        <f aca="false">IF(B28="","",IF(COUNTIF('MiT Strom Pipeline'!$B$6:$B$904,B28)&gt;0,"✓",""))</f>
        <v/>
      </c>
      <c r="I28" s="130" t="str">
        <f aca="false">IF(B28="","",IFERROR(VLOOKUP(B28,'MiT Strom Pipeline'!$B$6:$R$904,17,0),""))</f>
        <v/>
      </c>
      <c r="J28" s="131"/>
    </row>
    <row r="29" customFormat="false" ht="19.5" hidden="false" customHeight="true" outlineLevel="0" collapsed="false">
      <c r="A29" s="22" t="n">
        <v>26</v>
      </c>
      <c r="B29" s="23" t="s">
        <v>363</v>
      </c>
      <c r="C29" s="23" t="s">
        <v>84</v>
      </c>
      <c r="D29" s="22" t="s">
        <v>319</v>
      </c>
      <c r="E29" s="23" t="s">
        <v>328</v>
      </c>
      <c r="F29" s="23"/>
      <c r="G29" s="23"/>
      <c r="H29" s="22" t="str">
        <f aca="false">IF(B29="","",IF(COUNTIF('MiT Strom Pipeline'!$B$6:$B$904,B29)&gt;0,"✓",""))</f>
        <v/>
      </c>
      <c r="I29" s="22" t="str">
        <f aca="false">IF(B29="","",IFERROR(VLOOKUP(B29,'MiT Strom Pipeline'!$B$6:$R$904,17,0),""))</f>
        <v/>
      </c>
      <c r="J29" s="23"/>
    </row>
    <row r="30" customFormat="false" ht="19.5" hidden="false" customHeight="true" outlineLevel="0" collapsed="false">
      <c r="A30" s="130" t="n">
        <v>27</v>
      </c>
      <c r="B30" s="131" t="s">
        <v>364</v>
      </c>
      <c r="C30" s="131" t="s">
        <v>84</v>
      </c>
      <c r="D30" s="130" t="s">
        <v>319</v>
      </c>
      <c r="E30" s="131" t="s">
        <v>320</v>
      </c>
      <c r="F30" s="131"/>
      <c r="G30" s="131"/>
      <c r="H30" s="130" t="str">
        <f aca="false">IF(B30="","",IF(COUNTIF('MiT Strom Pipeline'!$B$6:$B$904,B30)&gt;0,"✓",""))</f>
        <v/>
      </c>
      <c r="I30" s="130" t="str">
        <f aca="false">IF(B30="","",IFERROR(VLOOKUP(B30,'MiT Strom Pipeline'!$B$6:$R$904,17,0),""))</f>
        <v/>
      </c>
      <c r="J30" s="131"/>
    </row>
    <row r="31" customFormat="false" ht="19.5" hidden="false" customHeight="true" outlineLevel="0" collapsed="false">
      <c r="A31" s="22" t="n">
        <v>28</v>
      </c>
      <c r="B31" s="23" t="s">
        <v>359</v>
      </c>
      <c r="C31" s="23" t="s">
        <v>360</v>
      </c>
      <c r="D31" s="22" t="s">
        <v>319</v>
      </c>
      <c r="E31" s="23" t="s">
        <v>320</v>
      </c>
      <c r="F31" s="23"/>
      <c r="G31" s="23"/>
      <c r="H31" s="22" t="str">
        <f aca="false">IF(B31="","",IF(COUNTIF('MiT Strom Pipeline'!$B$6:$B$904,B31)&gt;0,"✓",""))</f>
        <v/>
      </c>
      <c r="I31" s="22" t="str">
        <f aca="false">IF(B31="","",IFERROR(VLOOKUP(B31,'MiT Strom Pipeline'!$B$6:$R$904,17,0),""))</f>
        <v/>
      </c>
      <c r="J31" s="23"/>
    </row>
    <row r="32" customFormat="false" ht="19.5" hidden="false" customHeight="true" outlineLevel="0" collapsed="false">
      <c r="A32" s="130" t="n">
        <v>29</v>
      </c>
      <c r="B32" s="131" t="s">
        <v>365</v>
      </c>
      <c r="C32" s="131" t="s">
        <v>366</v>
      </c>
      <c r="D32" s="130" t="s">
        <v>319</v>
      </c>
      <c r="E32" s="131" t="s">
        <v>320</v>
      </c>
      <c r="F32" s="131"/>
      <c r="G32" s="131"/>
      <c r="H32" s="130" t="str">
        <f aca="false">IF(B32="","",IF(COUNTIF('MiT Strom Pipeline'!$B$6:$B$904,B32)&gt;0,"✓",""))</f>
        <v/>
      </c>
      <c r="I32" s="130" t="str">
        <f aca="false">IF(B32="","",IFERROR(VLOOKUP(B32,'MiT Strom Pipeline'!$B$6:$R$904,17,0),""))</f>
        <v/>
      </c>
      <c r="J32" s="131"/>
    </row>
    <row r="33" customFormat="false" ht="19.5" hidden="false" customHeight="true" outlineLevel="0" collapsed="false">
      <c r="A33" s="22" t="n">
        <v>30</v>
      </c>
      <c r="B33" s="23" t="s">
        <v>367</v>
      </c>
      <c r="C33" s="23" t="s">
        <v>84</v>
      </c>
      <c r="D33" s="22" t="s">
        <v>319</v>
      </c>
      <c r="E33" s="23" t="s">
        <v>320</v>
      </c>
      <c r="F33" s="23"/>
      <c r="G33" s="23"/>
      <c r="H33" s="22" t="str">
        <f aca="false">IF(B33="","",IF(COUNTIF('MiT Strom Pipeline'!$B$6:$B$904,B33)&gt;0,"✓",""))</f>
        <v/>
      </c>
      <c r="I33" s="22" t="str">
        <f aca="false">IF(B33="","",IFERROR(VLOOKUP(B33,'MiT Strom Pipeline'!$B$6:$R$904,17,0),""))</f>
        <v/>
      </c>
      <c r="J33" s="23"/>
    </row>
    <row r="34" customFormat="false" ht="19.5" hidden="false" customHeight="true" outlineLevel="0" collapsed="false">
      <c r="A34" s="130" t="n">
        <v>31</v>
      </c>
      <c r="B34" s="131" t="s">
        <v>368</v>
      </c>
      <c r="C34" s="131" t="s">
        <v>51</v>
      </c>
      <c r="D34" s="130" t="s">
        <v>78</v>
      </c>
      <c r="E34" s="131" t="s">
        <v>320</v>
      </c>
      <c r="F34" s="131"/>
      <c r="G34" s="131"/>
      <c r="H34" s="130" t="str">
        <f aca="false">IF(B34="","",IF(COUNTIF('MiT Strom Pipeline'!$B$6:$B$904,B34)&gt;0,"✓",""))</f>
        <v/>
      </c>
      <c r="I34" s="130" t="str">
        <f aca="false">IF(B34="","",IFERROR(VLOOKUP(B34,'MiT Strom Pipeline'!$B$6:$R$904,17,0),""))</f>
        <v/>
      </c>
      <c r="J34" s="131"/>
    </row>
    <row r="35" customFormat="false" ht="19.5" hidden="false" customHeight="true" outlineLevel="0" collapsed="false">
      <c r="A35" s="22" t="n">
        <v>32</v>
      </c>
      <c r="B35" s="23" t="s">
        <v>369</v>
      </c>
      <c r="C35" s="23" t="s">
        <v>54</v>
      </c>
      <c r="D35" s="22" t="s">
        <v>319</v>
      </c>
      <c r="E35" s="23" t="s">
        <v>320</v>
      </c>
      <c r="F35" s="23"/>
      <c r="G35" s="23"/>
      <c r="H35" s="22" t="str">
        <f aca="false">IF(B35="","",IF(COUNTIF('MiT Strom Pipeline'!$B$6:$B$904,B35)&gt;0,"✓",""))</f>
        <v/>
      </c>
      <c r="I35" s="22" t="str">
        <f aca="false">IF(B35="","",IFERROR(VLOOKUP(B35,'MiT Strom Pipeline'!$B$6:$R$904,17,0),""))</f>
        <v/>
      </c>
      <c r="J35" s="23"/>
    </row>
    <row r="36" customFormat="false" ht="19.5" hidden="false" customHeight="true" outlineLevel="0" collapsed="false">
      <c r="A36" s="130" t="n">
        <v>33</v>
      </c>
      <c r="B36" s="131" t="s">
        <v>370</v>
      </c>
      <c r="C36" s="131" t="s">
        <v>360</v>
      </c>
      <c r="D36" s="130" t="s">
        <v>53</v>
      </c>
      <c r="E36" s="131" t="s">
        <v>320</v>
      </c>
      <c r="F36" s="131"/>
      <c r="G36" s="131"/>
      <c r="H36" s="130" t="str">
        <f aca="false">IF(B36="","",IF(COUNTIF('MiT Strom Pipeline'!$B$6:$B$904,B36)&gt;0,"✓",""))</f>
        <v/>
      </c>
      <c r="I36" s="130" t="str">
        <f aca="false">IF(B36="","",IFERROR(VLOOKUP(B36,'MiT Strom Pipeline'!$B$6:$R$904,17,0),""))</f>
        <v/>
      </c>
      <c r="J36" s="131"/>
    </row>
    <row r="37" customFormat="false" ht="19.5" hidden="false" customHeight="true" outlineLevel="0" collapsed="false">
      <c r="A37" s="22" t="n">
        <v>34</v>
      </c>
      <c r="B37" s="23" t="s">
        <v>371</v>
      </c>
      <c r="C37" s="23" t="s">
        <v>54</v>
      </c>
      <c r="D37" s="22" t="s">
        <v>319</v>
      </c>
      <c r="E37" s="23" t="s">
        <v>320</v>
      </c>
      <c r="F37" s="23"/>
      <c r="G37" s="23"/>
      <c r="H37" s="22" t="str">
        <f aca="false">IF(B37="","",IF(COUNTIF('MiT Strom Pipeline'!$B$6:$B$904,B37)&gt;0,"✓",""))</f>
        <v/>
      </c>
      <c r="I37" s="22" t="str">
        <f aca="false">IF(B37="","",IFERROR(VLOOKUP(B37,'MiT Strom Pipeline'!$B$6:$R$904,17,0),""))</f>
        <v/>
      </c>
      <c r="J37" s="23"/>
    </row>
    <row r="38" customFormat="false" ht="19.5" hidden="false" customHeight="true" outlineLevel="0" collapsed="false">
      <c r="A38" s="130" t="n">
        <v>35</v>
      </c>
      <c r="B38" s="131" t="s">
        <v>372</v>
      </c>
      <c r="C38" s="131" t="s">
        <v>84</v>
      </c>
      <c r="D38" s="130" t="s">
        <v>319</v>
      </c>
      <c r="E38" s="131" t="s">
        <v>333</v>
      </c>
      <c r="F38" s="131"/>
      <c r="G38" s="131"/>
      <c r="H38" s="130" t="str">
        <f aca="false">IF(B38="","",IF(COUNTIF('MiT Strom Pipeline'!$B$6:$B$904,B38)&gt;0,"✓",""))</f>
        <v/>
      </c>
      <c r="I38" s="130" t="str">
        <f aca="false">IF(B38="","",IFERROR(VLOOKUP(B38,'MiT Strom Pipeline'!$B$6:$R$904,17,0),""))</f>
        <v/>
      </c>
      <c r="J38" s="131"/>
    </row>
    <row r="39" customFormat="false" ht="19.5" hidden="false" customHeight="true" outlineLevel="0" collapsed="false">
      <c r="A39" s="22" t="n">
        <v>36</v>
      </c>
      <c r="B39" s="23" t="s">
        <v>373</v>
      </c>
      <c r="C39" s="23" t="s">
        <v>366</v>
      </c>
      <c r="D39" s="22" t="s">
        <v>319</v>
      </c>
      <c r="E39" s="23" t="s">
        <v>320</v>
      </c>
      <c r="F39" s="23"/>
      <c r="G39" s="23"/>
      <c r="H39" s="22" t="str">
        <f aca="false">IF(B39="","",IF(COUNTIF('MiT Strom Pipeline'!$B$6:$B$904,B39)&gt;0,"✓",""))</f>
        <v/>
      </c>
      <c r="I39" s="22" t="str">
        <f aca="false">IF(B39="","",IFERROR(VLOOKUP(B39,'MiT Strom Pipeline'!$B$6:$R$904,17,0),""))</f>
        <v/>
      </c>
      <c r="J39" s="23"/>
    </row>
    <row r="40" customFormat="false" ht="19.5" hidden="false" customHeight="true" outlineLevel="0" collapsed="false">
      <c r="A40" s="130" t="n">
        <v>37</v>
      </c>
      <c r="B40" s="131" t="s">
        <v>374</v>
      </c>
      <c r="C40" s="131" t="s">
        <v>51</v>
      </c>
      <c r="D40" s="130" t="s">
        <v>319</v>
      </c>
      <c r="E40" s="131" t="s">
        <v>320</v>
      </c>
      <c r="F40" s="131"/>
      <c r="G40" s="131"/>
      <c r="H40" s="130" t="str">
        <f aca="false">IF(B40="","",IF(COUNTIF('MiT Strom Pipeline'!$B$6:$B$904,B40)&gt;0,"✓",""))</f>
        <v/>
      </c>
      <c r="I40" s="130" t="str">
        <f aca="false">IF(B40="","",IFERROR(VLOOKUP(B40,'MiT Strom Pipeline'!$B$6:$R$904,17,0),""))</f>
        <v/>
      </c>
      <c r="J40" s="131"/>
    </row>
    <row r="41" customFormat="false" ht="19.5" hidden="false" customHeight="true" outlineLevel="0" collapsed="false">
      <c r="A41" s="22" t="n">
        <v>38</v>
      </c>
      <c r="B41" s="23" t="s">
        <v>375</v>
      </c>
      <c r="C41" s="23" t="s">
        <v>51</v>
      </c>
      <c r="D41" s="22" t="s">
        <v>319</v>
      </c>
      <c r="E41" s="23" t="s">
        <v>320</v>
      </c>
      <c r="F41" s="23" t="s">
        <v>376</v>
      </c>
      <c r="G41" s="23" t="s">
        <v>377</v>
      </c>
      <c r="H41" s="22" t="str">
        <f aca="false">IF(B41="","",IF(COUNTIF('MiT Strom Pipeline'!$B$6:$B$904,B41)&gt;0,"✓",""))</f>
        <v/>
      </c>
      <c r="I41" s="22" t="str">
        <f aca="false">IF(B41="","",IFERROR(VLOOKUP(B41,'MiT Strom Pipeline'!$B$6:$R$904,17,0),""))</f>
        <v/>
      </c>
      <c r="J41" s="23" t="s">
        <v>378</v>
      </c>
    </row>
    <row r="42" customFormat="false" ht="19.5" hidden="false" customHeight="true" outlineLevel="0" collapsed="false">
      <c r="A42" s="130" t="n">
        <v>39</v>
      </c>
      <c r="B42" s="131" t="s">
        <v>379</v>
      </c>
      <c r="C42" s="131" t="s">
        <v>84</v>
      </c>
      <c r="D42" s="130" t="s">
        <v>319</v>
      </c>
      <c r="E42" s="131" t="s">
        <v>328</v>
      </c>
      <c r="F42" s="131"/>
      <c r="G42" s="131"/>
      <c r="H42" s="130" t="str">
        <f aca="false">IF(B42="","",IF(COUNTIF('MiT Strom Pipeline'!$B$6:$B$904,B42)&gt;0,"✓",""))</f>
        <v/>
      </c>
      <c r="I42" s="130" t="str">
        <f aca="false">IF(B42="","",IFERROR(VLOOKUP(B42,'MiT Strom Pipeline'!$B$6:$R$904,17,0),""))</f>
        <v/>
      </c>
      <c r="J42" s="131"/>
    </row>
    <row r="43" customFormat="false" ht="19.5" hidden="false" customHeight="true" outlineLevel="0" collapsed="false">
      <c r="A43" s="22" t="n">
        <v>40</v>
      </c>
      <c r="B43" s="23" t="s">
        <v>380</v>
      </c>
      <c r="C43" s="23" t="s">
        <v>84</v>
      </c>
      <c r="D43" s="22" t="s">
        <v>319</v>
      </c>
      <c r="E43" s="23" t="s">
        <v>320</v>
      </c>
      <c r="F43" s="23"/>
      <c r="G43" s="23"/>
      <c r="H43" s="22" t="str">
        <f aca="false">IF(B43="","",IF(COUNTIF('MiT Strom Pipeline'!$B$6:$B$904,B43)&gt;0,"✓",""))</f>
        <v/>
      </c>
      <c r="I43" s="22" t="str">
        <f aca="false">IF(B43="","",IFERROR(VLOOKUP(B43,'MiT Strom Pipeline'!$B$6:$R$904,17,0),""))</f>
        <v/>
      </c>
      <c r="J43" s="23"/>
    </row>
    <row r="44" customFormat="false" ht="19.5" hidden="false" customHeight="true" outlineLevel="0" collapsed="false">
      <c r="A44" s="130" t="n">
        <v>41</v>
      </c>
      <c r="B44" s="131" t="s">
        <v>381</v>
      </c>
      <c r="C44" s="131" t="s">
        <v>84</v>
      </c>
      <c r="D44" s="130" t="s">
        <v>319</v>
      </c>
      <c r="E44" s="131" t="s">
        <v>320</v>
      </c>
      <c r="F44" s="131"/>
      <c r="G44" s="131"/>
      <c r="H44" s="130" t="str">
        <f aca="false">IF(B44="","",IF(COUNTIF('MiT Strom Pipeline'!$B$6:$B$904,B44)&gt;0,"✓",""))</f>
        <v/>
      </c>
      <c r="I44" s="130" t="str">
        <f aca="false">IF(B44="","",IFERROR(VLOOKUP(B44,'MiT Strom Pipeline'!$B$6:$R$904,17,0),""))</f>
        <v/>
      </c>
      <c r="J44" s="131"/>
    </row>
    <row r="45" customFormat="false" ht="19.5" hidden="false" customHeight="true" outlineLevel="0" collapsed="false">
      <c r="A45" s="22" t="n">
        <v>42</v>
      </c>
      <c r="B45" s="23" t="s">
        <v>382</v>
      </c>
      <c r="C45" s="23" t="s">
        <v>347</v>
      </c>
      <c r="D45" s="22" t="s">
        <v>319</v>
      </c>
      <c r="E45" s="23" t="s">
        <v>320</v>
      </c>
      <c r="F45" s="23"/>
      <c r="G45" s="23"/>
      <c r="H45" s="22" t="str">
        <f aca="false">IF(B45="","",IF(COUNTIF('MiT Strom Pipeline'!$B$6:$B$904,B45)&gt;0,"✓",""))</f>
        <v/>
      </c>
      <c r="I45" s="22" t="str">
        <f aca="false">IF(B45="","",IFERROR(VLOOKUP(B45,'MiT Strom Pipeline'!$B$6:$R$904,17,0),""))</f>
        <v/>
      </c>
      <c r="J45" s="23"/>
    </row>
    <row r="46" customFormat="false" ht="19.5" hidden="false" customHeight="true" outlineLevel="0" collapsed="false">
      <c r="A46" s="130" t="n">
        <v>43</v>
      </c>
      <c r="B46" s="131" t="s">
        <v>383</v>
      </c>
      <c r="C46" s="131" t="s">
        <v>84</v>
      </c>
      <c r="D46" s="130" t="s">
        <v>319</v>
      </c>
      <c r="E46" s="131" t="s">
        <v>320</v>
      </c>
      <c r="F46" s="131"/>
      <c r="G46" s="131"/>
      <c r="H46" s="130" t="str">
        <f aca="false">IF(B46="","",IF(COUNTIF('MiT Strom Pipeline'!$B$6:$B$904,B46)&gt;0,"✓",""))</f>
        <v/>
      </c>
      <c r="I46" s="130" t="str">
        <f aca="false">IF(B46="","",IFERROR(VLOOKUP(B46,'MiT Strom Pipeline'!$B$6:$R$904,17,0),""))</f>
        <v/>
      </c>
      <c r="J46" s="131"/>
    </row>
    <row r="47" customFormat="false" ht="19.5" hidden="false" customHeight="true" outlineLevel="0" collapsed="false">
      <c r="A47" s="22" t="n">
        <v>44</v>
      </c>
      <c r="B47" s="23" t="s">
        <v>384</v>
      </c>
      <c r="C47" s="23" t="s">
        <v>51</v>
      </c>
      <c r="D47" s="22" t="s">
        <v>319</v>
      </c>
      <c r="E47" s="23" t="s">
        <v>320</v>
      </c>
      <c r="F47" s="23"/>
      <c r="G47" s="23"/>
      <c r="H47" s="22" t="str">
        <f aca="false">IF(B47="","",IF(COUNTIF('MiT Strom Pipeline'!$B$6:$B$904,B47)&gt;0,"✓",""))</f>
        <v/>
      </c>
      <c r="I47" s="22" t="str">
        <f aca="false">IF(B47="","",IFERROR(VLOOKUP(B47,'MiT Strom Pipeline'!$B$6:$R$904,17,0),""))</f>
        <v/>
      </c>
      <c r="J47" s="23"/>
    </row>
    <row r="48" customFormat="false" ht="19.5" hidden="false" customHeight="true" outlineLevel="0" collapsed="false">
      <c r="A48" s="130" t="n">
        <v>45</v>
      </c>
      <c r="B48" s="131" t="s">
        <v>383</v>
      </c>
      <c r="C48" s="131" t="s">
        <v>84</v>
      </c>
      <c r="D48" s="130" t="s">
        <v>319</v>
      </c>
      <c r="E48" s="131" t="s">
        <v>320</v>
      </c>
      <c r="F48" s="131"/>
      <c r="G48" s="131"/>
      <c r="H48" s="130" t="str">
        <f aca="false">IF(B48="","",IF(COUNTIF('MiT Strom Pipeline'!$B$6:$B$904,B48)&gt;0,"✓",""))</f>
        <v/>
      </c>
      <c r="I48" s="130" t="str">
        <f aca="false">IF(B48="","",IFERROR(VLOOKUP(B48,'MiT Strom Pipeline'!$B$6:$R$904,17,0),""))</f>
        <v/>
      </c>
      <c r="J48" s="131"/>
    </row>
    <row r="49" customFormat="false" ht="19.5" hidden="false" customHeight="true" outlineLevel="0" collapsed="false">
      <c r="A49" s="22" t="n">
        <v>46</v>
      </c>
      <c r="B49" s="23" t="s">
        <v>359</v>
      </c>
      <c r="C49" s="23" t="s">
        <v>360</v>
      </c>
      <c r="D49" s="22" t="s">
        <v>319</v>
      </c>
      <c r="E49" s="23" t="s">
        <v>320</v>
      </c>
      <c r="F49" s="23"/>
      <c r="G49" s="23"/>
      <c r="H49" s="22" t="str">
        <f aca="false">IF(B49="","",IF(COUNTIF('MiT Strom Pipeline'!$B$6:$B$904,B49)&gt;0,"✓",""))</f>
        <v/>
      </c>
      <c r="I49" s="22" t="str">
        <f aca="false">IF(B49="","",IFERROR(VLOOKUP(B49,'MiT Strom Pipeline'!$B$6:$R$904,17,0),""))</f>
        <v/>
      </c>
      <c r="J49" s="23"/>
    </row>
    <row r="50" customFormat="false" ht="19.5" hidden="false" customHeight="true" outlineLevel="0" collapsed="false">
      <c r="A50" s="130" t="n">
        <v>47</v>
      </c>
      <c r="B50" s="131" t="s">
        <v>385</v>
      </c>
      <c r="C50" s="131" t="s">
        <v>84</v>
      </c>
      <c r="D50" s="130" t="s">
        <v>319</v>
      </c>
      <c r="E50" s="131" t="s">
        <v>333</v>
      </c>
      <c r="F50" s="131"/>
      <c r="G50" s="131"/>
      <c r="H50" s="130" t="str">
        <f aca="false">IF(B50="","",IF(COUNTIF('MiT Strom Pipeline'!$B$6:$B$904,B50)&gt;0,"✓",""))</f>
        <v/>
      </c>
      <c r="I50" s="130" t="str">
        <f aca="false">IF(B50="","",IFERROR(VLOOKUP(B50,'MiT Strom Pipeline'!$B$6:$R$904,17,0),""))</f>
        <v/>
      </c>
      <c r="J50" s="131"/>
    </row>
    <row r="51" customFormat="false" ht="19.5" hidden="false" customHeight="true" outlineLevel="0" collapsed="false">
      <c r="A51" s="22" t="n">
        <v>48</v>
      </c>
      <c r="B51" s="23" t="s">
        <v>386</v>
      </c>
      <c r="C51" s="23" t="s">
        <v>84</v>
      </c>
      <c r="D51" s="22" t="s">
        <v>319</v>
      </c>
      <c r="E51" s="23" t="s">
        <v>320</v>
      </c>
      <c r="F51" s="23"/>
      <c r="G51" s="23"/>
      <c r="H51" s="22" t="str">
        <f aca="false">IF(B51="","",IF(COUNTIF('MiT Strom Pipeline'!$B$6:$B$904,B51)&gt;0,"✓",""))</f>
        <v/>
      </c>
      <c r="I51" s="22" t="str">
        <f aca="false">IF(B51="","",IFERROR(VLOOKUP(B51,'MiT Strom Pipeline'!$B$6:$R$904,17,0),""))</f>
        <v/>
      </c>
      <c r="J51" s="23"/>
    </row>
    <row r="52" customFormat="false" ht="19.5" hidden="false" customHeight="true" outlineLevel="0" collapsed="false">
      <c r="A52" s="130" t="n">
        <v>49</v>
      </c>
      <c r="B52" s="131" t="s">
        <v>387</v>
      </c>
      <c r="C52" s="131" t="s">
        <v>347</v>
      </c>
      <c r="D52" s="130" t="s">
        <v>319</v>
      </c>
      <c r="E52" s="131" t="s">
        <v>328</v>
      </c>
      <c r="F52" s="131"/>
      <c r="G52" s="131"/>
      <c r="H52" s="130" t="str">
        <f aca="false">IF(B52="","",IF(COUNTIF('MiT Strom Pipeline'!$B$6:$B$904,B52)&gt;0,"✓",""))</f>
        <v/>
      </c>
      <c r="I52" s="130" t="str">
        <f aca="false">IF(B52="","",IFERROR(VLOOKUP(B52,'MiT Strom Pipeline'!$B$6:$R$904,17,0),""))</f>
        <v/>
      </c>
      <c r="J52" s="131"/>
    </row>
    <row r="53" customFormat="false" ht="19.5" hidden="false" customHeight="true" outlineLevel="0" collapsed="false">
      <c r="A53" s="22" t="n">
        <v>50</v>
      </c>
      <c r="B53" s="23" t="s">
        <v>388</v>
      </c>
      <c r="C53" s="23" t="s">
        <v>84</v>
      </c>
      <c r="D53" s="22" t="s">
        <v>319</v>
      </c>
      <c r="E53" s="23" t="s">
        <v>320</v>
      </c>
      <c r="F53" s="23"/>
      <c r="G53" s="23"/>
      <c r="H53" s="22" t="str">
        <f aca="false">IF(B53="","",IF(COUNTIF('MiT Strom Pipeline'!$B$6:$B$904,B53)&gt;0,"✓",""))</f>
        <v/>
      </c>
      <c r="I53" s="22" t="str">
        <f aca="false">IF(B53="","",IFERROR(VLOOKUP(B53,'MiT Strom Pipeline'!$B$6:$R$904,17,0),""))</f>
        <v/>
      </c>
      <c r="J53" s="23"/>
    </row>
    <row r="54" customFormat="false" ht="19.5" hidden="false" customHeight="true" outlineLevel="0" collapsed="false">
      <c r="A54" s="130" t="n">
        <v>51</v>
      </c>
      <c r="B54" s="131" t="s">
        <v>389</v>
      </c>
      <c r="C54" s="131" t="s">
        <v>84</v>
      </c>
      <c r="D54" s="130" t="s">
        <v>319</v>
      </c>
      <c r="E54" s="131" t="s">
        <v>320</v>
      </c>
      <c r="F54" s="131"/>
      <c r="G54" s="131"/>
      <c r="H54" s="130" t="str">
        <f aca="false">IF(B54="","",IF(COUNTIF('MiT Strom Pipeline'!$B$6:$B$904,B54)&gt;0,"✓",""))</f>
        <v/>
      </c>
      <c r="I54" s="130" t="str">
        <f aca="false">IF(B54="","",IFERROR(VLOOKUP(B54,'MiT Strom Pipeline'!$B$6:$R$904,17,0),""))</f>
        <v/>
      </c>
      <c r="J54" s="131"/>
    </row>
    <row r="55" customFormat="false" ht="19.5" hidden="false" customHeight="true" outlineLevel="0" collapsed="false">
      <c r="A55" s="22" t="n">
        <v>52</v>
      </c>
      <c r="B55" s="23" t="s">
        <v>390</v>
      </c>
      <c r="C55" s="23" t="s">
        <v>84</v>
      </c>
      <c r="D55" s="22" t="s">
        <v>319</v>
      </c>
      <c r="E55" s="23" t="s">
        <v>320</v>
      </c>
      <c r="F55" s="23"/>
      <c r="G55" s="23"/>
      <c r="H55" s="22" t="str">
        <f aca="false">IF(B55="","",IF(COUNTIF('MiT Strom Pipeline'!$B$6:$B$904,B55)&gt;0,"✓",""))</f>
        <v/>
      </c>
      <c r="I55" s="22" t="str">
        <f aca="false">IF(B55="","",IFERROR(VLOOKUP(B55,'MiT Strom Pipeline'!$B$6:$R$904,17,0),""))</f>
        <v/>
      </c>
      <c r="J55" s="23"/>
    </row>
    <row r="56" customFormat="false" ht="19.5" hidden="false" customHeight="true" outlineLevel="0" collapsed="false">
      <c r="A56" s="130" t="n">
        <v>53</v>
      </c>
      <c r="B56" s="131" t="s">
        <v>391</v>
      </c>
      <c r="C56" s="131" t="s">
        <v>84</v>
      </c>
      <c r="D56" s="130" t="s">
        <v>319</v>
      </c>
      <c r="E56" s="131" t="s">
        <v>320</v>
      </c>
      <c r="F56" s="131"/>
      <c r="G56" s="131"/>
      <c r="H56" s="130" t="str">
        <f aca="false">IF(B56="","",IF(COUNTIF('MiT Strom Pipeline'!$B$6:$B$904,B56)&gt;0,"✓",""))</f>
        <v/>
      </c>
      <c r="I56" s="130" t="str">
        <f aca="false">IF(B56="","",IFERROR(VLOOKUP(B56,'MiT Strom Pipeline'!$B$6:$R$904,17,0),""))</f>
        <v/>
      </c>
      <c r="J56" s="131"/>
    </row>
    <row r="57" customFormat="false" ht="19.5" hidden="false" customHeight="true" outlineLevel="0" collapsed="false">
      <c r="A57" s="22" t="n">
        <v>54</v>
      </c>
      <c r="B57" s="23" t="s">
        <v>392</v>
      </c>
      <c r="C57" s="23" t="s">
        <v>393</v>
      </c>
      <c r="D57" s="22" t="s">
        <v>319</v>
      </c>
      <c r="E57" s="23" t="s">
        <v>320</v>
      </c>
      <c r="F57" s="23"/>
      <c r="G57" s="23"/>
      <c r="H57" s="22" t="str">
        <f aca="false">IF(B57="","",IF(COUNTIF('MiT Strom Pipeline'!$B$6:$B$904,B57)&gt;0,"✓",""))</f>
        <v/>
      </c>
      <c r="I57" s="22" t="str">
        <f aca="false">IF(B57="","",IFERROR(VLOOKUP(B57,'MiT Strom Pipeline'!$B$6:$R$904,17,0),""))</f>
        <v/>
      </c>
      <c r="J57" s="23"/>
    </row>
    <row r="58" customFormat="false" ht="19.5" hidden="false" customHeight="true" outlineLevel="0" collapsed="false">
      <c r="A58" s="130" t="n">
        <v>55</v>
      </c>
      <c r="B58" s="131" t="s">
        <v>394</v>
      </c>
      <c r="C58" s="131" t="s">
        <v>84</v>
      </c>
      <c r="D58" s="130" t="s">
        <v>319</v>
      </c>
      <c r="E58" s="131" t="s">
        <v>320</v>
      </c>
      <c r="F58" s="131"/>
      <c r="G58" s="131"/>
      <c r="H58" s="130" t="str">
        <f aca="false">IF(B58="","",IF(COUNTIF('MiT Strom Pipeline'!$B$6:$B$904,B58)&gt;0,"✓",""))</f>
        <v/>
      </c>
      <c r="I58" s="130" t="str">
        <f aca="false">IF(B58="","",IFERROR(VLOOKUP(B58,'MiT Strom Pipeline'!$B$6:$R$904,17,0),""))</f>
        <v/>
      </c>
      <c r="J58" s="131"/>
    </row>
    <row r="59" customFormat="false" ht="19.5" hidden="false" customHeight="true" outlineLevel="0" collapsed="false">
      <c r="A59" s="22" t="n">
        <v>56</v>
      </c>
      <c r="B59" s="23" t="s">
        <v>395</v>
      </c>
      <c r="C59" s="23" t="s">
        <v>84</v>
      </c>
      <c r="D59" s="22" t="s">
        <v>319</v>
      </c>
      <c r="E59" s="23" t="s">
        <v>320</v>
      </c>
      <c r="F59" s="23"/>
      <c r="G59" s="23"/>
      <c r="H59" s="22" t="str">
        <f aca="false">IF(B59="","",IF(COUNTIF('MiT Strom Pipeline'!$B$6:$B$904,B59)&gt;0,"✓",""))</f>
        <v/>
      </c>
      <c r="I59" s="22" t="str">
        <f aca="false">IF(B59="","",IFERROR(VLOOKUP(B59,'MiT Strom Pipeline'!$B$6:$R$904,17,0),""))</f>
        <v/>
      </c>
      <c r="J59" s="23"/>
    </row>
    <row r="60" customFormat="false" ht="19.5" hidden="false" customHeight="true" outlineLevel="0" collapsed="false">
      <c r="A60" s="130" t="n">
        <v>57</v>
      </c>
      <c r="B60" s="131" t="s">
        <v>396</v>
      </c>
      <c r="C60" s="131" t="s">
        <v>84</v>
      </c>
      <c r="D60" s="130" t="s">
        <v>319</v>
      </c>
      <c r="E60" s="131" t="s">
        <v>320</v>
      </c>
      <c r="F60" s="131"/>
      <c r="G60" s="131"/>
      <c r="H60" s="130" t="str">
        <f aca="false">IF(B60="","",IF(COUNTIF('MiT Strom Pipeline'!$B$6:$B$904,B60)&gt;0,"✓",""))</f>
        <v/>
      </c>
      <c r="I60" s="130" t="str">
        <f aca="false">IF(B60="","",IFERROR(VLOOKUP(B60,'MiT Strom Pipeline'!$B$6:$R$904,17,0),""))</f>
        <v/>
      </c>
      <c r="J60" s="131"/>
    </row>
    <row r="61" customFormat="false" ht="19.5" hidden="false" customHeight="true" outlineLevel="0" collapsed="false">
      <c r="A61" s="22" t="n">
        <v>58</v>
      </c>
      <c r="B61" s="23" t="s">
        <v>397</v>
      </c>
      <c r="C61" s="23" t="s">
        <v>366</v>
      </c>
      <c r="D61" s="22" t="s">
        <v>319</v>
      </c>
      <c r="E61" s="23" t="s">
        <v>320</v>
      </c>
      <c r="F61" s="23"/>
      <c r="G61" s="23"/>
      <c r="H61" s="22" t="str">
        <f aca="false">IF(B61="","",IF(COUNTIF('MiT Strom Pipeline'!$B$6:$B$904,B61)&gt;0,"✓",""))</f>
        <v/>
      </c>
      <c r="I61" s="22" t="str">
        <f aca="false">IF(B61="","",IFERROR(VLOOKUP(B61,'MiT Strom Pipeline'!$B$6:$R$904,17,0),""))</f>
        <v/>
      </c>
      <c r="J61" s="23"/>
    </row>
    <row r="62" customFormat="false" ht="19.5" hidden="false" customHeight="true" outlineLevel="0" collapsed="false">
      <c r="A62" s="130" t="n">
        <v>59</v>
      </c>
      <c r="B62" s="131" t="s">
        <v>398</v>
      </c>
      <c r="C62" s="131" t="s">
        <v>51</v>
      </c>
      <c r="D62" s="130" t="s">
        <v>319</v>
      </c>
      <c r="E62" s="131" t="s">
        <v>320</v>
      </c>
      <c r="F62" s="131"/>
      <c r="G62" s="131"/>
      <c r="H62" s="130" t="str">
        <f aca="false">IF(B62="","",IF(COUNTIF('MiT Strom Pipeline'!$B$6:$B$904,B62)&gt;0,"✓",""))</f>
        <v/>
      </c>
      <c r="I62" s="130" t="str">
        <f aca="false">IF(B62="","",IFERROR(VLOOKUP(B62,'MiT Strom Pipeline'!$B$6:$R$904,17,0),""))</f>
        <v/>
      </c>
      <c r="J62" s="131"/>
    </row>
    <row r="63" customFormat="false" ht="19.5" hidden="false" customHeight="true" outlineLevel="0" collapsed="false">
      <c r="A63" s="22" t="n">
        <v>60</v>
      </c>
      <c r="B63" s="23" t="s">
        <v>399</v>
      </c>
      <c r="C63" s="23" t="s">
        <v>400</v>
      </c>
      <c r="D63" s="22" t="s">
        <v>319</v>
      </c>
      <c r="E63" s="23" t="s">
        <v>320</v>
      </c>
      <c r="F63" s="23"/>
      <c r="G63" s="23"/>
      <c r="H63" s="22" t="str">
        <f aca="false">IF(B63="","",IF(COUNTIF('MiT Strom Pipeline'!$B$6:$B$904,B63)&gt;0,"✓",""))</f>
        <v/>
      </c>
      <c r="I63" s="22" t="str">
        <f aca="false">IF(B63="","",IFERROR(VLOOKUP(B63,'MiT Strom Pipeline'!$B$6:$R$904,17,0),""))</f>
        <v/>
      </c>
      <c r="J63" s="23"/>
    </row>
    <row r="64" customFormat="false" ht="19.5" hidden="false" customHeight="true" outlineLevel="0" collapsed="false">
      <c r="A64" s="130" t="n">
        <v>61</v>
      </c>
      <c r="B64" s="131" t="s">
        <v>401</v>
      </c>
      <c r="C64" s="131" t="s">
        <v>84</v>
      </c>
      <c r="D64" s="130" t="s">
        <v>319</v>
      </c>
      <c r="E64" s="131" t="s">
        <v>320</v>
      </c>
      <c r="F64" s="131"/>
      <c r="G64" s="131"/>
      <c r="H64" s="130" t="str">
        <f aca="false">IF(B64="","",IF(COUNTIF('MiT Strom Pipeline'!$B$6:$B$904,B64)&gt;0,"✓",""))</f>
        <v/>
      </c>
      <c r="I64" s="130" t="str">
        <f aca="false">IF(B64="","",IFERROR(VLOOKUP(B64,'MiT Strom Pipeline'!$B$6:$R$904,17,0),""))</f>
        <v/>
      </c>
      <c r="J64" s="131"/>
    </row>
    <row r="65" customFormat="false" ht="19.5" hidden="false" customHeight="true" outlineLevel="0" collapsed="false">
      <c r="A65" s="22" t="n">
        <v>62</v>
      </c>
      <c r="B65" s="23" t="s">
        <v>402</v>
      </c>
      <c r="C65" s="23" t="s">
        <v>84</v>
      </c>
      <c r="D65" s="22" t="s">
        <v>319</v>
      </c>
      <c r="E65" s="23" t="s">
        <v>320</v>
      </c>
      <c r="F65" s="23"/>
      <c r="G65" s="23"/>
      <c r="H65" s="22" t="str">
        <f aca="false">IF(B65="","",IF(COUNTIF('MiT Strom Pipeline'!$B$6:$B$904,B65)&gt;0,"✓",""))</f>
        <v/>
      </c>
      <c r="I65" s="22" t="str">
        <f aca="false">IF(B65="","",IFERROR(VLOOKUP(B65,'MiT Strom Pipeline'!$B$6:$R$904,17,0),""))</f>
        <v/>
      </c>
      <c r="J65" s="23"/>
    </row>
    <row r="66" customFormat="false" ht="19.5" hidden="false" customHeight="true" outlineLevel="0" collapsed="false">
      <c r="A66" s="130" t="n">
        <v>63</v>
      </c>
      <c r="B66" s="131" t="s">
        <v>403</v>
      </c>
      <c r="C66" s="131" t="s">
        <v>84</v>
      </c>
      <c r="D66" s="130" t="s">
        <v>319</v>
      </c>
      <c r="E66" s="131" t="s">
        <v>320</v>
      </c>
      <c r="F66" s="131"/>
      <c r="G66" s="131"/>
      <c r="H66" s="130" t="str">
        <f aca="false">IF(B66="","",IF(COUNTIF('MiT Strom Pipeline'!$B$6:$B$904,B66)&gt;0,"✓",""))</f>
        <v/>
      </c>
      <c r="I66" s="130" t="str">
        <f aca="false">IF(B66="","",IFERROR(VLOOKUP(B66,'MiT Strom Pipeline'!$B$6:$R$904,17,0),""))</f>
        <v/>
      </c>
      <c r="J66" s="131"/>
    </row>
    <row r="67" customFormat="false" ht="19.5" hidden="false" customHeight="true" outlineLevel="0" collapsed="false">
      <c r="A67" s="22" t="n">
        <v>64</v>
      </c>
      <c r="B67" s="23" t="s">
        <v>404</v>
      </c>
      <c r="C67" s="23" t="s">
        <v>347</v>
      </c>
      <c r="D67" s="22" t="s">
        <v>68</v>
      </c>
      <c r="E67" s="23" t="s">
        <v>320</v>
      </c>
      <c r="F67" s="23"/>
      <c r="G67" s="23"/>
      <c r="H67" s="22" t="str">
        <f aca="false">IF(B67="","",IF(COUNTIF('MiT Strom Pipeline'!$B$6:$B$904,B67)&gt;0,"✓",""))</f>
        <v/>
      </c>
      <c r="I67" s="22" t="str">
        <f aca="false">IF(B67="","",IFERROR(VLOOKUP(B67,'MiT Strom Pipeline'!$B$6:$R$904,17,0),""))</f>
        <v/>
      </c>
      <c r="J67" s="23"/>
    </row>
    <row r="68" customFormat="false" ht="19.5" hidden="false" customHeight="true" outlineLevel="0" collapsed="false">
      <c r="A68" s="130" t="n">
        <v>65</v>
      </c>
      <c r="B68" s="131" t="s">
        <v>405</v>
      </c>
      <c r="C68" s="131" t="s">
        <v>75</v>
      </c>
      <c r="D68" s="130" t="s">
        <v>319</v>
      </c>
      <c r="E68" s="131" t="s">
        <v>320</v>
      </c>
      <c r="F68" s="131"/>
      <c r="G68" s="131"/>
      <c r="H68" s="130" t="str">
        <f aca="false">IF(B68="","",IF(COUNTIF('MiT Strom Pipeline'!$B$6:$B$904,B68)&gt;0,"✓",""))</f>
        <v/>
      </c>
      <c r="I68" s="130" t="str">
        <f aca="false">IF(B68="","",IFERROR(VLOOKUP(B68,'MiT Strom Pipeline'!$B$6:$R$904,17,0),""))</f>
        <v/>
      </c>
      <c r="J68" s="131"/>
    </row>
    <row r="69" customFormat="false" ht="19.5" hidden="false" customHeight="true" outlineLevel="0" collapsed="false">
      <c r="A69" s="22" t="n">
        <v>66</v>
      </c>
      <c r="B69" s="23" t="s">
        <v>406</v>
      </c>
      <c r="C69" s="23" t="s">
        <v>84</v>
      </c>
      <c r="D69" s="22" t="s">
        <v>319</v>
      </c>
      <c r="E69" s="23" t="s">
        <v>320</v>
      </c>
      <c r="F69" s="23"/>
      <c r="G69" s="23"/>
      <c r="H69" s="22" t="str">
        <f aca="false">IF(B69="","",IF(COUNTIF('MiT Strom Pipeline'!$B$6:$B$904,B69)&gt;0,"✓",""))</f>
        <v/>
      </c>
      <c r="I69" s="22" t="str">
        <f aca="false">IF(B69="","",IFERROR(VLOOKUP(B69,'MiT Strom Pipeline'!$B$6:$R$904,17,0),""))</f>
        <v/>
      </c>
      <c r="J69" s="23"/>
    </row>
    <row r="70" customFormat="false" ht="19.5" hidden="false" customHeight="true" outlineLevel="0" collapsed="false">
      <c r="A70" s="130" t="n">
        <v>67</v>
      </c>
      <c r="B70" s="131" t="s">
        <v>407</v>
      </c>
      <c r="C70" s="131" t="s">
        <v>84</v>
      </c>
      <c r="D70" s="130" t="s">
        <v>319</v>
      </c>
      <c r="E70" s="131" t="s">
        <v>320</v>
      </c>
      <c r="F70" s="131"/>
      <c r="G70" s="131"/>
      <c r="H70" s="130" t="str">
        <f aca="false">IF(B70="","",IF(COUNTIF('MiT Strom Pipeline'!$B$6:$B$904,B70)&gt;0,"✓",""))</f>
        <v/>
      </c>
      <c r="I70" s="130" t="str">
        <f aca="false">IF(B70="","",IFERROR(VLOOKUP(B70,'MiT Strom Pipeline'!$B$6:$R$904,17,0),""))</f>
        <v/>
      </c>
      <c r="J70" s="131"/>
    </row>
    <row r="71" customFormat="false" ht="19.5" hidden="false" customHeight="true" outlineLevel="0" collapsed="false">
      <c r="A71" s="22" t="n">
        <v>68</v>
      </c>
      <c r="B71" s="23" t="s">
        <v>408</v>
      </c>
      <c r="C71" s="23" t="s">
        <v>51</v>
      </c>
      <c r="D71" s="22" t="s">
        <v>319</v>
      </c>
      <c r="E71" s="23" t="s">
        <v>320</v>
      </c>
      <c r="F71" s="23"/>
      <c r="G71" s="23"/>
      <c r="H71" s="22" t="str">
        <f aca="false">IF(B71="","",IF(COUNTIF('MiT Strom Pipeline'!$B$6:$B$904,B71)&gt;0,"✓",""))</f>
        <v/>
      </c>
      <c r="I71" s="22" t="str">
        <f aca="false">IF(B71="","",IFERROR(VLOOKUP(B71,'MiT Strom Pipeline'!$B$6:$R$904,17,0),""))</f>
        <v/>
      </c>
      <c r="J71" s="23"/>
    </row>
    <row r="72" customFormat="false" ht="19.5" hidden="false" customHeight="true" outlineLevel="0" collapsed="false">
      <c r="A72" s="130" t="n">
        <v>69</v>
      </c>
      <c r="B72" s="131" t="s">
        <v>402</v>
      </c>
      <c r="C72" s="131" t="s">
        <v>84</v>
      </c>
      <c r="D72" s="130" t="s">
        <v>319</v>
      </c>
      <c r="E72" s="131" t="s">
        <v>320</v>
      </c>
      <c r="F72" s="131"/>
      <c r="G72" s="131"/>
      <c r="H72" s="130" t="str">
        <f aca="false">IF(B72="","",IF(COUNTIF('MiT Strom Pipeline'!$B$6:$B$904,B72)&gt;0,"✓",""))</f>
        <v/>
      </c>
      <c r="I72" s="130" t="str">
        <f aca="false">IF(B72="","",IFERROR(VLOOKUP(B72,'MiT Strom Pipeline'!$B$6:$R$904,17,0),""))</f>
        <v/>
      </c>
      <c r="J72" s="131"/>
    </row>
    <row r="73" customFormat="false" ht="19.5" hidden="false" customHeight="true" outlineLevel="0" collapsed="false">
      <c r="A73" s="22" t="n">
        <v>70</v>
      </c>
      <c r="B73" s="23" t="s">
        <v>409</v>
      </c>
      <c r="C73" s="23" t="s">
        <v>84</v>
      </c>
      <c r="D73" s="22" t="s">
        <v>319</v>
      </c>
      <c r="E73" s="23" t="s">
        <v>320</v>
      </c>
      <c r="F73" s="23"/>
      <c r="G73" s="23"/>
      <c r="H73" s="22" t="str">
        <f aca="false">IF(B73="","",IF(COUNTIF('MiT Strom Pipeline'!$B$6:$B$904,B73)&gt;0,"✓",""))</f>
        <v/>
      </c>
      <c r="I73" s="22" t="str">
        <f aca="false">IF(B73="","",IFERROR(VLOOKUP(B73,'MiT Strom Pipeline'!$B$6:$R$904,17,0),""))</f>
        <v/>
      </c>
      <c r="J73" s="23"/>
    </row>
    <row r="74" customFormat="false" ht="19.5" hidden="false" customHeight="true" outlineLevel="0" collapsed="false">
      <c r="A74" s="130" t="n">
        <v>71</v>
      </c>
      <c r="B74" s="131" t="s">
        <v>410</v>
      </c>
      <c r="C74" s="131" t="s">
        <v>84</v>
      </c>
      <c r="D74" s="130" t="s">
        <v>319</v>
      </c>
      <c r="E74" s="131" t="s">
        <v>328</v>
      </c>
      <c r="F74" s="131"/>
      <c r="G74" s="131"/>
      <c r="H74" s="130" t="str">
        <f aca="false">IF(B74="","",IF(COUNTIF('MiT Strom Pipeline'!$B$6:$B$904,B74)&gt;0,"✓",""))</f>
        <v/>
      </c>
      <c r="I74" s="130" t="str">
        <f aca="false">IF(B74="","",IFERROR(VLOOKUP(B74,'MiT Strom Pipeline'!$B$6:$R$904,17,0),""))</f>
        <v/>
      </c>
      <c r="J74" s="131"/>
    </row>
    <row r="75" customFormat="false" ht="19.5" hidden="false" customHeight="true" outlineLevel="0" collapsed="false">
      <c r="A75" s="22" t="n">
        <v>72</v>
      </c>
      <c r="B75" s="23" t="s">
        <v>411</v>
      </c>
      <c r="C75" s="23" t="s">
        <v>84</v>
      </c>
      <c r="D75" s="22" t="s">
        <v>319</v>
      </c>
      <c r="E75" s="23" t="s">
        <v>320</v>
      </c>
      <c r="F75" s="23"/>
      <c r="G75" s="23"/>
      <c r="H75" s="22" t="str">
        <f aca="false">IF(B75="","",IF(COUNTIF('MiT Strom Pipeline'!$B$6:$B$904,B75)&gt;0,"✓",""))</f>
        <v/>
      </c>
      <c r="I75" s="22" t="str">
        <f aca="false">IF(B75="","",IFERROR(VLOOKUP(B75,'MiT Strom Pipeline'!$B$6:$R$904,17,0),""))</f>
        <v/>
      </c>
      <c r="J75" s="23"/>
    </row>
    <row r="76" customFormat="false" ht="19.5" hidden="false" customHeight="true" outlineLevel="0" collapsed="false">
      <c r="A76" s="130" t="n">
        <v>73</v>
      </c>
      <c r="B76" s="131" t="s">
        <v>412</v>
      </c>
      <c r="C76" s="131" t="s">
        <v>360</v>
      </c>
      <c r="D76" s="130" t="s">
        <v>319</v>
      </c>
      <c r="E76" s="131" t="s">
        <v>320</v>
      </c>
      <c r="F76" s="131"/>
      <c r="G76" s="131"/>
      <c r="H76" s="130" t="str">
        <f aca="false">IF(B76="","",IF(COUNTIF('MiT Strom Pipeline'!$B$6:$B$904,B76)&gt;0,"✓",""))</f>
        <v/>
      </c>
      <c r="I76" s="130" t="str">
        <f aca="false">IF(B76="","",IFERROR(VLOOKUP(B76,'MiT Strom Pipeline'!$B$6:$R$904,17,0),""))</f>
        <v/>
      </c>
      <c r="J76" s="131"/>
    </row>
    <row r="77" customFormat="false" ht="19.5" hidden="false" customHeight="true" outlineLevel="0" collapsed="false">
      <c r="A77" s="22" t="n">
        <v>74</v>
      </c>
      <c r="B77" s="23" t="s">
        <v>413</v>
      </c>
      <c r="C77" s="23" t="s">
        <v>360</v>
      </c>
      <c r="D77" s="22" t="s">
        <v>319</v>
      </c>
      <c r="E77" s="23" t="s">
        <v>320</v>
      </c>
      <c r="F77" s="23"/>
      <c r="G77" s="23"/>
      <c r="H77" s="22" t="str">
        <f aca="false">IF(B77="","",IF(COUNTIF('MiT Strom Pipeline'!$B$6:$B$904,B77)&gt;0,"✓",""))</f>
        <v/>
      </c>
      <c r="I77" s="22" t="str">
        <f aca="false">IF(B77="","",IFERROR(VLOOKUP(B77,'MiT Strom Pipeline'!$B$6:$R$904,17,0),""))</f>
        <v/>
      </c>
      <c r="J77" s="23"/>
    </row>
    <row r="78" customFormat="false" ht="19.5" hidden="false" customHeight="true" outlineLevel="0" collapsed="false">
      <c r="A78" s="130" t="n">
        <v>75</v>
      </c>
      <c r="B78" s="131" t="s">
        <v>414</v>
      </c>
      <c r="C78" s="131" t="s">
        <v>84</v>
      </c>
      <c r="D78" s="130" t="s">
        <v>319</v>
      </c>
      <c r="E78" s="131" t="s">
        <v>320</v>
      </c>
      <c r="F78" s="131"/>
      <c r="G78" s="131"/>
      <c r="H78" s="130" t="str">
        <f aca="false">IF(B78="","",IF(COUNTIF('MiT Strom Pipeline'!$B$6:$B$904,B78)&gt;0,"✓",""))</f>
        <v/>
      </c>
      <c r="I78" s="130" t="str">
        <f aca="false">IF(B78="","",IFERROR(VLOOKUP(B78,'MiT Strom Pipeline'!$B$6:$R$904,17,0),""))</f>
        <v/>
      </c>
      <c r="J78" s="131"/>
    </row>
    <row r="79" customFormat="false" ht="19.5" hidden="false" customHeight="true" outlineLevel="0" collapsed="false">
      <c r="A79" s="22" t="n">
        <v>76</v>
      </c>
      <c r="B79" s="23" t="s">
        <v>415</v>
      </c>
      <c r="C79" s="23" t="s">
        <v>84</v>
      </c>
      <c r="D79" s="22" t="s">
        <v>319</v>
      </c>
      <c r="E79" s="23" t="s">
        <v>320</v>
      </c>
      <c r="F79" s="23"/>
      <c r="G79" s="23"/>
      <c r="H79" s="22" t="str">
        <f aca="false">IF(B79="","",IF(COUNTIF('MiT Strom Pipeline'!$B$6:$B$904,B79)&gt;0,"✓",""))</f>
        <v/>
      </c>
      <c r="I79" s="22" t="str">
        <f aca="false">IF(B79="","",IFERROR(VLOOKUP(B79,'MiT Strom Pipeline'!$B$6:$R$904,17,0),""))</f>
        <v/>
      </c>
      <c r="J79" s="23"/>
    </row>
    <row r="80" customFormat="false" ht="19.5" hidden="false" customHeight="true" outlineLevel="0" collapsed="false">
      <c r="A80" s="130" t="n">
        <v>77</v>
      </c>
      <c r="B80" s="131" t="s">
        <v>416</v>
      </c>
      <c r="C80" s="131" t="s">
        <v>54</v>
      </c>
      <c r="D80" s="130" t="s">
        <v>319</v>
      </c>
      <c r="E80" s="131" t="s">
        <v>320</v>
      </c>
      <c r="F80" s="131"/>
      <c r="G80" s="131"/>
      <c r="H80" s="130" t="str">
        <f aca="false">IF(B80="","",IF(COUNTIF('MiT Strom Pipeline'!$B$6:$B$904,B80)&gt;0,"✓",""))</f>
        <v/>
      </c>
      <c r="I80" s="130" t="str">
        <f aca="false">IF(B80="","",IFERROR(VLOOKUP(B80,'MiT Strom Pipeline'!$B$6:$R$904,17,0),""))</f>
        <v/>
      </c>
      <c r="J80" s="131"/>
    </row>
    <row r="81" customFormat="false" ht="19.5" hidden="false" customHeight="true" outlineLevel="0" collapsed="false">
      <c r="A81" s="22" t="n">
        <v>78</v>
      </c>
      <c r="B81" s="23" t="s">
        <v>417</v>
      </c>
      <c r="C81" s="23" t="s">
        <v>84</v>
      </c>
      <c r="D81" s="22" t="s">
        <v>319</v>
      </c>
      <c r="E81" s="23" t="s">
        <v>320</v>
      </c>
      <c r="F81" s="23"/>
      <c r="G81" s="23"/>
      <c r="H81" s="22" t="str">
        <f aca="false">IF(B81="","",IF(COUNTIF('MiT Strom Pipeline'!$B$6:$B$904,B81)&gt;0,"✓",""))</f>
        <v/>
      </c>
      <c r="I81" s="22" t="str">
        <f aca="false">IF(B81="","",IFERROR(VLOOKUP(B81,'MiT Strom Pipeline'!$B$6:$R$904,17,0),""))</f>
        <v/>
      </c>
      <c r="J81" s="23"/>
    </row>
    <row r="82" customFormat="false" ht="19.5" hidden="false" customHeight="true" outlineLevel="0" collapsed="false">
      <c r="A82" s="130" t="n">
        <v>79</v>
      </c>
      <c r="B82" s="131" t="s">
        <v>418</v>
      </c>
      <c r="C82" s="131" t="s">
        <v>84</v>
      </c>
      <c r="D82" s="130" t="s">
        <v>319</v>
      </c>
      <c r="E82" s="131" t="s">
        <v>320</v>
      </c>
      <c r="F82" s="131"/>
      <c r="G82" s="131"/>
      <c r="H82" s="130" t="str">
        <f aca="false">IF(B82="","",IF(COUNTIF('MiT Strom Pipeline'!$B$6:$B$904,B82)&gt;0,"✓",""))</f>
        <v/>
      </c>
      <c r="I82" s="130" t="str">
        <f aca="false">IF(B82="","",IFERROR(VLOOKUP(B82,'MiT Strom Pipeline'!$B$6:$R$904,17,0),""))</f>
        <v/>
      </c>
      <c r="J82" s="131"/>
    </row>
    <row r="83" customFormat="false" ht="19.5" hidden="false" customHeight="true" outlineLevel="0" collapsed="false">
      <c r="A83" s="22" t="n">
        <v>80</v>
      </c>
      <c r="B83" s="23" t="s">
        <v>419</v>
      </c>
      <c r="C83" s="23" t="s">
        <v>84</v>
      </c>
      <c r="D83" s="22" t="s">
        <v>319</v>
      </c>
      <c r="E83" s="23" t="s">
        <v>320</v>
      </c>
      <c r="F83" s="23"/>
      <c r="G83" s="23"/>
      <c r="H83" s="22" t="str">
        <f aca="false">IF(B83="","",IF(COUNTIF('MiT Strom Pipeline'!$B$6:$B$904,B83)&gt;0,"✓",""))</f>
        <v/>
      </c>
      <c r="I83" s="22" t="str">
        <f aca="false">IF(B83="","",IFERROR(VLOOKUP(B83,'MiT Strom Pipeline'!$B$6:$R$904,17,0),""))</f>
        <v/>
      </c>
      <c r="J83" s="23"/>
    </row>
    <row r="84" customFormat="false" ht="19.5" hidden="false" customHeight="true" outlineLevel="0" collapsed="false">
      <c r="A84" s="130" t="n">
        <v>81</v>
      </c>
      <c r="B84" s="131" t="s">
        <v>420</v>
      </c>
      <c r="C84" s="131" t="s">
        <v>366</v>
      </c>
      <c r="D84" s="130" t="s">
        <v>319</v>
      </c>
      <c r="E84" s="131" t="s">
        <v>320</v>
      </c>
      <c r="F84" s="131"/>
      <c r="G84" s="131"/>
      <c r="H84" s="130" t="str">
        <f aca="false">IF(B84="","",IF(COUNTIF('MiT Strom Pipeline'!$B$6:$B$904,B84)&gt;0,"✓",""))</f>
        <v/>
      </c>
      <c r="I84" s="130" t="str">
        <f aca="false">IF(B84="","",IFERROR(VLOOKUP(B84,'MiT Strom Pipeline'!$B$6:$R$904,17,0),""))</f>
        <v/>
      </c>
      <c r="J84" s="131"/>
    </row>
    <row r="85" customFormat="false" ht="19.5" hidden="false" customHeight="true" outlineLevel="0" collapsed="false">
      <c r="A85" s="22" t="n">
        <v>82</v>
      </c>
      <c r="B85" s="23" t="s">
        <v>421</v>
      </c>
      <c r="C85" s="23" t="s">
        <v>84</v>
      </c>
      <c r="D85" s="22" t="s">
        <v>319</v>
      </c>
      <c r="E85" s="23" t="s">
        <v>328</v>
      </c>
      <c r="F85" s="23"/>
      <c r="G85" s="23"/>
      <c r="H85" s="22" t="str">
        <f aca="false">IF(B85="","",IF(COUNTIF('MiT Strom Pipeline'!$B$6:$B$904,B85)&gt;0,"✓",""))</f>
        <v/>
      </c>
      <c r="I85" s="22" t="str">
        <f aca="false">IF(B85="","",IFERROR(VLOOKUP(B85,'MiT Strom Pipeline'!$B$6:$R$904,17,0),""))</f>
        <v/>
      </c>
      <c r="J85" s="23"/>
    </row>
    <row r="86" customFormat="false" ht="19.5" hidden="false" customHeight="true" outlineLevel="0" collapsed="false">
      <c r="A86" s="130" t="n">
        <v>83</v>
      </c>
      <c r="B86" s="131" t="s">
        <v>422</v>
      </c>
      <c r="C86" s="131" t="s">
        <v>349</v>
      </c>
      <c r="D86" s="130" t="s">
        <v>319</v>
      </c>
      <c r="E86" s="131" t="s">
        <v>328</v>
      </c>
      <c r="F86" s="131"/>
      <c r="G86" s="131"/>
      <c r="H86" s="130" t="str">
        <f aca="false">IF(B86="","",IF(COUNTIF('MiT Strom Pipeline'!$B$6:$B$904,B86)&gt;0,"✓",""))</f>
        <v/>
      </c>
      <c r="I86" s="130" t="str">
        <f aca="false">IF(B86="","",IFERROR(VLOOKUP(B86,'MiT Strom Pipeline'!$B$6:$R$904,17,0),""))</f>
        <v/>
      </c>
      <c r="J86" s="131"/>
    </row>
    <row r="87" customFormat="false" ht="19.5" hidden="false" customHeight="true" outlineLevel="0" collapsed="false">
      <c r="A87" s="22" t="n">
        <v>84</v>
      </c>
      <c r="B87" s="23" t="s">
        <v>423</v>
      </c>
      <c r="C87" s="23" t="s">
        <v>400</v>
      </c>
      <c r="D87" s="22" t="s">
        <v>319</v>
      </c>
      <c r="E87" s="23" t="s">
        <v>328</v>
      </c>
      <c r="F87" s="23"/>
      <c r="G87" s="23"/>
      <c r="H87" s="22" t="str">
        <f aca="false">IF(B87="","",IF(COUNTIF('MiT Strom Pipeline'!$B$6:$B$904,B87)&gt;0,"✓",""))</f>
        <v/>
      </c>
      <c r="I87" s="22" t="str">
        <f aca="false">IF(B87="","",IFERROR(VLOOKUP(B87,'MiT Strom Pipeline'!$B$6:$R$904,17,0),""))</f>
        <v/>
      </c>
      <c r="J87" s="23"/>
    </row>
    <row r="88" customFormat="false" ht="19.5" hidden="false" customHeight="true" outlineLevel="0" collapsed="false">
      <c r="A88" s="130" t="n">
        <v>85</v>
      </c>
      <c r="B88" s="131" t="s">
        <v>424</v>
      </c>
      <c r="C88" s="131" t="s">
        <v>84</v>
      </c>
      <c r="D88" s="130" t="s">
        <v>319</v>
      </c>
      <c r="E88" s="131" t="s">
        <v>320</v>
      </c>
      <c r="F88" s="131"/>
      <c r="G88" s="131"/>
      <c r="H88" s="130" t="str">
        <f aca="false">IF(B88="","",IF(COUNTIF('MiT Strom Pipeline'!$B$6:$B$904,B88)&gt;0,"✓",""))</f>
        <v/>
      </c>
      <c r="I88" s="130" t="str">
        <f aca="false">IF(B88="","",IFERROR(VLOOKUP(B88,'MiT Strom Pipeline'!$B$6:$R$904,17,0),""))</f>
        <v/>
      </c>
      <c r="J88" s="131"/>
    </row>
    <row r="89" customFormat="false" ht="19.5" hidden="false" customHeight="true" outlineLevel="0" collapsed="false">
      <c r="A89" s="22" t="n">
        <v>86</v>
      </c>
      <c r="B89" s="23" t="s">
        <v>425</v>
      </c>
      <c r="C89" s="23" t="s">
        <v>84</v>
      </c>
      <c r="D89" s="22" t="s">
        <v>319</v>
      </c>
      <c r="E89" s="23" t="s">
        <v>320</v>
      </c>
      <c r="F89" s="23"/>
      <c r="G89" s="23"/>
      <c r="H89" s="22" t="str">
        <f aca="false">IF(B89="","",IF(COUNTIF('MiT Strom Pipeline'!$B$6:$B$904,B89)&gt;0,"✓",""))</f>
        <v/>
      </c>
      <c r="I89" s="22" t="str">
        <f aca="false">IF(B89="","",IFERROR(VLOOKUP(B89,'MiT Strom Pipeline'!$B$6:$R$904,17,0),""))</f>
        <v/>
      </c>
      <c r="J89" s="23"/>
    </row>
    <row r="90" customFormat="false" ht="19.5" hidden="false" customHeight="true" outlineLevel="0" collapsed="false">
      <c r="A90" s="130" t="n">
        <v>87</v>
      </c>
      <c r="B90" s="131" t="s">
        <v>426</v>
      </c>
      <c r="C90" s="131" t="s">
        <v>84</v>
      </c>
      <c r="D90" s="130" t="s">
        <v>319</v>
      </c>
      <c r="E90" s="131" t="s">
        <v>320</v>
      </c>
      <c r="F90" s="131"/>
      <c r="G90" s="131"/>
      <c r="H90" s="130" t="str">
        <f aca="false">IF(B90="","",IF(COUNTIF('MiT Strom Pipeline'!$B$6:$B$904,B90)&gt;0,"✓",""))</f>
        <v/>
      </c>
      <c r="I90" s="130" t="str">
        <f aca="false">IF(B90="","",IFERROR(VLOOKUP(B90,'MiT Strom Pipeline'!$B$6:$R$904,17,0),""))</f>
        <v/>
      </c>
      <c r="J90" s="131"/>
    </row>
    <row r="91" customFormat="false" ht="19.5" hidden="false" customHeight="true" outlineLevel="0" collapsed="false">
      <c r="A91" s="22" t="n">
        <v>88</v>
      </c>
      <c r="B91" s="23" t="s">
        <v>427</v>
      </c>
      <c r="C91" s="23" t="s">
        <v>349</v>
      </c>
      <c r="D91" s="22" t="s">
        <v>53</v>
      </c>
      <c r="E91" s="23" t="s">
        <v>320</v>
      </c>
      <c r="F91" s="23"/>
      <c r="G91" s="23"/>
      <c r="H91" s="22" t="str">
        <f aca="false">IF(B91="","",IF(COUNTIF('MiT Strom Pipeline'!$B$6:$B$904,B91)&gt;0,"✓",""))</f>
        <v/>
      </c>
      <c r="I91" s="22" t="str">
        <f aca="false">IF(B91="","",IFERROR(VLOOKUP(B91,'MiT Strom Pipeline'!$B$6:$R$904,17,0),""))</f>
        <v/>
      </c>
      <c r="J91" s="23"/>
    </row>
    <row r="92" customFormat="false" ht="19.5" hidden="false" customHeight="true" outlineLevel="0" collapsed="false">
      <c r="A92" s="130" t="n">
        <v>89</v>
      </c>
      <c r="B92" s="131" t="s">
        <v>428</v>
      </c>
      <c r="C92" s="131" t="s">
        <v>84</v>
      </c>
      <c r="D92" s="130" t="s">
        <v>319</v>
      </c>
      <c r="E92" s="131" t="s">
        <v>320</v>
      </c>
      <c r="F92" s="131"/>
      <c r="G92" s="131"/>
      <c r="H92" s="130" t="str">
        <f aca="false">IF(B92="","",IF(COUNTIF('MiT Strom Pipeline'!$B$6:$B$904,B92)&gt;0,"✓",""))</f>
        <v/>
      </c>
      <c r="I92" s="130" t="str">
        <f aca="false">IF(B92="","",IFERROR(VLOOKUP(B92,'MiT Strom Pipeline'!$B$6:$R$904,17,0),""))</f>
        <v/>
      </c>
      <c r="J92" s="131"/>
    </row>
    <row r="93" customFormat="false" ht="19.5" hidden="false" customHeight="true" outlineLevel="0" collapsed="false">
      <c r="A93" s="22" t="n">
        <v>90</v>
      </c>
      <c r="B93" s="23" t="s">
        <v>429</v>
      </c>
      <c r="C93" s="23" t="s">
        <v>84</v>
      </c>
      <c r="D93" s="22" t="s">
        <v>319</v>
      </c>
      <c r="E93" s="23" t="s">
        <v>320</v>
      </c>
      <c r="F93" s="23"/>
      <c r="G93" s="23"/>
      <c r="H93" s="22" t="str">
        <f aca="false">IF(B93="","",IF(COUNTIF('MiT Strom Pipeline'!$B$6:$B$904,B93)&gt;0,"✓",""))</f>
        <v/>
      </c>
      <c r="I93" s="22" t="str">
        <f aca="false">IF(B93="","",IFERROR(VLOOKUP(B93,'MiT Strom Pipeline'!$B$6:$R$904,17,0),""))</f>
        <v/>
      </c>
      <c r="J93" s="23"/>
    </row>
    <row r="94" customFormat="false" ht="19.5" hidden="false" customHeight="true" outlineLevel="0" collapsed="false">
      <c r="A94" s="130" t="n">
        <v>91</v>
      </c>
      <c r="B94" s="131" t="s">
        <v>430</v>
      </c>
      <c r="C94" s="131" t="s">
        <v>51</v>
      </c>
      <c r="D94" s="130" t="s">
        <v>53</v>
      </c>
      <c r="E94" s="131" t="s">
        <v>320</v>
      </c>
      <c r="F94" s="131"/>
      <c r="G94" s="131"/>
      <c r="H94" s="130" t="str">
        <f aca="false">IF(B94="","",IF(COUNTIF('MiT Strom Pipeline'!$B$6:$B$904,B94)&gt;0,"✓",""))</f>
        <v/>
      </c>
      <c r="I94" s="130" t="str">
        <f aca="false">IF(B94="","",IFERROR(VLOOKUP(B94,'MiT Strom Pipeline'!$B$6:$R$904,17,0),""))</f>
        <v/>
      </c>
      <c r="J94" s="131"/>
    </row>
    <row r="95" customFormat="false" ht="19.5" hidden="false" customHeight="true" outlineLevel="0" collapsed="false">
      <c r="A95" s="22" t="n">
        <v>92</v>
      </c>
      <c r="B95" s="23" t="s">
        <v>431</v>
      </c>
      <c r="C95" s="23" t="s">
        <v>51</v>
      </c>
      <c r="D95" s="22" t="s">
        <v>319</v>
      </c>
      <c r="E95" s="23" t="s">
        <v>320</v>
      </c>
      <c r="F95" s="23"/>
      <c r="G95" s="23"/>
      <c r="H95" s="22" t="str">
        <f aca="false">IF(B95="","",IF(COUNTIF('MiT Strom Pipeline'!$B$6:$B$904,B95)&gt;0,"✓",""))</f>
        <v/>
      </c>
      <c r="I95" s="22" t="str">
        <f aca="false">IF(B95="","",IFERROR(VLOOKUP(B95,'MiT Strom Pipeline'!$B$6:$R$904,17,0),""))</f>
        <v/>
      </c>
      <c r="J95" s="23"/>
    </row>
    <row r="96" customFormat="false" ht="19.5" hidden="false" customHeight="true" outlineLevel="0" collapsed="false">
      <c r="A96" s="130" t="n">
        <v>93</v>
      </c>
      <c r="B96" s="131" t="s">
        <v>432</v>
      </c>
      <c r="C96" s="131" t="s">
        <v>347</v>
      </c>
      <c r="D96" s="130" t="s">
        <v>44</v>
      </c>
      <c r="E96" s="131" t="s">
        <v>320</v>
      </c>
      <c r="F96" s="131"/>
      <c r="G96" s="131"/>
      <c r="H96" s="130" t="str">
        <f aca="false">IF(B96="","",IF(COUNTIF('MiT Strom Pipeline'!$B$6:$B$904,B96)&gt;0,"✓",""))</f>
        <v/>
      </c>
      <c r="I96" s="130" t="str">
        <f aca="false">IF(B96="","",IFERROR(VLOOKUP(B96,'MiT Strom Pipeline'!$B$6:$R$904,17,0),""))</f>
        <v/>
      </c>
      <c r="J96" s="131"/>
    </row>
    <row r="97" customFormat="false" ht="19.5" hidden="false" customHeight="true" outlineLevel="0" collapsed="false">
      <c r="A97" s="22" t="n">
        <v>94</v>
      </c>
      <c r="B97" s="23" t="s">
        <v>433</v>
      </c>
      <c r="C97" s="23" t="s">
        <v>84</v>
      </c>
      <c r="D97" s="22" t="s">
        <v>319</v>
      </c>
      <c r="E97" s="23" t="s">
        <v>320</v>
      </c>
      <c r="F97" s="23"/>
      <c r="G97" s="23"/>
      <c r="H97" s="22" t="str">
        <f aca="false">IF(B97="","",IF(COUNTIF('MiT Strom Pipeline'!$B$6:$B$904,B97)&gt;0,"✓",""))</f>
        <v/>
      </c>
      <c r="I97" s="22" t="str">
        <f aca="false">IF(B97="","",IFERROR(VLOOKUP(B97,'MiT Strom Pipeline'!$B$6:$R$904,17,0),""))</f>
        <v/>
      </c>
      <c r="J97" s="23"/>
    </row>
    <row r="98" customFormat="false" ht="19.5" hidden="false" customHeight="true" outlineLevel="0" collapsed="false">
      <c r="A98" s="130" t="n">
        <v>95</v>
      </c>
      <c r="B98" s="131" t="s">
        <v>434</v>
      </c>
      <c r="C98" s="131" t="s">
        <v>84</v>
      </c>
      <c r="D98" s="130" t="s">
        <v>319</v>
      </c>
      <c r="E98" s="131" t="s">
        <v>320</v>
      </c>
      <c r="F98" s="131"/>
      <c r="G98" s="131"/>
      <c r="H98" s="130" t="str">
        <f aca="false">IF(B98="","",IF(COUNTIF('MiT Strom Pipeline'!$B$6:$B$904,B98)&gt;0,"✓",""))</f>
        <v/>
      </c>
      <c r="I98" s="130" t="str">
        <f aca="false">IF(B98="","",IFERROR(VLOOKUP(B98,'MiT Strom Pipeline'!$B$6:$R$904,17,0),""))</f>
        <v/>
      </c>
      <c r="J98" s="131"/>
    </row>
    <row r="99" customFormat="false" ht="19.5" hidden="false" customHeight="true" outlineLevel="0" collapsed="false">
      <c r="A99" s="22" t="n">
        <v>96</v>
      </c>
      <c r="B99" s="23" t="s">
        <v>435</v>
      </c>
      <c r="C99" s="23" t="s">
        <v>84</v>
      </c>
      <c r="D99" s="22" t="s">
        <v>47</v>
      </c>
      <c r="E99" s="23" t="s">
        <v>320</v>
      </c>
      <c r="F99" s="23"/>
      <c r="G99" s="23"/>
      <c r="H99" s="22" t="str">
        <f aca="false">IF(B99="","",IF(COUNTIF('MiT Strom Pipeline'!$B$6:$B$904,B99)&gt;0,"✓",""))</f>
        <v/>
      </c>
      <c r="I99" s="22" t="str">
        <f aca="false">IF(B99="","",IFERROR(VLOOKUP(B99,'MiT Strom Pipeline'!$B$6:$R$904,17,0),""))</f>
        <v/>
      </c>
      <c r="J99" s="23"/>
    </row>
    <row r="100" customFormat="false" ht="19.5" hidden="false" customHeight="true" outlineLevel="0" collapsed="false">
      <c r="A100" s="130" t="n">
        <v>97</v>
      </c>
      <c r="B100" s="131" t="s">
        <v>343</v>
      </c>
      <c r="C100" s="131" t="s">
        <v>54</v>
      </c>
      <c r="D100" s="130" t="s">
        <v>319</v>
      </c>
      <c r="E100" s="131" t="s">
        <v>320</v>
      </c>
      <c r="F100" s="131"/>
      <c r="G100" s="131"/>
      <c r="H100" s="130" t="str">
        <f aca="false">IF(B100="","",IF(COUNTIF('MiT Strom Pipeline'!$B$6:$B$904,B100)&gt;0,"✓",""))</f>
        <v/>
      </c>
      <c r="I100" s="130" t="str">
        <f aca="false">IF(B100="","",IFERROR(VLOOKUP(B100,'MiT Strom Pipeline'!$B$6:$R$904,17,0),""))</f>
        <v/>
      </c>
      <c r="J100" s="131"/>
    </row>
    <row r="101" customFormat="false" ht="19.5" hidden="false" customHeight="true" outlineLevel="0" collapsed="false">
      <c r="A101" s="22" t="n">
        <v>98</v>
      </c>
      <c r="B101" s="23" t="s">
        <v>436</v>
      </c>
      <c r="C101" s="23" t="s">
        <v>84</v>
      </c>
      <c r="D101" s="22" t="s">
        <v>319</v>
      </c>
      <c r="E101" s="23" t="s">
        <v>320</v>
      </c>
      <c r="F101" s="23"/>
      <c r="G101" s="23"/>
      <c r="H101" s="22" t="str">
        <f aca="false">IF(B101="","",IF(COUNTIF('MiT Strom Pipeline'!$B$6:$B$904,B101)&gt;0,"✓",""))</f>
        <v/>
      </c>
      <c r="I101" s="22" t="str">
        <f aca="false">IF(B101="","",IFERROR(VLOOKUP(B101,'MiT Strom Pipeline'!$B$6:$R$904,17,0),""))</f>
        <v/>
      </c>
      <c r="J101" s="23"/>
    </row>
    <row r="102" customFormat="false" ht="19.5" hidden="false" customHeight="true" outlineLevel="0" collapsed="false">
      <c r="A102" s="130" t="n">
        <v>99</v>
      </c>
      <c r="B102" s="131" t="s">
        <v>437</v>
      </c>
      <c r="C102" s="131" t="s">
        <v>51</v>
      </c>
      <c r="D102" s="130" t="s">
        <v>319</v>
      </c>
      <c r="E102" s="131" t="s">
        <v>320</v>
      </c>
      <c r="F102" s="131"/>
      <c r="G102" s="131"/>
      <c r="H102" s="130" t="str">
        <f aca="false">IF(B102="","",IF(COUNTIF('MiT Strom Pipeline'!$B$6:$B$904,B102)&gt;0,"✓",""))</f>
        <v/>
      </c>
      <c r="I102" s="130" t="str">
        <f aca="false">IF(B102="","",IFERROR(VLOOKUP(B102,'MiT Strom Pipeline'!$B$6:$R$904,17,0),""))</f>
        <v/>
      </c>
      <c r="J102" s="131"/>
    </row>
    <row r="103" customFormat="false" ht="19.5" hidden="false" customHeight="true" outlineLevel="0" collapsed="false">
      <c r="A103" s="22" t="n">
        <v>100</v>
      </c>
      <c r="B103" s="23" t="s">
        <v>438</v>
      </c>
      <c r="C103" s="23" t="s">
        <v>347</v>
      </c>
      <c r="D103" s="22" t="s">
        <v>78</v>
      </c>
      <c r="E103" s="23" t="s">
        <v>320</v>
      </c>
      <c r="F103" s="23"/>
      <c r="G103" s="23"/>
      <c r="H103" s="22" t="str">
        <f aca="false">IF(B103="","",IF(COUNTIF('MiT Strom Pipeline'!$B$6:$B$904,B103)&gt;0,"✓",""))</f>
        <v/>
      </c>
      <c r="I103" s="22" t="str">
        <f aca="false">IF(B103="","",IFERROR(VLOOKUP(B103,'MiT Strom Pipeline'!$B$6:$R$904,17,0),""))</f>
        <v/>
      </c>
      <c r="J103" s="23"/>
    </row>
    <row r="104" customFormat="false" ht="19.5" hidden="false" customHeight="true" outlineLevel="0" collapsed="false">
      <c r="A104" s="130" t="n">
        <v>101</v>
      </c>
      <c r="B104" s="131" t="s">
        <v>439</v>
      </c>
      <c r="C104" s="131" t="s">
        <v>360</v>
      </c>
      <c r="D104" s="130" t="s">
        <v>319</v>
      </c>
      <c r="E104" s="131" t="s">
        <v>320</v>
      </c>
      <c r="F104" s="131"/>
      <c r="G104" s="131"/>
      <c r="H104" s="130" t="str">
        <f aca="false">IF(B104="","",IF(COUNTIF('MiT Strom Pipeline'!$B$6:$B$904,B104)&gt;0,"✓",""))</f>
        <v/>
      </c>
      <c r="I104" s="130" t="str">
        <f aca="false">IF(B104="","",IFERROR(VLOOKUP(B104,'MiT Strom Pipeline'!$B$6:$R$904,17,0),""))</f>
        <v/>
      </c>
      <c r="J104" s="131"/>
    </row>
    <row r="105" customFormat="false" ht="19.5" hidden="false" customHeight="true" outlineLevel="0" collapsed="false">
      <c r="A105" s="22" t="n">
        <v>102</v>
      </c>
      <c r="B105" s="23" t="s">
        <v>440</v>
      </c>
      <c r="C105" s="23" t="s">
        <v>84</v>
      </c>
      <c r="D105" s="22" t="s">
        <v>319</v>
      </c>
      <c r="E105" s="23" t="s">
        <v>320</v>
      </c>
      <c r="F105" s="23"/>
      <c r="G105" s="23"/>
      <c r="H105" s="22" t="str">
        <f aca="false">IF(B105="","",IF(COUNTIF('MiT Strom Pipeline'!$B$6:$B$904,B105)&gt;0,"✓",""))</f>
        <v/>
      </c>
      <c r="I105" s="22" t="str">
        <f aca="false">IF(B105="","",IFERROR(VLOOKUP(B105,'MiT Strom Pipeline'!$B$6:$R$904,17,0),""))</f>
        <v/>
      </c>
      <c r="J105" s="23"/>
    </row>
    <row r="106" customFormat="false" ht="19.5" hidden="false" customHeight="true" outlineLevel="0" collapsed="false">
      <c r="A106" s="130" t="n">
        <v>103</v>
      </c>
      <c r="B106" s="131" t="s">
        <v>441</v>
      </c>
      <c r="C106" s="131" t="s">
        <v>442</v>
      </c>
      <c r="D106" s="130" t="s">
        <v>319</v>
      </c>
      <c r="E106" s="131" t="s">
        <v>320</v>
      </c>
      <c r="F106" s="131"/>
      <c r="G106" s="131"/>
      <c r="H106" s="130" t="str">
        <f aca="false">IF(B106="","",IF(COUNTIF('MiT Strom Pipeline'!$B$6:$B$904,B106)&gt;0,"✓",""))</f>
        <v/>
      </c>
      <c r="I106" s="130" t="str">
        <f aca="false">IF(B106="","",IFERROR(VLOOKUP(B106,'MiT Strom Pipeline'!$B$6:$R$904,17,0),""))</f>
        <v/>
      </c>
      <c r="J106" s="131"/>
    </row>
    <row r="107" customFormat="false" ht="19.5" hidden="false" customHeight="true" outlineLevel="0" collapsed="false">
      <c r="A107" s="22" t="n">
        <v>104</v>
      </c>
      <c r="B107" s="23" t="s">
        <v>443</v>
      </c>
      <c r="C107" s="23" t="s">
        <v>347</v>
      </c>
      <c r="D107" s="22" t="s">
        <v>319</v>
      </c>
      <c r="E107" s="23" t="s">
        <v>320</v>
      </c>
      <c r="F107" s="23"/>
      <c r="G107" s="23"/>
      <c r="H107" s="22" t="str">
        <f aca="false">IF(B107="","",IF(COUNTIF('MiT Strom Pipeline'!$B$6:$B$904,B107)&gt;0,"✓",""))</f>
        <v/>
      </c>
      <c r="I107" s="22" t="str">
        <f aca="false">IF(B107="","",IFERROR(VLOOKUP(B107,'MiT Strom Pipeline'!$B$6:$R$904,17,0),""))</f>
        <v/>
      </c>
      <c r="J107" s="23"/>
    </row>
    <row r="108" customFormat="false" ht="19.5" hidden="false" customHeight="true" outlineLevel="0" collapsed="false">
      <c r="A108" s="130" t="n">
        <v>105</v>
      </c>
      <c r="B108" s="131" t="s">
        <v>444</v>
      </c>
      <c r="C108" s="131" t="s">
        <v>84</v>
      </c>
      <c r="D108" s="130" t="s">
        <v>319</v>
      </c>
      <c r="E108" s="131" t="s">
        <v>320</v>
      </c>
      <c r="F108" s="131"/>
      <c r="G108" s="131"/>
      <c r="H108" s="130" t="str">
        <f aca="false">IF(B108="","",IF(COUNTIF('MiT Strom Pipeline'!$B$6:$B$904,B108)&gt;0,"✓",""))</f>
        <v/>
      </c>
      <c r="I108" s="130" t="str">
        <f aca="false">IF(B108="","",IFERROR(VLOOKUP(B108,'MiT Strom Pipeline'!$B$6:$R$904,17,0),""))</f>
        <v/>
      </c>
      <c r="J108" s="131"/>
    </row>
    <row r="109" customFormat="false" ht="19.5" hidden="false" customHeight="true" outlineLevel="0" collapsed="false">
      <c r="A109" s="22" t="n">
        <v>106</v>
      </c>
      <c r="B109" s="23" t="s">
        <v>445</v>
      </c>
      <c r="C109" s="23" t="s">
        <v>84</v>
      </c>
      <c r="D109" s="22" t="s">
        <v>76</v>
      </c>
      <c r="E109" s="23" t="s">
        <v>320</v>
      </c>
      <c r="F109" s="23"/>
      <c r="G109" s="23"/>
      <c r="H109" s="22" t="str">
        <f aca="false">IF(B109="","",IF(COUNTIF('MiT Strom Pipeline'!$B$6:$B$904,B109)&gt;0,"✓",""))</f>
        <v/>
      </c>
      <c r="I109" s="22" t="str">
        <f aca="false">IF(B109="","",IFERROR(VLOOKUP(B109,'MiT Strom Pipeline'!$B$6:$R$904,17,0),""))</f>
        <v/>
      </c>
      <c r="J109" s="23"/>
    </row>
    <row r="110" customFormat="false" ht="19.5" hidden="false" customHeight="true" outlineLevel="0" collapsed="false">
      <c r="A110" s="130" t="n">
        <v>107</v>
      </c>
      <c r="B110" s="131" t="s">
        <v>446</v>
      </c>
      <c r="C110" s="131" t="s">
        <v>84</v>
      </c>
      <c r="D110" s="130" t="s">
        <v>319</v>
      </c>
      <c r="E110" s="131" t="s">
        <v>320</v>
      </c>
      <c r="F110" s="131"/>
      <c r="G110" s="131"/>
      <c r="H110" s="130" t="str">
        <f aca="false">IF(B110="","",IF(COUNTIF('MiT Strom Pipeline'!$B$6:$B$904,B110)&gt;0,"✓",""))</f>
        <v/>
      </c>
      <c r="I110" s="130" t="str">
        <f aca="false">IF(B110="","",IFERROR(VLOOKUP(B110,'MiT Strom Pipeline'!$B$6:$R$904,17,0),""))</f>
        <v/>
      </c>
      <c r="J110" s="131"/>
    </row>
    <row r="111" customFormat="false" ht="19.5" hidden="false" customHeight="true" outlineLevel="0" collapsed="false">
      <c r="A111" s="22" t="n">
        <v>108</v>
      </c>
      <c r="B111" s="23" t="s">
        <v>447</v>
      </c>
      <c r="C111" s="23" t="s">
        <v>84</v>
      </c>
      <c r="D111" s="22" t="s">
        <v>319</v>
      </c>
      <c r="E111" s="23" t="s">
        <v>320</v>
      </c>
      <c r="F111" s="23"/>
      <c r="G111" s="23"/>
      <c r="H111" s="22" t="str">
        <f aca="false">IF(B111="","",IF(COUNTIF('MiT Strom Pipeline'!$B$6:$B$904,B111)&gt;0,"✓",""))</f>
        <v/>
      </c>
      <c r="I111" s="22" t="str">
        <f aca="false">IF(B111="","",IFERROR(VLOOKUP(B111,'MiT Strom Pipeline'!$B$6:$R$904,17,0),""))</f>
        <v/>
      </c>
      <c r="J111" s="23"/>
    </row>
    <row r="112" customFormat="false" ht="19.5" hidden="false" customHeight="true" outlineLevel="0" collapsed="false">
      <c r="A112" s="130" t="n">
        <v>109</v>
      </c>
      <c r="B112" s="131" t="s">
        <v>448</v>
      </c>
      <c r="C112" s="131" t="s">
        <v>51</v>
      </c>
      <c r="D112" s="130" t="s">
        <v>319</v>
      </c>
      <c r="E112" s="131" t="s">
        <v>320</v>
      </c>
      <c r="F112" s="131"/>
      <c r="G112" s="131"/>
      <c r="H112" s="130" t="str">
        <f aca="false">IF(B112="","",IF(COUNTIF('MiT Strom Pipeline'!$B$6:$B$904,B112)&gt;0,"✓",""))</f>
        <v/>
      </c>
      <c r="I112" s="130" t="str">
        <f aca="false">IF(B112="","",IFERROR(VLOOKUP(B112,'MiT Strom Pipeline'!$B$6:$R$904,17,0),""))</f>
        <v/>
      </c>
      <c r="J112" s="131"/>
    </row>
    <row r="113" customFormat="false" ht="19.5" hidden="false" customHeight="true" outlineLevel="0" collapsed="false">
      <c r="A113" s="22" t="n">
        <v>110</v>
      </c>
      <c r="B113" s="23" t="s">
        <v>449</v>
      </c>
      <c r="C113" s="23" t="s">
        <v>51</v>
      </c>
      <c r="D113" s="22" t="s">
        <v>319</v>
      </c>
      <c r="E113" s="23" t="s">
        <v>320</v>
      </c>
      <c r="F113" s="23"/>
      <c r="G113" s="23"/>
      <c r="H113" s="22" t="str">
        <f aca="false">IF(B113="","",IF(COUNTIF('MiT Strom Pipeline'!$B$6:$B$904,B113)&gt;0,"✓",""))</f>
        <v/>
      </c>
      <c r="I113" s="22" t="str">
        <f aca="false">IF(B113="","",IFERROR(VLOOKUP(B113,'MiT Strom Pipeline'!$B$6:$R$904,17,0),""))</f>
        <v/>
      </c>
      <c r="J113" s="23"/>
    </row>
    <row r="114" customFormat="false" ht="19.5" hidden="false" customHeight="true" outlineLevel="0" collapsed="false">
      <c r="A114" s="130" t="n">
        <v>111</v>
      </c>
      <c r="B114" s="131" t="s">
        <v>450</v>
      </c>
      <c r="C114" s="131" t="s">
        <v>51</v>
      </c>
      <c r="D114" s="130" t="s">
        <v>70</v>
      </c>
      <c r="E114" s="131" t="s">
        <v>320</v>
      </c>
      <c r="F114" s="131"/>
      <c r="G114" s="131"/>
      <c r="H114" s="130" t="str">
        <f aca="false">IF(B114="","",IF(COUNTIF('MiT Strom Pipeline'!$B$6:$B$904,B114)&gt;0,"✓",""))</f>
        <v/>
      </c>
      <c r="I114" s="130" t="str">
        <f aca="false">IF(B114="","",IFERROR(VLOOKUP(B114,'MiT Strom Pipeline'!$B$6:$R$904,17,0),""))</f>
        <v/>
      </c>
      <c r="J114" s="131"/>
    </row>
    <row r="115" customFormat="false" ht="19.5" hidden="false" customHeight="true" outlineLevel="0" collapsed="false">
      <c r="A115" s="22" t="n">
        <v>112</v>
      </c>
      <c r="B115" s="23" t="s">
        <v>451</v>
      </c>
      <c r="C115" s="23" t="s">
        <v>84</v>
      </c>
      <c r="D115" s="22" t="s">
        <v>319</v>
      </c>
      <c r="E115" s="23" t="s">
        <v>320</v>
      </c>
      <c r="F115" s="23"/>
      <c r="G115" s="23"/>
      <c r="H115" s="22" t="str">
        <f aca="false">IF(B115="","",IF(COUNTIF('MiT Strom Pipeline'!$B$6:$B$904,B115)&gt;0,"✓",""))</f>
        <v/>
      </c>
      <c r="I115" s="22" t="str">
        <f aca="false">IF(B115="","",IFERROR(VLOOKUP(B115,'MiT Strom Pipeline'!$B$6:$R$904,17,0),""))</f>
        <v/>
      </c>
      <c r="J115" s="23"/>
    </row>
    <row r="116" customFormat="false" ht="19.5" hidden="false" customHeight="true" outlineLevel="0" collapsed="false">
      <c r="A116" s="130" t="n">
        <v>113</v>
      </c>
      <c r="B116" s="131" t="s">
        <v>452</v>
      </c>
      <c r="C116" s="131" t="s">
        <v>400</v>
      </c>
      <c r="D116" s="130" t="s">
        <v>319</v>
      </c>
      <c r="E116" s="131" t="s">
        <v>328</v>
      </c>
      <c r="F116" s="131"/>
      <c r="G116" s="131"/>
      <c r="H116" s="130" t="str">
        <f aca="false">IF(B116="","",IF(COUNTIF('MiT Strom Pipeline'!$B$6:$B$904,B116)&gt;0,"✓",""))</f>
        <v/>
      </c>
      <c r="I116" s="130" t="str">
        <f aca="false">IF(B116="","",IFERROR(VLOOKUP(B116,'MiT Strom Pipeline'!$B$6:$R$904,17,0),""))</f>
        <v/>
      </c>
      <c r="J116" s="131"/>
    </row>
    <row r="117" customFormat="false" ht="19.5" hidden="false" customHeight="true" outlineLevel="0" collapsed="false">
      <c r="A117" s="22" t="n">
        <v>114</v>
      </c>
      <c r="B117" s="23" t="s">
        <v>453</v>
      </c>
      <c r="C117" s="23" t="s">
        <v>84</v>
      </c>
      <c r="D117" s="22" t="s">
        <v>319</v>
      </c>
      <c r="E117" s="23" t="s">
        <v>320</v>
      </c>
      <c r="F117" s="23"/>
      <c r="G117" s="23"/>
      <c r="H117" s="22" t="str">
        <f aca="false">IF(B117="","",IF(COUNTIF('MiT Strom Pipeline'!$B$6:$B$904,B117)&gt;0,"✓",""))</f>
        <v/>
      </c>
      <c r="I117" s="22" t="str">
        <f aca="false">IF(B117="","",IFERROR(VLOOKUP(B117,'MiT Strom Pipeline'!$B$6:$R$904,17,0),""))</f>
        <v/>
      </c>
      <c r="J117" s="23"/>
    </row>
    <row r="118" customFormat="false" ht="19.5" hidden="false" customHeight="true" outlineLevel="0" collapsed="false">
      <c r="A118" s="130" t="n">
        <v>115</v>
      </c>
      <c r="B118" s="131" t="s">
        <v>454</v>
      </c>
      <c r="C118" s="131" t="s">
        <v>84</v>
      </c>
      <c r="D118" s="130" t="s">
        <v>68</v>
      </c>
      <c r="E118" s="131" t="s">
        <v>320</v>
      </c>
      <c r="F118" s="131"/>
      <c r="G118" s="131"/>
      <c r="H118" s="130" t="str">
        <f aca="false">IF(B118="","",IF(COUNTIF('MiT Strom Pipeline'!$B$6:$B$904,B118)&gt;0,"✓",""))</f>
        <v/>
      </c>
      <c r="I118" s="130" t="str">
        <f aca="false">IF(B118="","",IFERROR(VLOOKUP(B118,'MiT Strom Pipeline'!$B$6:$R$904,17,0),""))</f>
        <v/>
      </c>
      <c r="J118" s="131"/>
    </row>
    <row r="119" customFormat="false" ht="19.5" hidden="false" customHeight="true" outlineLevel="0" collapsed="false">
      <c r="A119" s="22" t="n">
        <v>116</v>
      </c>
      <c r="B119" s="23" t="s">
        <v>455</v>
      </c>
      <c r="C119" s="23" t="s">
        <v>84</v>
      </c>
      <c r="D119" s="22" t="s">
        <v>41</v>
      </c>
      <c r="E119" s="23" t="s">
        <v>320</v>
      </c>
      <c r="F119" s="23"/>
      <c r="G119" s="23"/>
      <c r="H119" s="22" t="str">
        <f aca="false">IF(B119="","",IF(COUNTIF('MiT Strom Pipeline'!$B$6:$B$904,B119)&gt;0,"✓",""))</f>
        <v/>
      </c>
      <c r="I119" s="22" t="str">
        <f aca="false">IF(B119="","",IFERROR(VLOOKUP(B119,'MiT Strom Pipeline'!$B$6:$R$904,17,0),""))</f>
        <v/>
      </c>
      <c r="J119" s="23"/>
    </row>
    <row r="120" customFormat="false" ht="19.5" hidden="false" customHeight="true" outlineLevel="0" collapsed="false">
      <c r="A120" s="130" t="n">
        <v>117</v>
      </c>
      <c r="B120" s="131" t="s">
        <v>456</v>
      </c>
      <c r="C120" s="131" t="s">
        <v>347</v>
      </c>
      <c r="D120" s="130" t="s">
        <v>319</v>
      </c>
      <c r="E120" s="131" t="s">
        <v>320</v>
      </c>
      <c r="F120" s="131"/>
      <c r="G120" s="131"/>
      <c r="H120" s="130" t="str">
        <f aca="false">IF(B120="","",IF(COUNTIF('MiT Strom Pipeline'!$B$6:$B$904,B120)&gt;0,"✓",""))</f>
        <v/>
      </c>
      <c r="I120" s="130" t="str">
        <f aca="false">IF(B120="","",IFERROR(VLOOKUP(B120,'MiT Strom Pipeline'!$B$6:$R$904,17,0),""))</f>
        <v/>
      </c>
      <c r="J120" s="131"/>
    </row>
    <row r="121" customFormat="false" ht="19.5" hidden="false" customHeight="true" outlineLevel="0" collapsed="false">
      <c r="A121" s="22" t="n">
        <v>118</v>
      </c>
      <c r="B121" s="23" t="s">
        <v>457</v>
      </c>
      <c r="C121" s="23" t="s">
        <v>335</v>
      </c>
      <c r="D121" s="22" t="s">
        <v>78</v>
      </c>
      <c r="E121" s="23" t="s">
        <v>320</v>
      </c>
      <c r="F121" s="23"/>
      <c r="G121" s="23"/>
      <c r="H121" s="22" t="str">
        <f aca="false">IF(B121="","",IF(COUNTIF('MiT Strom Pipeline'!$B$6:$B$904,B121)&gt;0,"✓",""))</f>
        <v/>
      </c>
      <c r="I121" s="22" t="str">
        <f aca="false">IF(B121="","",IFERROR(VLOOKUP(B121,'MiT Strom Pipeline'!$B$6:$R$904,17,0),""))</f>
        <v/>
      </c>
      <c r="J121" s="23"/>
    </row>
    <row r="122" customFormat="false" ht="19.5" hidden="false" customHeight="true" outlineLevel="0" collapsed="false">
      <c r="A122" s="130" t="n">
        <v>119</v>
      </c>
      <c r="B122" s="131" t="s">
        <v>458</v>
      </c>
      <c r="C122" s="131" t="s">
        <v>84</v>
      </c>
      <c r="D122" s="130" t="s">
        <v>319</v>
      </c>
      <c r="E122" s="131" t="s">
        <v>320</v>
      </c>
      <c r="F122" s="131"/>
      <c r="G122" s="131"/>
      <c r="H122" s="130" t="str">
        <f aca="false">IF(B122="","",IF(COUNTIF('MiT Strom Pipeline'!$B$6:$B$904,B122)&gt;0,"✓",""))</f>
        <v/>
      </c>
      <c r="I122" s="130" t="str">
        <f aca="false">IF(B122="","",IFERROR(VLOOKUP(B122,'MiT Strom Pipeline'!$B$6:$R$904,17,0),""))</f>
        <v/>
      </c>
      <c r="J122" s="131"/>
    </row>
    <row r="123" customFormat="false" ht="19.5" hidden="false" customHeight="true" outlineLevel="0" collapsed="false">
      <c r="A123" s="22" t="n">
        <v>120</v>
      </c>
      <c r="B123" s="23" t="s">
        <v>459</v>
      </c>
      <c r="C123" s="23" t="s">
        <v>84</v>
      </c>
      <c r="D123" s="22" t="s">
        <v>319</v>
      </c>
      <c r="E123" s="23" t="s">
        <v>320</v>
      </c>
      <c r="F123" s="23"/>
      <c r="G123" s="23"/>
      <c r="H123" s="22" t="str">
        <f aca="false">IF(B123="","",IF(COUNTIF('MiT Strom Pipeline'!$B$6:$B$904,B123)&gt;0,"✓",""))</f>
        <v/>
      </c>
      <c r="I123" s="22" t="str">
        <f aca="false">IF(B123="","",IFERROR(VLOOKUP(B123,'MiT Strom Pipeline'!$B$6:$R$904,17,0),""))</f>
        <v/>
      </c>
      <c r="J123" s="23"/>
    </row>
    <row r="124" customFormat="false" ht="19.5" hidden="false" customHeight="true" outlineLevel="0" collapsed="false">
      <c r="A124" s="130" t="n">
        <v>121</v>
      </c>
      <c r="B124" s="131" t="s">
        <v>460</v>
      </c>
      <c r="C124" s="131" t="s">
        <v>347</v>
      </c>
      <c r="D124" s="130" t="s">
        <v>319</v>
      </c>
      <c r="E124" s="131" t="s">
        <v>320</v>
      </c>
      <c r="F124" s="131"/>
      <c r="G124" s="131"/>
      <c r="H124" s="130" t="str">
        <f aca="false">IF(B124="","",IF(COUNTIF('MiT Strom Pipeline'!$B$6:$B$904,B124)&gt;0,"✓",""))</f>
        <v/>
      </c>
      <c r="I124" s="130" t="str">
        <f aca="false">IF(B124="","",IFERROR(VLOOKUP(B124,'MiT Strom Pipeline'!$B$6:$R$904,17,0),""))</f>
        <v/>
      </c>
      <c r="J124" s="131"/>
    </row>
    <row r="125" customFormat="false" ht="19.5" hidden="false" customHeight="true" outlineLevel="0" collapsed="false">
      <c r="A125" s="22" t="n">
        <v>122</v>
      </c>
      <c r="B125" s="23" t="s">
        <v>461</v>
      </c>
      <c r="C125" s="23" t="s">
        <v>51</v>
      </c>
      <c r="D125" s="22" t="s">
        <v>319</v>
      </c>
      <c r="E125" s="23" t="s">
        <v>320</v>
      </c>
      <c r="F125" s="23"/>
      <c r="G125" s="23"/>
      <c r="H125" s="22" t="str">
        <f aca="false">IF(B125="","",IF(COUNTIF('MiT Strom Pipeline'!$B$6:$B$904,B125)&gt;0,"✓",""))</f>
        <v/>
      </c>
      <c r="I125" s="22" t="str">
        <f aca="false">IF(B125="","",IFERROR(VLOOKUP(B125,'MiT Strom Pipeline'!$B$6:$R$904,17,0),""))</f>
        <v/>
      </c>
      <c r="J125" s="23"/>
    </row>
    <row r="126" customFormat="false" ht="19.5" hidden="false" customHeight="true" outlineLevel="0" collapsed="false">
      <c r="A126" s="130" t="n">
        <v>123</v>
      </c>
      <c r="B126" s="131" t="s">
        <v>462</v>
      </c>
      <c r="C126" s="131" t="s">
        <v>84</v>
      </c>
      <c r="D126" s="130" t="s">
        <v>44</v>
      </c>
      <c r="E126" s="131" t="s">
        <v>320</v>
      </c>
      <c r="F126" s="131"/>
      <c r="G126" s="131"/>
      <c r="H126" s="130" t="str">
        <f aca="false">IF(B126="","",IF(COUNTIF('MiT Strom Pipeline'!$B$6:$B$904,B126)&gt;0,"✓",""))</f>
        <v/>
      </c>
      <c r="I126" s="130" t="str">
        <f aca="false">IF(B126="","",IFERROR(VLOOKUP(B126,'MiT Strom Pipeline'!$B$6:$R$904,17,0),""))</f>
        <v/>
      </c>
      <c r="J126" s="131"/>
    </row>
    <row r="127" customFormat="false" ht="19.5" hidden="false" customHeight="true" outlineLevel="0" collapsed="false">
      <c r="A127" s="22" t="n">
        <v>124</v>
      </c>
      <c r="B127" s="23" t="s">
        <v>463</v>
      </c>
      <c r="C127" s="23" t="s">
        <v>84</v>
      </c>
      <c r="D127" s="22" t="s">
        <v>319</v>
      </c>
      <c r="E127" s="23" t="s">
        <v>320</v>
      </c>
      <c r="F127" s="23"/>
      <c r="G127" s="23"/>
      <c r="H127" s="22" t="str">
        <f aca="false">IF(B127="","",IF(COUNTIF('MiT Strom Pipeline'!$B$6:$B$904,B127)&gt;0,"✓",""))</f>
        <v/>
      </c>
      <c r="I127" s="22" t="str">
        <f aca="false">IF(B127="","",IFERROR(VLOOKUP(B127,'MiT Strom Pipeline'!$B$6:$R$904,17,0),""))</f>
        <v/>
      </c>
      <c r="J127" s="23"/>
    </row>
    <row r="128" customFormat="false" ht="19.5" hidden="false" customHeight="true" outlineLevel="0" collapsed="false">
      <c r="A128" s="130" t="n">
        <v>125</v>
      </c>
      <c r="B128" s="131" t="s">
        <v>464</v>
      </c>
      <c r="C128" s="131" t="s">
        <v>84</v>
      </c>
      <c r="D128" s="130" t="s">
        <v>319</v>
      </c>
      <c r="E128" s="131" t="s">
        <v>320</v>
      </c>
      <c r="F128" s="131"/>
      <c r="G128" s="131"/>
      <c r="H128" s="130" t="str">
        <f aca="false">IF(B128="","",IF(COUNTIF('MiT Strom Pipeline'!$B$6:$B$904,B128)&gt;0,"✓",""))</f>
        <v/>
      </c>
      <c r="I128" s="130" t="str">
        <f aca="false">IF(B128="","",IFERROR(VLOOKUP(B128,'MiT Strom Pipeline'!$B$6:$R$904,17,0),""))</f>
        <v/>
      </c>
      <c r="J128" s="131"/>
    </row>
    <row r="129" customFormat="false" ht="19.5" hidden="false" customHeight="true" outlineLevel="0" collapsed="false">
      <c r="A129" s="22" t="n">
        <v>126</v>
      </c>
      <c r="B129" s="23" t="s">
        <v>465</v>
      </c>
      <c r="C129" s="23" t="s">
        <v>347</v>
      </c>
      <c r="D129" s="22" t="s">
        <v>319</v>
      </c>
      <c r="E129" s="23" t="s">
        <v>320</v>
      </c>
      <c r="F129" s="23"/>
      <c r="G129" s="23"/>
      <c r="H129" s="22" t="str">
        <f aca="false">IF(B129="","",IF(COUNTIF('MiT Strom Pipeline'!$B$6:$B$904,B129)&gt;0,"✓",""))</f>
        <v/>
      </c>
      <c r="I129" s="22" t="str">
        <f aca="false">IF(B129="","",IFERROR(VLOOKUP(B129,'MiT Strom Pipeline'!$B$6:$R$904,17,0),""))</f>
        <v/>
      </c>
      <c r="J129" s="23"/>
    </row>
    <row r="130" customFormat="false" ht="19.5" hidden="false" customHeight="true" outlineLevel="0" collapsed="false">
      <c r="A130" s="130" t="n">
        <v>127</v>
      </c>
      <c r="B130" s="131" t="s">
        <v>466</v>
      </c>
      <c r="C130" s="131" t="s">
        <v>84</v>
      </c>
      <c r="D130" s="130" t="s">
        <v>319</v>
      </c>
      <c r="E130" s="131" t="s">
        <v>320</v>
      </c>
      <c r="F130" s="131"/>
      <c r="G130" s="131"/>
      <c r="H130" s="130" t="str">
        <f aca="false">IF(B130="","",IF(COUNTIF('MiT Strom Pipeline'!$B$6:$B$904,B130)&gt;0,"✓",""))</f>
        <v/>
      </c>
      <c r="I130" s="130" t="str">
        <f aca="false">IF(B130="","",IFERROR(VLOOKUP(B130,'MiT Strom Pipeline'!$B$6:$R$904,17,0),""))</f>
        <v/>
      </c>
      <c r="J130" s="131"/>
    </row>
    <row r="131" customFormat="false" ht="19.5" hidden="false" customHeight="true" outlineLevel="0" collapsed="false">
      <c r="A131" s="22" t="n">
        <v>128</v>
      </c>
      <c r="B131" s="23" t="s">
        <v>467</v>
      </c>
      <c r="C131" s="23" t="s">
        <v>51</v>
      </c>
      <c r="D131" s="22" t="s">
        <v>319</v>
      </c>
      <c r="E131" s="23" t="s">
        <v>320</v>
      </c>
      <c r="F131" s="23"/>
      <c r="G131" s="23"/>
      <c r="H131" s="22" t="str">
        <f aca="false">IF(B131="","",IF(COUNTIF('MiT Strom Pipeline'!$B$6:$B$904,B131)&gt;0,"✓",""))</f>
        <v/>
      </c>
      <c r="I131" s="22" t="str">
        <f aca="false">IF(B131="","",IFERROR(VLOOKUP(B131,'MiT Strom Pipeline'!$B$6:$R$904,17,0),""))</f>
        <v/>
      </c>
      <c r="J131" s="23"/>
    </row>
    <row r="132" customFormat="false" ht="19.5" hidden="false" customHeight="true" outlineLevel="0" collapsed="false">
      <c r="A132" s="130" t="n">
        <v>129</v>
      </c>
      <c r="B132" s="131" t="s">
        <v>468</v>
      </c>
      <c r="C132" s="131" t="s">
        <v>82</v>
      </c>
      <c r="D132" s="130" t="s">
        <v>319</v>
      </c>
      <c r="E132" s="131" t="s">
        <v>320</v>
      </c>
      <c r="F132" s="131"/>
      <c r="G132" s="131"/>
      <c r="H132" s="130" t="str">
        <f aca="false">IF(B132="","",IF(COUNTIF('MiT Strom Pipeline'!$B$6:$B$904,B132)&gt;0,"✓",""))</f>
        <v/>
      </c>
      <c r="I132" s="130" t="str">
        <f aca="false">IF(B132="","",IFERROR(VLOOKUP(B132,'MiT Strom Pipeline'!$B$6:$R$904,17,0),""))</f>
        <v/>
      </c>
      <c r="J132" s="131"/>
    </row>
    <row r="133" customFormat="false" ht="19.5" hidden="false" customHeight="true" outlineLevel="0" collapsed="false">
      <c r="A133" s="22" t="n">
        <v>130</v>
      </c>
      <c r="B133" s="23" t="s">
        <v>469</v>
      </c>
      <c r="C133" s="23" t="s">
        <v>84</v>
      </c>
      <c r="D133" s="22" t="s">
        <v>319</v>
      </c>
      <c r="E133" s="23" t="s">
        <v>320</v>
      </c>
      <c r="F133" s="23"/>
      <c r="G133" s="23"/>
      <c r="H133" s="22" t="str">
        <f aca="false">IF(B133="","",IF(COUNTIF('MiT Strom Pipeline'!$B$6:$B$904,B133)&gt;0,"✓",""))</f>
        <v/>
      </c>
      <c r="I133" s="22" t="str">
        <f aca="false">IF(B133="","",IFERROR(VLOOKUP(B133,'MiT Strom Pipeline'!$B$6:$R$904,17,0),""))</f>
        <v/>
      </c>
      <c r="J133" s="23"/>
    </row>
    <row r="134" customFormat="false" ht="19.5" hidden="false" customHeight="true" outlineLevel="0" collapsed="false">
      <c r="A134" s="130" t="n">
        <v>131</v>
      </c>
      <c r="B134" s="131" t="s">
        <v>470</v>
      </c>
      <c r="C134" s="131" t="s">
        <v>84</v>
      </c>
      <c r="D134" s="130" t="s">
        <v>319</v>
      </c>
      <c r="E134" s="131" t="s">
        <v>320</v>
      </c>
      <c r="F134" s="131"/>
      <c r="G134" s="131"/>
      <c r="H134" s="130" t="str">
        <f aca="false">IF(B134="","",IF(COUNTIF('MiT Strom Pipeline'!$B$6:$B$904,B134)&gt;0,"✓",""))</f>
        <v/>
      </c>
      <c r="I134" s="130" t="str">
        <f aca="false">IF(B134="","",IFERROR(VLOOKUP(B134,'MiT Strom Pipeline'!$B$6:$R$904,17,0),""))</f>
        <v/>
      </c>
      <c r="J134" s="131"/>
    </row>
    <row r="135" customFormat="false" ht="19.5" hidden="false" customHeight="true" outlineLevel="0" collapsed="false">
      <c r="A135" s="22" t="n">
        <v>132</v>
      </c>
      <c r="B135" s="23" t="s">
        <v>471</v>
      </c>
      <c r="C135" s="23" t="s">
        <v>347</v>
      </c>
      <c r="D135" s="22" t="s">
        <v>78</v>
      </c>
      <c r="E135" s="23" t="s">
        <v>320</v>
      </c>
      <c r="F135" s="23"/>
      <c r="G135" s="23"/>
      <c r="H135" s="22" t="str">
        <f aca="false">IF(B135="","",IF(COUNTIF('MiT Strom Pipeline'!$B$6:$B$904,B135)&gt;0,"✓",""))</f>
        <v/>
      </c>
      <c r="I135" s="22" t="str">
        <f aca="false">IF(B135="","",IFERROR(VLOOKUP(B135,'MiT Strom Pipeline'!$B$6:$R$904,17,0),""))</f>
        <v/>
      </c>
      <c r="J135" s="23"/>
    </row>
    <row r="136" customFormat="false" ht="19.5" hidden="false" customHeight="true" outlineLevel="0" collapsed="false">
      <c r="A136" s="130" t="n">
        <v>133</v>
      </c>
      <c r="B136" s="131" t="s">
        <v>472</v>
      </c>
      <c r="C136" s="131" t="s">
        <v>84</v>
      </c>
      <c r="D136" s="130" t="s">
        <v>319</v>
      </c>
      <c r="E136" s="131" t="s">
        <v>320</v>
      </c>
      <c r="F136" s="131"/>
      <c r="G136" s="131"/>
      <c r="H136" s="130" t="str">
        <f aca="false">IF(B136="","",IF(COUNTIF('MiT Strom Pipeline'!$B$6:$B$904,B136)&gt;0,"✓",""))</f>
        <v/>
      </c>
      <c r="I136" s="130" t="str">
        <f aca="false">IF(B136="","",IFERROR(VLOOKUP(B136,'MiT Strom Pipeline'!$B$6:$R$904,17,0),""))</f>
        <v/>
      </c>
      <c r="J136" s="131"/>
    </row>
    <row r="137" customFormat="false" ht="19.5" hidden="false" customHeight="true" outlineLevel="0" collapsed="false">
      <c r="A137" s="22" t="n">
        <v>134</v>
      </c>
      <c r="B137" s="23" t="s">
        <v>473</v>
      </c>
      <c r="C137" s="23" t="s">
        <v>84</v>
      </c>
      <c r="D137" s="22" t="s">
        <v>319</v>
      </c>
      <c r="E137" s="23" t="s">
        <v>320</v>
      </c>
      <c r="F137" s="23"/>
      <c r="G137" s="23"/>
      <c r="H137" s="22" t="str">
        <f aca="false">IF(B137="","",IF(COUNTIF('MiT Strom Pipeline'!$B$6:$B$904,B137)&gt;0,"✓",""))</f>
        <v/>
      </c>
      <c r="I137" s="22" t="str">
        <f aca="false">IF(B137="","",IFERROR(VLOOKUP(B137,'MiT Strom Pipeline'!$B$6:$R$904,17,0),""))</f>
        <v/>
      </c>
      <c r="J137" s="23"/>
    </row>
    <row r="138" customFormat="false" ht="19.5" hidden="false" customHeight="true" outlineLevel="0" collapsed="false">
      <c r="A138" s="130" t="n">
        <v>135</v>
      </c>
      <c r="B138" s="131" t="s">
        <v>474</v>
      </c>
      <c r="C138" s="131" t="s">
        <v>84</v>
      </c>
      <c r="D138" s="130" t="s">
        <v>319</v>
      </c>
      <c r="E138" s="131" t="s">
        <v>320</v>
      </c>
      <c r="F138" s="131"/>
      <c r="G138" s="131"/>
      <c r="H138" s="130" t="str">
        <f aca="false">IF(B138="","",IF(COUNTIF('MiT Strom Pipeline'!$B$6:$B$904,B138)&gt;0,"✓",""))</f>
        <v/>
      </c>
      <c r="I138" s="130" t="str">
        <f aca="false">IF(B138="","",IFERROR(VLOOKUP(B138,'MiT Strom Pipeline'!$B$6:$R$904,17,0),""))</f>
        <v/>
      </c>
      <c r="J138" s="131"/>
    </row>
    <row r="139" customFormat="false" ht="19.5" hidden="false" customHeight="true" outlineLevel="0" collapsed="false">
      <c r="A139" s="22" t="n">
        <v>136</v>
      </c>
      <c r="B139" s="23" t="s">
        <v>475</v>
      </c>
      <c r="C139" s="23" t="s">
        <v>84</v>
      </c>
      <c r="D139" s="22" t="s">
        <v>319</v>
      </c>
      <c r="E139" s="23" t="s">
        <v>328</v>
      </c>
      <c r="F139" s="23"/>
      <c r="G139" s="23"/>
      <c r="H139" s="22" t="str">
        <f aca="false">IF(B139="","",IF(COUNTIF('MiT Strom Pipeline'!$B$6:$B$904,B139)&gt;0,"✓",""))</f>
        <v/>
      </c>
      <c r="I139" s="22" t="str">
        <f aca="false">IF(B139="","",IFERROR(VLOOKUP(B139,'MiT Strom Pipeline'!$B$6:$R$904,17,0),""))</f>
        <v/>
      </c>
      <c r="J139" s="23"/>
    </row>
    <row r="140" customFormat="false" ht="19.5" hidden="false" customHeight="true" outlineLevel="0" collapsed="false">
      <c r="A140" s="130" t="n">
        <v>137</v>
      </c>
      <c r="B140" s="131" t="s">
        <v>476</v>
      </c>
      <c r="C140" s="131" t="s">
        <v>84</v>
      </c>
      <c r="D140" s="130" t="s">
        <v>319</v>
      </c>
      <c r="E140" s="131" t="s">
        <v>328</v>
      </c>
      <c r="F140" s="131"/>
      <c r="G140" s="131"/>
      <c r="H140" s="130" t="str">
        <f aca="false">IF(B140="","",IF(COUNTIF('MiT Strom Pipeline'!$B$6:$B$904,B140)&gt;0,"✓",""))</f>
        <v/>
      </c>
      <c r="I140" s="130" t="str">
        <f aca="false">IF(B140="","",IFERROR(VLOOKUP(B140,'MiT Strom Pipeline'!$B$6:$R$904,17,0),""))</f>
        <v/>
      </c>
      <c r="J140" s="131"/>
    </row>
    <row r="141" customFormat="false" ht="19.5" hidden="false" customHeight="true" outlineLevel="0" collapsed="false">
      <c r="A141" s="22" t="n">
        <v>138</v>
      </c>
      <c r="B141" s="23" t="s">
        <v>477</v>
      </c>
      <c r="C141" s="23" t="s">
        <v>84</v>
      </c>
      <c r="D141" s="22" t="s">
        <v>319</v>
      </c>
      <c r="E141" s="23" t="s">
        <v>328</v>
      </c>
      <c r="F141" s="23"/>
      <c r="G141" s="23"/>
      <c r="H141" s="22" t="str">
        <f aca="false">IF(B141="","",IF(COUNTIF('MiT Strom Pipeline'!$B$6:$B$904,B141)&gt;0,"✓",""))</f>
        <v/>
      </c>
      <c r="I141" s="22" t="str">
        <f aca="false">IF(B141="","",IFERROR(VLOOKUP(B141,'MiT Strom Pipeline'!$B$6:$R$904,17,0),""))</f>
        <v/>
      </c>
      <c r="J141" s="23"/>
    </row>
    <row r="142" customFormat="false" ht="19.5" hidden="false" customHeight="true" outlineLevel="0" collapsed="false">
      <c r="A142" s="130" t="n">
        <v>139</v>
      </c>
      <c r="B142" s="131" t="s">
        <v>478</v>
      </c>
      <c r="C142" s="131" t="s">
        <v>84</v>
      </c>
      <c r="D142" s="130" t="s">
        <v>319</v>
      </c>
      <c r="E142" s="131" t="s">
        <v>320</v>
      </c>
      <c r="F142" s="131"/>
      <c r="G142" s="131"/>
      <c r="H142" s="130" t="str">
        <f aca="false">IF(B142="","",IF(COUNTIF('MiT Strom Pipeline'!$B$6:$B$904,B142)&gt;0,"✓",""))</f>
        <v/>
      </c>
      <c r="I142" s="130" t="str">
        <f aca="false">IF(B142="","",IFERROR(VLOOKUP(B142,'MiT Strom Pipeline'!$B$6:$R$904,17,0),""))</f>
        <v/>
      </c>
      <c r="J142" s="131"/>
    </row>
    <row r="143" customFormat="false" ht="19.5" hidden="false" customHeight="true" outlineLevel="0" collapsed="false">
      <c r="A143" s="22" t="n">
        <v>140</v>
      </c>
      <c r="B143" s="23" t="s">
        <v>479</v>
      </c>
      <c r="C143" s="23" t="s">
        <v>84</v>
      </c>
      <c r="D143" s="22" t="s">
        <v>319</v>
      </c>
      <c r="E143" s="23" t="s">
        <v>320</v>
      </c>
      <c r="F143" s="23"/>
      <c r="G143" s="23"/>
      <c r="H143" s="22" t="str">
        <f aca="false">IF(B143="","",IF(COUNTIF('MiT Strom Pipeline'!$B$6:$B$904,B143)&gt;0,"✓",""))</f>
        <v/>
      </c>
      <c r="I143" s="22" t="str">
        <f aca="false">IF(B143="","",IFERROR(VLOOKUP(B143,'MiT Strom Pipeline'!$B$6:$R$904,17,0),""))</f>
        <v/>
      </c>
      <c r="J143" s="23"/>
    </row>
    <row r="144" customFormat="false" ht="19.5" hidden="false" customHeight="true" outlineLevel="0" collapsed="false">
      <c r="A144" s="130" t="n">
        <v>141</v>
      </c>
      <c r="B144" s="131" t="s">
        <v>480</v>
      </c>
      <c r="C144" s="131" t="s">
        <v>84</v>
      </c>
      <c r="D144" s="130" t="s">
        <v>319</v>
      </c>
      <c r="E144" s="131" t="s">
        <v>320</v>
      </c>
      <c r="F144" s="131"/>
      <c r="G144" s="131"/>
      <c r="H144" s="130" t="str">
        <f aca="false">IF(B144="","",IF(COUNTIF('MiT Strom Pipeline'!$B$6:$B$904,B144)&gt;0,"✓",""))</f>
        <v/>
      </c>
      <c r="I144" s="130" t="str">
        <f aca="false">IF(B144="","",IFERROR(VLOOKUP(B144,'MiT Strom Pipeline'!$B$6:$R$904,17,0),""))</f>
        <v/>
      </c>
      <c r="J144" s="131"/>
    </row>
    <row r="145" customFormat="false" ht="19.5" hidden="false" customHeight="true" outlineLevel="0" collapsed="false">
      <c r="A145" s="22" t="n">
        <v>142</v>
      </c>
      <c r="B145" s="23" t="s">
        <v>433</v>
      </c>
      <c r="C145" s="23" t="s">
        <v>84</v>
      </c>
      <c r="D145" s="22" t="s">
        <v>319</v>
      </c>
      <c r="E145" s="23" t="s">
        <v>481</v>
      </c>
      <c r="F145" s="23"/>
      <c r="G145" s="23"/>
      <c r="H145" s="22" t="str">
        <f aca="false">IF(B145="","",IF(COUNTIF('MiT Strom Pipeline'!$B$6:$B$904,B145)&gt;0,"✓",""))</f>
        <v/>
      </c>
      <c r="I145" s="22" t="str">
        <f aca="false">IF(B145="","",IFERROR(VLOOKUP(B145,'MiT Strom Pipeline'!$B$6:$R$904,17,0),""))</f>
        <v/>
      </c>
      <c r="J145" s="23"/>
    </row>
    <row r="146" customFormat="false" ht="19.5" hidden="false" customHeight="true" outlineLevel="0" collapsed="false">
      <c r="A146" s="130" t="n">
        <v>143</v>
      </c>
      <c r="B146" s="131" t="s">
        <v>482</v>
      </c>
      <c r="C146" s="131" t="s">
        <v>84</v>
      </c>
      <c r="D146" s="130" t="s">
        <v>319</v>
      </c>
      <c r="E146" s="131" t="s">
        <v>320</v>
      </c>
      <c r="F146" s="131"/>
      <c r="G146" s="131"/>
      <c r="H146" s="130" t="str">
        <f aca="false">IF(B146="","",IF(COUNTIF('MiT Strom Pipeline'!$B$6:$B$904,B146)&gt;0,"✓",""))</f>
        <v/>
      </c>
      <c r="I146" s="130" t="str">
        <f aca="false">IF(B146="","",IFERROR(VLOOKUP(B146,'MiT Strom Pipeline'!$B$6:$R$904,17,0),""))</f>
        <v/>
      </c>
      <c r="J146" s="131"/>
    </row>
    <row r="147" customFormat="false" ht="19.5" hidden="false" customHeight="true" outlineLevel="0" collapsed="false">
      <c r="A147" s="22" t="n">
        <v>144</v>
      </c>
      <c r="B147" s="23" t="s">
        <v>483</v>
      </c>
      <c r="C147" s="23" t="s">
        <v>347</v>
      </c>
      <c r="D147" s="22" t="s">
        <v>319</v>
      </c>
      <c r="E147" s="23" t="s">
        <v>320</v>
      </c>
      <c r="F147" s="23"/>
      <c r="G147" s="23"/>
      <c r="H147" s="22" t="str">
        <f aca="false">IF(B147="","",IF(COUNTIF('MiT Strom Pipeline'!$B$6:$B$904,B147)&gt;0,"✓",""))</f>
        <v/>
      </c>
      <c r="I147" s="22" t="str">
        <f aca="false">IF(B147="","",IFERROR(VLOOKUP(B147,'MiT Strom Pipeline'!$B$6:$R$904,17,0),""))</f>
        <v/>
      </c>
      <c r="J147" s="23"/>
    </row>
    <row r="148" customFormat="false" ht="19.5" hidden="false" customHeight="true" outlineLevel="0" collapsed="false">
      <c r="A148" s="130" t="n">
        <v>145</v>
      </c>
      <c r="B148" s="131" t="s">
        <v>484</v>
      </c>
      <c r="C148" s="131" t="s">
        <v>84</v>
      </c>
      <c r="D148" s="130" t="s">
        <v>319</v>
      </c>
      <c r="E148" s="131" t="s">
        <v>320</v>
      </c>
      <c r="F148" s="131"/>
      <c r="G148" s="131"/>
      <c r="H148" s="130" t="str">
        <f aca="false">IF(B148="","",IF(COUNTIF('MiT Strom Pipeline'!$B$6:$B$904,B148)&gt;0,"✓",""))</f>
        <v/>
      </c>
      <c r="I148" s="130" t="str">
        <f aca="false">IF(B148="","",IFERROR(VLOOKUP(B148,'MiT Strom Pipeline'!$B$6:$R$904,17,0),""))</f>
        <v/>
      </c>
      <c r="J148" s="131"/>
    </row>
    <row r="149" customFormat="false" ht="19.5" hidden="false" customHeight="true" outlineLevel="0" collapsed="false">
      <c r="A149" s="22" t="n">
        <v>146</v>
      </c>
      <c r="B149" s="23" t="s">
        <v>485</v>
      </c>
      <c r="C149" s="23" t="s">
        <v>400</v>
      </c>
      <c r="D149" s="22" t="s">
        <v>319</v>
      </c>
      <c r="E149" s="23" t="s">
        <v>320</v>
      </c>
      <c r="F149" s="23"/>
      <c r="G149" s="23"/>
      <c r="H149" s="22" t="str">
        <f aca="false">IF(B149="","",IF(COUNTIF('MiT Strom Pipeline'!$B$6:$B$904,B149)&gt;0,"✓",""))</f>
        <v/>
      </c>
      <c r="I149" s="22" t="str">
        <f aca="false">IF(B149="","",IFERROR(VLOOKUP(B149,'MiT Strom Pipeline'!$B$6:$R$904,17,0),""))</f>
        <v/>
      </c>
      <c r="J149" s="23"/>
    </row>
    <row r="150" customFormat="false" ht="19.5" hidden="false" customHeight="true" outlineLevel="0" collapsed="false">
      <c r="A150" s="130" t="n">
        <v>147</v>
      </c>
      <c r="B150" s="131" t="s">
        <v>486</v>
      </c>
      <c r="C150" s="131" t="s">
        <v>84</v>
      </c>
      <c r="D150" s="130" t="s">
        <v>319</v>
      </c>
      <c r="E150" s="131" t="s">
        <v>320</v>
      </c>
      <c r="F150" s="131"/>
      <c r="G150" s="131"/>
      <c r="H150" s="130" t="str">
        <f aca="false">IF(B150="","",IF(COUNTIF('MiT Strom Pipeline'!$B$6:$B$904,B150)&gt;0,"✓",""))</f>
        <v/>
      </c>
      <c r="I150" s="130" t="str">
        <f aca="false">IF(B150="","",IFERROR(VLOOKUP(B150,'MiT Strom Pipeline'!$B$6:$R$904,17,0),""))</f>
        <v/>
      </c>
      <c r="J150" s="131"/>
    </row>
    <row r="151" customFormat="false" ht="19.5" hidden="false" customHeight="true" outlineLevel="0" collapsed="false">
      <c r="A151" s="22" t="n">
        <v>148</v>
      </c>
      <c r="B151" s="23" t="s">
        <v>487</v>
      </c>
      <c r="C151" s="23" t="s">
        <v>84</v>
      </c>
      <c r="D151" s="22" t="s">
        <v>319</v>
      </c>
      <c r="E151" s="23" t="s">
        <v>320</v>
      </c>
      <c r="F151" s="23"/>
      <c r="G151" s="23"/>
      <c r="H151" s="22" t="str">
        <f aca="false">IF(B151="","",IF(COUNTIF('MiT Strom Pipeline'!$B$6:$B$904,B151)&gt;0,"✓",""))</f>
        <v/>
      </c>
      <c r="I151" s="22" t="str">
        <f aca="false">IF(B151="","",IFERROR(VLOOKUP(B151,'MiT Strom Pipeline'!$B$6:$R$904,17,0),""))</f>
        <v/>
      </c>
      <c r="J151" s="23"/>
    </row>
    <row r="152" customFormat="false" ht="19.5" hidden="false" customHeight="true" outlineLevel="0" collapsed="false">
      <c r="A152" s="130" t="n">
        <v>149</v>
      </c>
      <c r="B152" s="131" t="s">
        <v>488</v>
      </c>
      <c r="C152" s="131" t="s">
        <v>84</v>
      </c>
      <c r="D152" s="130" t="s">
        <v>319</v>
      </c>
      <c r="E152" s="131" t="s">
        <v>320</v>
      </c>
      <c r="F152" s="131"/>
      <c r="G152" s="131"/>
      <c r="H152" s="130" t="str">
        <f aca="false">IF(B152="","",IF(COUNTIF('MiT Strom Pipeline'!$B$6:$B$904,B152)&gt;0,"✓",""))</f>
        <v/>
      </c>
      <c r="I152" s="130" t="str">
        <f aca="false">IF(B152="","",IFERROR(VLOOKUP(B152,'MiT Strom Pipeline'!$B$6:$R$904,17,0),""))</f>
        <v/>
      </c>
      <c r="J152" s="131"/>
    </row>
    <row r="153" customFormat="false" ht="19.5" hidden="false" customHeight="true" outlineLevel="0" collapsed="false">
      <c r="A153" s="22" t="n">
        <v>150</v>
      </c>
      <c r="B153" s="23" t="s">
        <v>489</v>
      </c>
      <c r="C153" s="23" t="s">
        <v>360</v>
      </c>
      <c r="D153" s="22" t="s">
        <v>319</v>
      </c>
      <c r="E153" s="23" t="s">
        <v>320</v>
      </c>
      <c r="F153" s="23"/>
      <c r="G153" s="23"/>
      <c r="H153" s="22" t="str">
        <f aca="false">IF(B153="","",IF(COUNTIF('MiT Strom Pipeline'!$B$6:$B$904,B153)&gt;0,"✓",""))</f>
        <v/>
      </c>
      <c r="I153" s="22" t="str">
        <f aca="false">IF(B153="","",IFERROR(VLOOKUP(B153,'MiT Strom Pipeline'!$B$6:$R$904,17,0),""))</f>
        <v/>
      </c>
      <c r="J153" s="23"/>
    </row>
    <row r="154" customFormat="false" ht="19.5" hidden="false" customHeight="true" outlineLevel="0" collapsed="false">
      <c r="A154" s="130" t="n">
        <v>151</v>
      </c>
      <c r="B154" s="131" t="s">
        <v>490</v>
      </c>
      <c r="C154" s="131" t="s">
        <v>84</v>
      </c>
      <c r="D154" s="130" t="s">
        <v>319</v>
      </c>
      <c r="E154" s="131" t="s">
        <v>320</v>
      </c>
      <c r="F154" s="131"/>
      <c r="G154" s="131"/>
      <c r="H154" s="130" t="str">
        <f aca="false">IF(B154="","",IF(COUNTIF('MiT Strom Pipeline'!$B$6:$B$904,B154)&gt;0,"✓",""))</f>
        <v/>
      </c>
      <c r="I154" s="130" t="str">
        <f aca="false">IF(B154="","",IFERROR(VLOOKUP(B154,'MiT Strom Pipeline'!$B$6:$R$904,17,0),""))</f>
        <v/>
      </c>
      <c r="J154" s="131"/>
    </row>
    <row r="155" customFormat="false" ht="19.5" hidden="false" customHeight="true" outlineLevel="0" collapsed="false">
      <c r="A155" s="22" t="n">
        <v>152</v>
      </c>
      <c r="B155" s="23" t="s">
        <v>491</v>
      </c>
      <c r="C155" s="23" t="s">
        <v>82</v>
      </c>
      <c r="D155" s="22" t="s">
        <v>78</v>
      </c>
      <c r="E155" s="23" t="s">
        <v>320</v>
      </c>
      <c r="F155" s="23"/>
      <c r="G155" s="23"/>
      <c r="H155" s="22" t="str">
        <f aca="false">IF(B155="","",IF(COUNTIF('MiT Strom Pipeline'!$B$6:$B$904,B155)&gt;0,"✓",""))</f>
        <v/>
      </c>
      <c r="I155" s="22" t="str">
        <f aca="false">IF(B155="","",IFERROR(VLOOKUP(B155,'MiT Strom Pipeline'!$B$6:$R$904,17,0),""))</f>
        <v/>
      </c>
      <c r="J155" s="23"/>
    </row>
    <row r="156" customFormat="false" ht="19.5" hidden="false" customHeight="true" outlineLevel="0" collapsed="false">
      <c r="A156" s="130" t="n">
        <v>153</v>
      </c>
      <c r="B156" s="131" t="s">
        <v>492</v>
      </c>
      <c r="C156" s="131" t="s">
        <v>84</v>
      </c>
      <c r="D156" s="130" t="s">
        <v>319</v>
      </c>
      <c r="E156" s="131" t="s">
        <v>320</v>
      </c>
      <c r="F156" s="131"/>
      <c r="G156" s="131"/>
      <c r="H156" s="130" t="str">
        <f aca="false">IF(B156="","",IF(COUNTIF('MiT Strom Pipeline'!$B$6:$B$904,B156)&gt;0,"✓",""))</f>
        <v/>
      </c>
      <c r="I156" s="130" t="str">
        <f aca="false">IF(B156="","",IFERROR(VLOOKUP(B156,'MiT Strom Pipeline'!$B$6:$R$904,17,0),""))</f>
        <v/>
      </c>
      <c r="J156" s="131"/>
    </row>
    <row r="157" customFormat="false" ht="19.5" hidden="false" customHeight="true" outlineLevel="0" collapsed="false">
      <c r="A157" s="22" t="n">
        <v>154</v>
      </c>
      <c r="B157" s="23" t="s">
        <v>493</v>
      </c>
      <c r="C157" s="23" t="s">
        <v>84</v>
      </c>
      <c r="D157" s="22" t="s">
        <v>319</v>
      </c>
      <c r="E157" s="23" t="s">
        <v>320</v>
      </c>
      <c r="F157" s="23"/>
      <c r="G157" s="23"/>
      <c r="H157" s="22" t="str">
        <f aca="false">IF(B157="","",IF(COUNTIF('MiT Strom Pipeline'!$B$6:$B$904,B157)&gt;0,"✓",""))</f>
        <v/>
      </c>
      <c r="I157" s="22" t="str">
        <f aca="false">IF(B157="","",IFERROR(VLOOKUP(B157,'MiT Strom Pipeline'!$B$6:$R$904,17,0),""))</f>
        <v/>
      </c>
      <c r="J157" s="23"/>
    </row>
    <row r="158" customFormat="false" ht="19.5" hidden="false" customHeight="true" outlineLevel="0" collapsed="false">
      <c r="A158" s="130" t="n">
        <v>155</v>
      </c>
      <c r="B158" s="131" t="s">
        <v>494</v>
      </c>
      <c r="C158" s="131" t="s">
        <v>84</v>
      </c>
      <c r="D158" s="130" t="s">
        <v>319</v>
      </c>
      <c r="E158" s="131" t="s">
        <v>320</v>
      </c>
      <c r="F158" s="131"/>
      <c r="G158" s="131"/>
      <c r="H158" s="130" t="str">
        <f aca="false">IF(B158="","",IF(COUNTIF('MiT Strom Pipeline'!$B$6:$B$904,B158)&gt;0,"✓",""))</f>
        <v/>
      </c>
      <c r="I158" s="130" t="str">
        <f aca="false">IF(B158="","",IFERROR(VLOOKUP(B158,'MiT Strom Pipeline'!$B$6:$R$904,17,0),""))</f>
        <v/>
      </c>
      <c r="J158" s="131"/>
    </row>
    <row r="159" customFormat="false" ht="19.5" hidden="false" customHeight="true" outlineLevel="0" collapsed="false">
      <c r="A159" s="22" t="n">
        <v>156</v>
      </c>
      <c r="B159" s="23" t="s">
        <v>495</v>
      </c>
      <c r="C159" s="23" t="s">
        <v>347</v>
      </c>
      <c r="D159" s="22" t="s">
        <v>319</v>
      </c>
      <c r="E159" s="23" t="s">
        <v>320</v>
      </c>
      <c r="F159" s="23"/>
      <c r="G159" s="23"/>
      <c r="H159" s="22" t="str">
        <f aca="false">IF(B159="","",IF(COUNTIF('MiT Strom Pipeline'!$B$6:$B$904,B159)&gt;0,"✓",""))</f>
        <v/>
      </c>
      <c r="I159" s="22" t="str">
        <f aca="false">IF(B159="","",IFERROR(VLOOKUP(B159,'MiT Strom Pipeline'!$B$6:$R$904,17,0),""))</f>
        <v/>
      </c>
      <c r="J159" s="23"/>
    </row>
    <row r="160" customFormat="false" ht="19.5" hidden="false" customHeight="true" outlineLevel="0" collapsed="false">
      <c r="A160" s="130" t="n">
        <v>157</v>
      </c>
      <c r="B160" s="131" t="s">
        <v>411</v>
      </c>
      <c r="C160" s="131" t="s">
        <v>84</v>
      </c>
      <c r="D160" s="130" t="s">
        <v>319</v>
      </c>
      <c r="E160" s="131" t="s">
        <v>320</v>
      </c>
      <c r="F160" s="131"/>
      <c r="G160" s="131"/>
      <c r="H160" s="130" t="str">
        <f aca="false">IF(B160="","",IF(COUNTIF('MiT Strom Pipeline'!$B$6:$B$904,B160)&gt;0,"✓",""))</f>
        <v/>
      </c>
      <c r="I160" s="130" t="str">
        <f aca="false">IF(B160="","",IFERROR(VLOOKUP(B160,'MiT Strom Pipeline'!$B$6:$R$904,17,0),""))</f>
        <v/>
      </c>
      <c r="J160" s="131"/>
    </row>
    <row r="161" customFormat="false" ht="19.5" hidden="false" customHeight="true" outlineLevel="0" collapsed="false">
      <c r="A161" s="22" t="n">
        <v>158</v>
      </c>
      <c r="B161" s="23" t="s">
        <v>411</v>
      </c>
      <c r="C161" s="23" t="s">
        <v>84</v>
      </c>
      <c r="D161" s="22" t="s">
        <v>319</v>
      </c>
      <c r="E161" s="23" t="s">
        <v>320</v>
      </c>
      <c r="F161" s="23"/>
      <c r="G161" s="23"/>
      <c r="H161" s="22" t="str">
        <f aca="false">IF(B161="","",IF(COUNTIF('MiT Strom Pipeline'!$B$6:$B$904,B161)&gt;0,"✓",""))</f>
        <v/>
      </c>
      <c r="I161" s="22" t="str">
        <f aca="false">IF(B161="","",IFERROR(VLOOKUP(B161,'MiT Strom Pipeline'!$B$6:$R$904,17,0),""))</f>
        <v/>
      </c>
      <c r="J161" s="23"/>
    </row>
    <row r="162" customFormat="false" ht="19.5" hidden="false" customHeight="true" outlineLevel="0" collapsed="false">
      <c r="A162" s="130" t="n">
        <v>159</v>
      </c>
      <c r="B162" s="131" t="s">
        <v>496</v>
      </c>
      <c r="C162" s="131" t="s">
        <v>84</v>
      </c>
      <c r="D162" s="130" t="s">
        <v>319</v>
      </c>
      <c r="E162" s="131" t="s">
        <v>320</v>
      </c>
      <c r="F162" s="131"/>
      <c r="G162" s="131"/>
      <c r="H162" s="130" t="str">
        <f aca="false">IF(B162="","",IF(COUNTIF('MiT Strom Pipeline'!$B$6:$B$904,B162)&gt;0,"✓",""))</f>
        <v/>
      </c>
      <c r="I162" s="130" t="str">
        <f aca="false">IF(B162="","",IFERROR(VLOOKUP(B162,'MiT Strom Pipeline'!$B$6:$R$904,17,0),""))</f>
        <v/>
      </c>
      <c r="J162" s="131"/>
    </row>
    <row r="163" customFormat="false" ht="19.5" hidden="false" customHeight="true" outlineLevel="0" collapsed="false">
      <c r="A163" s="22" t="n">
        <v>160</v>
      </c>
      <c r="B163" s="23" t="s">
        <v>497</v>
      </c>
      <c r="C163" s="23" t="s">
        <v>84</v>
      </c>
      <c r="D163" s="22" t="s">
        <v>319</v>
      </c>
      <c r="E163" s="23" t="s">
        <v>320</v>
      </c>
      <c r="F163" s="23"/>
      <c r="G163" s="23"/>
      <c r="H163" s="22" t="str">
        <f aca="false">IF(B163="","",IF(COUNTIF('MiT Strom Pipeline'!$B$6:$B$904,B163)&gt;0,"✓",""))</f>
        <v/>
      </c>
      <c r="I163" s="22" t="str">
        <f aca="false">IF(B163="","",IFERROR(VLOOKUP(B163,'MiT Strom Pipeline'!$B$6:$R$904,17,0),""))</f>
        <v/>
      </c>
      <c r="J163" s="23"/>
    </row>
    <row r="164" customFormat="false" ht="19.5" hidden="false" customHeight="true" outlineLevel="0" collapsed="false">
      <c r="A164" s="130" t="n">
        <v>161</v>
      </c>
      <c r="B164" s="131" t="s">
        <v>498</v>
      </c>
      <c r="C164" s="131" t="s">
        <v>84</v>
      </c>
      <c r="D164" s="130" t="s">
        <v>319</v>
      </c>
      <c r="E164" s="131" t="s">
        <v>320</v>
      </c>
      <c r="F164" s="131"/>
      <c r="G164" s="131"/>
      <c r="H164" s="130" t="str">
        <f aca="false">IF(B164="","",IF(COUNTIF('MiT Strom Pipeline'!$B$6:$B$904,B164)&gt;0,"✓",""))</f>
        <v/>
      </c>
      <c r="I164" s="130" t="str">
        <f aca="false">IF(B164="","",IFERROR(VLOOKUP(B164,'MiT Strom Pipeline'!$B$6:$R$904,17,0),""))</f>
        <v/>
      </c>
      <c r="J164" s="131"/>
    </row>
    <row r="165" customFormat="false" ht="19.5" hidden="false" customHeight="true" outlineLevel="0" collapsed="false">
      <c r="A165" s="22" t="n">
        <v>162</v>
      </c>
      <c r="B165" s="23" t="s">
        <v>499</v>
      </c>
      <c r="C165" s="23" t="s">
        <v>84</v>
      </c>
      <c r="D165" s="22" t="s">
        <v>319</v>
      </c>
      <c r="E165" s="23" t="s">
        <v>320</v>
      </c>
      <c r="F165" s="23"/>
      <c r="G165" s="23"/>
      <c r="H165" s="22" t="str">
        <f aca="false">IF(B165="","",IF(COUNTIF('MiT Strom Pipeline'!$B$6:$B$904,B165)&gt;0,"✓",""))</f>
        <v/>
      </c>
      <c r="I165" s="22" t="str">
        <f aca="false">IF(B165="","",IFERROR(VLOOKUP(B165,'MiT Strom Pipeline'!$B$6:$R$904,17,0),""))</f>
        <v/>
      </c>
      <c r="J165" s="23"/>
    </row>
    <row r="166" customFormat="false" ht="19.5" hidden="false" customHeight="true" outlineLevel="0" collapsed="false">
      <c r="A166" s="130" t="n">
        <v>163</v>
      </c>
      <c r="B166" s="131" t="s">
        <v>500</v>
      </c>
      <c r="C166" s="131" t="s">
        <v>84</v>
      </c>
      <c r="D166" s="130" t="s">
        <v>319</v>
      </c>
      <c r="E166" s="131" t="s">
        <v>320</v>
      </c>
      <c r="F166" s="131"/>
      <c r="G166" s="131"/>
      <c r="H166" s="130" t="str">
        <f aca="false">IF(B166="","",IF(COUNTIF('MiT Strom Pipeline'!$B$6:$B$904,B166)&gt;0,"✓",""))</f>
        <v/>
      </c>
      <c r="I166" s="130" t="str">
        <f aca="false">IF(B166="","",IFERROR(VLOOKUP(B166,'MiT Strom Pipeline'!$B$6:$R$904,17,0),""))</f>
        <v/>
      </c>
      <c r="J166" s="131"/>
    </row>
    <row r="167" customFormat="false" ht="19.5" hidden="false" customHeight="true" outlineLevel="0" collapsed="false">
      <c r="A167" s="22" t="n">
        <v>164</v>
      </c>
      <c r="B167" s="23" t="s">
        <v>501</v>
      </c>
      <c r="C167" s="23" t="s">
        <v>84</v>
      </c>
      <c r="D167" s="22" t="s">
        <v>319</v>
      </c>
      <c r="E167" s="23" t="s">
        <v>320</v>
      </c>
      <c r="F167" s="23"/>
      <c r="G167" s="23"/>
      <c r="H167" s="22" t="str">
        <f aca="false">IF(B167="","",IF(COUNTIF('MiT Strom Pipeline'!$B$6:$B$904,B167)&gt;0,"✓",""))</f>
        <v/>
      </c>
      <c r="I167" s="22" t="str">
        <f aca="false">IF(B167="","",IFERROR(VLOOKUP(B167,'MiT Strom Pipeline'!$B$6:$R$904,17,0),""))</f>
        <v/>
      </c>
      <c r="J167" s="23"/>
    </row>
    <row r="168" customFormat="false" ht="19.5" hidden="false" customHeight="true" outlineLevel="0" collapsed="false">
      <c r="A168" s="130" t="n">
        <v>165</v>
      </c>
      <c r="B168" s="131" t="s">
        <v>502</v>
      </c>
      <c r="C168" s="131" t="s">
        <v>51</v>
      </c>
      <c r="D168" s="130" t="s">
        <v>319</v>
      </c>
      <c r="E168" s="131" t="s">
        <v>320</v>
      </c>
      <c r="F168" s="131"/>
      <c r="G168" s="131"/>
      <c r="H168" s="130" t="str">
        <f aca="false">IF(B168="","",IF(COUNTIF('MiT Strom Pipeline'!$B$6:$B$904,B168)&gt;0,"✓",""))</f>
        <v/>
      </c>
      <c r="I168" s="130" t="str">
        <f aca="false">IF(B168="","",IFERROR(VLOOKUP(B168,'MiT Strom Pipeline'!$B$6:$R$904,17,0),""))</f>
        <v/>
      </c>
      <c r="J168" s="131"/>
    </row>
    <row r="169" customFormat="false" ht="19.5" hidden="false" customHeight="true" outlineLevel="0" collapsed="false">
      <c r="A169" s="22" t="n">
        <v>166</v>
      </c>
      <c r="B169" s="23" t="s">
        <v>503</v>
      </c>
      <c r="C169" s="23" t="s">
        <v>84</v>
      </c>
      <c r="D169" s="22" t="s">
        <v>319</v>
      </c>
      <c r="E169" s="23" t="s">
        <v>320</v>
      </c>
      <c r="F169" s="23"/>
      <c r="G169" s="23"/>
      <c r="H169" s="22" t="str">
        <f aca="false">IF(B169="","",IF(COUNTIF('MiT Strom Pipeline'!$B$6:$B$904,B169)&gt;0,"✓",""))</f>
        <v/>
      </c>
      <c r="I169" s="22" t="str">
        <f aca="false">IF(B169="","",IFERROR(VLOOKUP(B169,'MiT Strom Pipeline'!$B$6:$R$904,17,0),""))</f>
        <v/>
      </c>
      <c r="J169" s="23"/>
    </row>
    <row r="170" customFormat="false" ht="19.5" hidden="false" customHeight="true" outlineLevel="0" collapsed="false">
      <c r="A170" s="130" t="n">
        <v>167</v>
      </c>
      <c r="B170" s="131" t="s">
        <v>504</v>
      </c>
      <c r="C170" s="131" t="s">
        <v>84</v>
      </c>
      <c r="D170" s="130" t="s">
        <v>319</v>
      </c>
      <c r="E170" s="131" t="s">
        <v>320</v>
      </c>
      <c r="F170" s="131"/>
      <c r="G170" s="131"/>
      <c r="H170" s="130" t="str">
        <f aca="false">IF(B170="","",IF(COUNTIF('MiT Strom Pipeline'!$B$6:$B$904,B170)&gt;0,"✓",""))</f>
        <v/>
      </c>
      <c r="I170" s="130" t="str">
        <f aca="false">IF(B170="","",IFERROR(VLOOKUP(B170,'MiT Strom Pipeline'!$B$6:$R$904,17,0),""))</f>
        <v/>
      </c>
      <c r="J170" s="131"/>
    </row>
    <row r="171" customFormat="false" ht="19.5" hidden="false" customHeight="true" outlineLevel="0" collapsed="false">
      <c r="A171" s="22" t="n">
        <v>168</v>
      </c>
      <c r="B171" s="23" t="s">
        <v>505</v>
      </c>
      <c r="C171" s="23" t="s">
        <v>84</v>
      </c>
      <c r="D171" s="22" t="s">
        <v>319</v>
      </c>
      <c r="E171" s="23" t="s">
        <v>320</v>
      </c>
      <c r="F171" s="23"/>
      <c r="G171" s="23"/>
      <c r="H171" s="22" t="str">
        <f aca="false">IF(B171="","",IF(COUNTIF('MiT Strom Pipeline'!$B$6:$B$904,B171)&gt;0,"✓",""))</f>
        <v/>
      </c>
      <c r="I171" s="22" t="str">
        <f aca="false">IF(B171="","",IFERROR(VLOOKUP(B171,'MiT Strom Pipeline'!$B$6:$R$904,17,0),""))</f>
        <v/>
      </c>
      <c r="J171" s="23"/>
    </row>
    <row r="172" customFormat="false" ht="19.5" hidden="false" customHeight="true" outlineLevel="0" collapsed="false">
      <c r="A172" s="130" t="n">
        <v>169</v>
      </c>
      <c r="B172" s="131" t="s">
        <v>506</v>
      </c>
      <c r="C172" s="131" t="s">
        <v>84</v>
      </c>
      <c r="D172" s="130" t="s">
        <v>319</v>
      </c>
      <c r="E172" s="131" t="s">
        <v>328</v>
      </c>
      <c r="F172" s="131"/>
      <c r="G172" s="131"/>
      <c r="H172" s="130" t="str">
        <f aca="false">IF(B172="","",IF(COUNTIF('MiT Strom Pipeline'!$B$6:$B$904,B172)&gt;0,"✓",""))</f>
        <v/>
      </c>
      <c r="I172" s="130" t="str">
        <f aca="false">IF(B172="","",IFERROR(VLOOKUP(B172,'MiT Strom Pipeline'!$B$6:$R$904,17,0),""))</f>
        <v/>
      </c>
      <c r="J172" s="131"/>
    </row>
    <row r="173" customFormat="false" ht="19.5" hidden="false" customHeight="true" outlineLevel="0" collapsed="false">
      <c r="A173" s="22" t="n">
        <v>170</v>
      </c>
      <c r="B173" s="23" t="s">
        <v>507</v>
      </c>
      <c r="C173" s="23" t="s">
        <v>84</v>
      </c>
      <c r="D173" s="22" t="s">
        <v>319</v>
      </c>
      <c r="E173" s="23" t="s">
        <v>320</v>
      </c>
      <c r="F173" s="23"/>
      <c r="G173" s="23"/>
      <c r="H173" s="22" t="str">
        <f aca="false">IF(B173="","",IF(COUNTIF('MiT Strom Pipeline'!$B$6:$B$904,B173)&gt;0,"✓",""))</f>
        <v/>
      </c>
      <c r="I173" s="22" t="str">
        <f aca="false">IF(B173="","",IFERROR(VLOOKUP(B173,'MiT Strom Pipeline'!$B$6:$R$904,17,0),""))</f>
        <v/>
      </c>
      <c r="J173" s="23"/>
    </row>
    <row r="174" customFormat="false" ht="19.5" hidden="false" customHeight="true" outlineLevel="0" collapsed="false">
      <c r="A174" s="130" t="n">
        <v>171</v>
      </c>
      <c r="B174" s="131" t="s">
        <v>508</v>
      </c>
      <c r="C174" s="131" t="s">
        <v>84</v>
      </c>
      <c r="D174" s="130" t="s">
        <v>319</v>
      </c>
      <c r="E174" s="131" t="s">
        <v>320</v>
      </c>
      <c r="F174" s="131"/>
      <c r="G174" s="131"/>
      <c r="H174" s="130" t="str">
        <f aca="false">IF(B174="","",IF(COUNTIF('MiT Strom Pipeline'!$B$6:$B$904,B174)&gt;0,"✓",""))</f>
        <v/>
      </c>
      <c r="I174" s="130" t="str">
        <f aca="false">IF(B174="","",IFERROR(VLOOKUP(B174,'MiT Strom Pipeline'!$B$6:$R$904,17,0),""))</f>
        <v/>
      </c>
      <c r="J174" s="131"/>
    </row>
    <row r="175" customFormat="false" ht="19.5" hidden="false" customHeight="true" outlineLevel="0" collapsed="false">
      <c r="A175" s="22" t="n">
        <v>172</v>
      </c>
      <c r="B175" s="23" t="s">
        <v>509</v>
      </c>
      <c r="C175" s="23" t="s">
        <v>84</v>
      </c>
      <c r="D175" s="22" t="s">
        <v>319</v>
      </c>
      <c r="E175" s="23" t="s">
        <v>320</v>
      </c>
      <c r="F175" s="23"/>
      <c r="G175" s="23"/>
      <c r="H175" s="22" t="str">
        <f aca="false">IF(B175="","",IF(COUNTIF('MiT Strom Pipeline'!$B$6:$B$904,B175)&gt;0,"✓",""))</f>
        <v/>
      </c>
      <c r="I175" s="22" t="str">
        <f aca="false">IF(B175="","",IFERROR(VLOOKUP(B175,'MiT Strom Pipeline'!$B$6:$R$904,17,0),""))</f>
        <v/>
      </c>
      <c r="J175" s="23"/>
    </row>
    <row r="176" customFormat="false" ht="19.5" hidden="false" customHeight="true" outlineLevel="0" collapsed="false">
      <c r="A176" s="130" t="n">
        <v>173</v>
      </c>
      <c r="B176" s="131" t="s">
        <v>510</v>
      </c>
      <c r="C176" s="131" t="s">
        <v>347</v>
      </c>
      <c r="D176" s="130" t="s">
        <v>53</v>
      </c>
      <c r="E176" s="131" t="s">
        <v>320</v>
      </c>
      <c r="F176" s="131"/>
      <c r="G176" s="131"/>
      <c r="H176" s="130" t="str">
        <f aca="false">IF(B176="","",IF(COUNTIF('MiT Strom Pipeline'!$B$6:$B$904,B176)&gt;0,"✓",""))</f>
        <v/>
      </c>
      <c r="I176" s="130" t="str">
        <f aca="false">IF(B176="","",IFERROR(VLOOKUP(B176,'MiT Strom Pipeline'!$B$6:$R$904,17,0),""))</f>
        <v/>
      </c>
      <c r="J176" s="131"/>
    </row>
    <row r="177" customFormat="false" ht="19.5" hidden="false" customHeight="true" outlineLevel="0" collapsed="false">
      <c r="A177" s="22" t="n">
        <v>174</v>
      </c>
      <c r="B177" s="23" t="s">
        <v>511</v>
      </c>
      <c r="C177" s="23" t="s">
        <v>360</v>
      </c>
      <c r="D177" s="22" t="s">
        <v>56</v>
      </c>
      <c r="E177" s="23" t="s">
        <v>320</v>
      </c>
      <c r="F177" s="23"/>
      <c r="G177" s="23"/>
      <c r="H177" s="22" t="str">
        <f aca="false">IF(B177="","",IF(COUNTIF('MiT Strom Pipeline'!$B$6:$B$904,B177)&gt;0,"✓",""))</f>
        <v/>
      </c>
      <c r="I177" s="22" t="str">
        <f aca="false">IF(B177="","",IFERROR(VLOOKUP(B177,'MiT Strom Pipeline'!$B$6:$R$904,17,0),""))</f>
        <v/>
      </c>
      <c r="J177" s="23"/>
    </row>
    <row r="178" customFormat="false" ht="19.5" hidden="false" customHeight="true" outlineLevel="0" collapsed="false">
      <c r="A178" s="130" t="n">
        <v>175</v>
      </c>
      <c r="B178" s="131" t="s">
        <v>370</v>
      </c>
      <c r="C178" s="131" t="s">
        <v>360</v>
      </c>
      <c r="D178" s="130" t="s">
        <v>53</v>
      </c>
      <c r="E178" s="131" t="s">
        <v>320</v>
      </c>
      <c r="F178" s="131"/>
      <c r="G178" s="131"/>
      <c r="H178" s="130" t="str">
        <f aca="false">IF(B178="","",IF(COUNTIF('MiT Strom Pipeline'!$B$6:$B$904,B178)&gt;0,"✓",""))</f>
        <v/>
      </c>
      <c r="I178" s="130" t="str">
        <f aca="false">IF(B178="","",IFERROR(VLOOKUP(B178,'MiT Strom Pipeline'!$B$6:$R$904,17,0),""))</f>
        <v/>
      </c>
      <c r="J178" s="131"/>
    </row>
    <row r="179" customFormat="false" ht="19.5" hidden="false" customHeight="true" outlineLevel="0" collapsed="false">
      <c r="A179" s="22" t="n">
        <v>176</v>
      </c>
      <c r="B179" s="23" t="s">
        <v>512</v>
      </c>
      <c r="C179" s="23" t="s">
        <v>51</v>
      </c>
      <c r="D179" s="22" t="s">
        <v>319</v>
      </c>
      <c r="E179" s="23" t="s">
        <v>320</v>
      </c>
      <c r="F179" s="23"/>
      <c r="G179" s="23"/>
      <c r="H179" s="22" t="str">
        <f aca="false">IF(B179="","",IF(COUNTIF('MiT Strom Pipeline'!$B$6:$B$904,B179)&gt;0,"✓",""))</f>
        <v/>
      </c>
      <c r="I179" s="22" t="str">
        <f aca="false">IF(B179="","",IFERROR(VLOOKUP(B179,'MiT Strom Pipeline'!$B$6:$R$904,17,0),""))</f>
        <v/>
      </c>
      <c r="J179" s="23"/>
    </row>
    <row r="180" customFormat="false" ht="19.5" hidden="false" customHeight="true" outlineLevel="0" collapsed="false">
      <c r="A180" s="130" t="n">
        <v>177</v>
      </c>
      <c r="B180" s="131" t="s">
        <v>513</v>
      </c>
      <c r="C180" s="131" t="s">
        <v>84</v>
      </c>
      <c r="D180" s="130" t="s">
        <v>319</v>
      </c>
      <c r="E180" s="131" t="s">
        <v>320</v>
      </c>
      <c r="F180" s="131"/>
      <c r="G180" s="131"/>
      <c r="H180" s="130" t="str">
        <f aca="false">IF(B180="","",IF(COUNTIF('MiT Strom Pipeline'!$B$6:$B$904,B180)&gt;0,"✓",""))</f>
        <v/>
      </c>
      <c r="I180" s="130" t="str">
        <f aca="false">IF(B180="","",IFERROR(VLOOKUP(B180,'MiT Strom Pipeline'!$B$6:$R$904,17,0),""))</f>
        <v/>
      </c>
      <c r="J180" s="131"/>
    </row>
    <row r="181" customFormat="false" ht="19.5" hidden="false" customHeight="true" outlineLevel="0" collapsed="false">
      <c r="A181" s="22" t="n">
        <v>178</v>
      </c>
      <c r="B181" s="23" t="s">
        <v>514</v>
      </c>
      <c r="C181" s="23" t="s">
        <v>84</v>
      </c>
      <c r="D181" s="22" t="s">
        <v>319</v>
      </c>
      <c r="E181" s="23" t="s">
        <v>328</v>
      </c>
      <c r="F181" s="23"/>
      <c r="G181" s="23"/>
      <c r="H181" s="22" t="str">
        <f aca="false">IF(B181="","",IF(COUNTIF('MiT Strom Pipeline'!$B$6:$B$904,B181)&gt;0,"✓",""))</f>
        <v/>
      </c>
      <c r="I181" s="22" t="str">
        <f aca="false">IF(B181="","",IFERROR(VLOOKUP(B181,'MiT Strom Pipeline'!$B$6:$R$904,17,0),""))</f>
        <v/>
      </c>
      <c r="J181" s="23"/>
    </row>
    <row r="182" customFormat="false" ht="19.5" hidden="false" customHeight="true" outlineLevel="0" collapsed="false">
      <c r="A182" s="130" t="n">
        <v>179</v>
      </c>
      <c r="B182" s="131" t="s">
        <v>515</v>
      </c>
      <c r="C182" s="131" t="s">
        <v>84</v>
      </c>
      <c r="D182" s="130" t="s">
        <v>319</v>
      </c>
      <c r="E182" s="131" t="s">
        <v>320</v>
      </c>
      <c r="F182" s="131"/>
      <c r="G182" s="131"/>
      <c r="H182" s="130" t="str">
        <f aca="false">IF(B182="","",IF(COUNTIF('MiT Strom Pipeline'!$B$6:$B$904,B182)&gt;0,"✓",""))</f>
        <v/>
      </c>
      <c r="I182" s="130" t="str">
        <f aca="false">IF(B182="","",IFERROR(VLOOKUP(B182,'MiT Strom Pipeline'!$B$6:$R$904,17,0),""))</f>
        <v/>
      </c>
      <c r="J182" s="131"/>
    </row>
    <row r="183" customFormat="false" ht="19.5" hidden="false" customHeight="true" outlineLevel="0" collapsed="false">
      <c r="A183" s="22" t="n">
        <v>180</v>
      </c>
      <c r="B183" s="23" t="s">
        <v>516</v>
      </c>
      <c r="C183" s="23" t="s">
        <v>84</v>
      </c>
      <c r="D183" s="22" t="s">
        <v>78</v>
      </c>
      <c r="E183" s="23" t="s">
        <v>320</v>
      </c>
      <c r="F183" s="23"/>
      <c r="G183" s="23"/>
      <c r="H183" s="22" t="str">
        <f aca="false">IF(B183="","",IF(COUNTIF('MiT Strom Pipeline'!$B$6:$B$904,B183)&gt;0,"✓",""))</f>
        <v/>
      </c>
      <c r="I183" s="22" t="str">
        <f aca="false">IF(B183="","",IFERROR(VLOOKUP(B183,'MiT Strom Pipeline'!$B$6:$R$904,17,0),""))</f>
        <v/>
      </c>
      <c r="J183" s="23"/>
    </row>
    <row r="184" customFormat="false" ht="19.5" hidden="false" customHeight="true" outlineLevel="0" collapsed="false">
      <c r="A184" s="130" t="n">
        <v>181</v>
      </c>
      <c r="B184" s="131" t="s">
        <v>517</v>
      </c>
      <c r="C184" s="131" t="s">
        <v>75</v>
      </c>
      <c r="D184" s="130" t="s">
        <v>319</v>
      </c>
      <c r="E184" s="131" t="s">
        <v>320</v>
      </c>
      <c r="F184" s="131"/>
      <c r="G184" s="131"/>
      <c r="H184" s="130" t="str">
        <f aca="false">IF(B184="","",IF(COUNTIF('MiT Strom Pipeline'!$B$6:$B$904,B184)&gt;0,"✓",""))</f>
        <v/>
      </c>
      <c r="I184" s="130" t="str">
        <f aca="false">IF(B184="","",IFERROR(VLOOKUP(B184,'MiT Strom Pipeline'!$B$6:$R$904,17,0),""))</f>
        <v/>
      </c>
      <c r="J184" s="131"/>
    </row>
    <row r="185" customFormat="false" ht="19.5" hidden="false" customHeight="true" outlineLevel="0" collapsed="false">
      <c r="A185" s="22" t="n">
        <v>182</v>
      </c>
      <c r="B185" s="23" t="s">
        <v>518</v>
      </c>
      <c r="C185" s="23" t="s">
        <v>84</v>
      </c>
      <c r="D185" s="22" t="s">
        <v>319</v>
      </c>
      <c r="E185" s="23" t="s">
        <v>328</v>
      </c>
      <c r="F185" s="23"/>
      <c r="G185" s="23"/>
      <c r="H185" s="22" t="str">
        <f aca="false">IF(B185="","",IF(COUNTIF('MiT Strom Pipeline'!$B$6:$B$904,B185)&gt;0,"✓",""))</f>
        <v/>
      </c>
      <c r="I185" s="22" t="str">
        <f aca="false">IF(B185="","",IFERROR(VLOOKUP(B185,'MiT Strom Pipeline'!$B$6:$R$904,17,0),""))</f>
        <v/>
      </c>
      <c r="J185" s="23"/>
    </row>
    <row r="186" customFormat="false" ht="19.5" hidden="false" customHeight="true" outlineLevel="0" collapsed="false">
      <c r="A186" s="130" t="n">
        <v>183</v>
      </c>
      <c r="B186" s="131" t="s">
        <v>519</v>
      </c>
      <c r="C186" s="131" t="s">
        <v>84</v>
      </c>
      <c r="D186" s="130" t="s">
        <v>319</v>
      </c>
      <c r="E186" s="131" t="s">
        <v>320</v>
      </c>
      <c r="F186" s="131"/>
      <c r="G186" s="131"/>
      <c r="H186" s="130" t="str">
        <f aca="false">IF(B186="","",IF(COUNTIF('MiT Strom Pipeline'!$B$6:$B$904,B186)&gt;0,"✓",""))</f>
        <v/>
      </c>
      <c r="I186" s="130" t="str">
        <f aca="false">IF(B186="","",IFERROR(VLOOKUP(B186,'MiT Strom Pipeline'!$B$6:$R$904,17,0),""))</f>
        <v/>
      </c>
      <c r="J186" s="131"/>
    </row>
    <row r="187" customFormat="false" ht="19.5" hidden="false" customHeight="true" outlineLevel="0" collapsed="false">
      <c r="A187" s="22" t="n">
        <v>184</v>
      </c>
      <c r="B187" s="23" t="s">
        <v>520</v>
      </c>
      <c r="C187" s="23" t="s">
        <v>84</v>
      </c>
      <c r="D187" s="22" t="s">
        <v>319</v>
      </c>
      <c r="E187" s="23" t="s">
        <v>320</v>
      </c>
      <c r="F187" s="23"/>
      <c r="G187" s="23"/>
      <c r="H187" s="22" t="str">
        <f aca="false">IF(B187="","",IF(COUNTIF('MiT Strom Pipeline'!$B$6:$B$904,B187)&gt;0,"✓",""))</f>
        <v/>
      </c>
      <c r="I187" s="22" t="str">
        <f aca="false">IF(B187="","",IFERROR(VLOOKUP(B187,'MiT Strom Pipeline'!$B$6:$R$904,17,0),""))</f>
        <v/>
      </c>
      <c r="J187" s="23"/>
    </row>
    <row r="188" customFormat="false" ht="19.5" hidden="false" customHeight="true" outlineLevel="0" collapsed="false">
      <c r="A188" s="130" t="n">
        <v>185</v>
      </c>
      <c r="B188" s="131" t="s">
        <v>521</v>
      </c>
      <c r="C188" s="131" t="s">
        <v>84</v>
      </c>
      <c r="D188" s="130" t="s">
        <v>319</v>
      </c>
      <c r="E188" s="131" t="s">
        <v>320</v>
      </c>
      <c r="F188" s="131"/>
      <c r="G188" s="131"/>
      <c r="H188" s="130" t="str">
        <f aca="false">IF(B188="","",IF(COUNTIF('MiT Strom Pipeline'!$B$6:$B$904,B188)&gt;0,"✓",""))</f>
        <v/>
      </c>
      <c r="I188" s="130" t="str">
        <f aca="false">IF(B188="","",IFERROR(VLOOKUP(B188,'MiT Strom Pipeline'!$B$6:$R$904,17,0),""))</f>
        <v/>
      </c>
      <c r="J188" s="131"/>
    </row>
    <row r="189" customFormat="false" ht="19.5" hidden="false" customHeight="true" outlineLevel="0" collapsed="false">
      <c r="A189" s="22" t="n">
        <v>186</v>
      </c>
      <c r="B189" s="23" t="s">
        <v>522</v>
      </c>
      <c r="C189" s="23" t="s">
        <v>84</v>
      </c>
      <c r="D189" s="22" t="s">
        <v>319</v>
      </c>
      <c r="E189" s="23" t="s">
        <v>320</v>
      </c>
      <c r="F189" s="23"/>
      <c r="G189" s="23"/>
      <c r="H189" s="22" t="str">
        <f aca="false">IF(B189="","",IF(COUNTIF('MiT Strom Pipeline'!$B$6:$B$904,B189)&gt;0,"✓",""))</f>
        <v/>
      </c>
      <c r="I189" s="22" t="str">
        <f aca="false">IF(B189="","",IFERROR(VLOOKUP(B189,'MiT Strom Pipeline'!$B$6:$R$904,17,0),""))</f>
        <v/>
      </c>
      <c r="J189" s="23"/>
    </row>
    <row r="190" customFormat="false" ht="19.5" hidden="false" customHeight="true" outlineLevel="0" collapsed="false">
      <c r="A190" s="130" t="n">
        <v>187</v>
      </c>
      <c r="B190" s="131" t="s">
        <v>523</v>
      </c>
      <c r="C190" s="131" t="s">
        <v>84</v>
      </c>
      <c r="D190" s="130" t="s">
        <v>319</v>
      </c>
      <c r="E190" s="131" t="s">
        <v>320</v>
      </c>
      <c r="F190" s="131"/>
      <c r="G190" s="131"/>
      <c r="H190" s="130" t="str">
        <f aca="false">IF(B190="","",IF(COUNTIF('MiT Strom Pipeline'!$B$6:$B$904,B190)&gt;0,"✓",""))</f>
        <v/>
      </c>
      <c r="I190" s="130" t="str">
        <f aca="false">IF(B190="","",IFERROR(VLOOKUP(B190,'MiT Strom Pipeline'!$B$6:$R$904,17,0),""))</f>
        <v/>
      </c>
      <c r="J190" s="131"/>
    </row>
    <row r="191" customFormat="false" ht="19.5" hidden="false" customHeight="true" outlineLevel="0" collapsed="false">
      <c r="A191" s="22" t="n">
        <v>188</v>
      </c>
      <c r="B191" s="23" t="s">
        <v>524</v>
      </c>
      <c r="C191" s="23" t="s">
        <v>84</v>
      </c>
      <c r="D191" s="22" t="s">
        <v>74</v>
      </c>
      <c r="E191" s="23" t="s">
        <v>328</v>
      </c>
      <c r="F191" s="23"/>
      <c r="G191" s="23"/>
      <c r="H191" s="22" t="str">
        <f aca="false">IF(B191="","",IF(COUNTIF('MiT Strom Pipeline'!$B$6:$B$904,B191)&gt;0,"✓",""))</f>
        <v/>
      </c>
      <c r="I191" s="22" t="str">
        <f aca="false">IF(B191="","",IFERROR(VLOOKUP(B191,'MiT Strom Pipeline'!$B$6:$R$904,17,0),""))</f>
        <v/>
      </c>
      <c r="J191" s="23"/>
    </row>
    <row r="192" customFormat="false" ht="19.5" hidden="false" customHeight="true" outlineLevel="0" collapsed="false">
      <c r="A192" s="130" t="n">
        <v>189</v>
      </c>
      <c r="B192" s="131" t="s">
        <v>525</v>
      </c>
      <c r="C192" s="131" t="s">
        <v>84</v>
      </c>
      <c r="D192" s="130" t="s">
        <v>319</v>
      </c>
      <c r="E192" s="131" t="s">
        <v>320</v>
      </c>
      <c r="F192" s="131"/>
      <c r="G192" s="131"/>
      <c r="H192" s="130" t="str">
        <f aca="false">IF(B192="","",IF(COUNTIF('MiT Strom Pipeline'!$B$6:$B$904,B192)&gt;0,"✓",""))</f>
        <v/>
      </c>
      <c r="I192" s="130" t="str">
        <f aca="false">IF(B192="","",IFERROR(VLOOKUP(B192,'MiT Strom Pipeline'!$B$6:$R$904,17,0),""))</f>
        <v/>
      </c>
      <c r="J192" s="131"/>
    </row>
    <row r="193" customFormat="false" ht="19.5" hidden="false" customHeight="true" outlineLevel="0" collapsed="false">
      <c r="A193" s="22" t="n">
        <v>190</v>
      </c>
      <c r="B193" s="23" t="s">
        <v>526</v>
      </c>
      <c r="C193" s="23" t="s">
        <v>360</v>
      </c>
      <c r="D193" s="22" t="s">
        <v>76</v>
      </c>
      <c r="E193" s="23" t="s">
        <v>320</v>
      </c>
      <c r="F193" s="23"/>
      <c r="G193" s="23"/>
      <c r="H193" s="22" t="str">
        <f aca="false">IF(B193="","",IF(COUNTIF('MiT Strom Pipeline'!$B$6:$B$904,B193)&gt;0,"✓",""))</f>
        <v/>
      </c>
      <c r="I193" s="22" t="str">
        <f aca="false">IF(B193="","",IFERROR(VLOOKUP(B193,'MiT Strom Pipeline'!$B$6:$R$904,17,0),""))</f>
        <v/>
      </c>
      <c r="J193" s="23"/>
    </row>
    <row r="194" customFormat="false" ht="19.5" hidden="false" customHeight="true" outlineLevel="0" collapsed="false">
      <c r="A194" s="130" t="n">
        <v>191</v>
      </c>
      <c r="B194" s="131" t="s">
        <v>527</v>
      </c>
      <c r="C194" s="131" t="s">
        <v>347</v>
      </c>
      <c r="D194" s="130" t="s">
        <v>319</v>
      </c>
      <c r="E194" s="131" t="s">
        <v>320</v>
      </c>
      <c r="F194" s="131"/>
      <c r="G194" s="131"/>
      <c r="H194" s="130" t="str">
        <f aca="false">IF(B194="","",IF(COUNTIF('MiT Strom Pipeline'!$B$6:$B$904,B194)&gt;0,"✓",""))</f>
        <v/>
      </c>
      <c r="I194" s="130" t="str">
        <f aca="false">IF(B194="","",IFERROR(VLOOKUP(B194,'MiT Strom Pipeline'!$B$6:$R$904,17,0),""))</f>
        <v/>
      </c>
      <c r="J194" s="131"/>
    </row>
    <row r="195" customFormat="false" ht="19.5" hidden="false" customHeight="true" outlineLevel="0" collapsed="false">
      <c r="A195" s="22" t="n">
        <v>192</v>
      </c>
      <c r="B195" s="23" t="s">
        <v>528</v>
      </c>
      <c r="C195" s="23" t="s">
        <v>347</v>
      </c>
      <c r="D195" s="22" t="s">
        <v>319</v>
      </c>
      <c r="E195" s="23" t="s">
        <v>320</v>
      </c>
      <c r="F195" s="23"/>
      <c r="G195" s="23"/>
      <c r="H195" s="22" t="str">
        <f aca="false">IF(B195="","",IF(COUNTIF('MiT Strom Pipeline'!$B$6:$B$904,B195)&gt;0,"✓",""))</f>
        <v/>
      </c>
      <c r="I195" s="22" t="str">
        <f aca="false">IF(B195="","",IFERROR(VLOOKUP(B195,'MiT Strom Pipeline'!$B$6:$R$904,17,0),""))</f>
        <v/>
      </c>
      <c r="J195" s="23"/>
    </row>
    <row r="196" customFormat="false" ht="19.5" hidden="false" customHeight="true" outlineLevel="0" collapsed="false">
      <c r="A196" s="130" t="n">
        <v>193</v>
      </c>
      <c r="B196" s="131" t="s">
        <v>529</v>
      </c>
      <c r="C196" s="131" t="s">
        <v>84</v>
      </c>
      <c r="D196" s="130" t="s">
        <v>319</v>
      </c>
      <c r="E196" s="131" t="s">
        <v>320</v>
      </c>
      <c r="F196" s="131"/>
      <c r="G196" s="131"/>
      <c r="H196" s="130" t="str">
        <f aca="false">IF(B196="","",IF(COUNTIF('MiT Strom Pipeline'!$B$6:$B$904,B196)&gt;0,"✓",""))</f>
        <v/>
      </c>
      <c r="I196" s="130" t="str">
        <f aca="false">IF(B196="","",IFERROR(VLOOKUP(B196,'MiT Strom Pipeline'!$B$6:$R$904,17,0),""))</f>
        <v/>
      </c>
      <c r="J196" s="131"/>
    </row>
    <row r="197" customFormat="false" ht="19.5" hidden="false" customHeight="true" outlineLevel="0" collapsed="false">
      <c r="A197" s="22" t="n">
        <v>194</v>
      </c>
      <c r="B197" s="23" t="s">
        <v>530</v>
      </c>
      <c r="C197" s="23" t="s">
        <v>84</v>
      </c>
      <c r="D197" s="22" t="s">
        <v>319</v>
      </c>
      <c r="E197" s="23" t="s">
        <v>320</v>
      </c>
      <c r="F197" s="23"/>
      <c r="G197" s="23"/>
      <c r="H197" s="22" t="str">
        <f aca="false">IF(B197="","",IF(COUNTIF('MiT Strom Pipeline'!$B$6:$B$904,B197)&gt;0,"✓",""))</f>
        <v/>
      </c>
      <c r="I197" s="22" t="str">
        <f aca="false">IF(B197="","",IFERROR(VLOOKUP(B197,'MiT Strom Pipeline'!$B$6:$R$904,17,0),""))</f>
        <v/>
      </c>
      <c r="J197" s="23"/>
    </row>
    <row r="198" customFormat="false" ht="19.5" hidden="false" customHeight="true" outlineLevel="0" collapsed="false">
      <c r="A198" s="130" t="n">
        <v>195</v>
      </c>
      <c r="B198" s="131" t="s">
        <v>531</v>
      </c>
      <c r="C198" s="131" t="s">
        <v>51</v>
      </c>
      <c r="D198" s="130" t="s">
        <v>319</v>
      </c>
      <c r="E198" s="131" t="s">
        <v>320</v>
      </c>
      <c r="F198" s="131"/>
      <c r="G198" s="131"/>
      <c r="H198" s="130" t="str">
        <f aca="false">IF(B198="","",IF(COUNTIF('MiT Strom Pipeline'!$B$6:$B$904,B198)&gt;0,"✓",""))</f>
        <v/>
      </c>
      <c r="I198" s="130" t="str">
        <f aca="false">IF(B198="","",IFERROR(VLOOKUP(B198,'MiT Strom Pipeline'!$B$6:$R$904,17,0),""))</f>
        <v/>
      </c>
      <c r="J198" s="131"/>
    </row>
    <row r="199" customFormat="false" ht="19.5" hidden="false" customHeight="true" outlineLevel="0" collapsed="false">
      <c r="A199" s="22" t="n">
        <v>196</v>
      </c>
      <c r="B199" s="23" t="s">
        <v>532</v>
      </c>
      <c r="C199" s="23" t="s">
        <v>84</v>
      </c>
      <c r="D199" s="22" t="s">
        <v>319</v>
      </c>
      <c r="E199" s="23" t="s">
        <v>320</v>
      </c>
      <c r="F199" s="23"/>
      <c r="G199" s="23"/>
      <c r="H199" s="22" t="str">
        <f aca="false">IF(B199="","",IF(COUNTIF('MiT Strom Pipeline'!$B$6:$B$904,B199)&gt;0,"✓",""))</f>
        <v/>
      </c>
      <c r="I199" s="22" t="str">
        <f aca="false">IF(B199="","",IFERROR(VLOOKUP(B199,'MiT Strom Pipeline'!$B$6:$R$904,17,0),""))</f>
        <v/>
      </c>
      <c r="J199" s="23"/>
    </row>
    <row r="200" customFormat="false" ht="19.5" hidden="false" customHeight="true" outlineLevel="0" collapsed="false">
      <c r="A200" s="130" t="n">
        <v>197</v>
      </c>
      <c r="B200" s="131" t="s">
        <v>533</v>
      </c>
      <c r="C200" s="131" t="s">
        <v>84</v>
      </c>
      <c r="D200" s="130" t="s">
        <v>319</v>
      </c>
      <c r="E200" s="131" t="s">
        <v>320</v>
      </c>
      <c r="F200" s="131"/>
      <c r="G200" s="131"/>
      <c r="H200" s="130" t="str">
        <f aca="false">IF(B200="","",IF(COUNTIF('MiT Strom Pipeline'!$B$6:$B$904,B200)&gt;0,"✓",""))</f>
        <v/>
      </c>
      <c r="I200" s="130" t="str">
        <f aca="false">IF(B200="","",IFERROR(VLOOKUP(B200,'MiT Strom Pipeline'!$B$6:$R$904,17,0),""))</f>
        <v/>
      </c>
      <c r="J200" s="131"/>
    </row>
    <row r="201" customFormat="false" ht="19.5" hidden="false" customHeight="true" outlineLevel="0" collapsed="false">
      <c r="A201" s="22" t="n">
        <v>198</v>
      </c>
      <c r="B201" s="23" t="s">
        <v>534</v>
      </c>
      <c r="C201" s="23" t="s">
        <v>84</v>
      </c>
      <c r="D201" s="22" t="s">
        <v>319</v>
      </c>
      <c r="E201" s="23" t="s">
        <v>320</v>
      </c>
      <c r="F201" s="23"/>
      <c r="G201" s="23"/>
      <c r="H201" s="22" t="str">
        <f aca="false">IF(B201="","",IF(COUNTIF('MiT Strom Pipeline'!$B$6:$B$904,B201)&gt;0,"✓",""))</f>
        <v/>
      </c>
      <c r="I201" s="22" t="str">
        <f aca="false">IF(B201="","",IFERROR(VLOOKUP(B201,'MiT Strom Pipeline'!$B$6:$R$904,17,0),""))</f>
        <v/>
      </c>
      <c r="J201" s="23"/>
    </row>
    <row r="202" customFormat="false" ht="19.5" hidden="false" customHeight="true" outlineLevel="0" collapsed="false">
      <c r="A202" s="130" t="n">
        <v>199</v>
      </c>
      <c r="B202" s="131" t="s">
        <v>535</v>
      </c>
      <c r="C202" s="131" t="s">
        <v>84</v>
      </c>
      <c r="D202" s="130" t="s">
        <v>319</v>
      </c>
      <c r="E202" s="131" t="s">
        <v>320</v>
      </c>
      <c r="F202" s="131"/>
      <c r="G202" s="131"/>
      <c r="H202" s="130" t="str">
        <f aca="false">IF(B202="","",IF(COUNTIF('MiT Strom Pipeline'!$B$6:$B$904,B202)&gt;0,"✓",""))</f>
        <v/>
      </c>
      <c r="I202" s="130" t="str">
        <f aca="false">IF(B202="","",IFERROR(VLOOKUP(B202,'MiT Strom Pipeline'!$B$6:$R$904,17,0),""))</f>
        <v/>
      </c>
      <c r="J202" s="131"/>
    </row>
    <row r="203" customFormat="false" ht="19.5" hidden="false" customHeight="true" outlineLevel="0" collapsed="false">
      <c r="A203" s="22" t="n">
        <v>200</v>
      </c>
      <c r="B203" s="23" t="s">
        <v>536</v>
      </c>
      <c r="C203" s="23" t="s">
        <v>84</v>
      </c>
      <c r="D203" s="22" t="s">
        <v>319</v>
      </c>
      <c r="E203" s="23" t="s">
        <v>320</v>
      </c>
      <c r="F203" s="23"/>
      <c r="G203" s="23"/>
      <c r="H203" s="22" t="str">
        <f aca="false">IF(B203="","",IF(COUNTIF('MiT Strom Pipeline'!$B$6:$B$904,B203)&gt;0,"✓",""))</f>
        <v/>
      </c>
      <c r="I203" s="22" t="str">
        <f aca="false">IF(B203="","",IFERROR(VLOOKUP(B203,'MiT Strom Pipeline'!$B$6:$R$904,17,0),""))</f>
        <v/>
      </c>
      <c r="J203" s="23"/>
    </row>
    <row r="204" customFormat="false" ht="19.5" hidden="false" customHeight="true" outlineLevel="0" collapsed="false">
      <c r="A204" s="130" t="n">
        <v>201</v>
      </c>
      <c r="B204" s="131" t="s">
        <v>334</v>
      </c>
      <c r="C204" s="131" t="s">
        <v>335</v>
      </c>
      <c r="D204" s="130" t="s">
        <v>78</v>
      </c>
      <c r="E204" s="131" t="s">
        <v>320</v>
      </c>
      <c r="F204" s="131"/>
      <c r="G204" s="131"/>
      <c r="H204" s="130" t="str">
        <f aca="false">IF(B204="","",IF(COUNTIF('MiT Strom Pipeline'!$B$6:$B$904,B204)&gt;0,"✓",""))</f>
        <v/>
      </c>
      <c r="I204" s="130" t="str">
        <f aca="false">IF(B204="","",IFERROR(VLOOKUP(B204,'MiT Strom Pipeline'!$B$6:$R$904,17,0),""))</f>
        <v/>
      </c>
      <c r="J204" s="131"/>
    </row>
    <row r="205" customFormat="false" ht="19.5" hidden="false" customHeight="true" outlineLevel="0" collapsed="false">
      <c r="A205" s="22" t="n">
        <v>202</v>
      </c>
      <c r="B205" s="23" t="s">
        <v>537</v>
      </c>
      <c r="C205" s="23" t="s">
        <v>84</v>
      </c>
      <c r="D205" s="22" t="s">
        <v>78</v>
      </c>
      <c r="E205" s="23" t="s">
        <v>320</v>
      </c>
      <c r="F205" s="23"/>
      <c r="G205" s="23"/>
      <c r="H205" s="22" t="str">
        <f aca="false">IF(B205="","",IF(COUNTIF('MiT Strom Pipeline'!$B$6:$B$904,B205)&gt;0,"✓",""))</f>
        <v/>
      </c>
      <c r="I205" s="22" t="str">
        <f aca="false">IF(B205="","",IFERROR(VLOOKUP(B205,'MiT Strom Pipeline'!$B$6:$R$904,17,0),""))</f>
        <v/>
      </c>
      <c r="J205" s="23"/>
    </row>
    <row r="206" customFormat="false" ht="19.5" hidden="false" customHeight="true" outlineLevel="0" collapsed="false">
      <c r="A206" s="130" t="n">
        <v>203</v>
      </c>
      <c r="B206" s="131" t="s">
        <v>538</v>
      </c>
      <c r="C206" s="131" t="s">
        <v>84</v>
      </c>
      <c r="D206" s="130" t="s">
        <v>319</v>
      </c>
      <c r="E206" s="131" t="s">
        <v>320</v>
      </c>
      <c r="F206" s="131"/>
      <c r="G206" s="131"/>
      <c r="H206" s="130" t="str">
        <f aca="false">IF(B206="","",IF(COUNTIF('MiT Strom Pipeline'!$B$6:$B$904,B206)&gt;0,"✓",""))</f>
        <v/>
      </c>
      <c r="I206" s="130" t="str">
        <f aca="false">IF(B206="","",IFERROR(VLOOKUP(B206,'MiT Strom Pipeline'!$B$6:$R$904,17,0),""))</f>
        <v/>
      </c>
      <c r="J206" s="131"/>
    </row>
    <row r="207" customFormat="false" ht="19.5" hidden="false" customHeight="true" outlineLevel="0" collapsed="false">
      <c r="A207" s="22" t="n">
        <v>204</v>
      </c>
      <c r="B207" s="23" t="s">
        <v>539</v>
      </c>
      <c r="C207" s="23" t="s">
        <v>84</v>
      </c>
      <c r="D207" s="22" t="s">
        <v>319</v>
      </c>
      <c r="E207" s="23" t="s">
        <v>320</v>
      </c>
      <c r="F207" s="23"/>
      <c r="G207" s="23"/>
      <c r="H207" s="22" t="str">
        <f aca="false">IF(B207="","",IF(COUNTIF('MiT Strom Pipeline'!$B$6:$B$904,B207)&gt;0,"✓",""))</f>
        <v/>
      </c>
      <c r="I207" s="22" t="str">
        <f aca="false">IF(B207="","",IFERROR(VLOOKUP(B207,'MiT Strom Pipeline'!$B$6:$R$904,17,0),""))</f>
        <v/>
      </c>
      <c r="J207" s="23"/>
    </row>
    <row r="208" customFormat="false" ht="19.5" hidden="false" customHeight="true" outlineLevel="0" collapsed="false">
      <c r="A208" s="130" t="n">
        <v>205</v>
      </c>
      <c r="B208" s="131" t="s">
        <v>540</v>
      </c>
      <c r="C208" s="131" t="s">
        <v>84</v>
      </c>
      <c r="D208" s="130" t="s">
        <v>319</v>
      </c>
      <c r="E208" s="131" t="s">
        <v>320</v>
      </c>
      <c r="F208" s="131"/>
      <c r="G208" s="131"/>
      <c r="H208" s="130" t="str">
        <f aca="false">IF(B208="","",IF(COUNTIF('MiT Strom Pipeline'!$B$6:$B$904,B208)&gt;0,"✓",""))</f>
        <v/>
      </c>
      <c r="I208" s="130" t="str">
        <f aca="false">IF(B208="","",IFERROR(VLOOKUP(B208,'MiT Strom Pipeline'!$B$6:$R$904,17,0),""))</f>
        <v/>
      </c>
      <c r="J208" s="131"/>
    </row>
    <row r="209" customFormat="false" ht="19.5" hidden="false" customHeight="true" outlineLevel="0" collapsed="false">
      <c r="A209" s="22" t="n">
        <v>206</v>
      </c>
      <c r="B209" s="23" t="s">
        <v>541</v>
      </c>
      <c r="C209" s="23" t="s">
        <v>75</v>
      </c>
      <c r="D209" s="22" t="s">
        <v>319</v>
      </c>
      <c r="E209" s="23" t="s">
        <v>320</v>
      </c>
      <c r="F209" s="23"/>
      <c r="G209" s="23"/>
      <c r="H209" s="22" t="str">
        <f aca="false">IF(B209="","",IF(COUNTIF('MiT Strom Pipeline'!$B$6:$B$904,B209)&gt;0,"✓",""))</f>
        <v/>
      </c>
      <c r="I209" s="22" t="str">
        <f aca="false">IF(B209="","",IFERROR(VLOOKUP(B209,'MiT Strom Pipeline'!$B$6:$R$904,17,0),""))</f>
        <v/>
      </c>
      <c r="J209" s="23"/>
    </row>
    <row r="210" customFormat="false" ht="19.5" hidden="false" customHeight="true" outlineLevel="0" collapsed="false">
      <c r="A210" s="130" t="n">
        <v>207</v>
      </c>
      <c r="B210" s="131" t="s">
        <v>542</v>
      </c>
      <c r="C210" s="131" t="s">
        <v>84</v>
      </c>
      <c r="D210" s="130" t="s">
        <v>74</v>
      </c>
      <c r="E210" s="131" t="s">
        <v>328</v>
      </c>
      <c r="F210" s="131"/>
      <c r="G210" s="131"/>
      <c r="H210" s="130" t="str">
        <f aca="false">IF(B210="","",IF(COUNTIF('MiT Strom Pipeline'!$B$6:$B$904,B210)&gt;0,"✓",""))</f>
        <v/>
      </c>
      <c r="I210" s="130" t="str">
        <f aca="false">IF(B210="","",IFERROR(VLOOKUP(B210,'MiT Strom Pipeline'!$B$6:$R$904,17,0),""))</f>
        <v/>
      </c>
      <c r="J210" s="131"/>
    </row>
    <row r="211" customFormat="false" ht="19.5" hidden="false" customHeight="true" outlineLevel="0" collapsed="false">
      <c r="A211" s="22" t="n">
        <v>208</v>
      </c>
      <c r="B211" s="23" t="s">
        <v>543</v>
      </c>
      <c r="C211" s="23" t="s">
        <v>393</v>
      </c>
      <c r="D211" s="22" t="s">
        <v>319</v>
      </c>
      <c r="E211" s="23" t="s">
        <v>320</v>
      </c>
      <c r="F211" s="23"/>
      <c r="G211" s="23"/>
      <c r="H211" s="22" t="str">
        <f aca="false">IF(B211="","",IF(COUNTIF('MiT Strom Pipeline'!$B$6:$B$904,B211)&gt;0,"✓",""))</f>
        <v/>
      </c>
      <c r="I211" s="22" t="str">
        <f aca="false">IF(B211="","",IFERROR(VLOOKUP(B211,'MiT Strom Pipeline'!$B$6:$R$904,17,0),""))</f>
        <v/>
      </c>
      <c r="J211" s="23"/>
    </row>
    <row r="212" customFormat="false" ht="19.5" hidden="false" customHeight="true" outlineLevel="0" collapsed="false">
      <c r="A212" s="130" t="n">
        <v>209</v>
      </c>
      <c r="B212" s="131" t="s">
        <v>544</v>
      </c>
      <c r="C212" s="131" t="s">
        <v>84</v>
      </c>
      <c r="D212" s="130" t="s">
        <v>319</v>
      </c>
      <c r="E212" s="131" t="s">
        <v>320</v>
      </c>
      <c r="F212" s="131"/>
      <c r="G212" s="131"/>
      <c r="H212" s="130" t="str">
        <f aca="false">IF(B212="","",IF(COUNTIF('MiT Strom Pipeline'!$B$6:$B$904,B212)&gt;0,"✓",""))</f>
        <v/>
      </c>
      <c r="I212" s="130" t="str">
        <f aca="false">IF(B212="","",IFERROR(VLOOKUP(B212,'MiT Strom Pipeline'!$B$6:$R$904,17,0),""))</f>
        <v/>
      </c>
      <c r="J212" s="131"/>
    </row>
    <row r="213" customFormat="false" ht="19.5" hidden="false" customHeight="true" outlineLevel="0" collapsed="false">
      <c r="A213" s="22" t="n">
        <v>210</v>
      </c>
      <c r="B213" s="23" t="s">
        <v>545</v>
      </c>
      <c r="C213" s="23" t="s">
        <v>84</v>
      </c>
      <c r="D213" s="22" t="s">
        <v>319</v>
      </c>
      <c r="E213" s="23" t="s">
        <v>320</v>
      </c>
      <c r="F213" s="23"/>
      <c r="G213" s="23"/>
      <c r="H213" s="22" t="str">
        <f aca="false">IF(B213="","",IF(COUNTIF('MiT Strom Pipeline'!$B$6:$B$904,B213)&gt;0,"✓",""))</f>
        <v/>
      </c>
      <c r="I213" s="22" t="str">
        <f aca="false">IF(B213="","",IFERROR(VLOOKUP(B213,'MiT Strom Pipeline'!$B$6:$R$904,17,0),""))</f>
        <v/>
      </c>
      <c r="J213" s="23"/>
    </row>
    <row r="214" customFormat="false" ht="19.5" hidden="false" customHeight="true" outlineLevel="0" collapsed="false">
      <c r="A214" s="130" t="n">
        <v>211</v>
      </c>
      <c r="B214" s="131" t="s">
        <v>546</v>
      </c>
      <c r="C214" s="131" t="s">
        <v>347</v>
      </c>
      <c r="D214" s="130" t="s">
        <v>319</v>
      </c>
      <c r="E214" s="131" t="s">
        <v>320</v>
      </c>
      <c r="F214" s="131"/>
      <c r="G214" s="131"/>
      <c r="H214" s="130" t="str">
        <f aca="false">IF(B214="","",IF(COUNTIF('MiT Strom Pipeline'!$B$6:$B$904,B214)&gt;0,"✓",""))</f>
        <v/>
      </c>
      <c r="I214" s="130" t="str">
        <f aca="false">IF(B214="","",IFERROR(VLOOKUP(B214,'MiT Strom Pipeline'!$B$6:$R$904,17,0),""))</f>
        <v/>
      </c>
      <c r="J214" s="131"/>
    </row>
    <row r="215" customFormat="false" ht="19.5" hidden="false" customHeight="true" outlineLevel="0" collapsed="false">
      <c r="A215" s="22" t="n">
        <v>212</v>
      </c>
      <c r="B215" s="23" t="s">
        <v>547</v>
      </c>
      <c r="C215" s="23" t="s">
        <v>84</v>
      </c>
      <c r="D215" s="22" t="s">
        <v>70</v>
      </c>
      <c r="E215" s="23" t="s">
        <v>320</v>
      </c>
      <c r="F215" s="23"/>
      <c r="G215" s="23"/>
      <c r="H215" s="22" t="str">
        <f aca="false">IF(B215="","",IF(COUNTIF('MiT Strom Pipeline'!$B$6:$B$904,B215)&gt;0,"✓",""))</f>
        <v/>
      </c>
      <c r="I215" s="22" t="str">
        <f aca="false">IF(B215="","",IFERROR(VLOOKUP(B215,'MiT Strom Pipeline'!$B$6:$R$904,17,0),""))</f>
        <v/>
      </c>
      <c r="J215" s="23"/>
    </row>
    <row r="216" customFormat="false" ht="19.5" hidden="false" customHeight="true" outlineLevel="0" collapsed="false">
      <c r="A216" s="130" t="n">
        <v>213</v>
      </c>
      <c r="B216" s="131" t="s">
        <v>202</v>
      </c>
      <c r="C216" s="131" t="s">
        <v>84</v>
      </c>
      <c r="D216" s="130" t="s">
        <v>319</v>
      </c>
      <c r="E216" s="131" t="s">
        <v>320</v>
      </c>
      <c r="F216" s="131"/>
      <c r="G216" s="131"/>
      <c r="H216" s="130" t="str">
        <f aca="false">IF(B216="","",IF(COUNTIF('MiT Strom Pipeline'!$B$6:$B$904,B216)&gt;0,"✓",""))</f>
        <v>✓</v>
      </c>
      <c r="I216" s="130" t="str">
        <f aca="false">IF(B216="","",IFERROR(VLOOKUP(B216,'MiT Strom Pipeline'!$B$6:$R$904,17,0),""))</f>
        <v>Evaluation</v>
      </c>
      <c r="J216" s="131"/>
    </row>
    <row r="217" customFormat="false" ht="19.5" hidden="false" customHeight="true" outlineLevel="0" collapsed="false">
      <c r="A217" s="22" t="n">
        <v>214</v>
      </c>
      <c r="B217" s="23" t="s">
        <v>548</v>
      </c>
      <c r="C217" s="23" t="s">
        <v>84</v>
      </c>
      <c r="D217" s="22" t="s">
        <v>319</v>
      </c>
      <c r="E217" s="23" t="s">
        <v>328</v>
      </c>
      <c r="F217" s="23"/>
      <c r="G217" s="23"/>
      <c r="H217" s="22" t="str">
        <f aca="false">IF(B217="","",IF(COUNTIF('MiT Strom Pipeline'!$B$6:$B$904,B217)&gt;0,"✓",""))</f>
        <v/>
      </c>
      <c r="I217" s="22" t="str">
        <f aca="false">IF(B217="","",IFERROR(VLOOKUP(B217,'MiT Strom Pipeline'!$B$6:$R$904,17,0),""))</f>
        <v/>
      </c>
      <c r="J217" s="23"/>
    </row>
    <row r="218" customFormat="false" ht="19.5" hidden="false" customHeight="true" outlineLevel="0" collapsed="false">
      <c r="A218" s="130" t="n">
        <v>215</v>
      </c>
      <c r="B218" s="131" t="s">
        <v>549</v>
      </c>
      <c r="C218" s="131" t="s">
        <v>84</v>
      </c>
      <c r="D218" s="130" t="s">
        <v>319</v>
      </c>
      <c r="E218" s="131" t="s">
        <v>320</v>
      </c>
      <c r="F218" s="131"/>
      <c r="G218" s="131"/>
      <c r="H218" s="130" t="str">
        <f aca="false">IF(B218="","",IF(COUNTIF('MiT Strom Pipeline'!$B$6:$B$904,B218)&gt;0,"✓",""))</f>
        <v/>
      </c>
      <c r="I218" s="130" t="str">
        <f aca="false">IF(B218="","",IFERROR(VLOOKUP(B218,'MiT Strom Pipeline'!$B$6:$R$904,17,0),""))</f>
        <v/>
      </c>
      <c r="J218" s="131"/>
    </row>
    <row r="219" customFormat="false" ht="19.5" hidden="false" customHeight="true" outlineLevel="0" collapsed="false">
      <c r="A219" s="22" t="n">
        <v>216</v>
      </c>
      <c r="B219" s="23" t="s">
        <v>550</v>
      </c>
      <c r="C219" s="23" t="s">
        <v>75</v>
      </c>
      <c r="D219" s="22" t="s">
        <v>319</v>
      </c>
      <c r="E219" s="23" t="s">
        <v>320</v>
      </c>
      <c r="F219" s="23"/>
      <c r="G219" s="23"/>
      <c r="H219" s="22" t="str">
        <f aca="false">IF(B219="","",IF(COUNTIF('MiT Strom Pipeline'!$B$6:$B$904,B219)&gt;0,"✓",""))</f>
        <v/>
      </c>
      <c r="I219" s="22" t="str">
        <f aca="false">IF(B219="","",IFERROR(VLOOKUP(B219,'MiT Strom Pipeline'!$B$6:$R$904,17,0),""))</f>
        <v/>
      </c>
      <c r="J219" s="23"/>
    </row>
    <row r="220" customFormat="false" ht="19.5" hidden="false" customHeight="true" outlineLevel="0" collapsed="false">
      <c r="A220" s="130" t="n">
        <v>217</v>
      </c>
      <c r="B220" s="131" t="s">
        <v>551</v>
      </c>
      <c r="C220" s="131" t="s">
        <v>84</v>
      </c>
      <c r="D220" s="130" t="s">
        <v>319</v>
      </c>
      <c r="E220" s="131" t="s">
        <v>328</v>
      </c>
      <c r="F220" s="131"/>
      <c r="G220" s="131"/>
      <c r="H220" s="130" t="str">
        <f aca="false">IF(B220="","",IF(COUNTIF('MiT Strom Pipeline'!$B$6:$B$904,B220)&gt;0,"✓",""))</f>
        <v/>
      </c>
      <c r="I220" s="130" t="str">
        <f aca="false">IF(B220="","",IFERROR(VLOOKUP(B220,'MiT Strom Pipeline'!$B$6:$R$904,17,0),""))</f>
        <v/>
      </c>
      <c r="J220" s="131"/>
    </row>
    <row r="221" customFormat="false" ht="19.5" hidden="false" customHeight="true" outlineLevel="0" collapsed="false">
      <c r="A221" s="22" t="n">
        <v>218</v>
      </c>
      <c r="B221" s="23" t="s">
        <v>416</v>
      </c>
      <c r="C221" s="23" t="s">
        <v>54</v>
      </c>
      <c r="D221" s="22" t="s">
        <v>319</v>
      </c>
      <c r="E221" s="23" t="s">
        <v>320</v>
      </c>
      <c r="F221" s="23"/>
      <c r="G221" s="23"/>
      <c r="H221" s="22" t="str">
        <f aca="false">IF(B221="","",IF(COUNTIF('MiT Strom Pipeline'!$B$6:$B$904,B221)&gt;0,"✓",""))</f>
        <v/>
      </c>
      <c r="I221" s="22" t="str">
        <f aca="false">IF(B221="","",IFERROR(VLOOKUP(B221,'MiT Strom Pipeline'!$B$6:$R$904,17,0),""))</f>
        <v/>
      </c>
      <c r="J221" s="23"/>
    </row>
    <row r="222" customFormat="false" ht="19.5" hidden="false" customHeight="true" outlineLevel="0" collapsed="false">
      <c r="A222" s="130" t="n">
        <v>219</v>
      </c>
      <c r="B222" s="131" t="s">
        <v>552</v>
      </c>
      <c r="C222" s="131" t="s">
        <v>84</v>
      </c>
      <c r="D222" s="130" t="s">
        <v>319</v>
      </c>
      <c r="E222" s="131" t="s">
        <v>320</v>
      </c>
      <c r="F222" s="131"/>
      <c r="G222" s="131"/>
      <c r="H222" s="130" t="str">
        <f aca="false">IF(B222="","",IF(COUNTIF('MiT Strom Pipeline'!$B$6:$B$904,B222)&gt;0,"✓",""))</f>
        <v/>
      </c>
      <c r="I222" s="130" t="str">
        <f aca="false">IF(B222="","",IFERROR(VLOOKUP(B222,'MiT Strom Pipeline'!$B$6:$R$904,17,0),""))</f>
        <v/>
      </c>
      <c r="J222" s="131"/>
    </row>
    <row r="223" customFormat="false" ht="19.5" hidden="false" customHeight="true" outlineLevel="0" collapsed="false">
      <c r="A223" s="22" t="n">
        <v>220</v>
      </c>
      <c r="B223" s="23" t="s">
        <v>553</v>
      </c>
      <c r="C223" s="23" t="s">
        <v>84</v>
      </c>
      <c r="D223" s="22" t="s">
        <v>319</v>
      </c>
      <c r="E223" s="23" t="s">
        <v>328</v>
      </c>
      <c r="F223" s="23"/>
      <c r="G223" s="23"/>
      <c r="H223" s="22" t="str">
        <f aca="false">IF(B223="","",IF(COUNTIF('MiT Strom Pipeline'!$B$6:$B$904,B223)&gt;0,"✓",""))</f>
        <v/>
      </c>
      <c r="I223" s="22" t="str">
        <f aca="false">IF(B223="","",IFERROR(VLOOKUP(B223,'MiT Strom Pipeline'!$B$6:$R$904,17,0),""))</f>
        <v/>
      </c>
      <c r="J223" s="23"/>
    </row>
    <row r="224" customFormat="false" ht="19.5" hidden="false" customHeight="true" outlineLevel="0" collapsed="false">
      <c r="A224" s="130" t="n">
        <v>221</v>
      </c>
      <c r="B224" s="131" t="s">
        <v>554</v>
      </c>
      <c r="C224" s="131" t="s">
        <v>84</v>
      </c>
      <c r="D224" s="130" t="s">
        <v>319</v>
      </c>
      <c r="E224" s="131" t="s">
        <v>320</v>
      </c>
      <c r="F224" s="131"/>
      <c r="G224" s="131"/>
      <c r="H224" s="130" t="str">
        <f aca="false">IF(B224="","",IF(COUNTIF('MiT Strom Pipeline'!$B$6:$B$904,B224)&gt;0,"✓",""))</f>
        <v/>
      </c>
      <c r="I224" s="130" t="str">
        <f aca="false">IF(B224="","",IFERROR(VLOOKUP(B224,'MiT Strom Pipeline'!$B$6:$R$904,17,0),""))</f>
        <v/>
      </c>
      <c r="J224" s="131"/>
    </row>
    <row r="225" customFormat="false" ht="19.5" hidden="false" customHeight="true" outlineLevel="0" collapsed="false">
      <c r="A225" s="22" t="n">
        <v>222</v>
      </c>
      <c r="B225" s="23" t="s">
        <v>555</v>
      </c>
      <c r="C225" s="23" t="s">
        <v>84</v>
      </c>
      <c r="D225" s="22" t="s">
        <v>319</v>
      </c>
      <c r="E225" s="23" t="s">
        <v>320</v>
      </c>
      <c r="F225" s="23"/>
      <c r="G225" s="23"/>
      <c r="H225" s="22" t="str">
        <f aca="false">IF(B225="","",IF(COUNTIF('MiT Strom Pipeline'!$B$6:$B$904,B225)&gt;0,"✓",""))</f>
        <v/>
      </c>
      <c r="I225" s="22" t="str">
        <f aca="false">IF(B225="","",IFERROR(VLOOKUP(B225,'MiT Strom Pipeline'!$B$6:$R$904,17,0),""))</f>
        <v/>
      </c>
      <c r="J225" s="23"/>
    </row>
    <row r="226" customFormat="false" ht="19.5" hidden="false" customHeight="true" outlineLevel="0" collapsed="false">
      <c r="A226" s="130" t="n">
        <v>223</v>
      </c>
      <c r="B226" s="131" t="s">
        <v>556</v>
      </c>
      <c r="C226" s="131" t="s">
        <v>84</v>
      </c>
      <c r="D226" s="130" t="s">
        <v>319</v>
      </c>
      <c r="E226" s="131" t="s">
        <v>320</v>
      </c>
      <c r="F226" s="131"/>
      <c r="G226" s="131"/>
      <c r="H226" s="130" t="str">
        <f aca="false">IF(B226="","",IF(COUNTIF('MiT Strom Pipeline'!$B$6:$B$904,B226)&gt;0,"✓",""))</f>
        <v/>
      </c>
      <c r="I226" s="130" t="str">
        <f aca="false">IF(B226="","",IFERROR(VLOOKUP(B226,'MiT Strom Pipeline'!$B$6:$R$904,17,0),""))</f>
        <v/>
      </c>
      <c r="J226" s="131"/>
    </row>
    <row r="227" customFormat="false" ht="19.5" hidden="false" customHeight="true" outlineLevel="0" collapsed="false">
      <c r="A227" s="22" t="n">
        <v>224</v>
      </c>
      <c r="B227" s="23" t="s">
        <v>557</v>
      </c>
      <c r="C227" s="23" t="s">
        <v>84</v>
      </c>
      <c r="D227" s="22" t="s">
        <v>319</v>
      </c>
      <c r="E227" s="23" t="s">
        <v>320</v>
      </c>
      <c r="F227" s="23"/>
      <c r="G227" s="23"/>
      <c r="H227" s="22" t="str">
        <f aca="false">IF(B227="","",IF(COUNTIF('MiT Strom Pipeline'!$B$6:$B$904,B227)&gt;0,"✓",""))</f>
        <v/>
      </c>
      <c r="I227" s="22" t="str">
        <f aca="false">IF(B227="","",IFERROR(VLOOKUP(B227,'MiT Strom Pipeline'!$B$6:$R$904,17,0),""))</f>
        <v/>
      </c>
      <c r="J227" s="23"/>
    </row>
    <row r="228" customFormat="false" ht="19.5" hidden="false" customHeight="true" outlineLevel="0" collapsed="false">
      <c r="A228" s="130" t="n">
        <v>225</v>
      </c>
      <c r="B228" s="131" t="s">
        <v>558</v>
      </c>
      <c r="C228" s="131" t="s">
        <v>84</v>
      </c>
      <c r="D228" s="130" t="s">
        <v>319</v>
      </c>
      <c r="E228" s="131" t="s">
        <v>320</v>
      </c>
      <c r="F228" s="131"/>
      <c r="G228" s="131"/>
      <c r="H228" s="130" t="str">
        <f aca="false">IF(B228="","",IF(COUNTIF('MiT Strom Pipeline'!$B$6:$B$904,B228)&gt;0,"✓",""))</f>
        <v/>
      </c>
      <c r="I228" s="130" t="str">
        <f aca="false">IF(B228="","",IFERROR(VLOOKUP(B228,'MiT Strom Pipeline'!$B$6:$R$904,17,0),""))</f>
        <v/>
      </c>
      <c r="J228" s="131"/>
    </row>
    <row r="229" customFormat="false" ht="19.5" hidden="false" customHeight="true" outlineLevel="0" collapsed="false">
      <c r="A229" s="22" t="n">
        <v>226</v>
      </c>
      <c r="B229" s="23" t="s">
        <v>559</v>
      </c>
      <c r="C229" s="23" t="s">
        <v>347</v>
      </c>
      <c r="D229" s="22" t="s">
        <v>319</v>
      </c>
      <c r="E229" s="23" t="s">
        <v>320</v>
      </c>
      <c r="F229" s="23"/>
      <c r="G229" s="23"/>
      <c r="H229" s="22" t="str">
        <f aca="false">IF(B229="","",IF(COUNTIF('MiT Strom Pipeline'!$B$6:$B$904,B229)&gt;0,"✓",""))</f>
        <v/>
      </c>
      <c r="I229" s="22" t="str">
        <f aca="false">IF(B229="","",IFERROR(VLOOKUP(B229,'MiT Strom Pipeline'!$B$6:$R$904,17,0),""))</f>
        <v/>
      </c>
      <c r="J229" s="23"/>
    </row>
    <row r="230" customFormat="false" ht="19.5" hidden="false" customHeight="true" outlineLevel="0" collapsed="false">
      <c r="A230" s="130" t="n">
        <v>227</v>
      </c>
      <c r="B230" s="131" t="s">
        <v>560</v>
      </c>
      <c r="C230" s="131" t="s">
        <v>84</v>
      </c>
      <c r="D230" s="130" t="s">
        <v>319</v>
      </c>
      <c r="E230" s="131" t="s">
        <v>320</v>
      </c>
      <c r="F230" s="131"/>
      <c r="G230" s="131"/>
      <c r="H230" s="130" t="str">
        <f aca="false">IF(B230="","",IF(COUNTIF('MiT Strom Pipeline'!$B$6:$B$904,B230)&gt;0,"✓",""))</f>
        <v/>
      </c>
      <c r="I230" s="130" t="str">
        <f aca="false">IF(B230="","",IFERROR(VLOOKUP(B230,'MiT Strom Pipeline'!$B$6:$R$904,17,0),""))</f>
        <v/>
      </c>
      <c r="J230" s="131"/>
    </row>
    <row r="231" customFormat="false" ht="19.5" hidden="false" customHeight="true" outlineLevel="0" collapsed="false">
      <c r="A231" s="22" t="n">
        <v>228</v>
      </c>
      <c r="B231" s="23" t="s">
        <v>561</v>
      </c>
      <c r="C231" s="23" t="s">
        <v>84</v>
      </c>
      <c r="D231" s="22" t="s">
        <v>319</v>
      </c>
      <c r="E231" s="23" t="s">
        <v>320</v>
      </c>
      <c r="F231" s="23"/>
      <c r="G231" s="23"/>
      <c r="H231" s="22" t="str">
        <f aca="false">IF(B231="","",IF(COUNTIF('MiT Strom Pipeline'!$B$6:$B$904,B231)&gt;0,"✓",""))</f>
        <v/>
      </c>
      <c r="I231" s="22" t="str">
        <f aca="false">IF(B231="","",IFERROR(VLOOKUP(B231,'MiT Strom Pipeline'!$B$6:$R$904,17,0),""))</f>
        <v/>
      </c>
      <c r="J231" s="23"/>
    </row>
    <row r="232" customFormat="false" ht="19.5" hidden="false" customHeight="true" outlineLevel="0" collapsed="false">
      <c r="A232" s="130" t="n">
        <v>229</v>
      </c>
      <c r="B232" s="131" t="s">
        <v>562</v>
      </c>
      <c r="C232" s="131" t="s">
        <v>84</v>
      </c>
      <c r="D232" s="130" t="s">
        <v>78</v>
      </c>
      <c r="E232" s="131" t="s">
        <v>320</v>
      </c>
      <c r="F232" s="131"/>
      <c r="G232" s="131"/>
      <c r="H232" s="130" t="str">
        <f aca="false">IF(B232="","",IF(COUNTIF('MiT Strom Pipeline'!$B$6:$B$904,B232)&gt;0,"✓",""))</f>
        <v/>
      </c>
      <c r="I232" s="130" t="str">
        <f aca="false">IF(B232="","",IFERROR(VLOOKUP(B232,'MiT Strom Pipeline'!$B$6:$R$904,17,0),""))</f>
        <v/>
      </c>
      <c r="J232" s="131"/>
    </row>
    <row r="233" customFormat="false" ht="19.5" hidden="false" customHeight="true" outlineLevel="0" collapsed="false">
      <c r="A233" s="22" t="n">
        <v>230</v>
      </c>
      <c r="B233" s="23" t="s">
        <v>563</v>
      </c>
      <c r="C233" s="23" t="s">
        <v>84</v>
      </c>
      <c r="D233" s="22" t="s">
        <v>319</v>
      </c>
      <c r="E233" s="23" t="s">
        <v>320</v>
      </c>
      <c r="F233" s="23"/>
      <c r="G233" s="23"/>
      <c r="H233" s="22" t="str">
        <f aca="false">IF(B233="","",IF(COUNTIF('MiT Strom Pipeline'!$B$6:$B$904,B233)&gt;0,"✓",""))</f>
        <v/>
      </c>
      <c r="I233" s="22" t="str">
        <f aca="false">IF(B233="","",IFERROR(VLOOKUP(B233,'MiT Strom Pipeline'!$B$6:$R$904,17,0),""))</f>
        <v/>
      </c>
      <c r="J233" s="23"/>
    </row>
    <row r="234" customFormat="false" ht="19.5" hidden="false" customHeight="true" outlineLevel="0" collapsed="false">
      <c r="A234" s="130" t="n">
        <v>231</v>
      </c>
      <c r="B234" s="131" t="s">
        <v>564</v>
      </c>
      <c r="C234" s="131" t="s">
        <v>360</v>
      </c>
      <c r="D234" s="130" t="s">
        <v>78</v>
      </c>
      <c r="E234" s="131" t="s">
        <v>320</v>
      </c>
      <c r="F234" s="131"/>
      <c r="G234" s="131"/>
      <c r="H234" s="130" t="str">
        <f aca="false">IF(B234="","",IF(COUNTIF('MiT Strom Pipeline'!$B$6:$B$904,B234)&gt;0,"✓",""))</f>
        <v/>
      </c>
      <c r="I234" s="130" t="str">
        <f aca="false">IF(B234="","",IFERROR(VLOOKUP(B234,'MiT Strom Pipeline'!$B$6:$R$904,17,0),""))</f>
        <v/>
      </c>
      <c r="J234" s="131"/>
    </row>
    <row r="235" customFormat="false" ht="19.5" hidden="false" customHeight="true" outlineLevel="0" collapsed="false">
      <c r="A235" s="22" t="n">
        <v>232</v>
      </c>
      <c r="B235" s="23" t="s">
        <v>565</v>
      </c>
      <c r="C235" s="23" t="s">
        <v>84</v>
      </c>
      <c r="D235" s="22" t="s">
        <v>319</v>
      </c>
      <c r="E235" s="23" t="s">
        <v>320</v>
      </c>
      <c r="F235" s="23"/>
      <c r="G235" s="23"/>
      <c r="H235" s="22" t="str">
        <f aca="false">IF(B235="","",IF(COUNTIF('MiT Strom Pipeline'!$B$6:$B$904,B235)&gt;0,"✓",""))</f>
        <v/>
      </c>
      <c r="I235" s="22" t="str">
        <f aca="false">IF(B235="","",IFERROR(VLOOKUP(B235,'MiT Strom Pipeline'!$B$6:$R$904,17,0),""))</f>
        <v/>
      </c>
      <c r="J235" s="23"/>
    </row>
    <row r="236" customFormat="false" ht="19.5" hidden="false" customHeight="true" outlineLevel="0" collapsed="false">
      <c r="A236" s="130" t="n">
        <v>233</v>
      </c>
      <c r="B236" s="131" t="s">
        <v>566</v>
      </c>
      <c r="C236" s="131" t="s">
        <v>84</v>
      </c>
      <c r="D236" s="130" t="s">
        <v>319</v>
      </c>
      <c r="E236" s="131" t="s">
        <v>320</v>
      </c>
      <c r="F236" s="131"/>
      <c r="G236" s="131"/>
      <c r="H236" s="130" t="str">
        <f aca="false">IF(B236="","",IF(COUNTIF('MiT Strom Pipeline'!$B$6:$B$904,B236)&gt;0,"✓",""))</f>
        <v/>
      </c>
      <c r="I236" s="130" t="str">
        <f aca="false">IF(B236="","",IFERROR(VLOOKUP(B236,'MiT Strom Pipeline'!$B$6:$R$904,17,0),""))</f>
        <v/>
      </c>
      <c r="J236" s="131"/>
    </row>
    <row r="237" customFormat="false" ht="19.5" hidden="false" customHeight="true" outlineLevel="0" collapsed="false">
      <c r="A237" s="22" t="n">
        <v>234</v>
      </c>
      <c r="B237" s="23" t="s">
        <v>567</v>
      </c>
      <c r="C237" s="23" t="s">
        <v>84</v>
      </c>
      <c r="D237" s="22" t="s">
        <v>319</v>
      </c>
      <c r="E237" s="23" t="s">
        <v>320</v>
      </c>
      <c r="F237" s="23"/>
      <c r="G237" s="23"/>
      <c r="H237" s="22" t="str">
        <f aca="false">IF(B237="","",IF(COUNTIF('MiT Strom Pipeline'!$B$6:$B$904,B237)&gt;0,"✓",""))</f>
        <v/>
      </c>
      <c r="I237" s="22" t="str">
        <f aca="false">IF(B237="","",IFERROR(VLOOKUP(B237,'MiT Strom Pipeline'!$B$6:$R$904,17,0),""))</f>
        <v/>
      </c>
      <c r="J237" s="23"/>
    </row>
    <row r="238" customFormat="false" ht="19.5" hidden="false" customHeight="true" outlineLevel="0" collapsed="false">
      <c r="A238" s="130" t="n">
        <v>235</v>
      </c>
      <c r="B238" s="131" t="s">
        <v>568</v>
      </c>
      <c r="C238" s="131" t="s">
        <v>84</v>
      </c>
      <c r="D238" s="130" t="s">
        <v>319</v>
      </c>
      <c r="E238" s="131" t="s">
        <v>320</v>
      </c>
      <c r="F238" s="131"/>
      <c r="G238" s="131"/>
      <c r="H238" s="130" t="str">
        <f aca="false">IF(B238="","",IF(COUNTIF('MiT Strom Pipeline'!$B$6:$B$904,B238)&gt;0,"✓",""))</f>
        <v/>
      </c>
      <c r="I238" s="130" t="str">
        <f aca="false">IF(B238="","",IFERROR(VLOOKUP(B238,'MiT Strom Pipeline'!$B$6:$R$904,17,0),""))</f>
        <v/>
      </c>
      <c r="J238" s="131"/>
    </row>
    <row r="239" customFormat="false" ht="19.5" hidden="false" customHeight="true" outlineLevel="0" collapsed="false">
      <c r="A239" s="22" t="n">
        <v>236</v>
      </c>
      <c r="B239" s="23" t="s">
        <v>569</v>
      </c>
      <c r="C239" s="23" t="s">
        <v>84</v>
      </c>
      <c r="D239" s="22" t="s">
        <v>319</v>
      </c>
      <c r="E239" s="23" t="s">
        <v>320</v>
      </c>
      <c r="F239" s="23"/>
      <c r="G239" s="23"/>
      <c r="H239" s="22" t="str">
        <f aca="false">IF(B239="","",IF(COUNTIF('MiT Strom Pipeline'!$B$6:$B$904,B239)&gt;0,"✓",""))</f>
        <v/>
      </c>
      <c r="I239" s="22" t="str">
        <f aca="false">IF(B239="","",IFERROR(VLOOKUP(B239,'MiT Strom Pipeline'!$B$6:$R$904,17,0),""))</f>
        <v/>
      </c>
      <c r="J239" s="23"/>
    </row>
    <row r="240" customFormat="false" ht="19.5" hidden="false" customHeight="true" outlineLevel="0" collapsed="false">
      <c r="A240" s="130" t="n">
        <v>237</v>
      </c>
      <c r="B240" s="131" t="s">
        <v>570</v>
      </c>
      <c r="C240" s="131" t="s">
        <v>84</v>
      </c>
      <c r="D240" s="130" t="s">
        <v>319</v>
      </c>
      <c r="E240" s="131" t="s">
        <v>320</v>
      </c>
      <c r="F240" s="131"/>
      <c r="G240" s="131"/>
      <c r="H240" s="130" t="str">
        <f aca="false">IF(B240="","",IF(COUNTIF('MiT Strom Pipeline'!$B$6:$B$904,B240)&gt;0,"✓",""))</f>
        <v/>
      </c>
      <c r="I240" s="130" t="str">
        <f aca="false">IF(B240="","",IFERROR(VLOOKUP(B240,'MiT Strom Pipeline'!$B$6:$R$904,17,0),""))</f>
        <v/>
      </c>
      <c r="J240" s="131"/>
    </row>
    <row r="241" customFormat="false" ht="19.5" hidden="false" customHeight="true" outlineLevel="0" collapsed="false">
      <c r="A241" s="22" t="n">
        <v>238</v>
      </c>
      <c r="B241" s="23" t="s">
        <v>571</v>
      </c>
      <c r="C241" s="23" t="s">
        <v>84</v>
      </c>
      <c r="D241" s="22" t="s">
        <v>72</v>
      </c>
      <c r="E241" s="23" t="s">
        <v>328</v>
      </c>
      <c r="F241" s="23"/>
      <c r="G241" s="23"/>
      <c r="H241" s="22" t="str">
        <f aca="false">IF(B241="","",IF(COUNTIF('MiT Strom Pipeline'!$B$6:$B$904,B241)&gt;0,"✓",""))</f>
        <v/>
      </c>
      <c r="I241" s="22" t="str">
        <f aca="false">IF(B241="","",IFERROR(VLOOKUP(B241,'MiT Strom Pipeline'!$B$6:$R$904,17,0),""))</f>
        <v/>
      </c>
      <c r="J241" s="23"/>
    </row>
    <row r="242" customFormat="false" ht="19.5" hidden="false" customHeight="true" outlineLevel="0" collapsed="false">
      <c r="A242" s="130" t="n">
        <v>239</v>
      </c>
      <c r="B242" s="131" t="s">
        <v>572</v>
      </c>
      <c r="C242" s="131" t="s">
        <v>84</v>
      </c>
      <c r="D242" s="130" t="s">
        <v>319</v>
      </c>
      <c r="E242" s="131" t="s">
        <v>320</v>
      </c>
      <c r="F242" s="131"/>
      <c r="G242" s="131"/>
      <c r="H242" s="130" t="str">
        <f aca="false">IF(B242="","",IF(COUNTIF('MiT Strom Pipeline'!$B$6:$B$904,B242)&gt;0,"✓",""))</f>
        <v/>
      </c>
      <c r="I242" s="130" t="str">
        <f aca="false">IF(B242="","",IFERROR(VLOOKUP(B242,'MiT Strom Pipeline'!$B$6:$R$904,17,0),""))</f>
        <v/>
      </c>
      <c r="J242" s="131"/>
    </row>
    <row r="243" customFormat="false" ht="19.5" hidden="false" customHeight="true" outlineLevel="0" collapsed="false">
      <c r="A243" s="22" t="n">
        <v>240</v>
      </c>
      <c r="B243" s="23" t="s">
        <v>573</v>
      </c>
      <c r="C243" s="23" t="s">
        <v>84</v>
      </c>
      <c r="D243" s="22" t="s">
        <v>319</v>
      </c>
      <c r="E243" s="23" t="s">
        <v>320</v>
      </c>
      <c r="F243" s="23"/>
      <c r="G243" s="23"/>
      <c r="H243" s="22" t="str">
        <f aca="false">IF(B243="","",IF(COUNTIF('MiT Strom Pipeline'!$B$6:$B$904,B243)&gt;0,"✓",""))</f>
        <v/>
      </c>
      <c r="I243" s="22" t="str">
        <f aca="false">IF(B243="","",IFERROR(VLOOKUP(B243,'MiT Strom Pipeline'!$B$6:$R$904,17,0),""))</f>
        <v/>
      </c>
      <c r="J243" s="23"/>
    </row>
    <row r="244" customFormat="false" ht="19.5" hidden="false" customHeight="true" outlineLevel="0" collapsed="false">
      <c r="A244" s="130" t="n">
        <v>241</v>
      </c>
      <c r="B244" s="131" t="s">
        <v>574</v>
      </c>
      <c r="C244" s="131" t="s">
        <v>84</v>
      </c>
      <c r="D244" s="130" t="s">
        <v>319</v>
      </c>
      <c r="E244" s="131" t="s">
        <v>320</v>
      </c>
      <c r="F244" s="131"/>
      <c r="G244" s="131"/>
      <c r="H244" s="130" t="str">
        <f aca="false">IF(B244="","",IF(COUNTIF('MiT Strom Pipeline'!$B$6:$B$904,B244)&gt;0,"✓",""))</f>
        <v/>
      </c>
      <c r="I244" s="130" t="str">
        <f aca="false">IF(B244="","",IFERROR(VLOOKUP(B244,'MiT Strom Pipeline'!$B$6:$R$904,17,0),""))</f>
        <v/>
      </c>
      <c r="J244" s="131"/>
    </row>
    <row r="245" customFormat="false" ht="19.5" hidden="false" customHeight="true" outlineLevel="0" collapsed="false">
      <c r="A245" s="22" t="n">
        <v>242</v>
      </c>
      <c r="B245" s="23" t="s">
        <v>575</v>
      </c>
      <c r="C245" s="23" t="s">
        <v>84</v>
      </c>
      <c r="D245" s="22" t="s">
        <v>78</v>
      </c>
      <c r="E245" s="23" t="s">
        <v>320</v>
      </c>
      <c r="F245" s="23"/>
      <c r="G245" s="23"/>
      <c r="H245" s="22" t="str">
        <f aca="false">IF(B245="","",IF(COUNTIF('MiT Strom Pipeline'!$B$6:$B$904,B245)&gt;0,"✓",""))</f>
        <v/>
      </c>
      <c r="I245" s="22" t="str">
        <f aca="false">IF(B245="","",IFERROR(VLOOKUP(B245,'MiT Strom Pipeline'!$B$6:$R$904,17,0),""))</f>
        <v/>
      </c>
      <c r="J245" s="23"/>
    </row>
    <row r="246" customFormat="false" ht="19.5" hidden="false" customHeight="true" outlineLevel="0" collapsed="false">
      <c r="A246" s="130" t="n">
        <v>243</v>
      </c>
      <c r="B246" s="131" t="s">
        <v>576</v>
      </c>
      <c r="C246" s="131" t="s">
        <v>84</v>
      </c>
      <c r="D246" s="130" t="s">
        <v>319</v>
      </c>
      <c r="E246" s="131" t="s">
        <v>328</v>
      </c>
      <c r="F246" s="131"/>
      <c r="G246" s="131"/>
      <c r="H246" s="130" t="str">
        <f aca="false">IF(B246="","",IF(COUNTIF('MiT Strom Pipeline'!$B$6:$B$904,B246)&gt;0,"✓",""))</f>
        <v/>
      </c>
      <c r="I246" s="130" t="str">
        <f aca="false">IF(B246="","",IFERROR(VLOOKUP(B246,'MiT Strom Pipeline'!$B$6:$R$904,17,0),""))</f>
        <v/>
      </c>
      <c r="J246" s="131"/>
    </row>
    <row r="247" customFormat="false" ht="19.5" hidden="false" customHeight="true" outlineLevel="0" collapsed="false">
      <c r="A247" s="22" t="n">
        <v>244</v>
      </c>
      <c r="B247" s="23" t="s">
        <v>577</v>
      </c>
      <c r="C247" s="23" t="s">
        <v>84</v>
      </c>
      <c r="D247" s="22" t="s">
        <v>319</v>
      </c>
      <c r="E247" s="23" t="s">
        <v>320</v>
      </c>
      <c r="F247" s="23"/>
      <c r="G247" s="23"/>
      <c r="H247" s="22" t="str">
        <f aca="false">IF(B247="","",IF(COUNTIF('MiT Strom Pipeline'!$B$6:$B$904,B247)&gt;0,"✓",""))</f>
        <v/>
      </c>
      <c r="I247" s="22" t="str">
        <f aca="false">IF(B247="","",IFERROR(VLOOKUP(B247,'MiT Strom Pipeline'!$B$6:$R$904,17,0),""))</f>
        <v/>
      </c>
      <c r="J247" s="23"/>
    </row>
    <row r="248" customFormat="false" ht="19.5" hidden="false" customHeight="true" outlineLevel="0" collapsed="false">
      <c r="A248" s="130" t="n">
        <v>245</v>
      </c>
      <c r="B248" s="131" t="s">
        <v>578</v>
      </c>
      <c r="C248" s="131" t="s">
        <v>84</v>
      </c>
      <c r="D248" s="130" t="s">
        <v>319</v>
      </c>
      <c r="E248" s="131" t="s">
        <v>328</v>
      </c>
      <c r="F248" s="131"/>
      <c r="G248" s="131"/>
      <c r="H248" s="130" t="str">
        <f aca="false">IF(B248="","",IF(COUNTIF('MiT Strom Pipeline'!$B$6:$B$904,B248)&gt;0,"✓",""))</f>
        <v/>
      </c>
      <c r="I248" s="130" t="str">
        <f aca="false">IF(B248="","",IFERROR(VLOOKUP(B248,'MiT Strom Pipeline'!$B$6:$R$904,17,0),""))</f>
        <v/>
      </c>
      <c r="J248" s="131"/>
    </row>
    <row r="249" customFormat="false" ht="19.5" hidden="false" customHeight="true" outlineLevel="0" collapsed="false">
      <c r="A249" s="22" t="n">
        <v>246</v>
      </c>
      <c r="B249" s="23" t="s">
        <v>579</v>
      </c>
      <c r="C249" s="23" t="s">
        <v>84</v>
      </c>
      <c r="D249" s="22" t="s">
        <v>319</v>
      </c>
      <c r="E249" s="23" t="s">
        <v>320</v>
      </c>
      <c r="F249" s="23"/>
      <c r="G249" s="23"/>
      <c r="H249" s="22" t="str">
        <f aca="false">IF(B249="","",IF(COUNTIF('MiT Strom Pipeline'!$B$6:$B$904,B249)&gt;0,"✓",""))</f>
        <v/>
      </c>
      <c r="I249" s="22" t="str">
        <f aca="false">IF(B249="","",IFERROR(VLOOKUP(B249,'MiT Strom Pipeline'!$B$6:$R$904,17,0),""))</f>
        <v/>
      </c>
      <c r="J249" s="23"/>
    </row>
    <row r="250" customFormat="false" ht="19.5" hidden="false" customHeight="true" outlineLevel="0" collapsed="false">
      <c r="A250" s="130" t="n">
        <v>247</v>
      </c>
      <c r="B250" s="131" t="s">
        <v>580</v>
      </c>
      <c r="C250" s="131" t="s">
        <v>75</v>
      </c>
      <c r="D250" s="130" t="s">
        <v>319</v>
      </c>
      <c r="E250" s="131" t="s">
        <v>320</v>
      </c>
      <c r="F250" s="131"/>
      <c r="G250" s="131"/>
      <c r="H250" s="130" t="str">
        <f aca="false">IF(B250="","",IF(COUNTIF('MiT Strom Pipeline'!$B$6:$B$904,B250)&gt;0,"✓",""))</f>
        <v/>
      </c>
      <c r="I250" s="130" t="str">
        <f aca="false">IF(B250="","",IFERROR(VLOOKUP(B250,'MiT Strom Pipeline'!$B$6:$R$904,17,0),""))</f>
        <v/>
      </c>
      <c r="J250" s="131"/>
    </row>
    <row r="251" customFormat="false" ht="19.5" hidden="false" customHeight="true" outlineLevel="0" collapsed="false">
      <c r="A251" s="22" t="n">
        <v>248</v>
      </c>
      <c r="B251" s="23" t="s">
        <v>581</v>
      </c>
      <c r="C251" s="23" t="s">
        <v>75</v>
      </c>
      <c r="D251" s="22" t="s">
        <v>319</v>
      </c>
      <c r="E251" s="23" t="s">
        <v>320</v>
      </c>
      <c r="F251" s="23"/>
      <c r="G251" s="23"/>
      <c r="H251" s="22" t="str">
        <f aca="false">IF(B251="","",IF(COUNTIF('MiT Strom Pipeline'!$B$6:$B$904,B251)&gt;0,"✓",""))</f>
        <v/>
      </c>
      <c r="I251" s="22" t="str">
        <f aca="false">IF(B251="","",IFERROR(VLOOKUP(B251,'MiT Strom Pipeline'!$B$6:$R$904,17,0),""))</f>
        <v/>
      </c>
      <c r="J251" s="23"/>
    </row>
    <row r="252" customFormat="false" ht="19.5" hidden="false" customHeight="true" outlineLevel="0" collapsed="false">
      <c r="A252" s="130" t="n">
        <v>249</v>
      </c>
      <c r="B252" s="131" t="s">
        <v>582</v>
      </c>
      <c r="C252" s="131" t="s">
        <v>84</v>
      </c>
      <c r="D252" s="130" t="s">
        <v>319</v>
      </c>
      <c r="E252" s="131" t="s">
        <v>328</v>
      </c>
      <c r="F252" s="131"/>
      <c r="G252" s="131"/>
      <c r="H252" s="130" t="str">
        <f aca="false">IF(B252="","",IF(COUNTIF('MiT Strom Pipeline'!$B$6:$B$904,B252)&gt;0,"✓",""))</f>
        <v/>
      </c>
      <c r="I252" s="130" t="str">
        <f aca="false">IF(B252="","",IFERROR(VLOOKUP(B252,'MiT Strom Pipeline'!$B$6:$R$904,17,0),""))</f>
        <v/>
      </c>
      <c r="J252" s="131"/>
    </row>
    <row r="253" customFormat="false" ht="19.5" hidden="false" customHeight="true" outlineLevel="0" collapsed="false">
      <c r="A253" s="22" t="n">
        <v>250</v>
      </c>
      <c r="B253" s="23" t="s">
        <v>583</v>
      </c>
      <c r="C253" s="23" t="s">
        <v>84</v>
      </c>
      <c r="D253" s="22" t="s">
        <v>319</v>
      </c>
      <c r="E253" s="23" t="s">
        <v>320</v>
      </c>
      <c r="F253" s="23"/>
      <c r="G253" s="23"/>
      <c r="H253" s="22" t="str">
        <f aca="false">IF(B253="","",IF(COUNTIF('MiT Strom Pipeline'!$B$6:$B$904,B253)&gt;0,"✓",""))</f>
        <v/>
      </c>
      <c r="I253" s="22" t="str">
        <f aca="false">IF(B253="","",IFERROR(VLOOKUP(B253,'MiT Strom Pipeline'!$B$6:$R$904,17,0),""))</f>
        <v/>
      </c>
      <c r="J253" s="23"/>
    </row>
    <row r="254" customFormat="false" ht="19.5" hidden="false" customHeight="true" outlineLevel="0" collapsed="false">
      <c r="A254" s="130" t="n">
        <v>251</v>
      </c>
      <c r="B254" s="131" t="s">
        <v>584</v>
      </c>
      <c r="C254" s="131" t="s">
        <v>84</v>
      </c>
      <c r="D254" s="130" t="s">
        <v>319</v>
      </c>
      <c r="E254" s="131" t="s">
        <v>328</v>
      </c>
      <c r="F254" s="131"/>
      <c r="G254" s="131"/>
      <c r="H254" s="130" t="str">
        <f aca="false">IF(B254="","",IF(COUNTIF('MiT Strom Pipeline'!$B$6:$B$904,B254)&gt;0,"✓",""))</f>
        <v/>
      </c>
      <c r="I254" s="130" t="str">
        <f aca="false">IF(B254="","",IFERROR(VLOOKUP(B254,'MiT Strom Pipeline'!$B$6:$R$904,17,0),""))</f>
        <v/>
      </c>
      <c r="J254" s="131"/>
    </row>
    <row r="255" customFormat="false" ht="19.5" hidden="false" customHeight="true" outlineLevel="0" collapsed="false">
      <c r="A255" s="22" t="n">
        <v>252</v>
      </c>
      <c r="B255" s="23" t="s">
        <v>585</v>
      </c>
      <c r="C255" s="23" t="s">
        <v>347</v>
      </c>
      <c r="D255" s="22" t="s">
        <v>319</v>
      </c>
      <c r="E255" s="23" t="s">
        <v>320</v>
      </c>
      <c r="F255" s="23"/>
      <c r="G255" s="23"/>
      <c r="H255" s="22" t="str">
        <f aca="false">IF(B255="","",IF(COUNTIF('MiT Strom Pipeline'!$B$6:$B$904,B255)&gt;0,"✓",""))</f>
        <v/>
      </c>
      <c r="I255" s="22" t="str">
        <f aca="false">IF(B255="","",IFERROR(VLOOKUP(B255,'MiT Strom Pipeline'!$B$6:$R$904,17,0),""))</f>
        <v/>
      </c>
      <c r="J255" s="23"/>
    </row>
    <row r="256" customFormat="false" ht="19.5" hidden="false" customHeight="true" outlineLevel="0" collapsed="false">
      <c r="A256" s="130" t="n">
        <v>253</v>
      </c>
      <c r="B256" s="131" t="s">
        <v>586</v>
      </c>
      <c r="C256" s="131" t="s">
        <v>84</v>
      </c>
      <c r="D256" s="130" t="s">
        <v>319</v>
      </c>
      <c r="E256" s="131" t="s">
        <v>320</v>
      </c>
      <c r="F256" s="131"/>
      <c r="G256" s="131"/>
      <c r="H256" s="130" t="str">
        <f aca="false">IF(B256="","",IF(COUNTIF('MiT Strom Pipeline'!$B$6:$B$904,B256)&gt;0,"✓",""))</f>
        <v/>
      </c>
      <c r="I256" s="130" t="str">
        <f aca="false">IF(B256="","",IFERROR(VLOOKUP(B256,'MiT Strom Pipeline'!$B$6:$R$904,17,0),""))</f>
        <v/>
      </c>
      <c r="J256" s="131"/>
    </row>
    <row r="257" customFormat="false" ht="19.5" hidden="false" customHeight="true" outlineLevel="0" collapsed="false">
      <c r="A257" s="22" t="n">
        <v>254</v>
      </c>
      <c r="B257" s="23" t="s">
        <v>492</v>
      </c>
      <c r="C257" s="23" t="s">
        <v>84</v>
      </c>
      <c r="D257" s="22" t="s">
        <v>319</v>
      </c>
      <c r="E257" s="23" t="s">
        <v>320</v>
      </c>
      <c r="F257" s="23"/>
      <c r="G257" s="23"/>
      <c r="H257" s="22" t="str">
        <f aca="false">IF(B257="","",IF(COUNTIF('MiT Strom Pipeline'!$B$6:$B$904,B257)&gt;0,"✓",""))</f>
        <v/>
      </c>
      <c r="I257" s="22" t="str">
        <f aca="false">IF(B257="","",IFERROR(VLOOKUP(B257,'MiT Strom Pipeline'!$B$6:$R$904,17,0),""))</f>
        <v/>
      </c>
      <c r="J257" s="23"/>
    </row>
    <row r="258" customFormat="false" ht="19.5" hidden="false" customHeight="true" outlineLevel="0" collapsed="false">
      <c r="A258" s="130" t="n">
        <v>255</v>
      </c>
      <c r="B258" s="131" t="s">
        <v>587</v>
      </c>
      <c r="C258" s="131" t="s">
        <v>84</v>
      </c>
      <c r="D258" s="130" t="s">
        <v>319</v>
      </c>
      <c r="E258" s="131" t="s">
        <v>320</v>
      </c>
      <c r="F258" s="131"/>
      <c r="G258" s="131"/>
      <c r="H258" s="130" t="str">
        <f aca="false">IF(B258="","",IF(COUNTIF('MiT Strom Pipeline'!$B$6:$B$904,B258)&gt;0,"✓",""))</f>
        <v/>
      </c>
      <c r="I258" s="130" t="str">
        <f aca="false">IF(B258="","",IFERROR(VLOOKUP(B258,'MiT Strom Pipeline'!$B$6:$R$904,17,0),""))</f>
        <v/>
      </c>
      <c r="J258" s="131"/>
    </row>
    <row r="259" customFormat="false" ht="19.5" hidden="false" customHeight="true" outlineLevel="0" collapsed="false">
      <c r="A259" s="22" t="n">
        <v>256</v>
      </c>
      <c r="B259" s="23" t="s">
        <v>588</v>
      </c>
      <c r="C259" s="23" t="s">
        <v>84</v>
      </c>
      <c r="D259" s="22" t="s">
        <v>319</v>
      </c>
      <c r="E259" s="23" t="s">
        <v>320</v>
      </c>
      <c r="F259" s="23"/>
      <c r="G259" s="23"/>
      <c r="H259" s="22" t="str">
        <f aca="false">IF(B259="","",IF(COUNTIF('MiT Strom Pipeline'!$B$6:$B$904,B259)&gt;0,"✓",""))</f>
        <v/>
      </c>
      <c r="I259" s="22" t="str">
        <f aca="false">IF(B259="","",IFERROR(VLOOKUP(B259,'MiT Strom Pipeline'!$B$6:$R$904,17,0),""))</f>
        <v/>
      </c>
      <c r="J259" s="23"/>
    </row>
    <row r="260" customFormat="false" ht="19.5" hidden="false" customHeight="true" outlineLevel="0" collapsed="false">
      <c r="A260" s="130" t="n">
        <v>257</v>
      </c>
      <c r="B260" s="131" t="s">
        <v>589</v>
      </c>
      <c r="C260" s="131" t="s">
        <v>84</v>
      </c>
      <c r="D260" s="130" t="s">
        <v>319</v>
      </c>
      <c r="E260" s="131" t="s">
        <v>320</v>
      </c>
      <c r="F260" s="131"/>
      <c r="G260" s="131"/>
      <c r="H260" s="130" t="str">
        <f aca="false">IF(B260="","",IF(COUNTIF('MiT Strom Pipeline'!$B$6:$B$904,B260)&gt;0,"✓",""))</f>
        <v/>
      </c>
      <c r="I260" s="130" t="str">
        <f aca="false">IF(B260="","",IFERROR(VLOOKUP(B260,'MiT Strom Pipeline'!$B$6:$R$904,17,0),""))</f>
        <v/>
      </c>
      <c r="J260" s="131"/>
    </row>
    <row r="261" customFormat="false" ht="19.5" hidden="false" customHeight="true" outlineLevel="0" collapsed="false">
      <c r="A261" s="22" t="n">
        <v>258</v>
      </c>
      <c r="B261" s="23" t="s">
        <v>590</v>
      </c>
      <c r="C261" s="23" t="s">
        <v>84</v>
      </c>
      <c r="D261" s="22" t="s">
        <v>319</v>
      </c>
      <c r="E261" s="23" t="s">
        <v>320</v>
      </c>
      <c r="F261" s="23"/>
      <c r="G261" s="23"/>
      <c r="H261" s="22" t="str">
        <f aca="false">IF(B261="","",IF(COUNTIF('MiT Strom Pipeline'!$B$6:$B$904,B261)&gt;0,"✓",""))</f>
        <v/>
      </c>
      <c r="I261" s="22" t="str">
        <f aca="false">IF(B261="","",IFERROR(VLOOKUP(B261,'MiT Strom Pipeline'!$B$6:$R$904,17,0),""))</f>
        <v/>
      </c>
      <c r="J261" s="23"/>
    </row>
    <row r="262" customFormat="false" ht="19.5" hidden="false" customHeight="true" outlineLevel="0" collapsed="false">
      <c r="A262" s="130" t="n">
        <v>259</v>
      </c>
      <c r="B262" s="131" t="s">
        <v>591</v>
      </c>
      <c r="C262" s="131" t="s">
        <v>84</v>
      </c>
      <c r="D262" s="130" t="s">
        <v>47</v>
      </c>
      <c r="E262" s="131" t="s">
        <v>320</v>
      </c>
      <c r="F262" s="131"/>
      <c r="G262" s="131"/>
      <c r="H262" s="130" t="str">
        <f aca="false">IF(B262="","",IF(COUNTIF('MiT Strom Pipeline'!$B$6:$B$904,B262)&gt;0,"✓",""))</f>
        <v/>
      </c>
      <c r="I262" s="130" t="str">
        <f aca="false">IF(B262="","",IFERROR(VLOOKUP(B262,'MiT Strom Pipeline'!$B$6:$R$904,17,0),""))</f>
        <v/>
      </c>
      <c r="J262" s="131"/>
    </row>
    <row r="263" customFormat="false" ht="19.5" hidden="false" customHeight="true" outlineLevel="0" collapsed="false">
      <c r="A263" s="22" t="n">
        <v>260</v>
      </c>
      <c r="B263" s="23" t="s">
        <v>592</v>
      </c>
      <c r="C263" s="23" t="s">
        <v>51</v>
      </c>
      <c r="D263" s="22" t="s">
        <v>319</v>
      </c>
      <c r="E263" s="23" t="s">
        <v>320</v>
      </c>
      <c r="F263" s="23"/>
      <c r="G263" s="23"/>
      <c r="H263" s="22" t="str">
        <f aca="false">IF(B263="","",IF(COUNTIF('MiT Strom Pipeline'!$B$6:$B$904,B263)&gt;0,"✓",""))</f>
        <v/>
      </c>
      <c r="I263" s="22" t="str">
        <f aca="false">IF(B263="","",IFERROR(VLOOKUP(B263,'MiT Strom Pipeline'!$B$6:$R$904,17,0),""))</f>
        <v/>
      </c>
      <c r="J263" s="23"/>
    </row>
    <row r="264" customFormat="false" ht="19.5" hidden="false" customHeight="true" outlineLevel="0" collapsed="false">
      <c r="A264" s="130" t="n">
        <v>261</v>
      </c>
      <c r="B264" s="131" t="s">
        <v>593</v>
      </c>
      <c r="C264" s="131" t="s">
        <v>75</v>
      </c>
      <c r="D264" s="130" t="s">
        <v>319</v>
      </c>
      <c r="E264" s="131" t="s">
        <v>320</v>
      </c>
      <c r="F264" s="131"/>
      <c r="G264" s="131"/>
      <c r="H264" s="130" t="str">
        <f aca="false">IF(B264="","",IF(COUNTIF('MiT Strom Pipeline'!$B$6:$B$904,B264)&gt;0,"✓",""))</f>
        <v/>
      </c>
      <c r="I264" s="130" t="str">
        <f aca="false">IF(B264="","",IFERROR(VLOOKUP(B264,'MiT Strom Pipeline'!$B$6:$R$904,17,0),""))</f>
        <v/>
      </c>
      <c r="J264" s="131"/>
    </row>
    <row r="265" customFormat="false" ht="19.5" hidden="false" customHeight="true" outlineLevel="0" collapsed="false">
      <c r="A265" s="22" t="n">
        <v>262</v>
      </c>
      <c r="B265" s="23" t="s">
        <v>594</v>
      </c>
      <c r="C265" s="23" t="s">
        <v>84</v>
      </c>
      <c r="D265" s="22" t="s">
        <v>319</v>
      </c>
      <c r="E265" s="23" t="s">
        <v>320</v>
      </c>
      <c r="F265" s="23"/>
      <c r="G265" s="23"/>
      <c r="H265" s="22" t="str">
        <f aca="false">IF(B265="","",IF(COUNTIF('MiT Strom Pipeline'!$B$6:$B$904,B265)&gt;0,"✓",""))</f>
        <v/>
      </c>
      <c r="I265" s="22" t="str">
        <f aca="false">IF(B265="","",IFERROR(VLOOKUP(B265,'MiT Strom Pipeline'!$B$6:$R$904,17,0),""))</f>
        <v/>
      </c>
      <c r="J265" s="23"/>
    </row>
    <row r="266" customFormat="false" ht="19.5" hidden="false" customHeight="true" outlineLevel="0" collapsed="false">
      <c r="A266" s="130" t="n">
        <v>263</v>
      </c>
      <c r="B266" s="131" t="s">
        <v>595</v>
      </c>
      <c r="C266" s="131" t="s">
        <v>84</v>
      </c>
      <c r="D266" s="130" t="s">
        <v>319</v>
      </c>
      <c r="E266" s="131" t="s">
        <v>320</v>
      </c>
      <c r="F266" s="131"/>
      <c r="G266" s="131"/>
      <c r="H266" s="130" t="str">
        <f aca="false">IF(B266="","",IF(COUNTIF('MiT Strom Pipeline'!$B$6:$B$904,B266)&gt;0,"✓",""))</f>
        <v/>
      </c>
      <c r="I266" s="130" t="str">
        <f aca="false">IF(B266="","",IFERROR(VLOOKUP(B266,'MiT Strom Pipeline'!$B$6:$R$904,17,0),""))</f>
        <v/>
      </c>
      <c r="J266" s="131"/>
    </row>
    <row r="267" customFormat="false" ht="19.5" hidden="false" customHeight="true" outlineLevel="0" collapsed="false">
      <c r="A267" s="22" t="n">
        <v>264</v>
      </c>
      <c r="B267" s="23" t="s">
        <v>596</v>
      </c>
      <c r="C267" s="23" t="s">
        <v>347</v>
      </c>
      <c r="D267" s="22" t="s">
        <v>319</v>
      </c>
      <c r="E267" s="23" t="s">
        <v>320</v>
      </c>
      <c r="F267" s="23"/>
      <c r="G267" s="23"/>
      <c r="H267" s="22" t="str">
        <f aca="false">IF(B267="","",IF(COUNTIF('MiT Strom Pipeline'!$B$6:$B$904,B267)&gt;0,"✓",""))</f>
        <v/>
      </c>
      <c r="I267" s="22" t="str">
        <f aca="false">IF(B267="","",IFERROR(VLOOKUP(B267,'MiT Strom Pipeline'!$B$6:$R$904,17,0),""))</f>
        <v/>
      </c>
      <c r="J267" s="23"/>
    </row>
    <row r="268" customFormat="false" ht="19.5" hidden="false" customHeight="true" outlineLevel="0" collapsed="false">
      <c r="A268" s="130" t="n">
        <v>265</v>
      </c>
      <c r="B268" s="131" t="s">
        <v>597</v>
      </c>
      <c r="C268" s="131" t="s">
        <v>84</v>
      </c>
      <c r="D268" s="130" t="s">
        <v>319</v>
      </c>
      <c r="E268" s="131" t="s">
        <v>320</v>
      </c>
      <c r="F268" s="131"/>
      <c r="G268" s="131"/>
      <c r="H268" s="130" t="str">
        <f aca="false">IF(B268="","",IF(COUNTIF('MiT Strom Pipeline'!$B$6:$B$904,B268)&gt;0,"✓",""))</f>
        <v/>
      </c>
      <c r="I268" s="130" t="str">
        <f aca="false">IF(B268="","",IFERROR(VLOOKUP(B268,'MiT Strom Pipeline'!$B$6:$R$904,17,0),""))</f>
        <v/>
      </c>
      <c r="J268" s="131"/>
    </row>
    <row r="269" customFormat="false" ht="19.5" hidden="false" customHeight="true" outlineLevel="0" collapsed="false">
      <c r="A269" s="22" t="n">
        <v>266</v>
      </c>
      <c r="B269" s="23" t="s">
        <v>598</v>
      </c>
      <c r="C269" s="23" t="s">
        <v>84</v>
      </c>
      <c r="D269" s="22" t="s">
        <v>319</v>
      </c>
      <c r="E269" s="23" t="s">
        <v>320</v>
      </c>
      <c r="F269" s="23"/>
      <c r="G269" s="23"/>
      <c r="H269" s="22" t="str">
        <f aca="false">IF(B269="","",IF(COUNTIF('MiT Strom Pipeline'!$B$6:$B$904,B269)&gt;0,"✓",""))</f>
        <v/>
      </c>
      <c r="I269" s="22" t="str">
        <f aca="false">IF(B269="","",IFERROR(VLOOKUP(B269,'MiT Strom Pipeline'!$B$6:$R$904,17,0),""))</f>
        <v/>
      </c>
      <c r="J269" s="23"/>
    </row>
    <row r="270" customFormat="false" ht="19.5" hidden="false" customHeight="true" outlineLevel="0" collapsed="false">
      <c r="A270" s="130" t="n">
        <v>267</v>
      </c>
      <c r="B270" s="131" t="s">
        <v>599</v>
      </c>
      <c r="C270" s="131" t="s">
        <v>84</v>
      </c>
      <c r="D270" s="130" t="s">
        <v>41</v>
      </c>
      <c r="E270" s="131" t="s">
        <v>320</v>
      </c>
      <c r="F270" s="131"/>
      <c r="G270" s="131"/>
      <c r="H270" s="130" t="str">
        <f aca="false">IF(B270="","",IF(COUNTIF('MiT Strom Pipeline'!$B$6:$B$904,B270)&gt;0,"✓",""))</f>
        <v/>
      </c>
      <c r="I270" s="130" t="str">
        <f aca="false">IF(B270="","",IFERROR(VLOOKUP(B270,'MiT Strom Pipeline'!$B$6:$R$904,17,0),""))</f>
        <v/>
      </c>
      <c r="J270" s="131"/>
    </row>
    <row r="271" customFormat="false" ht="19.5" hidden="false" customHeight="true" outlineLevel="0" collapsed="false">
      <c r="A271" s="22" t="n">
        <v>268</v>
      </c>
      <c r="B271" s="23" t="s">
        <v>600</v>
      </c>
      <c r="C271" s="23" t="s">
        <v>360</v>
      </c>
      <c r="D271" s="22" t="s">
        <v>319</v>
      </c>
      <c r="E271" s="23" t="s">
        <v>328</v>
      </c>
      <c r="F271" s="23"/>
      <c r="G271" s="23"/>
      <c r="H271" s="22" t="str">
        <f aca="false">IF(B271="","",IF(COUNTIF('MiT Strom Pipeline'!$B$6:$B$904,B271)&gt;0,"✓",""))</f>
        <v/>
      </c>
      <c r="I271" s="22" t="str">
        <f aca="false">IF(B271="","",IFERROR(VLOOKUP(B271,'MiT Strom Pipeline'!$B$6:$R$904,17,0),""))</f>
        <v/>
      </c>
      <c r="J271" s="23"/>
    </row>
    <row r="272" customFormat="false" ht="19.5" hidden="false" customHeight="true" outlineLevel="0" collapsed="false">
      <c r="A272" s="130" t="n">
        <v>269</v>
      </c>
      <c r="B272" s="131" t="s">
        <v>601</v>
      </c>
      <c r="C272" s="131" t="s">
        <v>84</v>
      </c>
      <c r="D272" s="130" t="s">
        <v>319</v>
      </c>
      <c r="E272" s="131" t="s">
        <v>320</v>
      </c>
      <c r="F272" s="131"/>
      <c r="G272" s="131"/>
      <c r="H272" s="130" t="str">
        <f aca="false">IF(B272="","",IF(COUNTIF('MiT Strom Pipeline'!$B$6:$B$904,B272)&gt;0,"✓",""))</f>
        <v/>
      </c>
      <c r="I272" s="130" t="str">
        <f aca="false">IF(B272="","",IFERROR(VLOOKUP(B272,'MiT Strom Pipeline'!$B$6:$R$904,17,0),""))</f>
        <v/>
      </c>
      <c r="J272" s="131"/>
    </row>
    <row r="273" customFormat="false" ht="19.5" hidden="false" customHeight="true" outlineLevel="0" collapsed="false">
      <c r="A273" s="22" t="n">
        <v>270</v>
      </c>
      <c r="B273" s="23" t="s">
        <v>602</v>
      </c>
      <c r="C273" s="23" t="s">
        <v>84</v>
      </c>
      <c r="D273" s="22" t="s">
        <v>319</v>
      </c>
      <c r="E273" s="23" t="s">
        <v>320</v>
      </c>
      <c r="F273" s="23"/>
      <c r="G273" s="23"/>
      <c r="H273" s="22" t="str">
        <f aca="false">IF(B273="","",IF(COUNTIF('MiT Strom Pipeline'!$B$6:$B$904,B273)&gt;0,"✓",""))</f>
        <v/>
      </c>
      <c r="I273" s="22" t="str">
        <f aca="false">IF(B273="","",IFERROR(VLOOKUP(B273,'MiT Strom Pipeline'!$B$6:$R$904,17,0),""))</f>
        <v/>
      </c>
      <c r="J273" s="23"/>
    </row>
    <row r="274" customFormat="false" ht="19.5" hidden="false" customHeight="true" outlineLevel="0" collapsed="false">
      <c r="A274" s="130" t="n">
        <v>271</v>
      </c>
      <c r="B274" s="131" t="s">
        <v>603</v>
      </c>
      <c r="C274" s="131" t="s">
        <v>84</v>
      </c>
      <c r="D274" s="130" t="s">
        <v>319</v>
      </c>
      <c r="E274" s="131" t="s">
        <v>320</v>
      </c>
      <c r="F274" s="131"/>
      <c r="G274" s="131"/>
      <c r="H274" s="130" t="str">
        <f aca="false">IF(B274="","",IF(COUNTIF('MiT Strom Pipeline'!$B$6:$B$904,B274)&gt;0,"✓",""))</f>
        <v/>
      </c>
      <c r="I274" s="130" t="str">
        <f aca="false">IF(B274="","",IFERROR(VLOOKUP(B274,'MiT Strom Pipeline'!$B$6:$R$904,17,0),""))</f>
        <v/>
      </c>
      <c r="J274" s="131"/>
    </row>
    <row r="275" customFormat="false" ht="19.5" hidden="false" customHeight="true" outlineLevel="0" collapsed="false">
      <c r="A275" s="22" t="n">
        <v>272</v>
      </c>
      <c r="B275" s="23" t="s">
        <v>604</v>
      </c>
      <c r="C275" s="23" t="s">
        <v>84</v>
      </c>
      <c r="D275" s="22" t="s">
        <v>319</v>
      </c>
      <c r="E275" s="23" t="s">
        <v>320</v>
      </c>
      <c r="F275" s="23"/>
      <c r="G275" s="23"/>
      <c r="H275" s="22" t="str">
        <f aca="false">IF(B275="","",IF(COUNTIF('MiT Strom Pipeline'!$B$6:$B$904,B275)&gt;0,"✓",""))</f>
        <v/>
      </c>
      <c r="I275" s="22" t="str">
        <f aca="false">IF(B275="","",IFERROR(VLOOKUP(B275,'MiT Strom Pipeline'!$B$6:$R$904,17,0),""))</f>
        <v/>
      </c>
      <c r="J275" s="23"/>
    </row>
    <row r="276" customFormat="false" ht="19.5" hidden="false" customHeight="true" outlineLevel="0" collapsed="false">
      <c r="A276" s="130" t="n">
        <v>273</v>
      </c>
      <c r="B276" s="131" t="s">
        <v>605</v>
      </c>
      <c r="C276" s="131" t="s">
        <v>347</v>
      </c>
      <c r="D276" s="130" t="s">
        <v>319</v>
      </c>
      <c r="E276" s="131" t="s">
        <v>320</v>
      </c>
      <c r="F276" s="131"/>
      <c r="G276" s="131"/>
      <c r="H276" s="130" t="str">
        <f aca="false">IF(B276="","",IF(COUNTIF('MiT Strom Pipeline'!$B$6:$B$904,B276)&gt;0,"✓",""))</f>
        <v/>
      </c>
      <c r="I276" s="130" t="str">
        <f aca="false">IF(B276="","",IFERROR(VLOOKUP(B276,'MiT Strom Pipeline'!$B$6:$R$904,17,0),""))</f>
        <v/>
      </c>
      <c r="J276" s="131"/>
    </row>
    <row r="277" customFormat="false" ht="19.5" hidden="false" customHeight="true" outlineLevel="0" collapsed="false">
      <c r="A277" s="22" t="n">
        <v>274</v>
      </c>
      <c r="B277" s="23" t="s">
        <v>606</v>
      </c>
      <c r="C277" s="23" t="s">
        <v>84</v>
      </c>
      <c r="D277" s="22" t="s">
        <v>319</v>
      </c>
      <c r="E277" s="23" t="s">
        <v>320</v>
      </c>
      <c r="F277" s="23"/>
      <c r="G277" s="23"/>
      <c r="H277" s="22" t="str">
        <f aca="false">IF(B277="","",IF(COUNTIF('MiT Strom Pipeline'!$B$6:$B$904,B277)&gt;0,"✓",""))</f>
        <v/>
      </c>
      <c r="I277" s="22" t="str">
        <f aca="false">IF(B277="","",IFERROR(VLOOKUP(B277,'MiT Strom Pipeline'!$B$6:$R$904,17,0),""))</f>
        <v/>
      </c>
      <c r="J277" s="23"/>
    </row>
    <row r="278" customFormat="false" ht="19.5" hidden="false" customHeight="true" outlineLevel="0" collapsed="false">
      <c r="A278" s="130" t="n">
        <v>275</v>
      </c>
      <c r="B278" s="131" t="s">
        <v>607</v>
      </c>
      <c r="C278" s="131" t="s">
        <v>84</v>
      </c>
      <c r="D278" s="130" t="s">
        <v>319</v>
      </c>
      <c r="E278" s="131" t="s">
        <v>320</v>
      </c>
      <c r="F278" s="131"/>
      <c r="G278" s="131"/>
      <c r="H278" s="130" t="str">
        <f aca="false">IF(B278="","",IF(COUNTIF('MiT Strom Pipeline'!$B$6:$B$904,B278)&gt;0,"✓",""))</f>
        <v/>
      </c>
      <c r="I278" s="130" t="str">
        <f aca="false">IF(B278="","",IFERROR(VLOOKUP(B278,'MiT Strom Pipeline'!$B$6:$R$904,17,0),""))</f>
        <v/>
      </c>
      <c r="J278" s="131"/>
    </row>
    <row r="279" customFormat="false" ht="19.5" hidden="false" customHeight="true" outlineLevel="0" collapsed="false">
      <c r="A279" s="22" t="n">
        <v>276</v>
      </c>
      <c r="B279" s="23" t="s">
        <v>608</v>
      </c>
      <c r="C279" s="23" t="s">
        <v>84</v>
      </c>
      <c r="D279" s="22" t="s">
        <v>319</v>
      </c>
      <c r="E279" s="23" t="s">
        <v>320</v>
      </c>
      <c r="F279" s="23"/>
      <c r="G279" s="23"/>
      <c r="H279" s="22" t="str">
        <f aca="false">IF(B279="","",IF(COUNTIF('MiT Strom Pipeline'!$B$6:$B$904,B279)&gt;0,"✓",""))</f>
        <v/>
      </c>
      <c r="I279" s="22" t="str">
        <f aca="false">IF(B279="","",IFERROR(VLOOKUP(B279,'MiT Strom Pipeline'!$B$6:$R$904,17,0),""))</f>
        <v/>
      </c>
      <c r="J279" s="23"/>
    </row>
    <row r="280" customFormat="false" ht="19.5" hidden="false" customHeight="true" outlineLevel="0" collapsed="false">
      <c r="A280" s="130" t="n">
        <v>277</v>
      </c>
      <c r="B280" s="131" t="s">
        <v>609</v>
      </c>
      <c r="C280" s="131" t="s">
        <v>84</v>
      </c>
      <c r="D280" s="130" t="s">
        <v>319</v>
      </c>
      <c r="E280" s="131" t="s">
        <v>320</v>
      </c>
      <c r="F280" s="131"/>
      <c r="G280" s="131"/>
      <c r="H280" s="130" t="str">
        <f aca="false">IF(B280="","",IF(COUNTIF('MiT Strom Pipeline'!$B$6:$B$904,B280)&gt;0,"✓",""))</f>
        <v/>
      </c>
      <c r="I280" s="130" t="str">
        <f aca="false">IF(B280="","",IFERROR(VLOOKUP(B280,'MiT Strom Pipeline'!$B$6:$R$904,17,0),""))</f>
        <v/>
      </c>
      <c r="J280" s="131"/>
    </row>
    <row r="281" customFormat="false" ht="19.5" hidden="false" customHeight="true" outlineLevel="0" collapsed="false">
      <c r="A281" s="22" t="n">
        <v>278</v>
      </c>
      <c r="B281" s="23" t="s">
        <v>610</v>
      </c>
      <c r="C281" s="23" t="s">
        <v>84</v>
      </c>
      <c r="D281" s="22" t="s">
        <v>319</v>
      </c>
      <c r="E281" s="23" t="s">
        <v>320</v>
      </c>
      <c r="F281" s="23"/>
      <c r="G281" s="23"/>
      <c r="H281" s="22" t="str">
        <f aca="false">IF(B281="","",IF(COUNTIF('MiT Strom Pipeline'!$B$6:$B$904,B281)&gt;0,"✓",""))</f>
        <v/>
      </c>
      <c r="I281" s="22" t="str">
        <f aca="false">IF(B281="","",IFERROR(VLOOKUP(B281,'MiT Strom Pipeline'!$B$6:$R$904,17,0),""))</f>
        <v/>
      </c>
      <c r="J281" s="23"/>
    </row>
    <row r="282" customFormat="false" ht="19.5" hidden="false" customHeight="true" outlineLevel="0" collapsed="false">
      <c r="A282" s="130" t="n">
        <v>279</v>
      </c>
      <c r="B282" s="131" t="s">
        <v>611</v>
      </c>
      <c r="C282" s="131" t="s">
        <v>84</v>
      </c>
      <c r="D282" s="130" t="s">
        <v>319</v>
      </c>
      <c r="E282" s="131" t="s">
        <v>320</v>
      </c>
      <c r="F282" s="131"/>
      <c r="G282" s="131"/>
      <c r="H282" s="130" t="str">
        <f aca="false">IF(B282="","",IF(COUNTIF('MiT Strom Pipeline'!$B$6:$B$904,B282)&gt;0,"✓",""))</f>
        <v/>
      </c>
      <c r="I282" s="130" t="str">
        <f aca="false">IF(B282="","",IFERROR(VLOOKUP(B282,'MiT Strom Pipeline'!$B$6:$R$904,17,0),""))</f>
        <v/>
      </c>
      <c r="J282" s="131"/>
    </row>
    <row r="283" customFormat="false" ht="19.5" hidden="false" customHeight="true" outlineLevel="0" collapsed="false">
      <c r="A283" s="22" t="n">
        <v>280</v>
      </c>
      <c r="B283" s="23" t="s">
        <v>612</v>
      </c>
      <c r="C283" s="23" t="s">
        <v>84</v>
      </c>
      <c r="D283" s="22" t="s">
        <v>319</v>
      </c>
      <c r="E283" s="23" t="s">
        <v>320</v>
      </c>
      <c r="F283" s="23"/>
      <c r="G283" s="23"/>
      <c r="H283" s="22" t="str">
        <f aca="false">IF(B283="","",IF(COUNTIF('MiT Strom Pipeline'!$B$6:$B$904,B283)&gt;0,"✓",""))</f>
        <v/>
      </c>
      <c r="I283" s="22" t="str">
        <f aca="false">IF(B283="","",IFERROR(VLOOKUP(B283,'MiT Strom Pipeline'!$B$6:$R$904,17,0),""))</f>
        <v/>
      </c>
      <c r="J283" s="23"/>
    </row>
    <row r="284" customFormat="false" ht="19.5" hidden="false" customHeight="true" outlineLevel="0" collapsed="false">
      <c r="A284" s="130" t="n">
        <v>281</v>
      </c>
      <c r="B284" s="131" t="s">
        <v>613</v>
      </c>
      <c r="C284" s="131" t="s">
        <v>84</v>
      </c>
      <c r="D284" s="130" t="s">
        <v>319</v>
      </c>
      <c r="E284" s="131" t="s">
        <v>320</v>
      </c>
      <c r="F284" s="131"/>
      <c r="G284" s="131"/>
      <c r="H284" s="130" t="str">
        <f aca="false">IF(B284="","",IF(COUNTIF('MiT Strom Pipeline'!$B$6:$B$904,B284)&gt;0,"✓",""))</f>
        <v/>
      </c>
      <c r="I284" s="130" t="str">
        <f aca="false">IF(B284="","",IFERROR(VLOOKUP(B284,'MiT Strom Pipeline'!$B$6:$R$904,17,0),""))</f>
        <v/>
      </c>
      <c r="J284" s="131"/>
    </row>
    <row r="285" customFormat="false" ht="19.5" hidden="false" customHeight="true" outlineLevel="0" collapsed="false">
      <c r="A285" s="22" t="n">
        <v>282</v>
      </c>
      <c r="B285" s="23" t="s">
        <v>614</v>
      </c>
      <c r="C285" s="23" t="s">
        <v>84</v>
      </c>
      <c r="D285" s="22" t="s">
        <v>319</v>
      </c>
      <c r="E285" s="23" t="s">
        <v>320</v>
      </c>
      <c r="F285" s="23"/>
      <c r="G285" s="23"/>
      <c r="H285" s="22" t="str">
        <f aca="false">IF(B285="","",IF(COUNTIF('MiT Strom Pipeline'!$B$6:$B$904,B285)&gt;0,"✓",""))</f>
        <v/>
      </c>
      <c r="I285" s="22" t="str">
        <f aca="false">IF(B285="","",IFERROR(VLOOKUP(B285,'MiT Strom Pipeline'!$B$6:$R$904,17,0),""))</f>
        <v/>
      </c>
      <c r="J285" s="23"/>
    </row>
    <row r="286" customFormat="false" ht="19.5" hidden="false" customHeight="true" outlineLevel="0" collapsed="false">
      <c r="A286" s="130" t="n">
        <v>283</v>
      </c>
      <c r="B286" s="131" t="s">
        <v>615</v>
      </c>
      <c r="C286" s="131" t="s">
        <v>84</v>
      </c>
      <c r="D286" s="130" t="s">
        <v>319</v>
      </c>
      <c r="E286" s="131" t="s">
        <v>320</v>
      </c>
      <c r="F286" s="131"/>
      <c r="G286" s="131"/>
      <c r="H286" s="130" t="str">
        <f aca="false">IF(B286="","",IF(COUNTIF('MiT Strom Pipeline'!$B$6:$B$904,B286)&gt;0,"✓",""))</f>
        <v/>
      </c>
      <c r="I286" s="130" t="str">
        <f aca="false">IF(B286="","",IFERROR(VLOOKUP(B286,'MiT Strom Pipeline'!$B$6:$R$904,17,0),""))</f>
        <v/>
      </c>
      <c r="J286" s="131"/>
    </row>
    <row r="287" customFormat="false" ht="19.5" hidden="false" customHeight="true" outlineLevel="0" collapsed="false">
      <c r="A287" s="22" t="n">
        <v>284</v>
      </c>
      <c r="B287" s="23" t="s">
        <v>615</v>
      </c>
      <c r="C287" s="23" t="s">
        <v>84</v>
      </c>
      <c r="D287" s="22" t="s">
        <v>319</v>
      </c>
      <c r="E287" s="23" t="s">
        <v>320</v>
      </c>
      <c r="F287" s="23"/>
      <c r="G287" s="23"/>
      <c r="H287" s="22" t="str">
        <f aca="false">IF(B287="","",IF(COUNTIF('MiT Strom Pipeline'!$B$6:$B$904,B287)&gt;0,"✓",""))</f>
        <v/>
      </c>
      <c r="I287" s="22" t="str">
        <f aca="false">IF(B287="","",IFERROR(VLOOKUP(B287,'MiT Strom Pipeline'!$B$6:$R$904,17,0),""))</f>
        <v/>
      </c>
      <c r="J287" s="23"/>
    </row>
    <row r="288" customFormat="false" ht="19.5" hidden="false" customHeight="true" outlineLevel="0" collapsed="false">
      <c r="A288" s="130" t="n">
        <v>285</v>
      </c>
      <c r="B288" s="131" t="s">
        <v>616</v>
      </c>
      <c r="C288" s="131" t="s">
        <v>347</v>
      </c>
      <c r="D288" s="130" t="s">
        <v>319</v>
      </c>
      <c r="E288" s="131" t="s">
        <v>320</v>
      </c>
      <c r="F288" s="131"/>
      <c r="G288" s="131"/>
      <c r="H288" s="130" t="str">
        <f aca="false">IF(B288="","",IF(COUNTIF('MiT Strom Pipeline'!$B$6:$B$904,B288)&gt;0,"✓",""))</f>
        <v/>
      </c>
      <c r="I288" s="130" t="str">
        <f aca="false">IF(B288="","",IFERROR(VLOOKUP(B288,'MiT Strom Pipeline'!$B$6:$R$904,17,0),""))</f>
        <v/>
      </c>
      <c r="J288" s="131"/>
    </row>
    <row r="289" customFormat="false" ht="19.5" hidden="false" customHeight="true" outlineLevel="0" collapsed="false">
      <c r="A289" s="22" t="n">
        <v>286</v>
      </c>
      <c r="B289" s="23" t="s">
        <v>617</v>
      </c>
      <c r="C289" s="23" t="s">
        <v>393</v>
      </c>
      <c r="D289" s="22" t="s">
        <v>319</v>
      </c>
      <c r="E289" s="23" t="s">
        <v>320</v>
      </c>
      <c r="F289" s="23"/>
      <c r="G289" s="23"/>
      <c r="H289" s="22" t="str">
        <f aca="false">IF(B289="","",IF(COUNTIF('MiT Strom Pipeline'!$B$6:$B$904,B289)&gt;0,"✓",""))</f>
        <v/>
      </c>
      <c r="I289" s="22" t="str">
        <f aca="false">IF(B289="","",IFERROR(VLOOKUP(B289,'MiT Strom Pipeline'!$B$6:$R$904,17,0),""))</f>
        <v/>
      </c>
      <c r="J289" s="23"/>
    </row>
    <row r="290" customFormat="false" ht="19.5" hidden="false" customHeight="true" outlineLevel="0" collapsed="false">
      <c r="A290" s="130" t="n">
        <v>287</v>
      </c>
      <c r="B290" s="131" t="s">
        <v>618</v>
      </c>
      <c r="C290" s="131" t="s">
        <v>84</v>
      </c>
      <c r="D290" s="130" t="s">
        <v>319</v>
      </c>
      <c r="E290" s="131" t="s">
        <v>320</v>
      </c>
      <c r="F290" s="131"/>
      <c r="G290" s="131"/>
      <c r="H290" s="130" t="str">
        <f aca="false">IF(B290="","",IF(COUNTIF('MiT Strom Pipeline'!$B$6:$B$904,B290)&gt;0,"✓",""))</f>
        <v/>
      </c>
      <c r="I290" s="130" t="str">
        <f aca="false">IF(B290="","",IFERROR(VLOOKUP(B290,'MiT Strom Pipeline'!$B$6:$R$904,17,0),""))</f>
        <v/>
      </c>
      <c r="J290" s="131"/>
    </row>
    <row r="291" customFormat="false" ht="19.5" hidden="false" customHeight="true" outlineLevel="0" collapsed="false">
      <c r="A291" s="22" t="n">
        <v>288</v>
      </c>
      <c r="B291" s="23" t="s">
        <v>619</v>
      </c>
      <c r="C291" s="23" t="s">
        <v>84</v>
      </c>
      <c r="D291" s="22" t="s">
        <v>319</v>
      </c>
      <c r="E291" s="23" t="s">
        <v>320</v>
      </c>
      <c r="F291" s="23"/>
      <c r="G291" s="23"/>
      <c r="H291" s="22" t="str">
        <f aca="false">IF(B291="","",IF(COUNTIF('MiT Strom Pipeline'!$B$6:$B$904,B291)&gt;0,"✓",""))</f>
        <v/>
      </c>
      <c r="I291" s="22" t="str">
        <f aca="false">IF(B291="","",IFERROR(VLOOKUP(B291,'MiT Strom Pipeline'!$B$6:$R$904,17,0),""))</f>
        <v/>
      </c>
      <c r="J291" s="23"/>
    </row>
    <row r="292" customFormat="false" ht="19.5" hidden="false" customHeight="true" outlineLevel="0" collapsed="false">
      <c r="A292" s="130" t="n">
        <v>289</v>
      </c>
      <c r="B292" s="131" t="s">
        <v>620</v>
      </c>
      <c r="C292" s="131" t="s">
        <v>347</v>
      </c>
      <c r="D292" s="130" t="s">
        <v>319</v>
      </c>
      <c r="E292" s="131" t="s">
        <v>320</v>
      </c>
      <c r="F292" s="131"/>
      <c r="G292" s="131"/>
      <c r="H292" s="130" t="str">
        <f aca="false">IF(B292="","",IF(COUNTIF('MiT Strom Pipeline'!$B$6:$B$904,B292)&gt;0,"✓",""))</f>
        <v/>
      </c>
      <c r="I292" s="130" t="str">
        <f aca="false">IF(B292="","",IFERROR(VLOOKUP(B292,'MiT Strom Pipeline'!$B$6:$R$904,17,0),""))</f>
        <v/>
      </c>
      <c r="J292" s="131"/>
    </row>
    <row r="293" customFormat="false" ht="19.5" hidden="false" customHeight="true" outlineLevel="0" collapsed="false">
      <c r="A293" s="22" t="n">
        <v>290</v>
      </c>
      <c r="B293" s="23" t="s">
        <v>621</v>
      </c>
      <c r="C293" s="23" t="s">
        <v>84</v>
      </c>
      <c r="D293" s="22" t="s">
        <v>319</v>
      </c>
      <c r="E293" s="23" t="s">
        <v>320</v>
      </c>
      <c r="F293" s="23"/>
      <c r="G293" s="23"/>
      <c r="H293" s="22" t="str">
        <f aca="false">IF(B293="","",IF(COUNTIF('MiT Strom Pipeline'!$B$6:$B$904,B293)&gt;0,"✓",""))</f>
        <v/>
      </c>
      <c r="I293" s="22" t="str">
        <f aca="false">IF(B293="","",IFERROR(VLOOKUP(B293,'MiT Strom Pipeline'!$B$6:$R$904,17,0),""))</f>
        <v/>
      </c>
      <c r="J293" s="23"/>
    </row>
    <row r="294" customFormat="false" ht="19.5" hidden="false" customHeight="true" outlineLevel="0" collapsed="false">
      <c r="A294" s="130" t="n">
        <v>291</v>
      </c>
      <c r="B294" s="131" t="s">
        <v>622</v>
      </c>
      <c r="C294" s="131" t="s">
        <v>84</v>
      </c>
      <c r="D294" s="130" t="s">
        <v>44</v>
      </c>
      <c r="E294" s="131" t="s">
        <v>320</v>
      </c>
      <c r="F294" s="131"/>
      <c r="G294" s="131"/>
      <c r="H294" s="130" t="str">
        <f aca="false">IF(B294="","",IF(COUNTIF('MiT Strom Pipeline'!$B$6:$B$904,B294)&gt;0,"✓",""))</f>
        <v/>
      </c>
      <c r="I294" s="130" t="str">
        <f aca="false">IF(B294="","",IFERROR(VLOOKUP(B294,'MiT Strom Pipeline'!$B$6:$R$904,17,0),""))</f>
        <v/>
      </c>
      <c r="J294" s="131"/>
    </row>
    <row r="295" customFormat="false" ht="19.5" hidden="false" customHeight="true" outlineLevel="0" collapsed="false">
      <c r="A295" s="22" t="n">
        <v>292</v>
      </c>
      <c r="B295" s="23" t="s">
        <v>623</v>
      </c>
      <c r="C295" s="23" t="s">
        <v>347</v>
      </c>
      <c r="D295" s="22" t="s">
        <v>319</v>
      </c>
      <c r="E295" s="23" t="s">
        <v>320</v>
      </c>
      <c r="F295" s="23"/>
      <c r="G295" s="23"/>
      <c r="H295" s="22" t="str">
        <f aca="false">IF(B295="","",IF(COUNTIF('MiT Strom Pipeline'!$B$6:$B$904,B295)&gt;0,"✓",""))</f>
        <v/>
      </c>
      <c r="I295" s="22" t="str">
        <f aca="false">IF(B295="","",IFERROR(VLOOKUP(B295,'MiT Strom Pipeline'!$B$6:$R$904,17,0),""))</f>
        <v/>
      </c>
      <c r="J295" s="23"/>
    </row>
    <row r="296" customFormat="false" ht="19.5" hidden="false" customHeight="true" outlineLevel="0" collapsed="false">
      <c r="A296" s="130" t="n">
        <v>293</v>
      </c>
      <c r="B296" s="131" t="s">
        <v>624</v>
      </c>
      <c r="C296" s="131" t="s">
        <v>84</v>
      </c>
      <c r="D296" s="130" t="s">
        <v>319</v>
      </c>
      <c r="E296" s="131" t="s">
        <v>320</v>
      </c>
      <c r="F296" s="131"/>
      <c r="G296" s="131"/>
      <c r="H296" s="130" t="str">
        <f aca="false">IF(B296="","",IF(COUNTIF('MiT Strom Pipeline'!$B$6:$B$904,B296)&gt;0,"✓",""))</f>
        <v/>
      </c>
      <c r="I296" s="130" t="str">
        <f aca="false">IF(B296="","",IFERROR(VLOOKUP(B296,'MiT Strom Pipeline'!$B$6:$R$904,17,0),""))</f>
        <v/>
      </c>
      <c r="J296" s="131"/>
    </row>
    <row r="297" customFormat="false" ht="19.5" hidden="false" customHeight="true" outlineLevel="0" collapsed="false">
      <c r="A297" s="22" t="n">
        <v>294</v>
      </c>
      <c r="B297" s="23" t="s">
        <v>625</v>
      </c>
      <c r="C297" s="23" t="s">
        <v>84</v>
      </c>
      <c r="D297" s="22" t="s">
        <v>319</v>
      </c>
      <c r="E297" s="23" t="s">
        <v>320</v>
      </c>
      <c r="F297" s="23"/>
      <c r="G297" s="23"/>
      <c r="H297" s="22" t="str">
        <f aca="false">IF(B297="","",IF(COUNTIF('MiT Strom Pipeline'!$B$6:$B$904,B297)&gt;0,"✓",""))</f>
        <v/>
      </c>
      <c r="I297" s="22" t="str">
        <f aca="false">IF(B297="","",IFERROR(VLOOKUP(B297,'MiT Strom Pipeline'!$B$6:$R$904,17,0),""))</f>
        <v/>
      </c>
      <c r="J297" s="23"/>
    </row>
    <row r="298" customFormat="false" ht="19.5" hidden="false" customHeight="true" outlineLevel="0" collapsed="false">
      <c r="A298" s="130" t="n">
        <v>295</v>
      </c>
      <c r="B298" s="131" t="s">
        <v>492</v>
      </c>
      <c r="C298" s="131" t="s">
        <v>84</v>
      </c>
      <c r="D298" s="130" t="s">
        <v>319</v>
      </c>
      <c r="E298" s="131" t="s">
        <v>320</v>
      </c>
      <c r="F298" s="131"/>
      <c r="G298" s="131"/>
      <c r="H298" s="130" t="str">
        <f aca="false">IF(B298="","",IF(COUNTIF('MiT Strom Pipeline'!$B$6:$B$904,B298)&gt;0,"✓",""))</f>
        <v/>
      </c>
      <c r="I298" s="130" t="str">
        <f aca="false">IF(B298="","",IFERROR(VLOOKUP(B298,'MiT Strom Pipeline'!$B$6:$R$904,17,0),""))</f>
        <v/>
      </c>
      <c r="J298" s="131"/>
    </row>
    <row r="299" customFormat="false" ht="19.5" hidden="false" customHeight="true" outlineLevel="0" collapsed="false">
      <c r="A299" s="22" t="n">
        <v>296</v>
      </c>
      <c r="B299" s="23" t="s">
        <v>626</v>
      </c>
      <c r="C299" s="23" t="s">
        <v>347</v>
      </c>
      <c r="D299" s="22" t="s">
        <v>319</v>
      </c>
      <c r="E299" s="23" t="s">
        <v>320</v>
      </c>
      <c r="F299" s="23"/>
      <c r="G299" s="23"/>
      <c r="H299" s="22" t="str">
        <f aca="false">IF(B299="","",IF(COUNTIF('MiT Strom Pipeline'!$B$6:$B$904,B299)&gt;0,"✓",""))</f>
        <v/>
      </c>
      <c r="I299" s="22" t="str">
        <f aca="false">IF(B299="","",IFERROR(VLOOKUP(B299,'MiT Strom Pipeline'!$B$6:$R$904,17,0),""))</f>
        <v/>
      </c>
      <c r="J299" s="23"/>
    </row>
    <row r="300" customFormat="false" ht="19.5" hidden="false" customHeight="true" outlineLevel="0" collapsed="false">
      <c r="A300" s="130" t="n">
        <v>297</v>
      </c>
      <c r="B300" s="131" t="s">
        <v>627</v>
      </c>
      <c r="C300" s="131" t="s">
        <v>84</v>
      </c>
      <c r="D300" s="130" t="s">
        <v>319</v>
      </c>
      <c r="E300" s="131" t="s">
        <v>320</v>
      </c>
      <c r="F300" s="131"/>
      <c r="G300" s="131"/>
      <c r="H300" s="130" t="str">
        <f aca="false">IF(B300="","",IF(COUNTIF('MiT Strom Pipeline'!$B$6:$B$904,B300)&gt;0,"✓",""))</f>
        <v/>
      </c>
      <c r="I300" s="130" t="str">
        <f aca="false">IF(B300="","",IFERROR(VLOOKUP(B300,'MiT Strom Pipeline'!$B$6:$R$904,17,0),""))</f>
        <v/>
      </c>
      <c r="J300" s="131"/>
    </row>
    <row r="301" customFormat="false" ht="19.5" hidden="false" customHeight="true" outlineLevel="0" collapsed="false">
      <c r="A301" s="22" t="n">
        <v>298</v>
      </c>
      <c r="B301" s="23" t="s">
        <v>628</v>
      </c>
      <c r="C301" s="23" t="s">
        <v>84</v>
      </c>
      <c r="D301" s="22" t="s">
        <v>319</v>
      </c>
      <c r="E301" s="23" t="s">
        <v>320</v>
      </c>
      <c r="F301" s="23"/>
      <c r="G301" s="23"/>
      <c r="H301" s="22" t="str">
        <f aca="false">IF(B301="","",IF(COUNTIF('MiT Strom Pipeline'!$B$6:$B$904,B301)&gt;0,"✓",""))</f>
        <v/>
      </c>
      <c r="I301" s="22" t="str">
        <f aca="false">IF(B301="","",IFERROR(VLOOKUP(B301,'MiT Strom Pipeline'!$B$6:$R$904,17,0),""))</f>
        <v/>
      </c>
      <c r="J301" s="23"/>
    </row>
    <row r="302" customFormat="false" ht="19.5" hidden="false" customHeight="true" outlineLevel="0" collapsed="false">
      <c r="A302" s="130" t="n">
        <v>299</v>
      </c>
      <c r="B302" s="131" t="s">
        <v>629</v>
      </c>
      <c r="C302" s="131" t="s">
        <v>84</v>
      </c>
      <c r="D302" s="130" t="s">
        <v>319</v>
      </c>
      <c r="E302" s="131" t="s">
        <v>328</v>
      </c>
      <c r="F302" s="131"/>
      <c r="G302" s="131"/>
      <c r="H302" s="130" t="str">
        <f aca="false">IF(B302="","",IF(COUNTIF('MiT Strom Pipeline'!$B$6:$B$904,B302)&gt;0,"✓",""))</f>
        <v/>
      </c>
      <c r="I302" s="130" t="str">
        <f aca="false">IF(B302="","",IFERROR(VLOOKUP(B302,'MiT Strom Pipeline'!$B$6:$R$904,17,0),""))</f>
        <v/>
      </c>
      <c r="J302" s="131"/>
    </row>
    <row r="303" customFormat="false" ht="19.5" hidden="false" customHeight="true" outlineLevel="0" collapsed="false">
      <c r="A303" s="22" t="n">
        <v>300</v>
      </c>
      <c r="B303" s="23" t="s">
        <v>630</v>
      </c>
      <c r="C303" s="23" t="s">
        <v>84</v>
      </c>
      <c r="D303" s="22" t="s">
        <v>319</v>
      </c>
      <c r="E303" s="23" t="s">
        <v>320</v>
      </c>
      <c r="F303" s="23"/>
      <c r="G303" s="23"/>
      <c r="H303" s="22" t="str">
        <f aca="false">IF(B303="","",IF(COUNTIF('MiT Strom Pipeline'!$B$6:$B$904,B303)&gt;0,"✓",""))</f>
        <v/>
      </c>
      <c r="I303" s="22" t="str">
        <f aca="false">IF(B303="","",IFERROR(VLOOKUP(B303,'MiT Strom Pipeline'!$B$6:$R$904,17,0),""))</f>
        <v/>
      </c>
      <c r="J303" s="23"/>
    </row>
    <row r="304" customFormat="false" ht="19.5" hidden="false" customHeight="true" outlineLevel="0" collapsed="false">
      <c r="A304" s="130" t="n">
        <v>301</v>
      </c>
      <c r="B304" s="131" t="s">
        <v>631</v>
      </c>
      <c r="C304" s="131" t="s">
        <v>84</v>
      </c>
      <c r="D304" s="130" t="s">
        <v>319</v>
      </c>
      <c r="E304" s="131" t="s">
        <v>320</v>
      </c>
      <c r="F304" s="131"/>
      <c r="G304" s="131"/>
      <c r="H304" s="130" t="str">
        <f aca="false">IF(B304="","",IF(COUNTIF('MiT Strom Pipeline'!$B$6:$B$904,B304)&gt;0,"✓",""))</f>
        <v/>
      </c>
      <c r="I304" s="130" t="str">
        <f aca="false">IF(B304="","",IFERROR(VLOOKUP(B304,'MiT Strom Pipeline'!$B$6:$R$904,17,0),""))</f>
        <v/>
      </c>
      <c r="J304" s="131"/>
    </row>
    <row r="305" customFormat="false" ht="19.5" hidden="false" customHeight="true" outlineLevel="0" collapsed="false">
      <c r="A305" s="22" t="n">
        <v>302</v>
      </c>
      <c r="B305" s="23" t="s">
        <v>632</v>
      </c>
      <c r="C305" s="23" t="s">
        <v>82</v>
      </c>
      <c r="D305" s="22" t="s">
        <v>319</v>
      </c>
      <c r="E305" s="23" t="s">
        <v>320</v>
      </c>
      <c r="F305" s="23"/>
      <c r="G305" s="23"/>
      <c r="H305" s="22" t="str">
        <f aca="false">IF(B305="","",IF(COUNTIF('MiT Strom Pipeline'!$B$6:$B$904,B305)&gt;0,"✓",""))</f>
        <v/>
      </c>
      <c r="I305" s="22" t="str">
        <f aca="false">IF(B305="","",IFERROR(VLOOKUP(B305,'MiT Strom Pipeline'!$B$6:$R$904,17,0),""))</f>
        <v/>
      </c>
      <c r="J305" s="23"/>
    </row>
    <row r="306" customFormat="false" ht="19.5" hidden="false" customHeight="true" outlineLevel="0" collapsed="false">
      <c r="A306" s="130" t="n">
        <v>303</v>
      </c>
      <c r="B306" s="131" t="s">
        <v>633</v>
      </c>
      <c r="C306" s="131" t="s">
        <v>84</v>
      </c>
      <c r="D306" s="130" t="s">
        <v>319</v>
      </c>
      <c r="E306" s="131" t="s">
        <v>320</v>
      </c>
      <c r="F306" s="131"/>
      <c r="G306" s="131"/>
      <c r="H306" s="130" t="str">
        <f aca="false">IF(B306="","",IF(COUNTIF('MiT Strom Pipeline'!$B$6:$B$904,B306)&gt;0,"✓",""))</f>
        <v/>
      </c>
      <c r="I306" s="130" t="str">
        <f aca="false">IF(B306="","",IFERROR(VLOOKUP(B306,'MiT Strom Pipeline'!$B$6:$R$904,17,0),""))</f>
        <v/>
      </c>
      <c r="J306" s="131"/>
    </row>
    <row r="307" customFormat="false" ht="19.5" hidden="false" customHeight="true" outlineLevel="0" collapsed="false">
      <c r="A307" s="22" t="n">
        <v>304</v>
      </c>
      <c r="B307" s="23" t="s">
        <v>634</v>
      </c>
      <c r="C307" s="23" t="s">
        <v>84</v>
      </c>
      <c r="D307" s="22" t="s">
        <v>50</v>
      </c>
      <c r="E307" s="23" t="s">
        <v>328</v>
      </c>
      <c r="F307" s="23"/>
      <c r="G307" s="23"/>
      <c r="H307" s="22" t="str">
        <f aca="false">IF(B307="","",IF(COUNTIF('MiT Strom Pipeline'!$B$6:$B$904,B307)&gt;0,"✓",""))</f>
        <v/>
      </c>
      <c r="I307" s="22" t="str">
        <f aca="false">IF(B307="","",IFERROR(VLOOKUP(B307,'MiT Strom Pipeline'!$B$6:$R$904,17,0),""))</f>
        <v/>
      </c>
      <c r="J307" s="23"/>
    </row>
    <row r="308" customFormat="false" ht="19.5" hidden="false" customHeight="true" outlineLevel="0" collapsed="false">
      <c r="A308" s="130" t="n">
        <v>305</v>
      </c>
      <c r="B308" s="131" t="s">
        <v>635</v>
      </c>
      <c r="C308" s="131" t="s">
        <v>51</v>
      </c>
      <c r="D308" s="130" t="s">
        <v>319</v>
      </c>
      <c r="E308" s="131" t="s">
        <v>320</v>
      </c>
      <c r="F308" s="131"/>
      <c r="G308" s="131"/>
      <c r="H308" s="130" t="str">
        <f aca="false">IF(B308="","",IF(COUNTIF('MiT Strom Pipeline'!$B$6:$B$904,B308)&gt;0,"✓",""))</f>
        <v/>
      </c>
      <c r="I308" s="130" t="str">
        <f aca="false">IF(B308="","",IFERROR(VLOOKUP(B308,'MiT Strom Pipeline'!$B$6:$R$904,17,0),""))</f>
        <v/>
      </c>
      <c r="J308" s="131"/>
    </row>
    <row r="309" customFormat="false" ht="19.5" hidden="false" customHeight="true" outlineLevel="0" collapsed="false">
      <c r="A309" s="22" t="n">
        <v>306</v>
      </c>
      <c r="B309" s="23" t="s">
        <v>636</v>
      </c>
      <c r="C309" s="23" t="s">
        <v>84</v>
      </c>
      <c r="D309" s="22" t="s">
        <v>319</v>
      </c>
      <c r="E309" s="23" t="s">
        <v>320</v>
      </c>
      <c r="F309" s="23"/>
      <c r="G309" s="23"/>
      <c r="H309" s="22" t="str">
        <f aca="false">IF(B309="","",IF(COUNTIF('MiT Strom Pipeline'!$B$6:$B$904,B309)&gt;0,"✓",""))</f>
        <v/>
      </c>
      <c r="I309" s="22" t="str">
        <f aca="false">IF(B309="","",IFERROR(VLOOKUP(B309,'MiT Strom Pipeline'!$B$6:$R$904,17,0),""))</f>
        <v/>
      </c>
      <c r="J309" s="23"/>
    </row>
    <row r="310" customFormat="false" ht="19.5" hidden="false" customHeight="true" outlineLevel="0" collapsed="false">
      <c r="A310" s="130" t="n">
        <v>307</v>
      </c>
      <c r="B310" s="131" t="s">
        <v>637</v>
      </c>
      <c r="C310" s="131" t="s">
        <v>75</v>
      </c>
      <c r="D310" s="130" t="s">
        <v>319</v>
      </c>
      <c r="E310" s="131" t="s">
        <v>320</v>
      </c>
      <c r="F310" s="131"/>
      <c r="G310" s="131"/>
      <c r="H310" s="130" t="str">
        <f aca="false">IF(B310="","",IF(COUNTIF('MiT Strom Pipeline'!$B$6:$B$904,B310)&gt;0,"✓",""))</f>
        <v/>
      </c>
      <c r="I310" s="130" t="str">
        <f aca="false">IF(B310="","",IFERROR(VLOOKUP(B310,'MiT Strom Pipeline'!$B$6:$R$904,17,0),""))</f>
        <v/>
      </c>
      <c r="J310" s="131"/>
    </row>
    <row r="311" customFormat="false" ht="19.5" hidden="false" customHeight="true" outlineLevel="0" collapsed="false">
      <c r="A311" s="22" t="n">
        <v>308</v>
      </c>
      <c r="B311" s="23" t="s">
        <v>638</v>
      </c>
      <c r="C311" s="23" t="s">
        <v>75</v>
      </c>
      <c r="D311" s="22" t="s">
        <v>319</v>
      </c>
      <c r="E311" s="23" t="s">
        <v>320</v>
      </c>
      <c r="F311" s="23"/>
      <c r="G311" s="23"/>
      <c r="H311" s="22" t="str">
        <f aca="false">IF(B311="","",IF(COUNTIF('MiT Strom Pipeline'!$B$6:$B$904,B311)&gt;0,"✓",""))</f>
        <v/>
      </c>
      <c r="I311" s="22" t="str">
        <f aca="false">IF(B311="","",IFERROR(VLOOKUP(B311,'MiT Strom Pipeline'!$B$6:$R$904,17,0),""))</f>
        <v/>
      </c>
      <c r="J311" s="23"/>
    </row>
    <row r="312" customFormat="false" ht="19.5" hidden="false" customHeight="true" outlineLevel="0" collapsed="false">
      <c r="A312" s="130" t="n">
        <v>309</v>
      </c>
      <c r="B312" s="131" t="s">
        <v>639</v>
      </c>
      <c r="C312" s="131" t="s">
        <v>347</v>
      </c>
      <c r="D312" s="130" t="s">
        <v>319</v>
      </c>
      <c r="E312" s="131" t="s">
        <v>328</v>
      </c>
      <c r="F312" s="131"/>
      <c r="G312" s="131"/>
      <c r="H312" s="130" t="str">
        <f aca="false">IF(B312="","",IF(COUNTIF('MiT Strom Pipeline'!$B$6:$B$904,B312)&gt;0,"✓",""))</f>
        <v/>
      </c>
      <c r="I312" s="130" t="str">
        <f aca="false">IF(B312="","",IFERROR(VLOOKUP(B312,'MiT Strom Pipeline'!$B$6:$R$904,17,0),""))</f>
        <v/>
      </c>
      <c r="J312" s="131"/>
    </row>
    <row r="313" customFormat="false" ht="19.5" hidden="false" customHeight="true" outlineLevel="0" collapsed="false">
      <c r="A313" s="22" t="n">
        <v>310</v>
      </c>
      <c r="B313" s="23" t="s">
        <v>640</v>
      </c>
      <c r="C313" s="23" t="s">
        <v>84</v>
      </c>
      <c r="D313" s="22" t="s">
        <v>319</v>
      </c>
      <c r="E313" s="23" t="s">
        <v>328</v>
      </c>
      <c r="F313" s="23"/>
      <c r="G313" s="23"/>
      <c r="H313" s="22" t="str">
        <f aca="false">IF(B313="","",IF(COUNTIF('MiT Strom Pipeline'!$B$6:$B$904,B313)&gt;0,"✓",""))</f>
        <v/>
      </c>
      <c r="I313" s="22" t="str">
        <f aca="false">IF(B313="","",IFERROR(VLOOKUP(B313,'MiT Strom Pipeline'!$B$6:$R$904,17,0),""))</f>
        <v/>
      </c>
      <c r="J313" s="23"/>
    </row>
    <row r="314" customFormat="false" ht="19.5" hidden="false" customHeight="true" outlineLevel="0" collapsed="false">
      <c r="A314" s="130" t="n">
        <v>311</v>
      </c>
      <c r="B314" s="131" t="s">
        <v>433</v>
      </c>
      <c r="C314" s="131" t="s">
        <v>84</v>
      </c>
      <c r="D314" s="130" t="s">
        <v>319</v>
      </c>
      <c r="E314" s="131" t="s">
        <v>320</v>
      </c>
      <c r="F314" s="131"/>
      <c r="G314" s="131"/>
      <c r="H314" s="130" t="str">
        <f aca="false">IF(B314="","",IF(COUNTIF('MiT Strom Pipeline'!$B$6:$B$904,B314)&gt;0,"✓",""))</f>
        <v/>
      </c>
      <c r="I314" s="130" t="str">
        <f aca="false">IF(B314="","",IFERROR(VLOOKUP(B314,'MiT Strom Pipeline'!$B$6:$R$904,17,0),""))</f>
        <v/>
      </c>
      <c r="J314" s="131"/>
    </row>
    <row r="315" customFormat="false" ht="19.5" hidden="false" customHeight="true" outlineLevel="0" collapsed="false">
      <c r="A315" s="22" t="n">
        <v>312</v>
      </c>
      <c r="B315" s="23" t="s">
        <v>641</v>
      </c>
      <c r="C315" s="23" t="s">
        <v>84</v>
      </c>
      <c r="D315" s="22" t="s">
        <v>319</v>
      </c>
      <c r="E315" s="23" t="s">
        <v>328</v>
      </c>
      <c r="F315" s="23"/>
      <c r="G315" s="23"/>
      <c r="H315" s="22" t="str">
        <f aca="false">IF(B315="","",IF(COUNTIF('MiT Strom Pipeline'!$B$6:$B$904,B315)&gt;0,"✓",""))</f>
        <v/>
      </c>
      <c r="I315" s="22" t="str">
        <f aca="false">IF(B315="","",IFERROR(VLOOKUP(B315,'MiT Strom Pipeline'!$B$6:$R$904,17,0),""))</f>
        <v/>
      </c>
      <c r="J315" s="23"/>
    </row>
    <row r="316" customFormat="false" ht="19.5" hidden="false" customHeight="true" outlineLevel="0" collapsed="false">
      <c r="A316" s="130" t="n">
        <v>313</v>
      </c>
      <c r="B316" s="131" t="s">
        <v>642</v>
      </c>
      <c r="C316" s="131" t="s">
        <v>84</v>
      </c>
      <c r="D316" s="130" t="s">
        <v>319</v>
      </c>
      <c r="E316" s="131" t="s">
        <v>320</v>
      </c>
      <c r="F316" s="131"/>
      <c r="G316" s="131"/>
      <c r="H316" s="130" t="str">
        <f aca="false">IF(B316="","",IF(COUNTIF('MiT Strom Pipeline'!$B$6:$B$904,B316)&gt;0,"✓",""))</f>
        <v/>
      </c>
      <c r="I316" s="130" t="str">
        <f aca="false">IF(B316="","",IFERROR(VLOOKUP(B316,'MiT Strom Pipeline'!$B$6:$R$904,17,0),""))</f>
        <v/>
      </c>
      <c r="J316" s="131"/>
    </row>
    <row r="317" customFormat="false" ht="19.5" hidden="false" customHeight="true" outlineLevel="0" collapsed="false">
      <c r="A317" s="22" t="n">
        <v>314</v>
      </c>
      <c r="B317" s="23" t="s">
        <v>643</v>
      </c>
      <c r="C317" s="23" t="s">
        <v>347</v>
      </c>
      <c r="D317" s="22" t="s">
        <v>319</v>
      </c>
      <c r="E317" s="23" t="s">
        <v>320</v>
      </c>
      <c r="F317" s="23"/>
      <c r="G317" s="23"/>
      <c r="H317" s="22" t="str">
        <f aca="false">IF(B317="","",IF(COUNTIF('MiT Strom Pipeline'!$B$6:$B$904,B317)&gt;0,"✓",""))</f>
        <v/>
      </c>
      <c r="I317" s="22" t="str">
        <f aca="false">IF(B317="","",IFERROR(VLOOKUP(B317,'MiT Strom Pipeline'!$B$6:$R$904,17,0),""))</f>
        <v/>
      </c>
      <c r="J317" s="23"/>
    </row>
    <row r="318" customFormat="false" ht="19.5" hidden="false" customHeight="true" outlineLevel="0" collapsed="false">
      <c r="A318" s="130" t="n">
        <v>315</v>
      </c>
      <c r="B318" s="131" t="s">
        <v>644</v>
      </c>
      <c r="C318" s="131" t="s">
        <v>84</v>
      </c>
      <c r="D318" s="130" t="s">
        <v>319</v>
      </c>
      <c r="E318" s="131" t="s">
        <v>320</v>
      </c>
      <c r="F318" s="131"/>
      <c r="G318" s="131"/>
      <c r="H318" s="130" t="str">
        <f aca="false">IF(B318="","",IF(COUNTIF('MiT Strom Pipeline'!$B$6:$B$904,B318)&gt;0,"✓",""))</f>
        <v/>
      </c>
      <c r="I318" s="130" t="str">
        <f aca="false">IF(B318="","",IFERROR(VLOOKUP(B318,'MiT Strom Pipeline'!$B$6:$R$904,17,0),""))</f>
        <v/>
      </c>
      <c r="J318" s="131"/>
    </row>
    <row r="319" customFormat="false" ht="19.5" hidden="false" customHeight="true" outlineLevel="0" collapsed="false">
      <c r="A319" s="22" t="n">
        <v>316</v>
      </c>
      <c r="B319" s="23" t="s">
        <v>645</v>
      </c>
      <c r="C319" s="23" t="s">
        <v>84</v>
      </c>
      <c r="D319" s="22" t="s">
        <v>319</v>
      </c>
      <c r="E319" s="23" t="s">
        <v>320</v>
      </c>
      <c r="F319" s="23"/>
      <c r="G319" s="23"/>
      <c r="H319" s="22" t="str">
        <f aca="false">IF(B319="","",IF(COUNTIF('MiT Strom Pipeline'!$B$6:$B$904,B319)&gt;0,"✓",""))</f>
        <v/>
      </c>
      <c r="I319" s="22" t="str">
        <f aca="false">IF(B319="","",IFERROR(VLOOKUP(B319,'MiT Strom Pipeline'!$B$6:$R$904,17,0),""))</f>
        <v/>
      </c>
      <c r="J319" s="23"/>
    </row>
    <row r="320" customFormat="false" ht="19.5" hidden="false" customHeight="true" outlineLevel="0" collapsed="false">
      <c r="A320" s="130" t="n">
        <v>317</v>
      </c>
      <c r="B320" s="131" t="s">
        <v>646</v>
      </c>
      <c r="C320" s="131" t="s">
        <v>84</v>
      </c>
      <c r="D320" s="130" t="s">
        <v>319</v>
      </c>
      <c r="E320" s="131" t="s">
        <v>320</v>
      </c>
      <c r="F320" s="131"/>
      <c r="G320" s="131"/>
      <c r="H320" s="130" t="str">
        <f aca="false">IF(B320="","",IF(COUNTIF('MiT Strom Pipeline'!$B$6:$B$904,B320)&gt;0,"✓",""))</f>
        <v/>
      </c>
      <c r="I320" s="130" t="str">
        <f aca="false">IF(B320="","",IFERROR(VLOOKUP(B320,'MiT Strom Pipeline'!$B$6:$R$904,17,0),""))</f>
        <v/>
      </c>
      <c r="J320" s="131"/>
    </row>
    <row r="321" customFormat="false" ht="19.5" hidden="false" customHeight="true" outlineLevel="0" collapsed="false">
      <c r="A321" s="22" t="n">
        <v>318</v>
      </c>
      <c r="B321" s="23" t="s">
        <v>647</v>
      </c>
      <c r="C321" s="23" t="s">
        <v>84</v>
      </c>
      <c r="D321" s="22" t="s">
        <v>319</v>
      </c>
      <c r="E321" s="23" t="s">
        <v>320</v>
      </c>
      <c r="F321" s="23"/>
      <c r="G321" s="23"/>
      <c r="H321" s="22" t="str">
        <f aca="false">IF(B321="","",IF(COUNTIF('MiT Strom Pipeline'!$B$6:$B$904,B321)&gt;0,"✓",""))</f>
        <v/>
      </c>
      <c r="I321" s="22" t="str">
        <f aca="false">IF(B321="","",IFERROR(VLOOKUP(B321,'MiT Strom Pipeline'!$B$6:$R$904,17,0),""))</f>
        <v/>
      </c>
      <c r="J321" s="23"/>
    </row>
    <row r="322" customFormat="false" ht="19.5" hidden="false" customHeight="true" outlineLevel="0" collapsed="false">
      <c r="A322" s="130" t="n">
        <v>319</v>
      </c>
      <c r="B322" s="131" t="s">
        <v>648</v>
      </c>
      <c r="C322" s="131" t="s">
        <v>84</v>
      </c>
      <c r="D322" s="130" t="s">
        <v>319</v>
      </c>
      <c r="E322" s="131" t="s">
        <v>328</v>
      </c>
      <c r="F322" s="131"/>
      <c r="G322" s="131"/>
      <c r="H322" s="130" t="str">
        <f aca="false">IF(B322="","",IF(COUNTIF('MiT Strom Pipeline'!$B$6:$B$904,B322)&gt;0,"✓",""))</f>
        <v/>
      </c>
      <c r="I322" s="130" t="str">
        <f aca="false">IF(B322="","",IFERROR(VLOOKUP(B322,'MiT Strom Pipeline'!$B$6:$R$904,17,0),""))</f>
        <v/>
      </c>
      <c r="J322" s="131"/>
    </row>
    <row r="323" customFormat="false" ht="19.5" hidden="false" customHeight="true" outlineLevel="0" collapsed="false">
      <c r="A323" s="22" t="n">
        <v>320</v>
      </c>
      <c r="B323" s="23" t="s">
        <v>649</v>
      </c>
      <c r="C323" s="23" t="s">
        <v>84</v>
      </c>
      <c r="D323" s="22" t="s">
        <v>319</v>
      </c>
      <c r="E323" s="23" t="s">
        <v>320</v>
      </c>
      <c r="F323" s="23"/>
      <c r="G323" s="23"/>
      <c r="H323" s="22" t="str">
        <f aca="false">IF(B323="","",IF(COUNTIF('MiT Strom Pipeline'!$B$6:$B$904,B323)&gt;0,"✓",""))</f>
        <v/>
      </c>
      <c r="I323" s="22" t="str">
        <f aca="false">IF(B323="","",IFERROR(VLOOKUP(B323,'MiT Strom Pipeline'!$B$6:$R$904,17,0),""))</f>
        <v/>
      </c>
      <c r="J323" s="23"/>
    </row>
    <row r="324" customFormat="false" ht="19.5" hidden="false" customHeight="true" outlineLevel="0" collapsed="false">
      <c r="A324" s="130" t="n">
        <v>321</v>
      </c>
      <c r="B324" s="131" t="s">
        <v>650</v>
      </c>
      <c r="C324" s="131" t="s">
        <v>84</v>
      </c>
      <c r="D324" s="130" t="s">
        <v>319</v>
      </c>
      <c r="E324" s="131" t="s">
        <v>320</v>
      </c>
      <c r="F324" s="131"/>
      <c r="G324" s="131"/>
      <c r="H324" s="130" t="str">
        <f aca="false">IF(B324="","",IF(COUNTIF('MiT Strom Pipeline'!$B$6:$B$904,B324)&gt;0,"✓",""))</f>
        <v/>
      </c>
      <c r="I324" s="130" t="str">
        <f aca="false">IF(B324="","",IFERROR(VLOOKUP(B324,'MiT Strom Pipeline'!$B$6:$R$904,17,0),""))</f>
        <v/>
      </c>
      <c r="J324" s="131"/>
    </row>
    <row r="325" customFormat="false" ht="19.5" hidden="false" customHeight="true" outlineLevel="0" collapsed="false">
      <c r="A325" s="22" t="n">
        <v>322</v>
      </c>
      <c r="B325" s="23" t="s">
        <v>651</v>
      </c>
      <c r="C325" s="23" t="s">
        <v>84</v>
      </c>
      <c r="D325" s="22" t="s">
        <v>319</v>
      </c>
      <c r="E325" s="23" t="s">
        <v>320</v>
      </c>
      <c r="F325" s="23"/>
      <c r="G325" s="23"/>
      <c r="H325" s="22" t="str">
        <f aca="false">IF(B325="","",IF(COUNTIF('MiT Strom Pipeline'!$B$6:$B$904,B325)&gt;0,"✓",""))</f>
        <v/>
      </c>
      <c r="I325" s="22" t="str">
        <f aca="false">IF(B325="","",IFERROR(VLOOKUP(B325,'MiT Strom Pipeline'!$B$6:$R$904,17,0),""))</f>
        <v/>
      </c>
      <c r="J325" s="23"/>
    </row>
    <row r="326" customFormat="false" ht="19.5" hidden="false" customHeight="true" outlineLevel="0" collapsed="false">
      <c r="A326" s="130" t="n">
        <v>323</v>
      </c>
      <c r="B326" s="131" t="s">
        <v>652</v>
      </c>
      <c r="C326" s="131" t="s">
        <v>84</v>
      </c>
      <c r="D326" s="130" t="s">
        <v>319</v>
      </c>
      <c r="E326" s="131" t="s">
        <v>328</v>
      </c>
      <c r="F326" s="131"/>
      <c r="G326" s="131"/>
      <c r="H326" s="130" t="str">
        <f aca="false">IF(B326="","",IF(COUNTIF('MiT Strom Pipeline'!$B$6:$B$904,B326)&gt;0,"✓",""))</f>
        <v/>
      </c>
      <c r="I326" s="130" t="str">
        <f aca="false">IF(B326="","",IFERROR(VLOOKUP(B326,'MiT Strom Pipeline'!$B$6:$R$904,17,0),""))</f>
        <v/>
      </c>
      <c r="J326" s="131"/>
    </row>
    <row r="327" customFormat="false" ht="19.5" hidden="false" customHeight="true" outlineLevel="0" collapsed="false">
      <c r="A327" s="22" t="n">
        <v>324</v>
      </c>
      <c r="B327" s="23" t="s">
        <v>653</v>
      </c>
      <c r="C327" s="23" t="s">
        <v>84</v>
      </c>
      <c r="D327" s="22" t="s">
        <v>319</v>
      </c>
      <c r="E327" s="23" t="s">
        <v>320</v>
      </c>
      <c r="F327" s="23"/>
      <c r="G327" s="23"/>
      <c r="H327" s="22" t="str">
        <f aca="false">IF(B327="","",IF(COUNTIF('MiT Strom Pipeline'!$B$6:$B$904,B327)&gt;0,"✓",""))</f>
        <v/>
      </c>
      <c r="I327" s="22" t="str">
        <f aca="false">IF(B327="","",IFERROR(VLOOKUP(B327,'MiT Strom Pipeline'!$B$6:$R$904,17,0),""))</f>
        <v/>
      </c>
      <c r="J327" s="23"/>
    </row>
    <row r="328" customFormat="false" ht="19.5" hidden="false" customHeight="true" outlineLevel="0" collapsed="false">
      <c r="A328" s="130" t="n">
        <v>325</v>
      </c>
      <c r="B328" s="131" t="s">
        <v>654</v>
      </c>
      <c r="C328" s="131" t="s">
        <v>347</v>
      </c>
      <c r="D328" s="130" t="s">
        <v>70</v>
      </c>
      <c r="E328" s="131" t="s">
        <v>320</v>
      </c>
      <c r="F328" s="131"/>
      <c r="G328" s="131"/>
      <c r="H328" s="130" t="str">
        <f aca="false">IF(B328="","",IF(COUNTIF('MiT Strom Pipeline'!$B$6:$B$904,B328)&gt;0,"✓",""))</f>
        <v/>
      </c>
      <c r="I328" s="130" t="str">
        <f aca="false">IF(B328="","",IFERROR(VLOOKUP(B328,'MiT Strom Pipeline'!$B$6:$R$904,17,0),""))</f>
        <v/>
      </c>
      <c r="J328" s="131"/>
    </row>
    <row r="329" customFormat="false" ht="19.5" hidden="false" customHeight="true" outlineLevel="0" collapsed="false">
      <c r="A329" s="22" t="n">
        <v>326</v>
      </c>
      <c r="B329" s="23" t="s">
        <v>655</v>
      </c>
      <c r="C329" s="23" t="s">
        <v>84</v>
      </c>
      <c r="D329" s="22" t="s">
        <v>319</v>
      </c>
      <c r="E329" s="23" t="s">
        <v>320</v>
      </c>
      <c r="F329" s="23"/>
      <c r="G329" s="23"/>
      <c r="H329" s="22" t="str">
        <f aca="false">IF(B329="","",IF(COUNTIF('MiT Strom Pipeline'!$B$6:$B$904,B329)&gt;0,"✓",""))</f>
        <v/>
      </c>
      <c r="I329" s="22" t="str">
        <f aca="false">IF(B329="","",IFERROR(VLOOKUP(B329,'MiT Strom Pipeline'!$B$6:$R$904,17,0),""))</f>
        <v/>
      </c>
      <c r="J329" s="23"/>
    </row>
    <row r="330" customFormat="false" ht="19.5" hidden="false" customHeight="true" outlineLevel="0" collapsed="false">
      <c r="A330" s="130" t="n">
        <v>327</v>
      </c>
      <c r="B330" s="131" t="s">
        <v>656</v>
      </c>
      <c r="C330" s="131" t="s">
        <v>84</v>
      </c>
      <c r="D330" s="130" t="s">
        <v>319</v>
      </c>
      <c r="E330" s="131" t="s">
        <v>328</v>
      </c>
      <c r="F330" s="131"/>
      <c r="G330" s="131"/>
      <c r="H330" s="130" t="str">
        <f aca="false">IF(B330="","",IF(COUNTIF('MiT Strom Pipeline'!$B$6:$B$904,B330)&gt;0,"✓",""))</f>
        <v/>
      </c>
      <c r="I330" s="130" t="str">
        <f aca="false">IF(B330="","",IFERROR(VLOOKUP(B330,'MiT Strom Pipeline'!$B$6:$R$904,17,0),""))</f>
        <v/>
      </c>
      <c r="J330" s="131"/>
    </row>
    <row r="331" customFormat="false" ht="19.5" hidden="false" customHeight="true" outlineLevel="0" collapsed="false">
      <c r="A331" s="22" t="n">
        <v>328</v>
      </c>
      <c r="B331" s="23" t="s">
        <v>657</v>
      </c>
      <c r="C331" s="23" t="s">
        <v>84</v>
      </c>
      <c r="D331" s="22" t="s">
        <v>319</v>
      </c>
      <c r="E331" s="23" t="s">
        <v>320</v>
      </c>
      <c r="F331" s="23"/>
      <c r="G331" s="23"/>
      <c r="H331" s="22" t="str">
        <f aca="false">IF(B331="","",IF(COUNTIF('MiT Strom Pipeline'!$B$6:$B$904,B331)&gt;0,"✓",""))</f>
        <v/>
      </c>
      <c r="I331" s="22" t="str">
        <f aca="false">IF(B331="","",IFERROR(VLOOKUP(B331,'MiT Strom Pipeline'!$B$6:$R$904,17,0),""))</f>
        <v/>
      </c>
      <c r="J331" s="23"/>
    </row>
    <row r="332" customFormat="false" ht="19.5" hidden="false" customHeight="true" outlineLevel="0" collapsed="false">
      <c r="A332" s="130" t="n">
        <v>329</v>
      </c>
      <c r="B332" s="131" t="s">
        <v>658</v>
      </c>
      <c r="C332" s="131" t="s">
        <v>84</v>
      </c>
      <c r="D332" s="130" t="s">
        <v>319</v>
      </c>
      <c r="E332" s="131" t="s">
        <v>320</v>
      </c>
      <c r="F332" s="131"/>
      <c r="G332" s="131"/>
      <c r="H332" s="130" t="str">
        <f aca="false">IF(B332="","",IF(COUNTIF('MiT Strom Pipeline'!$B$6:$B$904,B332)&gt;0,"✓",""))</f>
        <v/>
      </c>
      <c r="I332" s="130" t="str">
        <f aca="false">IF(B332="","",IFERROR(VLOOKUP(B332,'MiT Strom Pipeline'!$B$6:$R$904,17,0),""))</f>
        <v/>
      </c>
      <c r="J332" s="131"/>
    </row>
    <row r="333" customFormat="false" ht="19.5" hidden="false" customHeight="true" outlineLevel="0" collapsed="false">
      <c r="A333" s="22" t="n">
        <v>330</v>
      </c>
      <c r="B333" s="23" t="s">
        <v>659</v>
      </c>
      <c r="C333" s="23" t="s">
        <v>84</v>
      </c>
      <c r="D333" s="22" t="s">
        <v>319</v>
      </c>
      <c r="E333" s="23" t="s">
        <v>320</v>
      </c>
      <c r="F333" s="23"/>
      <c r="G333" s="23"/>
      <c r="H333" s="22" t="str">
        <f aca="false">IF(B333="","",IF(COUNTIF('MiT Strom Pipeline'!$B$6:$B$904,B333)&gt;0,"✓",""))</f>
        <v/>
      </c>
      <c r="I333" s="22" t="str">
        <f aca="false">IF(B333="","",IFERROR(VLOOKUP(B333,'MiT Strom Pipeline'!$B$6:$R$904,17,0),""))</f>
        <v/>
      </c>
      <c r="J333" s="23"/>
    </row>
    <row r="334" customFormat="false" ht="19.5" hidden="false" customHeight="true" outlineLevel="0" collapsed="false">
      <c r="A334" s="130" t="n">
        <v>331</v>
      </c>
      <c r="B334" s="131" t="s">
        <v>660</v>
      </c>
      <c r="C334" s="131" t="s">
        <v>84</v>
      </c>
      <c r="D334" s="130" t="s">
        <v>319</v>
      </c>
      <c r="E334" s="131" t="s">
        <v>320</v>
      </c>
      <c r="F334" s="131"/>
      <c r="G334" s="131"/>
      <c r="H334" s="130" t="str">
        <f aca="false">IF(B334="","",IF(COUNTIF('MiT Strom Pipeline'!$B$6:$B$904,B334)&gt;0,"✓",""))</f>
        <v/>
      </c>
      <c r="I334" s="130" t="str">
        <f aca="false">IF(B334="","",IFERROR(VLOOKUP(B334,'MiT Strom Pipeline'!$B$6:$R$904,17,0),""))</f>
        <v/>
      </c>
      <c r="J334" s="131"/>
    </row>
    <row r="335" customFormat="false" ht="19.5" hidden="false" customHeight="true" outlineLevel="0" collapsed="false">
      <c r="A335" s="22" t="n">
        <v>332</v>
      </c>
      <c r="B335" s="23" t="s">
        <v>661</v>
      </c>
      <c r="C335" s="23" t="s">
        <v>84</v>
      </c>
      <c r="D335" s="22" t="s">
        <v>319</v>
      </c>
      <c r="E335" s="23" t="s">
        <v>320</v>
      </c>
      <c r="F335" s="23"/>
      <c r="G335" s="23"/>
      <c r="H335" s="22" t="str">
        <f aca="false">IF(B335="","",IF(COUNTIF('MiT Strom Pipeline'!$B$6:$B$904,B335)&gt;0,"✓",""))</f>
        <v/>
      </c>
      <c r="I335" s="22" t="str">
        <f aca="false">IF(B335="","",IFERROR(VLOOKUP(B335,'MiT Strom Pipeline'!$B$6:$R$904,17,0),""))</f>
        <v/>
      </c>
      <c r="J335" s="23"/>
    </row>
    <row r="336" customFormat="false" ht="19.5" hidden="false" customHeight="true" outlineLevel="0" collapsed="false">
      <c r="A336" s="130" t="n">
        <v>333</v>
      </c>
      <c r="B336" s="131" t="s">
        <v>616</v>
      </c>
      <c r="C336" s="131" t="s">
        <v>347</v>
      </c>
      <c r="D336" s="130" t="s">
        <v>319</v>
      </c>
      <c r="E336" s="131" t="s">
        <v>320</v>
      </c>
      <c r="F336" s="131"/>
      <c r="G336" s="131"/>
      <c r="H336" s="130" t="str">
        <f aca="false">IF(B336="","",IF(COUNTIF('MiT Strom Pipeline'!$B$6:$B$904,B336)&gt;0,"✓",""))</f>
        <v/>
      </c>
      <c r="I336" s="130" t="str">
        <f aca="false">IF(B336="","",IFERROR(VLOOKUP(B336,'MiT Strom Pipeline'!$B$6:$R$904,17,0),""))</f>
        <v/>
      </c>
      <c r="J336" s="131"/>
    </row>
    <row r="337" customFormat="false" ht="19.5" hidden="false" customHeight="true" outlineLevel="0" collapsed="false">
      <c r="A337" s="22" t="n">
        <v>334</v>
      </c>
      <c r="B337" s="23" t="s">
        <v>662</v>
      </c>
      <c r="C337" s="23" t="s">
        <v>84</v>
      </c>
      <c r="D337" s="22" t="s">
        <v>319</v>
      </c>
      <c r="E337" s="23" t="s">
        <v>320</v>
      </c>
      <c r="F337" s="23"/>
      <c r="G337" s="23"/>
      <c r="H337" s="22" t="str">
        <f aca="false">IF(B337="","",IF(COUNTIF('MiT Strom Pipeline'!$B$6:$B$904,B337)&gt;0,"✓",""))</f>
        <v/>
      </c>
      <c r="I337" s="22" t="str">
        <f aca="false">IF(B337="","",IFERROR(VLOOKUP(B337,'MiT Strom Pipeline'!$B$6:$R$904,17,0),""))</f>
        <v/>
      </c>
      <c r="J337" s="23"/>
    </row>
    <row r="338" customFormat="false" ht="19.5" hidden="false" customHeight="true" outlineLevel="0" collapsed="false">
      <c r="A338" s="130" t="n">
        <v>335</v>
      </c>
      <c r="B338" s="131" t="s">
        <v>356</v>
      </c>
      <c r="C338" s="131" t="s">
        <v>84</v>
      </c>
      <c r="D338" s="130" t="s">
        <v>319</v>
      </c>
      <c r="E338" s="131" t="s">
        <v>320</v>
      </c>
      <c r="F338" s="131"/>
      <c r="G338" s="131"/>
      <c r="H338" s="130" t="str">
        <f aca="false">IF(B338="","",IF(COUNTIF('MiT Strom Pipeline'!$B$6:$B$904,B338)&gt;0,"✓",""))</f>
        <v/>
      </c>
      <c r="I338" s="130" t="str">
        <f aca="false">IF(B338="","",IFERROR(VLOOKUP(B338,'MiT Strom Pipeline'!$B$6:$R$904,17,0),""))</f>
        <v/>
      </c>
      <c r="J338" s="131"/>
    </row>
    <row r="339" customFormat="false" ht="19.5" hidden="false" customHeight="true" outlineLevel="0" collapsed="false">
      <c r="A339" s="22" t="n">
        <v>336</v>
      </c>
      <c r="B339" s="23" t="s">
        <v>392</v>
      </c>
      <c r="C339" s="23" t="s">
        <v>393</v>
      </c>
      <c r="D339" s="22" t="s">
        <v>319</v>
      </c>
      <c r="E339" s="23" t="s">
        <v>320</v>
      </c>
      <c r="F339" s="23"/>
      <c r="G339" s="23"/>
      <c r="H339" s="22" t="str">
        <f aca="false">IF(B339="","",IF(COUNTIF('MiT Strom Pipeline'!$B$6:$B$904,B339)&gt;0,"✓",""))</f>
        <v/>
      </c>
      <c r="I339" s="22" t="str">
        <f aca="false">IF(B339="","",IFERROR(VLOOKUP(B339,'MiT Strom Pipeline'!$B$6:$R$904,17,0),""))</f>
        <v/>
      </c>
      <c r="J339" s="23"/>
    </row>
    <row r="340" customFormat="false" ht="19.5" hidden="false" customHeight="true" outlineLevel="0" collapsed="false">
      <c r="A340" s="130" t="n">
        <v>337</v>
      </c>
      <c r="B340" s="131" t="s">
        <v>663</v>
      </c>
      <c r="C340" s="131" t="s">
        <v>84</v>
      </c>
      <c r="D340" s="130" t="s">
        <v>319</v>
      </c>
      <c r="E340" s="131" t="s">
        <v>328</v>
      </c>
      <c r="F340" s="131"/>
      <c r="G340" s="131"/>
      <c r="H340" s="130" t="str">
        <f aca="false">IF(B340="","",IF(COUNTIF('MiT Strom Pipeline'!$B$6:$B$904,B340)&gt;0,"✓",""))</f>
        <v/>
      </c>
      <c r="I340" s="130" t="str">
        <f aca="false">IF(B340="","",IFERROR(VLOOKUP(B340,'MiT Strom Pipeline'!$B$6:$R$904,17,0),""))</f>
        <v/>
      </c>
      <c r="J340" s="131"/>
    </row>
    <row r="341" customFormat="false" ht="19.5" hidden="false" customHeight="true" outlineLevel="0" collapsed="false">
      <c r="A341" s="22" t="n">
        <v>338</v>
      </c>
      <c r="B341" s="23" t="s">
        <v>664</v>
      </c>
      <c r="C341" s="23" t="s">
        <v>84</v>
      </c>
      <c r="D341" s="22" t="s">
        <v>319</v>
      </c>
      <c r="E341" s="23" t="s">
        <v>320</v>
      </c>
      <c r="F341" s="23"/>
      <c r="G341" s="23"/>
      <c r="H341" s="22" t="str">
        <f aca="false">IF(B341="","",IF(COUNTIF('MiT Strom Pipeline'!$B$6:$B$904,B341)&gt;0,"✓",""))</f>
        <v/>
      </c>
      <c r="I341" s="22" t="str">
        <f aca="false">IF(B341="","",IFERROR(VLOOKUP(B341,'MiT Strom Pipeline'!$B$6:$R$904,17,0),""))</f>
        <v/>
      </c>
      <c r="J341" s="23"/>
    </row>
    <row r="342" customFormat="false" ht="19.5" hidden="false" customHeight="true" outlineLevel="0" collapsed="false">
      <c r="A342" s="130" t="n">
        <v>339</v>
      </c>
      <c r="B342" s="131" t="s">
        <v>665</v>
      </c>
      <c r="C342" s="131" t="s">
        <v>84</v>
      </c>
      <c r="D342" s="130" t="s">
        <v>319</v>
      </c>
      <c r="E342" s="131" t="s">
        <v>320</v>
      </c>
      <c r="F342" s="131"/>
      <c r="G342" s="131"/>
      <c r="H342" s="130" t="str">
        <f aca="false">IF(B342="","",IF(COUNTIF('MiT Strom Pipeline'!$B$6:$B$904,B342)&gt;0,"✓",""))</f>
        <v/>
      </c>
      <c r="I342" s="130" t="str">
        <f aca="false">IF(B342="","",IFERROR(VLOOKUP(B342,'MiT Strom Pipeline'!$B$6:$R$904,17,0),""))</f>
        <v/>
      </c>
      <c r="J342" s="131"/>
    </row>
    <row r="343" customFormat="false" ht="19.5" hidden="false" customHeight="true" outlineLevel="0" collapsed="false">
      <c r="A343" s="22" t="n">
        <v>340</v>
      </c>
      <c r="B343" s="23" t="s">
        <v>666</v>
      </c>
      <c r="C343" s="23" t="s">
        <v>84</v>
      </c>
      <c r="D343" s="22" t="s">
        <v>319</v>
      </c>
      <c r="E343" s="23" t="s">
        <v>320</v>
      </c>
      <c r="F343" s="23"/>
      <c r="G343" s="23"/>
      <c r="H343" s="22" t="str">
        <f aca="false">IF(B343="","",IF(COUNTIF('MiT Strom Pipeline'!$B$6:$B$904,B343)&gt;0,"✓",""))</f>
        <v/>
      </c>
      <c r="I343" s="22" t="str">
        <f aca="false">IF(B343="","",IFERROR(VLOOKUP(B343,'MiT Strom Pipeline'!$B$6:$R$904,17,0),""))</f>
        <v/>
      </c>
      <c r="J343" s="23"/>
    </row>
    <row r="344" customFormat="false" ht="19.5" hidden="false" customHeight="true" outlineLevel="0" collapsed="false">
      <c r="A344" s="130" t="n">
        <v>341</v>
      </c>
      <c r="B344" s="131" t="s">
        <v>370</v>
      </c>
      <c r="C344" s="131" t="s">
        <v>360</v>
      </c>
      <c r="D344" s="130" t="s">
        <v>53</v>
      </c>
      <c r="E344" s="131" t="s">
        <v>320</v>
      </c>
      <c r="F344" s="131"/>
      <c r="G344" s="131"/>
      <c r="H344" s="130" t="str">
        <f aca="false">IF(B344="","",IF(COUNTIF('MiT Strom Pipeline'!$B$6:$B$904,B344)&gt;0,"✓",""))</f>
        <v/>
      </c>
      <c r="I344" s="130" t="str">
        <f aca="false">IF(B344="","",IFERROR(VLOOKUP(B344,'MiT Strom Pipeline'!$B$6:$R$904,17,0),""))</f>
        <v/>
      </c>
      <c r="J344" s="131"/>
    </row>
    <row r="345" customFormat="false" ht="19.5" hidden="false" customHeight="true" outlineLevel="0" collapsed="false">
      <c r="A345" s="22" t="n">
        <v>342</v>
      </c>
      <c r="B345" s="23" t="s">
        <v>667</v>
      </c>
      <c r="C345" s="23" t="s">
        <v>84</v>
      </c>
      <c r="D345" s="22" t="s">
        <v>319</v>
      </c>
      <c r="E345" s="23" t="s">
        <v>320</v>
      </c>
      <c r="F345" s="23"/>
      <c r="G345" s="23"/>
      <c r="H345" s="22" t="str">
        <f aca="false">IF(B345="","",IF(COUNTIF('MiT Strom Pipeline'!$B$6:$B$904,B345)&gt;0,"✓",""))</f>
        <v/>
      </c>
      <c r="I345" s="22" t="str">
        <f aca="false">IF(B345="","",IFERROR(VLOOKUP(B345,'MiT Strom Pipeline'!$B$6:$R$904,17,0),""))</f>
        <v/>
      </c>
      <c r="J345" s="23"/>
    </row>
    <row r="346" customFormat="false" ht="19.5" hidden="false" customHeight="true" outlineLevel="0" collapsed="false">
      <c r="A346" s="130" t="n">
        <v>343</v>
      </c>
      <c r="B346" s="131" t="s">
        <v>668</v>
      </c>
      <c r="C346" s="131" t="s">
        <v>347</v>
      </c>
      <c r="D346" s="130" t="s">
        <v>319</v>
      </c>
      <c r="E346" s="131" t="s">
        <v>320</v>
      </c>
      <c r="F346" s="131"/>
      <c r="G346" s="131"/>
      <c r="H346" s="130" t="str">
        <f aca="false">IF(B346="","",IF(COUNTIF('MiT Strom Pipeline'!$B$6:$B$904,B346)&gt;0,"✓",""))</f>
        <v/>
      </c>
      <c r="I346" s="130" t="str">
        <f aca="false">IF(B346="","",IFERROR(VLOOKUP(B346,'MiT Strom Pipeline'!$B$6:$R$904,17,0),""))</f>
        <v/>
      </c>
      <c r="J346" s="131"/>
    </row>
    <row r="347" customFormat="false" ht="19.5" hidden="false" customHeight="true" outlineLevel="0" collapsed="false">
      <c r="A347" s="22" t="n">
        <v>344</v>
      </c>
      <c r="B347" s="23" t="s">
        <v>669</v>
      </c>
      <c r="C347" s="23" t="s">
        <v>84</v>
      </c>
      <c r="D347" s="22" t="s">
        <v>319</v>
      </c>
      <c r="E347" s="23" t="s">
        <v>320</v>
      </c>
      <c r="F347" s="23"/>
      <c r="G347" s="23"/>
      <c r="H347" s="22" t="str">
        <f aca="false">IF(B347="","",IF(COUNTIF('MiT Strom Pipeline'!$B$6:$B$904,B347)&gt;0,"✓",""))</f>
        <v/>
      </c>
      <c r="I347" s="22" t="str">
        <f aca="false">IF(B347="","",IFERROR(VLOOKUP(B347,'MiT Strom Pipeline'!$B$6:$R$904,17,0),""))</f>
        <v/>
      </c>
      <c r="J347" s="23"/>
    </row>
    <row r="348" customFormat="false" ht="19.5" hidden="false" customHeight="true" outlineLevel="0" collapsed="false">
      <c r="A348" s="130" t="n">
        <v>345</v>
      </c>
      <c r="B348" s="131" t="s">
        <v>670</v>
      </c>
      <c r="C348" s="131" t="s">
        <v>84</v>
      </c>
      <c r="D348" s="130" t="s">
        <v>319</v>
      </c>
      <c r="E348" s="131" t="s">
        <v>320</v>
      </c>
      <c r="F348" s="131"/>
      <c r="G348" s="131"/>
      <c r="H348" s="130" t="str">
        <f aca="false">IF(B348="","",IF(COUNTIF('MiT Strom Pipeline'!$B$6:$B$904,B348)&gt;0,"✓",""))</f>
        <v/>
      </c>
      <c r="I348" s="130" t="str">
        <f aca="false">IF(B348="","",IFERROR(VLOOKUP(B348,'MiT Strom Pipeline'!$B$6:$R$904,17,0),""))</f>
        <v/>
      </c>
      <c r="J348" s="131"/>
    </row>
    <row r="349" customFormat="false" ht="19.5" hidden="false" customHeight="true" outlineLevel="0" collapsed="false">
      <c r="A349" s="22" t="n">
        <v>346</v>
      </c>
      <c r="B349" s="23" t="s">
        <v>671</v>
      </c>
      <c r="C349" s="23" t="s">
        <v>84</v>
      </c>
      <c r="D349" s="22" t="s">
        <v>319</v>
      </c>
      <c r="E349" s="23" t="s">
        <v>320</v>
      </c>
      <c r="F349" s="23"/>
      <c r="G349" s="23"/>
      <c r="H349" s="22" t="str">
        <f aca="false">IF(B349="","",IF(COUNTIF('MiT Strom Pipeline'!$B$6:$B$904,B349)&gt;0,"✓",""))</f>
        <v/>
      </c>
      <c r="I349" s="22" t="str">
        <f aca="false">IF(B349="","",IFERROR(VLOOKUP(B349,'MiT Strom Pipeline'!$B$6:$R$904,17,0),""))</f>
        <v/>
      </c>
      <c r="J349" s="23"/>
    </row>
    <row r="350" customFormat="false" ht="19.5" hidden="false" customHeight="true" outlineLevel="0" collapsed="false">
      <c r="A350" s="130" t="n">
        <v>347</v>
      </c>
      <c r="B350" s="131" t="s">
        <v>672</v>
      </c>
      <c r="C350" s="131" t="s">
        <v>84</v>
      </c>
      <c r="D350" s="130" t="s">
        <v>319</v>
      </c>
      <c r="E350" s="131" t="s">
        <v>320</v>
      </c>
      <c r="F350" s="131"/>
      <c r="G350" s="131"/>
      <c r="H350" s="130" t="str">
        <f aca="false">IF(B350="","",IF(COUNTIF('MiT Strom Pipeline'!$B$6:$B$904,B350)&gt;0,"✓",""))</f>
        <v/>
      </c>
      <c r="I350" s="130" t="str">
        <f aca="false">IF(B350="","",IFERROR(VLOOKUP(B350,'MiT Strom Pipeline'!$B$6:$R$904,17,0),""))</f>
        <v/>
      </c>
      <c r="J350" s="131"/>
    </row>
    <row r="351" customFormat="false" ht="19.5" hidden="false" customHeight="true" outlineLevel="0" collapsed="false">
      <c r="A351" s="22" t="n">
        <v>348</v>
      </c>
      <c r="B351" s="23" t="s">
        <v>673</v>
      </c>
      <c r="C351" s="23" t="s">
        <v>84</v>
      </c>
      <c r="D351" s="22" t="s">
        <v>319</v>
      </c>
      <c r="E351" s="23" t="s">
        <v>320</v>
      </c>
      <c r="F351" s="23"/>
      <c r="G351" s="23"/>
      <c r="H351" s="22" t="str">
        <f aca="false">IF(B351="","",IF(COUNTIF('MiT Strom Pipeline'!$B$6:$B$904,B351)&gt;0,"✓",""))</f>
        <v/>
      </c>
      <c r="I351" s="22" t="str">
        <f aca="false">IF(B351="","",IFERROR(VLOOKUP(B351,'MiT Strom Pipeline'!$B$6:$R$904,17,0),""))</f>
        <v/>
      </c>
      <c r="J351" s="23"/>
    </row>
    <row r="352" customFormat="false" ht="19.5" hidden="false" customHeight="true" outlineLevel="0" collapsed="false">
      <c r="A352" s="130" t="n">
        <v>349</v>
      </c>
      <c r="B352" s="131" t="s">
        <v>674</v>
      </c>
      <c r="C352" s="131" t="s">
        <v>84</v>
      </c>
      <c r="D352" s="130" t="s">
        <v>319</v>
      </c>
      <c r="E352" s="131" t="s">
        <v>328</v>
      </c>
      <c r="F352" s="131"/>
      <c r="G352" s="131"/>
      <c r="H352" s="130" t="str">
        <f aca="false">IF(B352="","",IF(COUNTIF('MiT Strom Pipeline'!$B$6:$B$904,B352)&gt;0,"✓",""))</f>
        <v/>
      </c>
      <c r="I352" s="130" t="str">
        <f aca="false">IF(B352="","",IFERROR(VLOOKUP(B352,'MiT Strom Pipeline'!$B$6:$R$904,17,0),""))</f>
        <v/>
      </c>
      <c r="J352" s="131"/>
    </row>
    <row r="353" customFormat="false" ht="19.5" hidden="false" customHeight="true" outlineLevel="0" collapsed="false">
      <c r="A353" s="22" t="n">
        <v>350</v>
      </c>
      <c r="B353" s="23" t="s">
        <v>675</v>
      </c>
      <c r="C353" s="23" t="s">
        <v>84</v>
      </c>
      <c r="D353" s="22" t="s">
        <v>44</v>
      </c>
      <c r="E353" s="23" t="s">
        <v>320</v>
      </c>
      <c r="F353" s="23"/>
      <c r="G353" s="23"/>
      <c r="H353" s="22" t="str">
        <f aca="false">IF(B353="","",IF(COUNTIF('MiT Strom Pipeline'!$B$6:$B$904,B353)&gt;0,"✓",""))</f>
        <v/>
      </c>
      <c r="I353" s="22" t="str">
        <f aca="false">IF(B353="","",IFERROR(VLOOKUP(B353,'MiT Strom Pipeline'!$B$6:$R$904,17,0),""))</f>
        <v/>
      </c>
      <c r="J353" s="23"/>
    </row>
    <row r="354" customFormat="false" ht="19.5" hidden="false" customHeight="true" outlineLevel="0" collapsed="false">
      <c r="A354" s="130" t="n">
        <v>351</v>
      </c>
      <c r="B354" s="131" t="s">
        <v>676</v>
      </c>
      <c r="C354" s="131" t="s">
        <v>84</v>
      </c>
      <c r="D354" s="130" t="s">
        <v>319</v>
      </c>
      <c r="E354" s="131" t="s">
        <v>320</v>
      </c>
      <c r="F354" s="131"/>
      <c r="G354" s="131"/>
      <c r="H354" s="130" t="str">
        <f aca="false">IF(B354="","",IF(COUNTIF('MiT Strom Pipeline'!$B$6:$B$904,B354)&gt;0,"✓",""))</f>
        <v/>
      </c>
      <c r="I354" s="130" t="str">
        <f aca="false">IF(B354="","",IFERROR(VLOOKUP(B354,'MiT Strom Pipeline'!$B$6:$R$904,17,0),""))</f>
        <v/>
      </c>
      <c r="J354" s="131"/>
    </row>
    <row r="355" customFormat="false" ht="19.5" hidden="false" customHeight="true" outlineLevel="0" collapsed="false">
      <c r="A355" s="22" t="n">
        <v>352</v>
      </c>
      <c r="B355" s="23" t="s">
        <v>677</v>
      </c>
      <c r="C355" s="23" t="s">
        <v>347</v>
      </c>
      <c r="D355" s="22" t="s">
        <v>319</v>
      </c>
      <c r="E355" s="23" t="s">
        <v>320</v>
      </c>
      <c r="F355" s="23"/>
      <c r="G355" s="23"/>
      <c r="H355" s="22" t="str">
        <f aca="false">IF(B355="","",IF(COUNTIF('MiT Strom Pipeline'!$B$6:$B$904,B355)&gt;0,"✓",""))</f>
        <v/>
      </c>
      <c r="I355" s="22" t="str">
        <f aca="false">IF(B355="","",IFERROR(VLOOKUP(B355,'MiT Strom Pipeline'!$B$6:$R$904,17,0),""))</f>
        <v/>
      </c>
      <c r="J355" s="23"/>
    </row>
    <row r="356" customFormat="false" ht="19.5" hidden="false" customHeight="true" outlineLevel="0" collapsed="false">
      <c r="A356" s="130" t="n">
        <v>353</v>
      </c>
      <c r="B356" s="131" t="s">
        <v>678</v>
      </c>
      <c r="C356" s="131" t="s">
        <v>347</v>
      </c>
      <c r="D356" s="130" t="s">
        <v>319</v>
      </c>
      <c r="E356" s="131" t="s">
        <v>320</v>
      </c>
      <c r="F356" s="131"/>
      <c r="G356" s="131"/>
      <c r="H356" s="130" t="str">
        <f aca="false">IF(B356="","",IF(COUNTIF('MiT Strom Pipeline'!$B$6:$B$904,B356)&gt;0,"✓",""))</f>
        <v/>
      </c>
      <c r="I356" s="130" t="str">
        <f aca="false">IF(B356="","",IFERROR(VLOOKUP(B356,'MiT Strom Pipeline'!$B$6:$R$904,17,0),""))</f>
        <v/>
      </c>
      <c r="J356" s="131"/>
    </row>
    <row r="357" customFormat="false" ht="19.5" hidden="false" customHeight="true" outlineLevel="0" collapsed="false">
      <c r="A357" s="22" t="n">
        <v>354</v>
      </c>
      <c r="B357" s="23" t="s">
        <v>679</v>
      </c>
      <c r="C357" s="23" t="s">
        <v>82</v>
      </c>
      <c r="D357" s="22" t="s">
        <v>319</v>
      </c>
      <c r="E357" s="23" t="s">
        <v>328</v>
      </c>
      <c r="F357" s="23"/>
      <c r="G357" s="23"/>
      <c r="H357" s="22" t="str">
        <f aca="false">IF(B357="","",IF(COUNTIF('MiT Strom Pipeline'!$B$6:$B$904,B357)&gt;0,"✓",""))</f>
        <v/>
      </c>
      <c r="I357" s="22" t="str">
        <f aca="false">IF(B357="","",IFERROR(VLOOKUP(B357,'MiT Strom Pipeline'!$B$6:$R$904,17,0),""))</f>
        <v/>
      </c>
      <c r="J357" s="23"/>
    </row>
    <row r="358" customFormat="false" ht="19.5" hidden="false" customHeight="true" outlineLevel="0" collapsed="false">
      <c r="A358" s="130" t="n">
        <v>355</v>
      </c>
      <c r="B358" s="131" t="s">
        <v>680</v>
      </c>
      <c r="C358" s="131" t="s">
        <v>54</v>
      </c>
      <c r="D358" s="130" t="s">
        <v>319</v>
      </c>
      <c r="E358" s="131" t="s">
        <v>320</v>
      </c>
      <c r="F358" s="131"/>
      <c r="G358" s="131"/>
      <c r="H358" s="130" t="str">
        <f aca="false">IF(B358="","",IF(COUNTIF('MiT Strom Pipeline'!$B$6:$B$904,B358)&gt;0,"✓",""))</f>
        <v/>
      </c>
      <c r="I358" s="130" t="str">
        <f aca="false">IF(B358="","",IFERROR(VLOOKUP(B358,'MiT Strom Pipeline'!$B$6:$R$904,17,0),""))</f>
        <v/>
      </c>
      <c r="J358" s="131"/>
    </row>
    <row r="359" customFormat="false" ht="19.5" hidden="false" customHeight="true" outlineLevel="0" collapsed="false">
      <c r="A359" s="22" t="n">
        <v>356</v>
      </c>
      <c r="B359" s="23" t="s">
        <v>681</v>
      </c>
      <c r="C359" s="23" t="s">
        <v>84</v>
      </c>
      <c r="D359" s="22" t="s">
        <v>319</v>
      </c>
      <c r="E359" s="23" t="s">
        <v>320</v>
      </c>
      <c r="F359" s="23"/>
      <c r="G359" s="23"/>
      <c r="H359" s="22" t="str">
        <f aca="false">IF(B359="","",IF(COUNTIF('MiT Strom Pipeline'!$B$6:$B$904,B359)&gt;0,"✓",""))</f>
        <v/>
      </c>
      <c r="I359" s="22" t="str">
        <f aca="false">IF(B359="","",IFERROR(VLOOKUP(B359,'MiT Strom Pipeline'!$B$6:$R$904,17,0),""))</f>
        <v/>
      </c>
      <c r="J359" s="23"/>
    </row>
    <row r="360" customFormat="false" ht="19.5" hidden="false" customHeight="true" outlineLevel="0" collapsed="false">
      <c r="A360" s="130" t="n">
        <v>357</v>
      </c>
      <c r="B360" s="131" t="s">
        <v>682</v>
      </c>
      <c r="C360" s="131" t="s">
        <v>84</v>
      </c>
      <c r="D360" s="130" t="s">
        <v>319</v>
      </c>
      <c r="E360" s="131" t="s">
        <v>320</v>
      </c>
      <c r="F360" s="131"/>
      <c r="G360" s="131"/>
      <c r="H360" s="130" t="str">
        <f aca="false">IF(B360="","",IF(COUNTIF('MiT Strom Pipeline'!$B$6:$B$904,B360)&gt;0,"✓",""))</f>
        <v/>
      </c>
      <c r="I360" s="130" t="str">
        <f aca="false">IF(B360="","",IFERROR(VLOOKUP(B360,'MiT Strom Pipeline'!$B$6:$R$904,17,0),""))</f>
        <v/>
      </c>
      <c r="J360" s="131"/>
    </row>
    <row r="361" customFormat="false" ht="19.5" hidden="false" customHeight="true" outlineLevel="0" collapsed="false">
      <c r="A361" s="22" t="n">
        <v>358</v>
      </c>
      <c r="B361" s="23" t="s">
        <v>683</v>
      </c>
      <c r="C361" s="23" t="s">
        <v>84</v>
      </c>
      <c r="D361" s="22" t="s">
        <v>319</v>
      </c>
      <c r="E361" s="23" t="s">
        <v>320</v>
      </c>
      <c r="F361" s="23"/>
      <c r="G361" s="23"/>
      <c r="H361" s="22" t="str">
        <f aca="false">IF(B361="","",IF(COUNTIF('MiT Strom Pipeline'!$B$6:$B$904,B361)&gt;0,"✓",""))</f>
        <v/>
      </c>
      <c r="I361" s="22" t="str">
        <f aca="false">IF(B361="","",IFERROR(VLOOKUP(B361,'MiT Strom Pipeline'!$B$6:$R$904,17,0),""))</f>
        <v/>
      </c>
      <c r="J361" s="23"/>
    </row>
    <row r="362" customFormat="false" ht="19.5" hidden="false" customHeight="true" outlineLevel="0" collapsed="false">
      <c r="A362" s="130" t="n">
        <v>359</v>
      </c>
      <c r="B362" s="131" t="s">
        <v>684</v>
      </c>
      <c r="C362" s="131" t="s">
        <v>84</v>
      </c>
      <c r="D362" s="130" t="s">
        <v>319</v>
      </c>
      <c r="E362" s="131" t="s">
        <v>320</v>
      </c>
      <c r="F362" s="131"/>
      <c r="G362" s="131"/>
      <c r="H362" s="130" t="str">
        <f aca="false">IF(B362="","",IF(COUNTIF('MiT Strom Pipeline'!$B$6:$B$904,B362)&gt;0,"✓",""))</f>
        <v/>
      </c>
      <c r="I362" s="130" t="str">
        <f aca="false">IF(B362="","",IFERROR(VLOOKUP(B362,'MiT Strom Pipeline'!$B$6:$R$904,17,0),""))</f>
        <v/>
      </c>
      <c r="J362" s="131"/>
    </row>
    <row r="363" customFormat="false" ht="19.5" hidden="false" customHeight="true" outlineLevel="0" collapsed="false">
      <c r="A363" s="22" t="n">
        <v>360</v>
      </c>
      <c r="B363" s="23" t="s">
        <v>431</v>
      </c>
      <c r="C363" s="23" t="s">
        <v>51</v>
      </c>
      <c r="D363" s="22" t="s">
        <v>319</v>
      </c>
      <c r="E363" s="23" t="s">
        <v>320</v>
      </c>
      <c r="F363" s="23"/>
      <c r="G363" s="23"/>
      <c r="H363" s="22" t="str">
        <f aca="false">IF(B363="","",IF(COUNTIF('MiT Strom Pipeline'!$B$6:$B$904,B363)&gt;0,"✓",""))</f>
        <v/>
      </c>
      <c r="I363" s="22" t="str">
        <f aca="false">IF(B363="","",IFERROR(VLOOKUP(B363,'MiT Strom Pipeline'!$B$6:$R$904,17,0),""))</f>
        <v/>
      </c>
      <c r="J363" s="23"/>
    </row>
    <row r="364" customFormat="false" ht="19.5" hidden="false" customHeight="true" outlineLevel="0" collapsed="false">
      <c r="A364" s="130" t="n">
        <v>361</v>
      </c>
      <c r="B364" s="131" t="s">
        <v>685</v>
      </c>
      <c r="C364" s="131" t="s">
        <v>84</v>
      </c>
      <c r="D364" s="130" t="s">
        <v>41</v>
      </c>
      <c r="E364" s="131" t="s">
        <v>320</v>
      </c>
      <c r="F364" s="131"/>
      <c r="G364" s="131"/>
      <c r="H364" s="130" t="str">
        <f aca="false">IF(B364="","",IF(COUNTIF('MiT Strom Pipeline'!$B$6:$B$904,B364)&gt;0,"✓",""))</f>
        <v/>
      </c>
      <c r="I364" s="130" t="str">
        <f aca="false">IF(B364="","",IFERROR(VLOOKUP(B364,'MiT Strom Pipeline'!$B$6:$R$904,17,0),""))</f>
        <v/>
      </c>
      <c r="J364" s="131"/>
    </row>
    <row r="365" customFormat="false" ht="19.5" hidden="false" customHeight="true" outlineLevel="0" collapsed="false">
      <c r="A365" s="22" t="n">
        <v>362</v>
      </c>
      <c r="B365" s="23" t="s">
        <v>686</v>
      </c>
      <c r="C365" s="23" t="s">
        <v>347</v>
      </c>
      <c r="D365" s="22" t="s">
        <v>319</v>
      </c>
      <c r="E365" s="23" t="s">
        <v>320</v>
      </c>
      <c r="F365" s="23"/>
      <c r="G365" s="23"/>
      <c r="H365" s="22" t="str">
        <f aca="false">IF(B365="","",IF(COUNTIF('MiT Strom Pipeline'!$B$6:$B$904,B365)&gt;0,"✓",""))</f>
        <v/>
      </c>
      <c r="I365" s="22" t="str">
        <f aca="false">IF(B365="","",IFERROR(VLOOKUP(B365,'MiT Strom Pipeline'!$B$6:$R$904,17,0),""))</f>
        <v/>
      </c>
      <c r="J365" s="23"/>
    </row>
    <row r="366" customFormat="false" ht="19.5" hidden="false" customHeight="true" outlineLevel="0" collapsed="false">
      <c r="A366" s="130" t="n">
        <v>363</v>
      </c>
      <c r="B366" s="131" t="s">
        <v>687</v>
      </c>
      <c r="C366" s="131" t="s">
        <v>84</v>
      </c>
      <c r="D366" s="130" t="s">
        <v>319</v>
      </c>
      <c r="E366" s="131" t="s">
        <v>320</v>
      </c>
      <c r="F366" s="131"/>
      <c r="G366" s="131"/>
      <c r="H366" s="130" t="str">
        <f aca="false">IF(B366="","",IF(COUNTIF('MiT Strom Pipeline'!$B$6:$B$904,B366)&gt;0,"✓",""))</f>
        <v/>
      </c>
      <c r="I366" s="130" t="str">
        <f aca="false">IF(B366="","",IFERROR(VLOOKUP(B366,'MiT Strom Pipeline'!$B$6:$R$904,17,0),""))</f>
        <v/>
      </c>
      <c r="J366" s="131"/>
    </row>
    <row r="367" customFormat="false" ht="19.5" hidden="false" customHeight="true" outlineLevel="0" collapsed="false">
      <c r="A367" s="22" t="n">
        <v>364</v>
      </c>
      <c r="B367" s="23" t="s">
        <v>688</v>
      </c>
      <c r="C367" s="23" t="s">
        <v>84</v>
      </c>
      <c r="D367" s="22" t="s">
        <v>319</v>
      </c>
      <c r="E367" s="23" t="s">
        <v>320</v>
      </c>
      <c r="F367" s="23"/>
      <c r="G367" s="23"/>
      <c r="H367" s="22" t="str">
        <f aca="false">IF(B367="","",IF(COUNTIF('MiT Strom Pipeline'!$B$6:$B$904,B367)&gt;0,"✓",""))</f>
        <v/>
      </c>
      <c r="I367" s="22" t="str">
        <f aca="false">IF(B367="","",IFERROR(VLOOKUP(B367,'MiT Strom Pipeline'!$B$6:$R$904,17,0),""))</f>
        <v/>
      </c>
      <c r="J367" s="23"/>
    </row>
    <row r="368" customFormat="false" ht="19.5" hidden="false" customHeight="true" outlineLevel="0" collapsed="false">
      <c r="A368" s="130" t="n">
        <v>365</v>
      </c>
      <c r="B368" s="131" t="s">
        <v>359</v>
      </c>
      <c r="C368" s="131" t="s">
        <v>360</v>
      </c>
      <c r="D368" s="130" t="s">
        <v>319</v>
      </c>
      <c r="E368" s="131" t="s">
        <v>320</v>
      </c>
      <c r="F368" s="131"/>
      <c r="G368" s="131"/>
      <c r="H368" s="130" t="str">
        <f aca="false">IF(B368="","",IF(COUNTIF('MiT Strom Pipeline'!$B$6:$B$904,B368)&gt;0,"✓",""))</f>
        <v/>
      </c>
      <c r="I368" s="130" t="str">
        <f aca="false">IF(B368="","",IFERROR(VLOOKUP(B368,'MiT Strom Pipeline'!$B$6:$R$904,17,0),""))</f>
        <v/>
      </c>
      <c r="J368" s="131"/>
    </row>
    <row r="369" customFormat="false" ht="19.5" hidden="false" customHeight="true" outlineLevel="0" collapsed="false">
      <c r="A369" s="22" t="n">
        <v>366</v>
      </c>
      <c r="B369" s="23" t="s">
        <v>689</v>
      </c>
      <c r="C369" s="23" t="s">
        <v>84</v>
      </c>
      <c r="D369" s="22" t="s">
        <v>319</v>
      </c>
      <c r="E369" s="23" t="s">
        <v>320</v>
      </c>
      <c r="F369" s="23"/>
      <c r="G369" s="23"/>
      <c r="H369" s="22" t="str">
        <f aca="false">IF(B369="","",IF(COUNTIF('MiT Strom Pipeline'!$B$6:$B$904,B369)&gt;0,"✓",""))</f>
        <v/>
      </c>
      <c r="I369" s="22" t="str">
        <f aca="false">IF(B369="","",IFERROR(VLOOKUP(B369,'MiT Strom Pipeline'!$B$6:$R$904,17,0),""))</f>
        <v/>
      </c>
      <c r="J369" s="23"/>
    </row>
    <row r="370" customFormat="false" ht="19.5" hidden="false" customHeight="true" outlineLevel="0" collapsed="false">
      <c r="A370" s="130" t="n">
        <v>367</v>
      </c>
      <c r="B370" s="131" t="s">
        <v>690</v>
      </c>
      <c r="C370" s="131" t="s">
        <v>54</v>
      </c>
      <c r="D370" s="130" t="s">
        <v>319</v>
      </c>
      <c r="E370" s="131" t="s">
        <v>320</v>
      </c>
      <c r="F370" s="131"/>
      <c r="G370" s="131"/>
      <c r="H370" s="130" t="str">
        <f aca="false">IF(B370="","",IF(COUNTIF('MiT Strom Pipeline'!$B$6:$B$904,B370)&gt;0,"✓",""))</f>
        <v/>
      </c>
      <c r="I370" s="130" t="str">
        <f aca="false">IF(B370="","",IFERROR(VLOOKUP(B370,'MiT Strom Pipeline'!$B$6:$R$904,17,0),""))</f>
        <v/>
      </c>
      <c r="J370" s="131"/>
    </row>
    <row r="371" customFormat="false" ht="19.5" hidden="false" customHeight="true" outlineLevel="0" collapsed="false">
      <c r="A371" s="22" t="n">
        <v>368</v>
      </c>
      <c r="B371" s="23" t="s">
        <v>691</v>
      </c>
      <c r="C371" s="23" t="s">
        <v>84</v>
      </c>
      <c r="D371" s="22" t="s">
        <v>319</v>
      </c>
      <c r="E371" s="23" t="s">
        <v>328</v>
      </c>
      <c r="F371" s="23"/>
      <c r="G371" s="23"/>
      <c r="H371" s="22" t="str">
        <f aca="false">IF(B371="","",IF(COUNTIF('MiT Strom Pipeline'!$B$6:$B$904,B371)&gt;0,"✓",""))</f>
        <v/>
      </c>
      <c r="I371" s="22" t="str">
        <f aca="false">IF(B371="","",IFERROR(VLOOKUP(B371,'MiT Strom Pipeline'!$B$6:$R$904,17,0),""))</f>
        <v/>
      </c>
      <c r="J371" s="23"/>
    </row>
    <row r="372" customFormat="false" ht="19.5" hidden="false" customHeight="true" outlineLevel="0" collapsed="false">
      <c r="A372" s="130" t="n">
        <v>369</v>
      </c>
      <c r="B372" s="131" t="s">
        <v>692</v>
      </c>
      <c r="C372" s="131" t="s">
        <v>84</v>
      </c>
      <c r="D372" s="130" t="s">
        <v>319</v>
      </c>
      <c r="E372" s="131" t="s">
        <v>328</v>
      </c>
      <c r="F372" s="131"/>
      <c r="G372" s="131"/>
      <c r="H372" s="130" t="str">
        <f aca="false">IF(B372="","",IF(COUNTIF('MiT Strom Pipeline'!$B$6:$B$904,B372)&gt;0,"✓",""))</f>
        <v/>
      </c>
      <c r="I372" s="130" t="str">
        <f aca="false">IF(B372="","",IFERROR(VLOOKUP(B372,'MiT Strom Pipeline'!$B$6:$R$904,17,0),""))</f>
        <v/>
      </c>
      <c r="J372" s="131"/>
    </row>
    <row r="373" customFormat="false" ht="19.5" hidden="false" customHeight="true" outlineLevel="0" collapsed="false">
      <c r="A373" s="22" t="n">
        <v>370</v>
      </c>
      <c r="B373" s="23" t="s">
        <v>693</v>
      </c>
      <c r="C373" s="23" t="s">
        <v>84</v>
      </c>
      <c r="D373" s="22" t="s">
        <v>65</v>
      </c>
      <c r="E373" s="23" t="s">
        <v>320</v>
      </c>
      <c r="F373" s="23"/>
      <c r="G373" s="23"/>
      <c r="H373" s="22" t="str">
        <f aca="false">IF(B373="","",IF(COUNTIF('MiT Strom Pipeline'!$B$6:$B$904,B373)&gt;0,"✓",""))</f>
        <v/>
      </c>
      <c r="I373" s="22" t="str">
        <f aca="false">IF(B373="","",IFERROR(VLOOKUP(B373,'MiT Strom Pipeline'!$B$6:$R$904,17,0),""))</f>
        <v/>
      </c>
      <c r="J373" s="23"/>
    </row>
    <row r="374" customFormat="false" ht="19.5" hidden="false" customHeight="true" outlineLevel="0" collapsed="false">
      <c r="A374" s="130" t="n">
        <v>371</v>
      </c>
      <c r="B374" s="131" t="s">
        <v>694</v>
      </c>
      <c r="C374" s="131" t="s">
        <v>347</v>
      </c>
      <c r="D374" s="130" t="s">
        <v>319</v>
      </c>
      <c r="E374" s="131" t="s">
        <v>320</v>
      </c>
      <c r="F374" s="131"/>
      <c r="G374" s="131"/>
      <c r="H374" s="130" t="str">
        <f aca="false">IF(B374="","",IF(COUNTIF('MiT Strom Pipeline'!$B$6:$B$904,B374)&gt;0,"✓",""))</f>
        <v/>
      </c>
      <c r="I374" s="130" t="str">
        <f aca="false">IF(B374="","",IFERROR(VLOOKUP(B374,'MiT Strom Pipeline'!$B$6:$R$904,17,0),""))</f>
        <v/>
      </c>
      <c r="J374" s="131"/>
    </row>
    <row r="375" customFormat="false" ht="19.5" hidden="false" customHeight="true" outlineLevel="0" collapsed="false">
      <c r="A375" s="22" t="n">
        <v>372</v>
      </c>
      <c r="B375" s="23" t="s">
        <v>695</v>
      </c>
      <c r="C375" s="23" t="s">
        <v>84</v>
      </c>
      <c r="D375" s="22" t="s">
        <v>319</v>
      </c>
      <c r="E375" s="23" t="s">
        <v>320</v>
      </c>
      <c r="F375" s="23"/>
      <c r="G375" s="23"/>
      <c r="H375" s="22" t="str">
        <f aca="false">IF(B375="","",IF(COUNTIF('MiT Strom Pipeline'!$B$6:$B$904,B375)&gt;0,"✓",""))</f>
        <v/>
      </c>
      <c r="I375" s="22" t="str">
        <f aca="false">IF(B375="","",IFERROR(VLOOKUP(B375,'MiT Strom Pipeline'!$B$6:$R$904,17,0),""))</f>
        <v/>
      </c>
      <c r="J375" s="23"/>
    </row>
    <row r="376" customFormat="false" ht="19.5" hidden="false" customHeight="true" outlineLevel="0" collapsed="false">
      <c r="A376" s="130" t="n">
        <v>373</v>
      </c>
      <c r="B376" s="131" t="s">
        <v>696</v>
      </c>
      <c r="C376" s="131" t="s">
        <v>84</v>
      </c>
      <c r="D376" s="130" t="s">
        <v>319</v>
      </c>
      <c r="E376" s="131" t="s">
        <v>320</v>
      </c>
      <c r="F376" s="131"/>
      <c r="G376" s="131"/>
      <c r="H376" s="130" t="str">
        <f aca="false">IF(B376="","",IF(COUNTIF('MiT Strom Pipeline'!$B$6:$B$904,B376)&gt;0,"✓",""))</f>
        <v/>
      </c>
      <c r="I376" s="130" t="str">
        <f aca="false">IF(B376="","",IFERROR(VLOOKUP(B376,'MiT Strom Pipeline'!$B$6:$R$904,17,0),""))</f>
        <v/>
      </c>
      <c r="J376" s="131"/>
    </row>
    <row r="377" customFormat="false" ht="19.5" hidden="false" customHeight="true" outlineLevel="0" collapsed="false">
      <c r="A377" s="22" t="n">
        <v>374</v>
      </c>
      <c r="B377" s="23" t="s">
        <v>443</v>
      </c>
      <c r="C377" s="23" t="s">
        <v>347</v>
      </c>
      <c r="D377" s="22" t="s">
        <v>319</v>
      </c>
      <c r="E377" s="23" t="s">
        <v>328</v>
      </c>
      <c r="F377" s="23"/>
      <c r="G377" s="23"/>
      <c r="H377" s="22" t="str">
        <f aca="false">IF(B377="","",IF(COUNTIF('MiT Strom Pipeline'!$B$6:$B$904,B377)&gt;0,"✓",""))</f>
        <v/>
      </c>
      <c r="I377" s="22" t="str">
        <f aca="false">IF(B377="","",IFERROR(VLOOKUP(B377,'MiT Strom Pipeline'!$B$6:$R$904,17,0),""))</f>
        <v/>
      </c>
      <c r="J377" s="23"/>
    </row>
    <row r="378" customFormat="false" ht="19.5" hidden="false" customHeight="true" outlineLevel="0" collapsed="false">
      <c r="A378" s="130" t="n">
        <v>375</v>
      </c>
      <c r="B378" s="131" t="s">
        <v>697</v>
      </c>
      <c r="C378" s="131" t="s">
        <v>75</v>
      </c>
      <c r="D378" s="130" t="s">
        <v>319</v>
      </c>
      <c r="E378" s="131" t="s">
        <v>320</v>
      </c>
      <c r="F378" s="131"/>
      <c r="G378" s="131"/>
      <c r="H378" s="130" t="str">
        <f aca="false">IF(B378="","",IF(COUNTIF('MiT Strom Pipeline'!$B$6:$B$904,B378)&gt;0,"✓",""))</f>
        <v/>
      </c>
      <c r="I378" s="130" t="str">
        <f aca="false">IF(B378="","",IFERROR(VLOOKUP(B378,'MiT Strom Pipeline'!$B$6:$R$904,17,0),""))</f>
        <v/>
      </c>
      <c r="J378" s="131"/>
    </row>
    <row r="379" customFormat="false" ht="19.5" hidden="false" customHeight="true" outlineLevel="0" collapsed="false">
      <c r="A379" s="22" t="n">
        <v>376</v>
      </c>
      <c r="B379" s="23" t="s">
        <v>698</v>
      </c>
      <c r="C379" s="23" t="s">
        <v>84</v>
      </c>
      <c r="D379" s="22" t="s">
        <v>319</v>
      </c>
      <c r="E379" s="23" t="s">
        <v>320</v>
      </c>
      <c r="F379" s="23"/>
      <c r="G379" s="23"/>
      <c r="H379" s="22" t="str">
        <f aca="false">IF(B379="","",IF(COUNTIF('MiT Strom Pipeline'!$B$6:$B$904,B379)&gt;0,"✓",""))</f>
        <v/>
      </c>
      <c r="I379" s="22" t="str">
        <f aca="false">IF(B379="","",IFERROR(VLOOKUP(B379,'MiT Strom Pipeline'!$B$6:$R$904,17,0),""))</f>
        <v/>
      </c>
      <c r="J379" s="23"/>
    </row>
    <row r="380" customFormat="false" ht="19.5" hidden="false" customHeight="true" outlineLevel="0" collapsed="false">
      <c r="A380" s="130" t="n">
        <v>377</v>
      </c>
      <c r="B380" s="131" t="s">
        <v>699</v>
      </c>
      <c r="C380" s="131" t="s">
        <v>84</v>
      </c>
      <c r="D380" s="130" t="s">
        <v>319</v>
      </c>
      <c r="E380" s="131" t="s">
        <v>320</v>
      </c>
      <c r="F380" s="131"/>
      <c r="G380" s="131"/>
      <c r="H380" s="130" t="str">
        <f aca="false">IF(B380="","",IF(COUNTIF('MiT Strom Pipeline'!$B$6:$B$904,B380)&gt;0,"✓",""))</f>
        <v/>
      </c>
      <c r="I380" s="130" t="str">
        <f aca="false">IF(B380="","",IFERROR(VLOOKUP(B380,'MiT Strom Pipeline'!$B$6:$R$904,17,0),""))</f>
        <v/>
      </c>
      <c r="J380" s="131"/>
    </row>
    <row r="381" customFormat="false" ht="19.5" hidden="false" customHeight="true" outlineLevel="0" collapsed="false">
      <c r="A381" s="22" t="n">
        <v>378</v>
      </c>
      <c r="B381" s="23" t="s">
        <v>700</v>
      </c>
      <c r="C381" s="23" t="s">
        <v>84</v>
      </c>
      <c r="D381" s="22" t="s">
        <v>319</v>
      </c>
      <c r="E381" s="23" t="s">
        <v>320</v>
      </c>
      <c r="F381" s="23"/>
      <c r="G381" s="23"/>
      <c r="H381" s="22" t="str">
        <f aca="false">IF(B381="","",IF(COUNTIF('MiT Strom Pipeline'!$B$6:$B$904,B381)&gt;0,"✓",""))</f>
        <v/>
      </c>
      <c r="I381" s="22" t="str">
        <f aca="false">IF(B381="","",IFERROR(VLOOKUP(B381,'MiT Strom Pipeline'!$B$6:$R$904,17,0),""))</f>
        <v/>
      </c>
      <c r="J381" s="23"/>
    </row>
    <row r="382" customFormat="false" ht="19.5" hidden="false" customHeight="true" outlineLevel="0" collapsed="false">
      <c r="A382" s="130" t="n">
        <v>379</v>
      </c>
      <c r="B382" s="131" t="s">
        <v>701</v>
      </c>
      <c r="C382" s="131" t="s">
        <v>84</v>
      </c>
      <c r="D382" s="130" t="s">
        <v>319</v>
      </c>
      <c r="E382" s="131" t="s">
        <v>320</v>
      </c>
      <c r="F382" s="131"/>
      <c r="G382" s="131"/>
      <c r="H382" s="130" t="str">
        <f aca="false">IF(B382="","",IF(COUNTIF('MiT Strom Pipeline'!$B$6:$B$904,B382)&gt;0,"✓",""))</f>
        <v/>
      </c>
      <c r="I382" s="130" t="str">
        <f aca="false">IF(B382="","",IFERROR(VLOOKUP(B382,'MiT Strom Pipeline'!$B$6:$R$904,17,0),""))</f>
        <v/>
      </c>
      <c r="J382" s="131"/>
    </row>
    <row r="383" customFormat="false" ht="19.5" hidden="false" customHeight="true" outlineLevel="0" collapsed="false">
      <c r="A383" s="22" t="n">
        <v>380</v>
      </c>
      <c r="B383" s="23" t="s">
        <v>702</v>
      </c>
      <c r="C383" s="23" t="s">
        <v>84</v>
      </c>
      <c r="D383" s="22" t="s">
        <v>319</v>
      </c>
      <c r="E383" s="23" t="s">
        <v>320</v>
      </c>
      <c r="F383" s="23"/>
      <c r="G383" s="23"/>
      <c r="H383" s="22" t="str">
        <f aca="false">IF(B383="","",IF(COUNTIF('MiT Strom Pipeline'!$B$6:$B$904,B383)&gt;0,"✓",""))</f>
        <v/>
      </c>
      <c r="I383" s="22" t="str">
        <f aca="false">IF(B383="","",IFERROR(VLOOKUP(B383,'MiT Strom Pipeline'!$B$6:$R$904,17,0),""))</f>
        <v/>
      </c>
      <c r="J383" s="23"/>
    </row>
    <row r="384" customFormat="false" ht="19.5" hidden="false" customHeight="true" outlineLevel="0" collapsed="false">
      <c r="A384" s="130" t="n">
        <v>381</v>
      </c>
      <c r="B384" s="131" t="s">
        <v>703</v>
      </c>
      <c r="C384" s="131" t="s">
        <v>82</v>
      </c>
      <c r="D384" s="130" t="s">
        <v>78</v>
      </c>
      <c r="E384" s="131" t="s">
        <v>320</v>
      </c>
      <c r="F384" s="131"/>
      <c r="G384" s="131"/>
      <c r="H384" s="130" t="str">
        <f aca="false">IF(B384="","",IF(COUNTIF('MiT Strom Pipeline'!$B$6:$B$904,B384)&gt;0,"✓",""))</f>
        <v/>
      </c>
      <c r="I384" s="130" t="str">
        <f aca="false">IF(B384="","",IFERROR(VLOOKUP(B384,'MiT Strom Pipeline'!$B$6:$R$904,17,0),""))</f>
        <v/>
      </c>
      <c r="J384" s="131"/>
    </row>
    <row r="385" customFormat="false" ht="19.5" hidden="false" customHeight="true" outlineLevel="0" collapsed="false">
      <c r="A385" s="22" t="n">
        <v>382</v>
      </c>
      <c r="B385" s="23" t="s">
        <v>704</v>
      </c>
      <c r="C385" s="23" t="s">
        <v>84</v>
      </c>
      <c r="D385" s="22" t="s">
        <v>319</v>
      </c>
      <c r="E385" s="23" t="s">
        <v>320</v>
      </c>
      <c r="F385" s="23"/>
      <c r="G385" s="23"/>
      <c r="H385" s="22" t="str">
        <f aca="false">IF(B385="","",IF(COUNTIF('MiT Strom Pipeline'!$B$6:$B$904,B385)&gt;0,"✓",""))</f>
        <v/>
      </c>
      <c r="I385" s="22" t="str">
        <f aca="false">IF(B385="","",IFERROR(VLOOKUP(B385,'MiT Strom Pipeline'!$B$6:$R$904,17,0),""))</f>
        <v/>
      </c>
      <c r="J385" s="23"/>
    </row>
    <row r="386" customFormat="false" ht="19.5" hidden="false" customHeight="true" outlineLevel="0" collapsed="false">
      <c r="A386" s="130" t="n">
        <v>383</v>
      </c>
      <c r="B386" s="131" t="s">
        <v>705</v>
      </c>
      <c r="C386" s="131" t="s">
        <v>84</v>
      </c>
      <c r="D386" s="130" t="s">
        <v>319</v>
      </c>
      <c r="E386" s="131" t="s">
        <v>328</v>
      </c>
      <c r="F386" s="131"/>
      <c r="G386" s="131"/>
      <c r="H386" s="130" t="str">
        <f aca="false">IF(B386="","",IF(COUNTIF('MiT Strom Pipeline'!$B$6:$B$904,B386)&gt;0,"✓",""))</f>
        <v/>
      </c>
      <c r="I386" s="130" t="str">
        <f aca="false">IF(B386="","",IFERROR(VLOOKUP(B386,'MiT Strom Pipeline'!$B$6:$R$904,17,0),""))</f>
        <v/>
      </c>
      <c r="J386" s="131"/>
    </row>
    <row r="387" customFormat="false" ht="19.5" hidden="false" customHeight="true" outlineLevel="0" collapsed="false">
      <c r="A387" s="22" t="n">
        <v>384</v>
      </c>
      <c r="B387" s="23" t="s">
        <v>706</v>
      </c>
      <c r="C387" s="23" t="s">
        <v>84</v>
      </c>
      <c r="D387" s="22" t="s">
        <v>319</v>
      </c>
      <c r="E387" s="23" t="s">
        <v>320</v>
      </c>
      <c r="F387" s="23"/>
      <c r="G387" s="23"/>
      <c r="H387" s="22" t="str">
        <f aca="false">IF(B387="","",IF(COUNTIF('MiT Strom Pipeline'!$B$6:$B$904,B387)&gt;0,"✓",""))</f>
        <v/>
      </c>
      <c r="I387" s="22" t="str">
        <f aca="false">IF(B387="","",IFERROR(VLOOKUP(B387,'MiT Strom Pipeline'!$B$6:$R$904,17,0),""))</f>
        <v/>
      </c>
      <c r="J387" s="23"/>
    </row>
    <row r="388" customFormat="false" ht="19.5" hidden="false" customHeight="true" outlineLevel="0" collapsed="false">
      <c r="A388" s="130" t="n">
        <v>385</v>
      </c>
      <c r="B388" s="131" t="s">
        <v>707</v>
      </c>
      <c r="C388" s="131" t="s">
        <v>84</v>
      </c>
      <c r="D388" s="130" t="s">
        <v>319</v>
      </c>
      <c r="E388" s="131" t="s">
        <v>320</v>
      </c>
      <c r="F388" s="131"/>
      <c r="G388" s="131"/>
      <c r="H388" s="130" t="str">
        <f aca="false">IF(B388="","",IF(COUNTIF('MiT Strom Pipeline'!$B$6:$B$904,B388)&gt;0,"✓",""))</f>
        <v/>
      </c>
      <c r="I388" s="130" t="str">
        <f aca="false">IF(B388="","",IFERROR(VLOOKUP(B388,'MiT Strom Pipeline'!$B$6:$R$904,17,0),""))</f>
        <v/>
      </c>
      <c r="J388" s="131"/>
    </row>
    <row r="389" customFormat="false" ht="19.5" hidden="false" customHeight="true" outlineLevel="0" collapsed="false">
      <c r="A389" s="22" t="n">
        <v>386</v>
      </c>
      <c r="B389" s="23" t="s">
        <v>707</v>
      </c>
      <c r="C389" s="23" t="s">
        <v>84</v>
      </c>
      <c r="D389" s="22" t="s">
        <v>319</v>
      </c>
      <c r="E389" s="23" t="s">
        <v>320</v>
      </c>
      <c r="F389" s="23"/>
      <c r="G389" s="23"/>
      <c r="H389" s="22" t="str">
        <f aca="false">IF(B389="","",IF(COUNTIF('MiT Strom Pipeline'!$B$6:$B$904,B389)&gt;0,"✓",""))</f>
        <v/>
      </c>
      <c r="I389" s="22" t="str">
        <f aca="false">IF(B389="","",IFERROR(VLOOKUP(B389,'MiT Strom Pipeline'!$B$6:$R$904,17,0),""))</f>
        <v/>
      </c>
      <c r="J389" s="23"/>
    </row>
    <row r="390" customFormat="false" ht="19.5" hidden="false" customHeight="true" outlineLevel="0" collapsed="false">
      <c r="A390" s="130" t="n">
        <v>387</v>
      </c>
      <c r="B390" s="131" t="s">
        <v>708</v>
      </c>
      <c r="C390" s="131" t="s">
        <v>75</v>
      </c>
      <c r="D390" s="130" t="s">
        <v>319</v>
      </c>
      <c r="E390" s="131" t="s">
        <v>320</v>
      </c>
      <c r="F390" s="131"/>
      <c r="G390" s="131"/>
      <c r="H390" s="130" t="str">
        <f aca="false">IF(B390="","",IF(COUNTIF('MiT Strom Pipeline'!$B$6:$B$904,B390)&gt;0,"✓",""))</f>
        <v/>
      </c>
      <c r="I390" s="130" t="str">
        <f aca="false">IF(B390="","",IFERROR(VLOOKUP(B390,'MiT Strom Pipeline'!$B$6:$R$904,17,0),""))</f>
        <v/>
      </c>
      <c r="J390" s="131"/>
    </row>
    <row r="391" customFormat="false" ht="19.5" hidden="false" customHeight="true" outlineLevel="0" collapsed="false">
      <c r="A391" s="22" t="n">
        <v>388</v>
      </c>
      <c r="B391" s="23" t="s">
        <v>709</v>
      </c>
      <c r="C391" s="23" t="s">
        <v>84</v>
      </c>
      <c r="D391" s="22" t="s">
        <v>319</v>
      </c>
      <c r="E391" s="23" t="s">
        <v>320</v>
      </c>
      <c r="F391" s="23"/>
      <c r="G391" s="23"/>
      <c r="H391" s="22" t="str">
        <f aca="false">IF(B391="","",IF(COUNTIF('MiT Strom Pipeline'!$B$6:$B$904,B391)&gt;0,"✓",""))</f>
        <v/>
      </c>
      <c r="I391" s="22" t="str">
        <f aca="false">IF(B391="","",IFERROR(VLOOKUP(B391,'MiT Strom Pipeline'!$B$6:$R$904,17,0),""))</f>
        <v/>
      </c>
      <c r="J391" s="23"/>
    </row>
    <row r="392" customFormat="false" ht="19.5" hidden="false" customHeight="true" outlineLevel="0" collapsed="false">
      <c r="A392" s="130" t="n">
        <v>389</v>
      </c>
      <c r="B392" s="131" t="s">
        <v>710</v>
      </c>
      <c r="C392" s="131" t="s">
        <v>347</v>
      </c>
      <c r="D392" s="130" t="s">
        <v>319</v>
      </c>
      <c r="E392" s="131" t="s">
        <v>320</v>
      </c>
      <c r="F392" s="131"/>
      <c r="G392" s="131"/>
      <c r="H392" s="130" t="str">
        <f aca="false">IF(B392="","",IF(COUNTIF('MiT Strom Pipeline'!$B$6:$B$904,B392)&gt;0,"✓",""))</f>
        <v/>
      </c>
      <c r="I392" s="130" t="str">
        <f aca="false">IF(B392="","",IFERROR(VLOOKUP(B392,'MiT Strom Pipeline'!$B$6:$R$904,17,0),""))</f>
        <v/>
      </c>
      <c r="J392" s="131"/>
    </row>
    <row r="393" customFormat="false" ht="19.5" hidden="false" customHeight="true" outlineLevel="0" collapsed="false">
      <c r="A393" s="22" t="n">
        <v>390</v>
      </c>
      <c r="B393" s="23" t="s">
        <v>711</v>
      </c>
      <c r="C393" s="23" t="s">
        <v>84</v>
      </c>
      <c r="D393" s="22" t="s">
        <v>319</v>
      </c>
      <c r="E393" s="23" t="s">
        <v>320</v>
      </c>
      <c r="F393" s="23"/>
      <c r="G393" s="23"/>
      <c r="H393" s="22" t="str">
        <f aca="false">IF(B393="","",IF(COUNTIF('MiT Strom Pipeline'!$B$6:$B$904,B393)&gt;0,"✓",""))</f>
        <v/>
      </c>
      <c r="I393" s="22" t="str">
        <f aca="false">IF(B393="","",IFERROR(VLOOKUP(B393,'MiT Strom Pipeline'!$B$6:$R$904,17,0),""))</f>
        <v/>
      </c>
      <c r="J393" s="23"/>
    </row>
    <row r="394" customFormat="false" ht="19.5" hidden="false" customHeight="true" outlineLevel="0" collapsed="false">
      <c r="A394" s="130" t="n">
        <v>391</v>
      </c>
      <c r="B394" s="131" t="s">
        <v>712</v>
      </c>
      <c r="C394" s="131" t="s">
        <v>84</v>
      </c>
      <c r="D394" s="130" t="s">
        <v>319</v>
      </c>
      <c r="E394" s="131" t="s">
        <v>320</v>
      </c>
      <c r="F394" s="131"/>
      <c r="G394" s="131"/>
      <c r="H394" s="130" t="str">
        <f aca="false">IF(B394="","",IF(COUNTIF('MiT Strom Pipeline'!$B$6:$B$904,B394)&gt;0,"✓",""))</f>
        <v/>
      </c>
      <c r="I394" s="130" t="str">
        <f aca="false">IF(B394="","",IFERROR(VLOOKUP(B394,'MiT Strom Pipeline'!$B$6:$R$904,17,0),""))</f>
        <v/>
      </c>
      <c r="J394" s="131"/>
    </row>
    <row r="395" customFormat="false" ht="19.5" hidden="false" customHeight="true" outlineLevel="0" collapsed="false">
      <c r="A395" s="22" t="n">
        <v>392</v>
      </c>
      <c r="B395" s="23" t="s">
        <v>713</v>
      </c>
      <c r="C395" s="23" t="s">
        <v>75</v>
      </c>
      <c r="D395" s="22" t="s">
        <v>319</v>
      </c>
      <c r="E395" s="23" t="s">
        <v>320</v>
      </c>
      <c r="F395" s="23"/>
      <c r="G395" s="23"/>
      <c r="H395" s="22" t="str">
        <f aca="false">IF(B395="","",IF(COUNTIF('MiT Strom Pipeline'!$B$6:$B$904,B395)&gt;0,"✓",""))</f>
        <v/>
      </c>
      <c r="I395" s="22" t="str">
        <f aca="false">IF(B395="","",IFERROR(VLOOKUP(B395,'MiT Strom Pipeline'!$B$6:$R$904,17,0),""))</f>
        <v/>
      </c>
      <c r="J395" s="23"/>
    </row>
    <row r="396" customFormat="false" ht="19.5" hidden="false" customHeight="true" outlineLevel="0" collapsed="false">
      <c r="A396" s="130" t="n">
        <v>393</v>
      </c>
      <c r="B396" s="131" t="s">
        <v>689</v>
      </c>
      <c r="C396" s="131" t="s">
        <v>84</v>
      </c>
      <c r="D396" s="130" t="s">
        <v>319</v>
      </c>
      <c r="E396" s="131" t="s">
        <v>320</v>
      </c>
      <c r="F396" s="131"/>
      <c r="G396" s="131"/>
      <c r="H396" s="130" t="str">
        <f aca="false">IF(B396="","",IF(COUNTIF('MiT Strom Pipeline'!$B$6:$B$904,B396)&gt;0,"✓",""))</f>
        <v/>
      </c>
      <c r="I396" s="130" t="str">
        <f aca="false">IF(B396="","",IFERROR(VLOOKUP(B396,'MiT Strom Pipeline'!$B$6:$R$904,17,0),""))</f>
        <v/>
      </c>
      <c r="J396" s="131"/>
    </row>
    <row r="397" customFormat="false" ht="19.5" hidden="false" customHeight="true" outlineLevel="0" collapsed="false">
      <c r="A397" s="22" t="n">
        <v>394</v>
      </c>
      <c r="B397" s="23" t="s">
        <v>714</v>
      </c>
      <c r="C397" s="23" t="s">
        <v>84</v>
      </c>
      <c r="D397" s="22" t="s">
        <v>319</v>
      </c>
      <c r="E397" s="23" t="s">
        <v>320</v>
      </c>
      <c r="F397" s="23"/>
      <c r="G397" s="23"/>
      <c r="H397" s="22" t="str">
        <f aca="false">IF(B397="","",IF(COUNTIF('MiT Strom Pipeline'!$B$6:$B$904,B397)&gt;0,"✓",""))</f>
        <v/>
      </c>
      <c r="I397" s="22" t="str">
        <f aca="false">IF(B397="","",IFERROR(VLOOKUP(B397,'MiT Strom Pipeline'!$B$6:$R$904,17,0),""))</f>
        <v/>
      </c>
      <c r="J397" s="23"/>
    </row>
    <row r="398" customFormat="false" ht="19.5" hidden="false" customHeight="true" outlineLevel="0" collapsed="false">
      <c r="A398" s="130" t="n">
        <v>395</v>
      </c>
      <c r="B398" s="131" t="s">
        <v>715</v>
      </c>
      <c r="C398" s="131" t="s">
        <v>84</v>
      </c>
      <c r="D398" s="130" t="s">
        <v>319</v>
      </c>
      <c r="E398" s="131" t="s">
        <v>320</v>
      </c>
      <c r="F398" s="131"/>
      <c r="G398" s="131"/>
      <c r="H398" s="130" t="str">
        <f aca="false">IF(B398="","",IF(COUNTIF('MiT Strom Pipeline'!$B$6:$B$904,B398)&gt;0,"✓",""))</f>
        <v/>
      </c>
      <c r="I398" s="130" t="str">
        <f aca="false">IF(B398="","",IFERROR(VLOOKUP(B398,'MiT Strom Pipeline'!$B$6:$R$904,17,0),""))</f>
        <v/>
      </c>
      <c r="J398" s="131"/>
    </row>
    <row r="399" customFormat="false" ht="19.5" hidden="false" customHeight="true" outlineLevel="0" collapsed="false">
      <c r="A399" s="22" t="n">
        <v>396</v>
      </c>
      <c r="B399" s="23" t="s">
        <v>716</v>
      </c>
      <c r="C399" s="23" t="s">
        <v>84</v>
      </c>
      <c r="D399" s="22" t="s">
        <v>56</v>
      </c>
      <c r="E399" s="23" t="s">
        <v>320</v>
      </c>
      <c r="F399" s="23"/>
      <c r="G399" s="23"/>
      <c r="H399" s="22" t="str">
        <f aca="false">IF(B399="","",IF(COUNTIF('MiT Strom Pipeline'!$B$6:$B$904,B399)&gt;0,"✓",""))</f>
        <v/>
      </c>
      <c r="I399" s="22" t="str">
        <f aca="false">IF(B399="","",IFERROR(VLOOKUP(B399,'MiT Strom Pipeline'!$B$6:$R$904,17,0),""))</f>
        <v/>
      </c>
      <c r="J399" s="23"/>
    </row>
    <row r="400" customFormat="false" ht="19.5" hidden="false" customHeight="true" outlineLevel="0" collapsed="false">
      <c r="A400" s="130" t="n">
        <v>397</v>
      </c>
      <c r="B400" s="131" t="s">
        <v>717</v>
      </c>
      <c r="C400" s="131" t="s">
        <v>75</v>
      </c>
      <c r="D400" s="130" t="s">
        <v>319</v>
      </c>
      <c r="E400" s="131" t="s">
        <v>320</v>
      </c>
      <c r="F400" s="131"/>
      <c r="G400" s="131"/>
      <c r="H400" s="130" t="str">
        <f aca="false">IF(B400="","",IF(COUNTIF('MiT Strom Pipeline'!$B$6:$B$904,B400)&gt;0,"✓",""))</f>
        <v/>
      </c>
      <c r="I400" s="130" t="str">
        <f aca="false">IF(B400="","",IFERROR(VLOOKUP(B400,'MiT Strom Pipeline'!$B$6:$R$904,17,0),""))</f>
        <v/>
      </c>
      <c r="J400" s="131"/>
    </row>
    <row r="401" customFormat="false" ht="19.5" hidden="false" customHeight="true" outlineLevel="0" collapsed="false">
      <c r="A401" s="22" t="n">
        <v>398</v>
      </c>
      <c r="B401" s="23" t="s">
        <v>718</v>
      </c>
      <c r="C401" s="23" t="s">
        <v>84</v>
      </c>
      <c r="D401" s="22" t="s">
        <v>319</v>
      </c>
      <c r="E401" s="23" t="s">
        <v>320</v>
      </c>
      <c r="F401" s="23"/>
      <c r="G401" s="23"/>
      <c r="H401" s="22" t="str">
        <f aca="false">IF(B401="","",IF(COUNTIF('MiT Strom Pipeline'!$B$6:$B$904,B401)&gt;0,"✓",""))</f>
        <v/>
      </c>
      <c r="I401" s="22" t="str">
        <f aca="false">IF(B401="","",IFERROR(VLOOKUP(B401,'MiT Strom Pipeline'!$B$6:$R$904,17,0),""))</f>
        <v/>
      </c>
      <c r="J401" s="23"/>
    </row>
    <row r="402" customFormat="false" ht="19.5" hidden="false" customHeight="true" outlineLevel="0" collapsed="false">
      <c r="A402" s="130" t="n">
        <v>399</v>
      </c>
      <c r="B402" s="131" t="s">
        <v>719</v>
      </c>
      <c r="C402" s="131" t="s">
        <v>84</v>
      </c>
      <c r="D402" s="130" t="s">
        <v>319</v>
      </c>
      <c r="E402" s="131" t="s">
        <v>320</v>
      </c>
      <c r="F402" s="131"/>
      <c r="G402" s="131"/>
      <c r="H402" s="130" t="str">
        <f aca="false">IF(B402="","",IF(COUNTIF('MiT Strom Pipeline'!$B$6:$B$904,B402)&gt;0,"✓",""))</f>
        <v/>
      </c>
      <c r="I402" s="130" t="str">
        <f aca="false">IF(B402="","",IFERROR(VLOOKUP(B402,'MiT Strom Pipeline'!$B$6:$R$904,17,0),""))</f>
        <v/>
      </c>
      <c r="J402" s="131"/>
    </row>
    <row r="403" customFormat="false" ht="19.5" hidden="false" customHeight="true" outlineLevel="0" collapsed="false">
      <c r="A403" s="22" t="n">
        <v>400</v>
      </c>
      <c r="B403" s="23" t="s">
        <v>720</v>
      </c>
      <c r="C403" s="23" t="s">
        <v>84</v>
      </c>
      <c r="D403" s="22" t="s">
        <v>319</v>
      </c>
      <c r="E403" s="23" t="s">
        <v>328</v>
      </c>
      <c r="F403" s="23"/>
      <c r="G403" s="23"/>
      <c r="H403" s="22" t="str">
        <f aca="false">IF(B403="","",IF(COUNTIF('MiT Strom Pipeline'!$B$6:$B$904,B403)&gt;0,"✓",""))</f>
        <v/>
      </c>
      <c r="I403" s="22" t="str">
        <f aca="false">IF(B403="","",IFERROR(VLOOKUP(B403,'MiT Strom Pipeline'!$B$6:$R$904,17,0),""))</f>
        <v/>
      </c>
      <c r="J403" s="23"/>
    </row>
    <row r="404" customFormat="false" ht="19.5" hidden="false" customHeight="true" outlineLevel="0" collapsed="false">
      <c r="A404" s="130" t="n">
        <v>401</v>
      </c>
      <c r="B404" s="131" t="s">
        <v>721</v>
      </c>
      <c r="C404" s="131" t="s">
        <v>347</v>
      </c>
      <c r="D404" s="130" t="s">
        <v>319</v>
      </c>
      <c r="E404" s="131" t="s">
        <v>320</v>
      </c>
      <c r="F404" s="131"/>
      <c r="G404" s="131"/>
      <c r="H404" s="130" t="str">
        <f aca="false">IF(B404="","",IF(COUNTIF('MiT Strom Pipeline'!$B$6:$B$904,B404)&gt;0,"✓",""))</f>
        <v/>
      </c>
      <c r="I404" s="130" t="str">
        <f aca="false">IF(B404="","",IFERROR(VLOOKUP(B404,'MiT Strom Pipeline'!$B$6:$R$904,17,0),""))</f>
        <v/>
      </c>
      <c r="J404" s="131"/>
    </row>
    <row r="405" customFormat="false" ht="19.5" hidden="false" customHeight="true" outlineLevel="0" collapsed="false">
      <c r="A405" s="22" t="n">
        <v>402</v>
      </c>
      <c r="B405" s="23" t="s">
        <v>722</v>
      </c>
      <c r="C405" s="23" t="s">
        <v>347</v>
      </c>
      <c r="D405" s="22" t="s">
        <v>319</v>
      </c>
      <c r="E405" s="23" t="s">
        <v>320</v>
      </c>
      <c r="F405" s="23"/>
      <c r="G405" s="23"/>
      <c r="H405" s="22" t="str">
        <f aca="false">IF(B405="","",IF(COUNTIF('MiT Strom Pipeline'!$B$6:$B$904,B405)&gt;0,"✓",""))</f>
        <v/>
      </c>
      <c r="I405" s="22" t="str">
        <f aca="false">IF(B405="","",IFERROR(VLOOKUP(B405,'MiT Strom Pipeline'!$B$6:$R$904,17,0),""))</f>
        <v/>
      </c>
      <c r="J405" s="23"/>
    </row>
    <row r="406" customFormat="false" ht="19.5" hidden="false" customHeight="true" outlineLevel="0" collapsed="false">
      <c r="A406" s="130" t="n">
        <v>403</v>
      </c>
      <c r="B406" s="131" t="s">
        <v>723</v>
      </c>
      <c r="C406" s="131" t="s">
        <v>84</v>
      </c>
      <c r="D406" s="130" t="s">
        <v>319</v>
      </c>
      <c r="E406" s="131" t="s">
        <v>320</v>
      </c>
      <c r="F406" s="131"/>
      <c r="G406" s="131"/>
      <c r="H406" s="130" t="str">
        <f aca="false">IF(B406="","",IF(COUNTIF('MiT Strom Pipeline'!$B$6:$B$904,B406)&gt;0,"✓",""))</f>
        <v/>
      </c>
      <c r="I406" s="130" t="str">
        <f aca="false">IF(B406="","",IFERROR(VLOOKUP(B406,'MiT Strom Pipeline'!$B$6:$R$904,17,0),""))</f>
        <v/>
      </c>
      <c r="J406" s="131"/>
    </row>
    <row r="407" customFormat="false" ht="19.5" hidden="false" customHeight="true" outlineLevel="0" collapsed="false">
      <c r="A407" s="22" t="n">
        <v>404</v>
      </c>
      <c r="B407" s="23" t="s">
        <v>724</v>
      </c>
      <c r="C407" s="23" t="s">
        <v>84</v>
      </c>
      <c r="D407" s="22" t="s">
        <v>319</v>
      </c>
      <c r="E407" s="23" t="s">
        <v>320</v>
      </c>
      <c r="F407" s="23"/>
      <c r="G407" s="23"/>
      <c r="H407" s="22" t="str">
        <f aca="false">IF(B407="","",IF(COUNTIF('MiT Strom Pipeline'!$B$6:$B$904,B407)&gt;0,"✓",""))</f>
        <v/>
      </c>
      <c r="I407" s="22" t="str">
        <f aca="false">IF(B407="","",IFERROR(VLOOKUP(B407,'MiT Strom Pipeline'!$B$6:$R$904,17,0),""))</f>
        <v/>
      </c>
      <c r="J407" s="23"/>
    </row>
    <row r="408" customFormat="false" ht="19.5" hidden="false" customHeight="true" outlineLevel="0" collapsed="false">
      <c r="A408" s="130" t="n">
        <v>405</v>
      </c>
      <c r="B408" s="131" t="s">
        <v>725</v>
      </c>
      <c r="C408" s="131" t="s">
        <v>84</v>
      </c>
      <c r="D408" s="130" t="s">
        <v>319</v>
      </c>
      <c r="E408" s="131" t="s">
        <v>320</v>
      </c>
      <c r="F408" s="131"/>
      <c r="G408" s="131"/>
      <c r="H408" s="130" t="str">
        <f aca="false">IF(B408="","",IF(COUNTIF('MiT Strom Pipeline'!$B$6:$B$904,B408)&gt;0,"✓",""))</f>
        <v/>
      </c>
      <c r="I408" s="130" t="str">
        <f aca="false">IF(B408="","",IFERROR(VLOOKUP(B408,'MiT Strom Pipeline'!$B$6:$R$904,17,0),""))</f>
        <v/>
      </c>
      <c r="J408" s="131"/>
    </row>
    <row r="409" customFormat="false" ht="19.5" hidden="false" customHeight="true" outlineLevel="0" collapsed="false">
      <c r="A409" s="22" t="n">
        <v>406</v>
      </c>
      <c r="B409" s="23" t="s">
        <v>726</v>
      </c>
      <c r="C409" s="23" t="s">
        <v>84</v>
      </c>
      <c r="D409" s="22" t="s">
        <v>319</v>
      </c>
      <c r="E409" s="23" t="s">
        <v>320</v>
      </c>
      <c r="F409" s="23"/>
      <c r="G409" s="23"/>
      <c r="H409" s="22" t="str">
        <f aca="false">IF(B409="","",IF(COUNTIF('MiT Strom Pipeline'!$B$6:$B$904,B409)&gt;0,"✓",""))</f>
        <v/>
      </c>
      <c r="I409" s="22" t="str">
        <f aca="false">IF(B409="","",IFERROR(VLOOKUP(B409,'MiT Strom Pipeline'!$B$6:$R$904,17,0),""))</f>
        <v/>
      </c>
      <c r="J409" s="23"/>
    </row>
    <row r="410" customFormat="false" ht="19.5" hidden="false" customHeight="true" outlineLevel="0" collapsed="false">
      <c r="A410" s="130" t="n">
        <v>407</v>
      </c>
      <c r="B410" s="131" t="s">
        <v>574</v>
      </c>
      <c r="C410" s="131" t="s">
        <v>84</v>
      </c>
      <c r="D410" s="130" t="s">
        <v>319</v>
      </c>
      <c r="E410" s="131" t="s">
        <v>320</v>
      </c>
      <c r="F410" s="131"/>
      <c r="G410" s="131"/>
      <c r="H410" s="130" t="str">
        <f aca="false">IF(B410="","",IF(COUNTIF('MiT Strom Pipeline'!$B$6:$B$904,B410)&gt;0,"✓",""))</f>
        <v/>
      </c>
      <c r="I410" s="130" t="str">
        <f aca="false">IF(B410="","",IFERROR(VLOOKUP(B410,'MiT Strom Pipeline'!$B$6:$R$904,17,0),""))</f>
        <v/>
      </c>
      <c r="J410" s="131"/>
    </row>
    <row r="411" customFormat="false" ht="19.5" hidden="false" customHeight="true" outlineLevel="0" collapsed="false">
      <c r="A411" s="22" t="n">
        <v>408</v>
      </c>
      <c r="B411" s="23" t="s">
        <v>727</v>
      </c>
      <c r="C411" s="23" t="s">
        <v>75</v>
      </c>
      <c r="D411" s="22" t="s">
        <v>319</v>
      </c>
      <c r="E411" s="23" t="s">
        <v>320</v>
      </c>
      <c r="F411" s="23"/>
      <c r="G411" s="23"/>
      <c r="H411" s="22" t="str">
        <f aca="false">IF(B411="","",IF(COUNTIF('MiT Strom Pipeline'!$B$6:$B$904,B411)&gt;0,"✓",""))</f>
        <v/>
      </c>
      <c r="I411" s="22" t="str">
        <f aca="false">IF(B411="","",IFERROR(VLOOKUP(B411,'MiT Strom Pipeline'!$B$6:$R$904,17,0),""))</f>
        <v/>
      </c>
      <c r="J411" s="23"/>
    </row>
    <row r="412" customFormat="false" ht="19.5" hidden="false" customHeight="true" outlineLevel="0" collapsed="false">
      <c r="A412" s="130" t="n">
        <v>409</v>
      </c>
      <c r="B412" s="131" t="s">
        <v>324</v>
      </c>
      <c r="C412" s="131" t="s">
        <v>51</v>
      </c>
      <c r="D412" s="130" t="s">
        <v>44</v>
      </c>
      <c r="E412" s="131" t="s">
        <v>320</v>
      </c>
      <c r="F412" s="131"/>
      <c r="G412" s="131"/>
      <c r="H412" s="130" t="str">
        <f aca="false">IF(B412="","",IF(COUNTIF('MiT Strom Pipeline'!$B$6:$B$904,B412)&gt;0,"✓",""))</f>
        <v/>
      </c>
      <c r="I412" s="130" t="str">
        <f aca="false">IF(B412="","",IFERROR(VLOOKUP(B412,'MiT Strom Pipeline'!$B$6:$R$904,17,0),""))</f>
        <v/>
      </c>
      <c r="J412" s="131"/>
    </row>
    <row r="413" customFormat="false" ht="19.5" hidden="false" customHeight="true" outlineLevel="0" collapsed="false">
      <c r="A413" s="22" t="n">
        <v>410</v>
      </c>
      <c r="B413" s="23" t="s">
        <v>728</v>
      </c>
      <c r="C413" s="23" t="s">
        <v>84</v>
      </c>
      <c r="D413" s="22" t="s">
        <v>65</v>
      </c>
      <c r="E413" s="23" t="s">
        <v>320</v>
      </c>
      <c r="F413" s="23"/>
      <c r="G413" s="23"/>
      <c r="H413" s="22" t="str">
        <f aca="false">IF(B413="","",IF(COUNTIF('MiT Strom Pipeline'!$B$6:$B$904,B413)&gt;0,"✓",""))</f>
        <v/>
      </c>
      <c r="I413" s="22" t="str">
        <f aca="false">IF(B413="","",IFERROR(VLOOKUP(B413,'MiT Strom Pipeline'!$B$6:$R$904,17,0),""))</f>
        <v/>
      </c>
      <c r="J413" s="23"/>
    </row>
    <row r="414" customFormat="false" ht="19.5" hidden="false" customHeight="true" outlineLevel="0" collapsed="false">
      <c r="A414" s="130" t="n">
        <v>411</v>
      </c>
      <c r="B414" s="131" t="s">
        <v>729</v>
      </c>
      <c r="C414" s="131" t="s">
        <v>75</v>
      </c>
      <c r="D414" s="130" t="s">
        <v>319</v>
      </c>
      <c r="E414" s="131" t="s">
        <v>320</v>
      </c>
      <c r="F414" s="131"/>
      <c r="G414" s="131"/>
      <c r="H414" s="130" t="str">
        <f aca="false">IF(B414="","",IF(COUNTIF('MiT Strom Pipeline'!$B$6:$B$904,B414)&gt;0,"✓",""))</f>
        <v/>
      </c>
      <c r="I414" s="130" t="str">
        <f aca="false">IF(B414="","",IFERROR(VLOOKUP(B414,'MiT Strom Pipeline'!$B$6:$R$904,17,0),""))</f>
        <v/>
      </c>
      <c r="J414" s="131"/>
    </row>
    <row r="415" customFormat="false" ht="19.5" hidden="false" customHeight="true" outlineLevel="0" collapsed="false">
      <c r="A415" s="22" t="n">
        <v>412</v>
      </c>
      <c r="B415" s="23" t="s">
        <v>730</v>
      </c>
      <c r="C415" s="23" t="s">
        <v>84</v>
      </c>
      <c r="D415" s="22" t="s">
        <v>319</v>
      </c>
      <c r="E415" s="23" t="s">
        <v>320</v>
      </c>
      <c r="F415" s="23"/>
      <c r="G415" s="23"/>
      <c r="H415" s="22" t="str">
        <f aca="false">IF(B415="","",IF(COUNTIF('MiT Strom Pipeline'!$B$6:$B$904,B415)&gt;0,"✓",""))</f>
        <v/>
      </c>
      <c r="I415" s="22" t="str">
        <f aca="false">IF(B415="","",IFERROR(VLOOKUP(B415,'MiT Strom Pipeline'!$B$6:$R$904,17,0),""))</f>
        <v/>
      </c>
      <c r="J415" s="23"/>
    </row>
    <row r="416" customFormat="false" ht="19.5" hidden="false" customHeight="true" outlineLevel="0" collapsed="false">
      <c r="A416" s="130" t="n">
        <v>413</v>
      </c>
      <c r="B416" s="131" t="s">
        <v>731</v>
      </c>
      <c r="C416" s="131" t="s">
        <v>347</v>
      </c>
      <c r="D416" s="130" t="s">
        <v>44</v>
      </c>
      <c r="E416" s="131" t="s">
        <v>320</v>
      </c>
      <c r="F416" s="131"/>
      <c r="G416" s="131"/>
      <c r="H416" s="130" t="str">
        <f aca="false">IF(B416="","",IF(COUNTIF('MiT Strom Pipeline'!$B$6:$B$904,B416)&gt;0,"✓",""))</f>
        <v/>
      </c>
      <c r="I416" s="130" t="str">
        <f aca="false">IF(B416="","",IFERROR(VLOOKUP(B416,'MiT Strom Pipeline'!$B$6:$R$904,17,0),""))</f>
        <v/>
      </c>
      <c r="J416" s="131"/>
    </row>
    <row r="417" customFormat="false" ht="19.5" hidden="false" customHeight="true" outlineLevel="0" collapsed="false">
      <c r="A417" s="22" t="n">
        <v>414</v>
      </c>
      <c r="B417" s="23" t="s">
        <v>732</v>
      </c>
      <c r="C417" s="23" t="s">
        <v>84</v>
      </c>
      <c r="D417" s="22" t="s">
        <v>319</v>
      </c>
      <c r="E417" s="23" t="s">
        <v>320</v>
      </c>
      <c r="F417" s="23"/>
      <c r="G417" s="23"/>
      <c r="H417" s="22" t="str">
        <f aca="false">IF(B417="","",IF(COUNTIF('MiT Strom Pipeline'!$B$6:$B$904,B417)&gt;0,"✓",""))</f>
        <v/>
      </c>
      <c r="I417" s="22" t="str">
        <f aca="false">IF(B417="","",IFERROR(VLOOKUP(B417,'MiT Strom Pipeline'!$B$6:$R$904,17,0),""))</f>
        <v/>
      </c>
      <c r="J417" s="23"/>
    </row>
    <row r="418" customFormat="false" ht="19.5" hidden="false" customHeight="true" outlineLevel="0" collapsed="false">
      <c r="A418" s="130" t="n">
        <v>415</v>
      </c>
      <c r="B418" s="131" t="s">
        <v>733</v>
      </c>
      <c r="C418" s="131" t="s">
        <v>84</v>
      </c>
      <c r="D418" s="130" t="s">
        <v>319</v>
      </c>
      <c r="E418" s="131" t="s">
        <v>320</v>
      </c>
      <c r="F418" s="131"/>
      <c r="G418" s="131"/>
      <c r="H418" s="130" t="str">
        <f aca="false">IF(B418="","",IF(COUNTIF('MiT Strom Pipeline'!$B$6:$B$904,B418)&gt;0,"✓",""))</f>
        <v/>
      </c>
      <c r="I418" s="130" t="str">
        <f aca="false">IF(B418="","",IFERROR(VLOOKUP(B418,'MiT Strom Pipeline'!$B$6:$R$904,17,0),""))</f>
        <v/>
      </c>
      <c r="J418" s="131"/>
    </row>
    <row r="419" customFormat="false" ht="19.5" hidden="false" customHeight="true" outlineLevel="0" collapsed="false">
      <c r="A419" s="22" t="n">
        <v>416</v>
      </c>
      <c r="B419" s="23" t="s">
        <v>734</v>
      </c>
      <c r="C419" s="23" t="s">
        <v>347</v>
      </c>
      <c r="D419" s="22" t="s">
        <v>78</v>
      </c>
      <c r="E419" s="23" t="s">
        <v>320</v>
      </c>
      <c r="F419" s="23"/>
      <c r="G419" s="23"/>
      <c r="H419" s="22" t="str">
        <f aca="false">IF(B419="","",IF(COUNTIF('MiT Strom Pipeline'!$B$6:$B$904,B419)&gt;0,"✓",""))</f>
        <v/>
      </c>
      <c r="I419" s="22" t="str">
        <f aca="false">IF(B419="","",IFERROR(VLOOKUP(B419,'MiT Strom Pipeline'!$B$6:$R$904,17,0),""))</f>
        <v/>
      </c>
      <c r="J419" s="23"/>
    </row>
    <row r="420" customFormat="false" ht="19.5" hidden="false" customHeight="true" outlineLevel="0" collapsed="false">
      <c r="A420" s="130" t="n">
        <v>417</v>
      </c>
      <c r="B420" s="131" t="s">
        <v>735</v>
      </c>
      <c r="C420" s="131" t="s">
        <v>84</v>
      </c>
      <c r="D420" s="130" t="s">
        <v>319</v>
      </c>
      <c r="E420" s="131" t="s">
        <v>320</v>
      </c>
      <c r="F420" s="131"/>
      <c r="G420" s="131"/>
      <c r="H420" s="130" t="str">
        <f aca="false">IF(B420="","",IF(COUNTIF('MiT Strom Pipeline'!$B$6:$B$904,B420)&gt;0,"✓",""))</f>
        <v/>
      </c>
      <c r="I420" s="130" t="str">
        <f aca="false">IF(B420="","",IFERROR(VLOOKUP(B420,'MiT Strom Pipeline'!$B$6:$R$904,17,0),""))</f>
        <v/>
      </c>
      <c r="J420" s="131"/>
    </row>
    <row r="421" customFormat="false" ht="19.5" hidden="false" customHeight="true" outlineLevel="0" collapsed="false">
      <c r="A421" s="22" t="n">
        <v>418</v>
      </c>
      <c r="B421" s="23" t="s">
        <v>736</v>
      </c>
      <c r="C421" s="23" t="s">
        <v>84</v>
      </c>
      <c r="D421" s="22" t="s">
        <v>319</v>
      </c>
      <c r="E421" s="23" t="s">
        <v>320</v>
      </c>
      <c r="F421" s="23"/>
      <c r="G421" s="23"/>
      <c r="H421" s="22" t="str">
        <f aca="false">IF(B421="","",IF(COUNTIF('MiT Strom Pipeline'!$B$6:$B$904,B421)&gt;0,"✓",""))</f>
        <v/>
      </c>
      <c r="I421" s="22" t="str">
        <f aca="false">IF(B421="","",IFERROR(VLOOKUP(B421,'MiT Strom Pipeline'!$B$6:$R$904,17,0),""))</f>
        <v/>
      </c>
      <c r="J421" s="23"/>
    </row>
    <row r="422" customFormat="false" ht="19.5" hidden="false" customHeight="true" outlineLevel="0" collapsed="false">
      <c r="A422" s="130" t="n">
        <v>419</v>
      </c>
      <c r="B422" s="131" t="s">
        <v>737</v>
      </c>
      <c r="C422" s="131" t="s">
        <v>84</v>
      </c>
      <c r="D422" s="130" t="s">
        <v>319</v>
      </c>
      <c r="E422" s="131" t="s">
        <v>320</v>
      </c>
      <c r="F422" s="131"/>
      <c r="G422" s="131"/>
      <c r="H422" s="130" t="str">
        <f aca="false">IF(B422="","",IF(COUNTIF('MiT Strom Pipeline'!$B$6:$B$904,B422)&gt;0,"✓",""))</f>
        <v/>
      </c>
      <c r="I422" s="130" t="str">
        <f aca="false">IF(B422="","",IFERROR(VLOOKUP(B422,'MiT Strom Pipeline'!$B$6:$R$904,17,0),""))</f>
        <v/>
      </c>
      <c r="J422" s="131"/>
    </row>
    <row r="423" customFormat="false" ht="19.5" hidden="false" customHeight="true" outlineLevel="0" collapsed="false">
      <c r="A423" s="22" t="n">
        <v>420</v>
      </c>
      <c r="B423" s="23" t="s">
        <v>738</v>
      </c>
      <c r="C423" s="23" t="s">
        <v>75</v>
      </c>
      <c r="D423" s="22" t="s">
        <v>319</v>
      </c>
      <c r="E423" s="23" t="s">
        <v>320</v>
      </c>
      <c r="F423" s="23"/>
      <c r="G423" s="23"/>
      <c r="H423" s="22" t="str">
        <f aca="false">IF(B423="","",IF(COUNTIF('MiT Strom Pipeline'!$B$6:$B$904,B423)&gt;0,"✓",""))</f>
        <v/>
      </c>
      <c r="I423" s="22" t="str">
        <f aca="false">IF(B423="","",IFERROR(VLOOKUP(B423,'MiT Strom Pipeline'!$B$6:$R$904,17,0),""))</f>
        <v/>
      </c>
      <c r="J423" s="23"/>
    </row>
    <row r="424" customFormat="false" ht="19.5" hidden="false" customHeight="true" outlineLevel="0" collapsed="false">
      <c r="A424" s="130" t="n">
        <v>421</v>
      </c>
      <c r="B424" s="131" t="s">
        <v>739</v>
      </c>
      <c r="C424" s="131" t="s">
        <v>333</v>
      </c>
      <c r="D424" s="130" t="s">
        <v>319</v>
      </c>
      <c r="E424" s="131" t="s">
        <v>320</v>
      </c>
      <c r="F424" s="131"/>
      <c r="G424" s="131"/>
      <c r="H424" s="130" t="str">
        <f aca="false">IF(B424="","",IF(COUNTIF('MiT Strom Pipeline'!$B$6:$B$904,B424)&gt;0,"✓",""))</f>
        <v/>
      </c>
      <c r="I424" s="130" t="str">
        <f aca="false">IF(B424="","",IFERROR(VLOOKUP(B424,'MiT Strom Pipeline'!$B$6:$R$904,17,0),""))</f>
        <v/>
      </c>
      <c r="J424" s="131"/>
    </row>
    <row r="425" customFormat="false" ht="19.5" hidden="false" customHeight="true" outlineLevel="0" collapsed="false">
      <c r="A425" s="22" t="n">
        <v>422</v>
      </c>
      <c r="B425" s="23" t="s">
        <v>740</v>
      </c>
      <c r="C425" s="23" t="s">
        <v>84</v>
      </c>
      <c r="D425" s="22" t="s">
        <v>319</v>
      </c>
      <c r="E425" s="23" t="s">
        <v>328</v>
      </c>
      <c r="F425" s="23"/>
      <c r="G425" s="23"/>
      <c r="H425" s="22" t="str">
        <f aca="false">IF(B425="","",IF(COUNTIF('MiT Strom Pipeline'!$B$6:$B$904,B425)&gt;0,"✓",""))</f>
        <v/>
      </c>
      <c r="I425" s="22" t="str">
        <f aca="false">IF(B425="","",IFERROR(VLOOKUP(B425,'MiT Strom Pipeline'!$B$6:$R$904,17,0),""))</f>
        <v/>
      </c>
      <c r="J425" s="23"/>
    </row>
    <row r="426" customFormat="false" ht="19.5" hidden="false" customHeight="true" outlineLevel="0" collapsed="false">
      <c r="A426" s="130" t="n">
        <v>423</v>
      </c>
      <c r="B426" s="131" t="s">
        <v>416</v>
      </c>
      <c r="C426" s="131" t="s">
        <v>54</v>
      </c>
      <c r="D426" s="130" t="s">
        <v>319</v>
      </c>
      <c r="E426" s="131" t="s">
        <v>320</v>
      </c>
      <c r="F426" s="131"/>
      <c r="G426" s="131"/>
      <c r="H426" s="130" t="str">
        <f aca="false">IF(B426="","",IF(COUNTIF('MiT Strom Pipeline'!$B$6:$B$904,B426)&gt;0,"✓",""))</f>
        <v/>
      </c>
      <c r="I426" s="130" t="str">
        <f aca="false">IF(B426="","",IFERROR(VLOOKUP(B426,'MiT Strom Pipeline'!$B$6:$R$904,17,0),""))</f>
        <v/>
      </c>
      <c r="J426" s="131"/>
    </row>
    <row r="427" customFormat="false" ht="19.5" hidden="false" customHeight="true" outlineLevel="0" collapsed="false">
      <c r="A427" s="22" t="n">
        <v>424</v>
      </c>
      <c r="B427" s="23" t="s">
        <v>741</v>
      </c>
      <c r="C427" s="23" t="s">
        <v>349</v>
      </c>
      <c r="D427" s="22" t="s">
        <v>319</v>
      </c>
      <c r="E427" s="23" t="s">
        <v>320</v>
      </c>
      <c r="F427" s="23"/>
      <c r="G427" s="23"/>
      <c r="H427" s="22" t="str">
        <f aca="false">IF(B427="","",IF(COUNTIF('MiT Strom Pipeline'!$B$6:$B$904,B427)&gt;0,"✓",""))</f>
        <v/>
      </c>
      <c r="I427" s="22" t="str">
        <f aca="false">IF(B427="","",IFERROR(VLOOKUP(B427,'MiT Strom Pipeline'!$B$6:$R$904,17,0),""))</f>
        <v/>
      </c>
      <c r="J427" s="23"/>
    </row>
    <row r="428" customFormat="false" ht="19.5" hidden="false" customHeight="true" outlineLevel="0" collapsed="false">
      <c r="A428" s="130" t="n">
        <v>425</v>
      </c>
      <c r="B428" s="131" t="s">
        <v>742</v>
      </c>
      <c r="C428" s="131" t="s">
        <v>84</v>
      </c>
      <c r="D428" s="130" t="s">
        <v>319</v>
      </c>
      <c r="E428" s="131" t="s">
        <v>328</v>
      </c>
      <c r="F428" s="131"/>
      <c r="G428" s="131"/>
      <c r="H428" s="130" t="str">
        <f aca="false">IF(B428="","",IF(COUNTIF('MiT Strom Pipeline'!$B$6:$B$904,B428)&gt;0,"✓",""))</f>
        <v/>
      </c>
      <c r="I428" s="130" t="str">
        <f aca="false">IF(B428="","",IFERROR(VLOOKUP(B428,'MiT Strom Pipeline'!$B$6:$R$904,17,0),""))</f>
        <v/>
      </c>
      <c r="J428" s="131"/>
    </row>
    <row r="429" customFormat="false" ht="19.5" hidden="false" customHeight="true" outlineLevel="0" collapsed="false">
      <c r="A429" s="22" t="n">
        <v>426</v>
      </c>
      <c r="B429" s="23" t="s">
        <v>743</v>
      </c>
      <c r="C429" s="23" t="s">
        <v>84</v>
      </c>
      <c r="D429" s="22" t="s">
        <v>319</v>
      </c>
      <c r="E429" s="23" t="s">
        <v>481</v>
      </c>
      <c r="F429" s="23"/>
      <c r="G429" s="23"/>
      <c r="H429" s="22" t="str">
        <f aca="false">IF(B429="","",IF(COUNTIF('MiT Strom Pipeline'!$B$6:$B$904,B429)&gt;0,"✓",""))</f>
        <v/>
      </c>
      <c r="I429" s="22" t="str">
        <f aca="false">IF(B429="","",IFERROR(VLOOKUP(B429,'MiT Strom Pipeline'!$B$6:$R$904,17,0),""))</f>
        <v/>
      </c>
      <c r="J429" s="23"/>
    </row>
    <row r="430" customFormat="false" ht="19.5" hidden="false" customHeight="true" outlineLevel="0" collapsed="false">
      <c r="A430" s="130" t="n">
        <v>427</v>
      </c>
      <c r="B430" s="131" t="s">
        <v>744</v>
      </c>
      <c r="C430" s="131" t="s">
        <v>84</v>
      </c>
      <c r="D430" s="130" t="s">
        <v>319</v>
      </c>
      <c r="E430" s="131" t="s">
        <v>320</v>
      </c>
      <c r="F430" s="131"/>
      <c r="G430" s="131"/>
      <c r="H430" s="130" t="str">
        <f aca="false">IF(B430="","",IF(COUNTIF('MiT Strom Pipeline'!$B$6:$B$904,B430)&gt;0,"✓",""))</f>
        <v/>
      </c>
      <c r="I430" s="130" t="str">
        <f aca="false">IF(B430="","",IFERROR(VLOOKUP(B430,'MiT Strom Pipeline'!$B$6:$R$904,17,0),""))</f>
        <v/>
      </c>
      <c r="J430" s="131"/>
    </row>
    <row r="431" customFormat="false" ht="19.5" hidden="false" customHeight="true" outlineLevel="0" collapsed="false">
      <c r="A431" s="22" t="n">
        <v>428</v>
      </c>
      <c r="B431" s="23" t="s">
        <v>745</v>
      </c>
      <c r="C431" s="23" t="s">
        <v>360</v>
      </c>
      <c r="D431" s="22" t="s">
        <v>319</v>
      </c>
      <c r="E431" s="23" t="s">
        <v>328</v>
      </c>
      <c r="F431" s="23"/>
      <c r="G431" s="23"/>
      <c r="H431" s="22" t="str">
        <f aca="false">IF(B431="","",IF(COUNTIF('MiT Strom Pipeline'!$B$6:$B$904,B431)&gt;0,"✓",""))</f>
        <v/>
      </c>
      <c r="I431" s="22" t="str">
        <f aca="false">IF(B431="","",IFERROR(VLOOKUP(B431,'MiT Strom Pipeline'!$B$6:$R$904,17,0),""))</f>
        <v/>
      </c>
      <c r="J431" s="23"/>
    </row>
    <row r="432" customFormat="false" ht="19.5" hidden="false" customHeight="true" outlineLevel="0" collapsed="false">
      <c r="A432" s="130" t="n">
        <v>429</v>
      </c>
      <c r="B432" s="131" t="s">
        <v>746</v>
      </c>
      <c r="C432" s="131" t="s">
        <v>84</v>
      </c>
      <c r="D432" s="130" t="s">
        <v>319</v>
      </c>
      <c r="E432" s="131" t="s">
        <v>328</v>
      </c>
      <c r="F432" s="131"/>
      <c r="G432" s="131"/>
      <c r="H432" s="130" t="str">
        <f aca="false">IF(B432="","",IF(COUNTIF('MiT Strom Pipeline'!$B$6:$B$904,B432)&gt;0,"✓",""))</f>
        <v/>
      </c>
      <c r="I432" s="130" t="str">
        <f aca="false">IF(B432="","",IFERROR(VLOOKUP(B432,'MiT Strom Pipeline'!$B$6:$R$904,17,0),""))</f>
        <v/>
      </c>
      <c r="J432" s="131"/>
    </row>
    <row r="433" customFormat="false" ht="19.5" hidden="false" customHeight="true" outlineLevel="0" collapsed="false">
      <c r="A433" s="22" t="n">
        <v>430</v>
      </c>
      <c r="B433" s="23" t="s">
        <v>747</v>
      </c>
      <c r="C433" s="23" t="s">
        <v>84</v>
      </c>
      <c r="D433" s="22" t="s">
        <v>319</v>
      </c>
      <c r="E433" s="23" t="s">
        <v>320</v>
      </c>
      <c r="F433" s="23"/>
      <c r="G433" s="23"/>
      <c r="H433" s="22" t="str">
        <f aca="false">IF(B433="","",IF(COUNTIF('MiT Strom Pipeline'!$B$6:$B$904,B433)&gt;0,"✓",""))</f>
        <v/>
      </c>
      <c r="I433" s="22" t="str">
        <f aca="false">IF(B433="","",IFERROR(VLOOKUP(B433,'MiT Strom Pipeline'!$B$6:$R$904,17,0),""))</f>
        <v/>
      </c>
      <c r="J433" s="23"/>
    </row>
    <row r="434" customFormat="false" ht="19.5" hidden="false" customHeight="true" outlineLevel="0" collapsed="false">
      <c r="A434" s="130" t="n">
        <v>431</v>
      </c>
      <c r="B434" s="131" t="s">
        <v>748</v>
      </c>
      <c r="C434" s="131" t="s">
        <v>84</v>
      </c>
      <c r="D434" s="130" t="s">
        <v>319</v>
      </c>
      <c r="E434" s="131" t="s">
        <v>320</v>
      </c>
      <c r="F434" s="131"/>
      <c r="G434" s="131"/>
      <c r="H434" s="130" t="str">
        <f aca="false">IF(B434="","",IF(COUNTIF('MiT Strom Pipeline'!$B$6:$B$904,B434)&gt;0,"✓",""))</f>
        <v/>
      </c>
      <c r="I434" s="130" t="str">
        <f aca="false">IF(B434="","",IFERROR(VLOOKUP(B434,'MiT Strom Pipeline'!$B$6:$R$904,17,0),""))</f>
        <v/>
      </c>
      <c r="J434" s="131"/>
    </row>
    <row r="435" customFormat="false" ht="19.5" hidden="false" customHeight="true" outlineLevel="0" collapsed="false">
      <c r="A435" s="22" t="n">
        <v>432</v>
      </c>
      <c r="B435" s="23" t="s">
        <v>749</v>
      </c>
      <c r="C435" s="23" t="s">
        <v>84</v>
      </c>
      <c r="D435" s="22" t="s">
        <v>319</v>
      </c>
      <c r="E435" s="23" t="s">
        <v>320</v>
      </c>
      <c r="F435" s="23"/>
      <c r="G435" s="23"/>
      <c r="H435" s="22" t="str">
        <f aca="false">IF(B435="","",IF(COUNTIF('MiT Strom Pipeline'!$B$6:$B$904,B435)&gt;0,"✓",""))</f>
        <v/>
      </c>
      <c r="I435" s="22" t="str">
        <f aca="false">IF(B435="","",IFERROR(VLOOKUP(B435,'MiT Strom Pipeline'!$B$6:$R$904,17,0),""))</f>
        <v/>
      </c>
      <c r="J435" s="23"/>
    </row>
    <row r="436" customFormat="false" ht="19.5" hidden="false" customHeight="true" outlineLevel="0" collapsed="false">
      <c r="A436" s="130" t="n">
        <v>433</v>
      </c>
      <c r="B436" s="131" t="s">
        <v>750</v>
      </c>
      <c r="C436" s="131" t="s">
        <v>347</v>
      </c>
      <c r="D436" s="130" t="s">
        <v>319</v>
      </c>
      <c r="E436" s="131" t="s">
        <v>320</v>
      </c>
      <c r="F436" s="131"/>
      <c r="G436" s="131"/>
      <c r="H436" s="130" t="str">
        <f aca="false">IF(B436="","",IF(COUNTIF('MiT Strom Pipeline'!$B$6:$B$904,B436)&gt;0,"✓",""))</f>
        <v/>
      </c>
      <c r="I436" s="130" t="str">
        <f aca="false">IF(B436="","",IFERROR(VLOOKUP(B436,'MiT Strom Pipeline'!$B$6:$R$904,17,0),""))</f>
        <v/>
      </c>
      <c r="J436" s="131"/>
    </row>
    <row r="437" customFormat="false" ht="19.5" hidden="false" customHeight="true" outlineLevel="0" collapsed="false">
      <c r="A437" s="22" t="n">
        <v>434</v>
      </c>
      <c r="B437" s="23" t="s">
        <v>751</v>
      </c>
      <c r="C437" s="23" t="s">
        <v>51</v>
      </c>
      <c r="D437" s="22" t="s">
        <v>319</v>
      </c>
      <c r="E437" s="23" t="s">
        <v>320</v>
      </c>
      <c r="F437" s="23"/>
      <c r="G437" s="23"/>
      <c r="H437" s="22" t="str">
        <f aca="false">IF(B437="","",IF(COUNTIF('MiT Strom Pipeline'!$B$6:$B$904,B437)&gt;0,"✓",""))</f>
        <v/>
      </c>
      <c r="I437" s="22" t="str">
        <f aca="false">IF(B437="","",IFERROR(VLOOKUP(B437,'MiT Strom Pipeline'!$B$6:$R$904,17,0),""))</f>
        <v/>
      </c>
      <c r="J437" s="23"/>
    </row>
    <row r="438" customFormat="false" ht="19.5" hidden="false" customHeight="true" outlineLevel="0" collapsed="false">
      <c r="A438" s="130" t="n">
        <v>435</v>
      </c>
      <c r="B438" s="131" t="s">
        <v>752</v>
      </c>
      <c r="C438" s="131" t="s">
        <v>84</v>
      </c>
      <c r="D438" s="130" t="s">
        <v>319</v>
      </c>
      <c r="E438" s="131" t="s">
        <v>320</v>
      </c>
      <c r="F438" s="131"/>
      <c r="G438" s="131"/>
      <c r="H438" s="130" t="str">
        <f aca="false">IF(B438="","",IF(COUNTIF('MiT Strom Pipeline'!$B$6:$B$904,B438)&gt;0,"✓",""))</f>
        <v/>
      </c>
      <c r="I438" s="130" t="str">
        <f aca="false">IF(B438="","",IFERROR(VLOOKUP(B438,'MiT Strom Pipeline'!$B$6:$R$904,17,0),""))</f>
        <v/>
      </c>
      <c r="J438" s="131"/>
    </row>
    <row r="439" customFormat="false" ht="19.5" hidden="false" customHeight="true" outlineLevel="0" collapsed="false">
      <c r="A439" s="22" t="n">
        <v>436</v>
      </c>
      <c r="B439" s="23" t="s">
        <v>753</v>
      </c>
      <c r="C439" s="23" t="s">
        <v>51</v>
      </c>
      <c r="D439" s="22" t="s">
        <v>319</v>
      </c>
      <c r="E439" s="23" t="s">
        <v>320</v>
      </c>
      <c r="F439" s="23"/>
      <c r="G439" s="23"/>
      <c r="H439" s="22" t="str">
        <f aca="false">IF(B439="","",IF(COUNTIF('MiT Strom Pipeline'!$B$6:$B$904,B439)&gt;0,"✓",""))</f>
        <v/>
      </c>
      <c r="I439" s="22" t="str">
        <f aca="false">IF(B439="","",IFERROR(VLOOKUP(B439,'MiT Strom Pipeline'!$B$6:$R$904,17,0),""))</f>
        <v/>
      </c>
      <c r="J439" s="23"/>
    </row>
    <row r="440" customFormat="false" ht="19.5" hidden="false" customHeight="true" outlineLevel="0" collapsed="false">
      <c r="A440" s="130" t="n">
        <v>437</v>
      </c>
      <c r="B440" s="131" t="s">
        <v>754</v>
      </c>
      <c r="C440" s="131" t="s">
        <v>84</v>
      </c>
      <c r="D440" s="130" t="s">
        <v>319</v>
      </c>
      <c r="E440" s="131" t="s">
        <v>320</v>
      </c>
      <c r="F440" s="131"/>
      <c r="G440" s="131"/>
      <c r="H440" s="130" t="str">
        <f aca="false">IF(B440="","",IF(COUNTIF('MiT Strom Pipeline'!$B$6:$B$904,B440)&gt;0,"✓",""))</f>
        <v/>
      </c>
      <c r="I440" s="130" t="str">
        <f aca="false">IF(B440="","",IFERROR(VLOOKUP(B440,'MiT Strom Pipeline'!$B$6:$R$904,17,0),""))</f>
        <v/>
      </c>
      <c r="J440" s="131"/>
    </row>
    <row r="441" customFormat="false" ht="19.5" hidden="false" customHeight="true" outlineLevel="0" collapsed="false">
      <c r="A441" s="22" t="n">
        <v>438</v>
      </c>
      <c r="B441" s="23" t="s">
        <v>755</v>
      </c>
      <c r="C441" s="23" t="s">
        <v>84</v>
      </c>
      <c r="D441" s="22" t="s">
        <v>319</v>
      </c>
      <c r="E441" s="23" t="s">
        <v>328</v>
      </c>
      <c r="F441" s="23"/>
      <c r="G441" s="23"/>
      <c r="H441" s="22" t="str">
        <f aca="false">IF(B441="","",IF(COUNTIF('MiT Strom Pipeline'!$B$6:$B$904,B441)&gt;0,"✓",""))</f>
        <v/>
      </c>
      <c r="I441" s="22" t="str">
        <f aca="false">IF(B441="","",IFERROR(VLOOKUP(B441,'MiT Strom Pipeline'!$B$6:$R$904,17,0),""))</f>
        <v/>
      </c>
      <c r="J441" s="23"/>
    </row>
    <row r="442" customFormat="false" ht="19.5" hidden="false" customHeight="true" outlineLevel="0" collapsed="false">
      <c r="A442" s="130" t="n">
        <v>439</v>
      </c>
      <c r="B442" s="131" t="s">
        <v>756</v>
      </c>
      <c r="C442" s="131" t="s">
        <v>84</v>
      </c>
      <c r="D442" s="130" t="s">
        <v>319</v>
      </c>
      <c r="E442" s="131" t="s">
        <v>320</v>
      </c>
      <c r="F442" s="131"/>
      <c r="G442" s="131"/>
      <c r="H442" s="130" t="str">
        <f aca="false">IF(B442="","",IF(COUNTIF('MiT Strom Pipeline'!$B$6:$B$904,B442)&gt;0,"✓",""))</f>
        <v/>
      </c>
      <c r="I442" s="130" t="str">
        <f aca="false">IF(B442="","",IFERROR(VLOOKUP(B442,'MiT Strom Pipeline'!$B$6:$R$904,17,0),""))</f>
        <v/>
      </c>
      <c r="J442" s="131"/>
    </row>
    <row r="443" customFormat="false" ht="19.5" hidden="false" customHeight="true" outlineLevel="0" collapsed="false">
      <c r="A443" s="22" t="n">
        <v>440</v>
      </c>
      <c r="B443" s="23" t="s">
        <v>757</v>
      </c>
      <c r="C443" s="23" t="s">
        <v>84</v>
      </c>
      <c r="D443" s="22" t="s">
        <v>319</v>
      </c>
      <c r="E443" s="23" t="s">
        <v>328</v>
      </c>
      <c r="F443" s="23"/>
      <c r="G443" s="23"/>
      <c r="H443" s="22" t="str">
        <f aca="false">IF(B443="","",IF(COUNTIF('MiT Strom Pipeline'!$B$6:$B$904,B443)&gt;0,"✓",""))</f>
        <v/>
      </c>
      <c r="I443" s="22" t="str">
        <f aca="false">IF(B443="","",IFERROR(VLOOKUP(B443,'MiT Strom Pipeline'!$B$6:$R$904,17,0),""))</f>
        <v/>
      </c>
      <c r="J443" s="23"/>
    </row>
    <row r="444" customFormat="false" ht="19.5" hidden="false" customHeight="true" outlineLevel="0" collapsed="false">
      <c r="A444" s="130" t="n">
        <v>441</v>
      </c>
      <c r="B444" s="131" t="s">
        <v>757</v>
      </c>
      <c r="C444" s="131" t="s">
        <v>84</v>
      </c>
      <c r="D444" s="130" t="s">
        <v>319</v>
      </c>
      <c r="E444" s="131" t="s">
        <v>328</v>
      </c>
      <c r="F444" s="131"/>
      <c r="G444" s="131"/>
      <c r="H444" s="130" t="str">
        <f aca="false">IF(B444="","",IF(COUNTIF('MiT Strom Pipeline'!$B$6:$B$904,B444)&gt;0,"✓",""))</f>
        <v/>
      </c>
      <c r="I444" s="130" t="str">
        <f aca="false">IF(B444="","",IFERROR(VLOOKUP(B444,'MiT Strom Pipeline'!$B$6:$R$904,17,0),""))</f>
        <v/>
      </c>
      <c r="J444" s="131"/>
    </row>
    <row r="445" customFormat="false" ht="19.5" hidden="false" customHeight="true" outlineLevel="0" collapsed="false">
      <c r="A445" s="22" t="n">
        <v>442</v>
      </c>
      <c r="B445" s="23" t="s">
        <v>758</v>
      </c>
      <c r="C445" s="23" t="s">
        <v>84</v>
      </c>
      <c r="D445" s="22" t="s">
        <v>319</v>
      </c>
      <c r="E445" s="23" t="s">
        <v>320</v>
      </c>
      <c r="F445" s="23"/>
      <c r="G445" s="23"/>
      <c r="H445" s="22" t="str">
        <f aca="false">IF(B445="","",IF(COUNTIF('MiT Strom Pipeline'!$B$6:$B$904,B445)&gt;0,"✓",""))</f>
        <v/>
      </c>
      <c r="I445" s="22" t="str">
        <f aca="false">IF(B445="","",IFERROR(VLOOKUP(B445,'MiT Strom Pipeline'!$B$6:$R$904,17,0),""))</f>
        <v/>
      </c>
      <c r="J445" s="23"/>
    </row>
    <row r="446" customFormat="false" ht="19.5" hidden="false" customHeight="true" outlineLevel="0" collapsed="false">
      <c r="A446" s="130" t="n">
        <v>443</v>
      </c>
      <c r="B446" s="131" t="s">
        <v>759</v>
      </c>
      <c r="C446" s="131" t="s">
        <v>84</v>
      </c>
      <c r="D446" s="130" t="s">
        <v>319</v>
      </c>
      <c r="E446" s="131" t="s">
        <v>320</v>
      </c>
      <c r="F446" s="131"/>
      <c r="G446" s="131"/>
      <c r="H446" s="130" t="str">
        <f aca="false">IF(B446="","",IF(COUNTIF('MiT Strom Pipeline'!$B$6:$B$904,B446)&gt;0,"✓",""))</f>
        <v/>
      </c>
      <c r="I446" s="130" t="str">
        <f aca="false">IF(B446="","",IFERROR(VLOOKUP(B446,'MiT Strom Pipeline'!$B$6:$R$904,17,0),""))</f>
        <v/>
      </c>
      <c r="J446" s="131"/>
    </row>
    <row r="447" customFormat="false" ht="19.5" hidden="false" customHeight="true" outlineLevel="0" collapsed="false">
      <c r="A447" s="22" t="n">
        <v>444</v>
      </c>
      <c r="B447" s="23" t="s">
        <v>760</v>
      </c>
      <c r="C447" s="23" t="s">
        <v>84</v>
      </c>
      <c r="D447" s="22" t="s">
        <v>319</v>
      </c>
      <c r="E447" s="23" t="s">
        <v>320</v>
      </c>
      <c r="F447" s="23"/>
      <c r="G447" s="23"/>
      <c r="H447" s="22" t="str">
        <f aca="false">IF(B447="","",IF(COUNTIF('MiT Strom Pipeline'!$B$6:$B$904,B447)&gt;0,"✓",""))</f>
        <v/>
      </c>
      <c r="I447" s="22" t="str">
        <f aca="false">IF(B447="","",IFERROR(VLOOKUP(B447,'MiT Strom Pipeline'!$B$6:$R$904,17,0),""))</f>
        <v/>
      </c>
      <c r="J447" s="23"/>
    </row>
    <row r="448" customFormat="false" ht="19.5" hidden="false" customHeight="true" outlineLevel="0" collapsed="false">
      <c r="A448" s="130" t="n">
        <v>445</v>
      </c>
      <c r="B448" s="131" t="s">
        <v>761</v>
      </c>
      <c r="C448" s="131" t="s">
        <v>84</v>
      </c>
      <c r="D448" s="130" t="s">
        <v>319</v>
      </c>
      <c r="E448" s="131" t="s">
        <v>320</v>
      </c>
      <c r="F448" s="131"/>
      <c r="G448" s="131"/>
      <c r="H448" s="130" t="str">
        <f aca="false">IF(B448="","",IF(COUNTIF('MiT Strom Pipeline'!$B$6:$B$904,B448)&gt;0,"✓",""))</f>
        <v/>
      </c>
      <c r="I448" s="130" t="str">
        <f aca="false">IF(B448="","",IFERROR(VLOOKUP(B448,'MiT Strom Pipeline'!$B$6:$R$904,17,0),""))</f>
        <v/>
      </c>
      <c r="J448" s="131"/>
    </row>
    <row r="449" customFormat="false" ht="19.5" hidden="false" customHeight="true" outlineLevel="0" collapsed="false">
      <c r="A449" s="22" t="n">
        <v>446</v>
      </c>
      <c r="B449" s="23" t="s">
        <v>762</v>
      </c>
      <c r="C449" s="23" t="s">
        <v>84</v>
      </c>
      <c r="D449" s="22" t="s">
        <v>319</v>
      </c>
      <c r="E449" s="23" t="s">
        <v>320</v>
      </c>
      <c r="F449" s="23"/>
      <c r="G449" s="23"/>
      <c r="H449" s="22" t="str">
        <f aca="false">IF(B449="","",IF(COUNTIF('MiT Strom Pipeline'!$B$6:$B$904,B449)&gt;0,"✓",""))</f>
        <v/>
      </c>
      <c r="I449" s="22" t="str">
        <f aca="false">IF(B449="","",IFERROR(VLOOKUP(B449,'MiT Strom Pipeline'!$B$6:$R$904,17,0),""))</f>
        <v/>
      </c>
      <c r="J449" s="23"/>
    </row>
    <row r="450" customFormat="false" ht="19.5" hidden="false" customHeight="true" outlineLevel="0" collapsed="false">
      <c r="A450" s="130" t="n">
        <v>447</v>
      </c>
      <c r="B450" s="131" t="s">
        <v>763</v>
      </c>
      <c r="C450" s="131" t="s">
        <v>84</v>
      </c>
      <c r="D450" s="130" t="s">
        <v>319</v>
      </c>
      <c r="E450" s="131" t="s">
        <v>320</v>
      </c>
      <c r="F450" s="131"/>
      <c r="G450" s="131"/>
      <c r="H450" s="130" t="str">
        <f aca="false">IF(B450="","",IF(COUNTIF('MiT Strom Pipeline'!$B$6:$B$904,B450)&gt;0,"✓",""))</f>
        <v/>
      </c>
      <c r="I450" s="130" t="str">
        <f aca="false">IF(B450="","",IFERROR(VLOOKUP(B450,'MiT Strom Pipeline'!$B$6:$R$904,17,0),""))</f>
        <v/>
      </c>
      <c r="J450" s="131"/>
    </row>
    <row r="451" customFormat="false" ht="19.5" hidden="false" customHeight="true" outlineLevel="0" collapsed="false">
      <c r="A451" s="22" t="n">
        <v>448</v>
      </c>
      <c r="B451" s="23" t="s">
        <v>764</v>
      </c>
      <c r="C451" s="23" t="s">
        <v>84</v>
      </c>
      <c r="D451" s="22" t="s">
        <v>319</v>
      </c>
      <c r="E451" s="23" t="s">
        <v>320</v>
      </c>
      <c r="F451" s="23"/>
      <c r="G451" s="23"/>
      <c r="H451" s="22" t="str">
        <f aca="false">IF(B451="","",IF(COUNTIF('MiT Strom Pipeline'!$B$6:$B$904,B451)&gt;0,"✓",""))</f>
        <v/>
      </c>
      <c r="I451" s="22" t="str">
        <f aca="false">IF(B451="","",IFERROR(VLOOKUP(B451,'MiT Strom Pipeline'!$B$6:$R$904,17,0),""))</f>
        <v/>
      </c>
      <c r="J451" s="23"/>
    </row>
    <row r="452" customFormat="false" ht="19.5" hidden="false" customHeight="true" outlineLevel="0" collapsed="false">
      <c r="A452" s="130" t="n">
        <v>449</v>
      </c>
      <c r="B452" s="131" t="s">
        <v>765</v>
      </c>
      <c r="C452" s="131" t="s">
        <v>84</v>
      </c>
      <c r="D452" s="130" t="s">
        <v>319</v>
      </c>
      <c r="E452" s="131" t="s">
        <v>320</v>
      </c>
      <c r="F452" s="131"/>
      <c r="G452" s="131"/>
      <c r="H452" s="130" t="str">
        <f aca="false">IF(B452="","",IF(COUNTIF('MiT Strom Pipeline'!$B$6:$B$904,B452)&gt;0,"✓",""))</f>
        <v/>
      </c>
      <c r="I452" s="130" t="str">
        <f aca="false">IF(B452="","",IFERROR(VLOOKUP(B452,'MiT Strom Pipeline'!$B$6:$R$904,17,0),""))</f>
        <v/>
      </c>
      <c r="J452" s="131"/>
    </row>
    <row r="453" customFormat="false" ht="19.5" hidden="false" customHeight="true" outlineLevel="0" collapsed="false">
      <c r="A453" s="22" t="n">
        <v>450</v>
      </c>
      <c r="B453" s="23" t="s">
        <v>766</v>
      </c>
      <c r="C453" s="23" t="s">
        <v>84</v>
      </c>
      <c r="D453" s="22" t="s">
        <v>319</v>
      </c>
      <c r="E453" s="23" t="s">
        <v>320</v>
      </c>
      <c r="F453" s="23"/>
      <c r="G453" s="23"/>
      <c r="H453" s="22" t="str">
        <f aca="false">IF(B453="","",IF(COUNTIF('MiT Strom Pipeline'!$B$6:$B$904,B453)&gt;0,"✓",""))</f>
        <v/>
      </c>
      <c r="I453" s="22" t="str">
        <f aca="false">IF(B453="","",IFERROR(VLOOKUP(B453,'MiT Strom Pipeline'!$B$6:$R$904,17,0),""))</f>
        <v/>
      </c>
      <c r="J453" s="23"/>
    </row>
    <row r="454" customFormat="false" ht="19.5" hidden="false" customHeight="true" outlineLevel="0" collapsed="false">
      <c r="A454" s="130" t="n">
        <v>451</v>
      </c>
      <c r="B454" s="131" t="s">
        <v>767</v>
      </c>
      <c r="C454" s="131" t="s">
        <v>84</v>
      </c>
      <c r="D454" s="130" t="s">
        <v>319</v>
      </c>
      <c r="E454" s="131" t="s">
        <v>320</v>
      </c>
      <c r="F454" s="131"/>
      <c r="G454" s="131"/>
      <c r="H454" s="130" t="str">
        <f aca="false">IF(B454="","",IF(COUNTIF('MiT Strom Pipeline'!$B$6:$B$904,B454)&gt;0,"✓",""))</f>
        <v/>
      </c>
      <c r="I454" s="130" t="str">
        <f aca="false">IF(B454="","",IFERROR(VLOOKUP(B454,'MiT Strom Pipeline'!$B$6:$R$904,17,0),""))</f>
        <v/>
      </c>
      <c r="J454" s="131"/>
    </row>
    <row r="455" customFormat="false" ht="19.5" hidden="false" customHeight="true" outlineLevel="0" collapsed="false">
      <c r="A455" s="22" t="n">
        <v>452</v>
      </c>
      <c r="B455" s="23" t="s">
        <v>768</v>
      </c>
      <c r="C455" s="23" t="s">
        <v>84</v>
      </c>
      <c r="D455" s="22" t="s">
        <v>319</v>
      </c>
      <c r="E455" s="23" t="s">
        <v>320</v>
      </c>
      <c r="F455" s="23"/>
      <c r="G455" s="23"/>
      <c r="H455" s="22" t="str">
        <f aca="false">IF(B455="","",IF(COUNTIF('MiT Strom Pipeline'!$B$6:$B$904,B455)&gt;0,"✓",""))</f>
        <v/>
      </c>
      <c r="I455" s="22" t="str">
        <f aca="false">IF(B455="","",IFERROR(VLOOKUP(B455,'MiT Strom Pipeline'!$B$6:$R$904,17,0),""))</f>
        <v/>
      </c>
      <c r="J455" s="23"/>
    </row>
    <row r="456" customFormat="false" ht="19.5" hidden="false" customHeight="true" outlineLevel="0" collapsed="false">
      <c r="A456" s="130" t="n">
        <v>453</v>
      </c>
      <c r="B456" s="131" t="s">
        <v>391</v>
      </c>
      <c r="C456" s="131" t="s">
        <v>84</v>
      </c>
      <c r="D456" s="130" t="s">
        <v>319</v>
      </c>
      <c r="E456" s="131" t="s">
        <v>320</v>
      </c>
      <c r="F456" s="131"/>
      <c r="G456" s="131"/>
      <c r="H456" s="130" t="str">
        <f aca="false">IF(B456="","",IF(COUNTIF('MiT Strom Pipeline'!$B$6:$B$904,B456)&gt;0,"✓",""))</f>
        <v/>
      </c>
      <c r="I456" s="130" t="str">
        <f aca="false">IF(B456="","",IFERROR(VLOOKUP(B456,'MiT Strom Pipeline'!$B$6:$R$904,17,0),""))</f>
        <v/>
      </c>
      <c r="J456" s="131"/>
    </row>
    <row r="457" customFormat="false" ht="19.5" hidden="false" customHeight="true" outlineLevel="0" collapsed="false">
      <c r="A457" s="22" t="n">
        <v>454</v>
      </c>
      <c r="B457" s="23" t="s">
        <v>769</v>
      </c>
      <c r="C457" s="23" t="s">
        <v>360</v>
      </c>
      <c r="D457" s="22" t="s">
        <v>319</v>
      </c>
      <c r="E457" s="23" t="s">
        <v>320</v>
      </c>
      <c r="F457" s="23"/>
      <c r="G457" s="23"/>
      <c r="H457" s="22" t="str">
        <f aca="false">IF(B457="","",IF(COUNTIF('MiT Strom Pipeline'!$B$6:$B$904,B457)&gt;0,"✓",""))</f>
        <v/>
      </c>
      <c r="I457" s="22" t="str">
        <f aca="false">IF(B457="","",IFERROR(VLOOKUP(B457,'MiT Strom Pipeline'!$B$6:$R$904,17,0),""))</f>
        <v/>
      </c>
      <c r="J457" s="23"/>
    </row>
    <row r="458" customFormat="false" ht="19.5" hidden="false" customHeight="true" outlineLevel="0" collapsed="false">
      <c r="A458" s="130" t="n">
        <v>455</v>
      </c>
      <c r="B458" s="131" t="s">
        <v>769</v>
      </c>
      <c r="C458" s="131" t="s">
        <v>360</v>
      </c>
      <c r="D458" s="130" t="s">
        <v>319</v>
      </c>
      <c r="E458" s="131" t="s">
        <v>320</v>
      </c>
      <c r="F458" s="131"/>
      <c r="G458" s="131"/>
      <c r="H458" s="130" t="str">
        <f aca="false">IF(B458="","",IF(COUNTIF('MiT Strom Pipeline'!$B$6:$B$904,B458)&gt;0,"✓",""))</f>
        <v/>
      </c>
      <c r="I458" s="130" t="str">
        <f aca="false">IF(B458="","",IFERROR(VLOOKUP(B458,'MiT Strom Pipeline'!$B$6:$R$904,17,0),""))</f>
        <v/>
      </c>
      <c r="J458" s="131"/>
    </row>
    <row r="459" customFormat="false" ht="19.5" hidden="false" customHeight="true" outlineLevel="0" collapsed="false">
      <c r="A459" s="22" t="n">
        <v>456</v>
      </c>
      <c r="B459" s="23" t="s">
        <v>770</v>
      </c>
      <c r="C459" s="23" t="s">
        <v>84</v>
      </c>
      <c r="D459" s="22" t="s">
        <v>319</v>
      </c>
      <c r="E459" s="23" t="s">
        <v>320</v>
      </c>
      <c r="F459" s="23"/>
      <c r="G459" s="23"/>
      <c r="H459" s="22" t="str">
        <f aca="false">IF(B459="","",IF(COUNTIF('MiT Strom Pipeline'!$B$6:$B$904,B459)&gt;0,"✓",""))</f>
        <v/>
      </c>
      <c r="I459" s="22" t="str">
        <f aca="false">IF(B459="","",IFERROR(VLOOKUP(B459,'MiT Strom Pipeline'!$B$6:$R$904,17,0),""))</f>
        <v/>
      </c>
      <c r="J459" s="23"/>
    </row>
    <row r="460" customFormat="false" ht="19.5" hidden="false" customHeight="true" outlineLevel="0" collapsed="false">
      <c r="A460" s="130" t="n">
        <v>457</v>
      </c>
      <c r="B460" s="131" t="s">
        <v>771</v>
      </c>
      <c r="C460" s="131" t="s">
        <v>84</v>
      </c>
      <c r="D460" s="130" t="s">
        <v>319</v>
      </c>
      <c r="E460" s="131" t="s">
        <v>328</v>
      </c>
      <c r="F460" s="131"/>
      <c r="G460" s="131"/>
      <c r="H460" s="130" t="str">
        <f aca="false">IF(B460="","",IF(COUNTIF('MiT Strom Pipeline'!$B$6:$B$904,B460)&gt;0,"✓",""))</f>
        <v/>
      </c>
      <c r="I460" s="130" t="str">
        <f aca="false">IF(B460="","",IFERROR(VLOOKUP(B460,'MiT Strom Pipeline'!$B$6:$R$904,17,0),""))</f>
        <v/>
      </c>
      <c r="J460" s="131"/>
    </row>
    <row r="461" customFormat="false" ht="19.5" hidden="false" customHeight="true" outlineLevel="0" collapsed="false">
      <c r="A461" s="22" t="n">
        <v>458</v>
      </c>
      <c r="B461" s="23" t="s">
        <v>772</v>
      </c>
      <c r="C461" s="23" t="s">
        <v>84</v>
      </c>
      <c r="D461" s="22" t="s">
        <v>319</v>
      </c>
      <c r="E461" s="23" t="s">
        <v>328</v>
      </c>
      <c r="F461" s="23"/>
      <c r="G461" s="23"/>
      <c r="H461" s="22" t="str">
        <f aca="false">IF(B461="","",IF(COUNTIF('MiT Strom Pipeline'!$B$6:$B$904,B461)&gt;0,"✓",""))</f>
        <v/>
      </c>
      <c r="I461" s="22" t="str">
        <f aca="false">IF(B461="","",IFERROR(VLOOKUP(B461,'MiT Strom Pipeline'!$B$6:$R$904,17,0),""))</f>
        <v/>
      </c>
      <c r="J461" s="23"/>
    </row>
    <row r="462" customFormat="false" ht="19.5" hidden="false" customHeight="true" outlineLevel="0" collapsed="false">
      <c r="A462" s="130" t="n">
        <v>459</v>
      </c>
      <c r="B462" s="131" t="s">
        <v>773</v>
      </c>
      <c r="C462" s="131" t="s">
        <v>84</v>
      </c>
      <c r="D462" s="130" t="s">
        <v>319</v>
      </c>
      <c r="E462" s="131" t="s">
        <v>320</v>
      </c>
      <c r="F462" s="131"/>
      <c r="G462" s="131"/>
      <c r="H462" s="130" t="str">
        <f aca="false">IF(B462="","",IF(COUNTIF('MiT Strom Pipeline'!$B$6:$B$904,B462)&gt;0,"✓",""))</f>
        <v/>
      </c>
      <c r="I462" s="130" t="str">
        <f aca="false">IF(B462="","",IFERROR(VLOOKUP(B462,'MiT Strom Pipeline'!$B$6:$R$904,17,0),""))</f>
        <v/>
      </c>
      <c r="J462" s="131"/>
    </row>
    <row r="463" customFormat="false" ht="19.5" hidden="false" customHeight="true" outlineLevel="0" collapsed="false">
      <c r="A463" s="22" t="n">
        <v>460</v>
      </c>
      <c r="B463" s="23" t="s">
        <v>774</v>
      </c>
      <c r="C463" s="23" t="s">
        <v>84</v>
      </c>
      <c r="D463" s="22" t="s">
        <v>319</v>
      </c>
      <c r="E463" s="23" t="s">
        <v>320</v>
      </c>
      <c r="F463" s="23"/>
      <c r="G463" s="23"/>
      <c r="H463" s="22" t="str">
        <f aca="false">IF(B463="","",IF(COUNTIF('MiT Strom Pipeline'!$B$6:$B$904,B463)&gt;0,"✓",""))</f>
        <v/>
      </c>
      <c r="I463" s="22" t="str">
        <f aca="false">IF(B463="","",IFERROR(VLOOKUP(B463,'MiT Strom Pipeline'!$B$6:$R$904,17,0),""))</f>
        <v/>
      </c>
      <c r="J463" s="23"/>
    </row>
    <row r="464" customFormat="false" ht="19.5" hidden="false" customHeight="true" outlineLevel="0" collapsed="false">
      <c r="A464" s="130" t="n">
        <v>461</v>
      </c>
      <c r="B464" s="131" t="s">
        <v>775</v>
      </c>
      <c r="C464" s="131" t="s">
        <v>84</v>
      </c>
      <c r="D464" s="130" t="s">
        <v>319</v>
      </c>
      <c r="E464" s="131" t="s">
        <v>320</v>
      </c>
      <c r="F464" s="131"/>
      <c r="G464" s="131"/>
      <c r="H464" s="130" t="str">
        <f aca="false">IF(B464="","",IF(COUNTIF('MiT Strom Pipeline'!$B$6:$B$904,B464)&gt;0,"✓",""))</f>
        <v/>
      </c>
      <c r="I464" s="130" t="str">
        <f aca="false">IF(B464="","",IFERROR(VLOOKUP(B464,'MiT Strom Pipeline'!$B$6:$R$904,17,0),""))</f>
        <v/>
      </c>
      <c r="J464" s="131"/>
    </row>
    <row r="465" customFormat="false" ht="19.5" hidden="false" customHeight="true" outlineLevel="0" collapsed="false">
      <c r="A465" s="22" t="n">
        <v>462</v>
      </c>
      <c r="B465" s="23" t="s">
        <v>776</v>
      </c>
      <c r="C465" s="23" t="s">
        <v>51</v>
      </c>
      <c r="D465" s="22" t="s">
        <v>319</v>
      </c>
      <c r="E465" s="23" t="s">
        <v>320</v>
      </c>
      <c r="F465" s="23"/>
      <c r="G465" s="23"/>
      <c r="H465" s="22" t="str">
        <f aca="false">IF(B465="","",IF(COUNTIF('MiT Strom Pipeline'!$B$6:$B$904,B465)&gt;0,"✓",""))</f>
        <v/>
      </c>
      <c r="I465" s="22" t="str">
        <f aca="false">IF(B465="","",IFERROR(VLOOKUP(B465,'MiT Strom Pipeline'!$B$6:$R$904,17,0),""))</f>
        <v/>
      </c>
      <c r="J465" s="23"/>
    </row>
    <row r="466" customFormat="false" ht="19.5" hidden="false" customHeight="true" outlineLevel="0" collapsed="false">
      <c r="A466" s="130" t="n">
        <v>463</v>
      </c>
      <c r="B466" s="131" t="s">
        <v>777</v>
      </c>
      <c r="C466" s="131" t="s">
        <v>360</v>
      </c>
      <c r="D466" s="130" t="s">
        <v>319</v>
      </c>
      <c r="E466" s="131" t="s">
        <v>320</v>
      </c>
      <c r="F466" s="131"/>
      <c r="G466" s="131"/>
      <c r="H466" s="130" t="str">
        <f aca="false">IF(B466="","",IF(COUNTIF('MiT Strom Pipeline'!$B$6:$B$904,B466)&gt;0,"✓",""))</f>
        <v/>
      </c>
      <c r="I466" s="130" t="str">
        <f aca="false">IF(B466="","",IFERROR(VLOOKUP(B466,'MiT Strom Pipeline'!$B$6:$R$904,17,0),""))</f>
        <v/>
      </c>
      <c r="J466" s="131"/>
    </row>
    <row r="467" customFormat="false" ht="19.5" hidden="false" customHeight="true" outlineLevel="0" collapsed="false">
      <c r="A467" s="22" t="n">
        <v>464</v>
      </c>
      <c r="B467" s="23" t="s">
        <v>778</v>
      </c>
      <c r="C467" s="23" t="s">
        <v>84</v>
      </c>
      <c r="D467" s="22" t="s">
        <v>319</v>
      </c>
      <c r="E467" s="23" t="s">
        <v>328</v>
      </c>
      <c r="F467" s="23"/>
      <c r="G467" s="23"/>
      <c r="H467" s="22" t="str">
        <f aca="false">IF(B467="","",IF(COUNTIF('MiT Strom Pipeline'!$B$6:$B$904,B467)&gt;0,"✓",""))</f>
        <v/>
      </c>
      <c r="I467" s="22" t="str">
        <f aca="false">IF(B467="","",IFERROR(VLOOKUP(B467,'MiT Strom Pipeline'!$B$6:$R$904,17,0),""))</f>
        <v/>
      </c>
      <c r="J467" s="23"/>
    </row>
    <row r="468" customFormat="false" ht="19.5" hidden="false" customHeight="true" outlineLevel="0" collapsed="false">
      <c r="A468" s="130" t="n">
        <v>465</v>
      </c>
      <c r="B468" s="131" t="s">
        <v>779</v>
      </c>
      <c r="C468" s="131" t="s">
        <v>347</v>
      </c>
      <c r="D468" s="130" t="s">
        <v>319</v>
      </c>
      <c r="E468" s="131" t="s">
        <v>328</v>
      </c>
      <c r="F468" s="131"/>
      <c r="G468" s="131"/>
      <c r="H468" s="130" t="str">
        <f aca="false">IF(B468="","",IF(COUNTIF('MiT Strom Pipeline'!$B$6:$B$904,B468)&gt;0,"✓",""))</f>
        <v/>
      </c>
      <c r="I468" s="130" t="str">
        <f aca="false">IF(B468="","",IFERROR(VLOOKUP(B468,'MiT Strom Pipeline'!$B$6:$R$904,17,0),""))</f>
        <v/>
      </c>
      <c r="J468" s="131"/>
    </row>
    <row r="469" customFormat="false" ht="19.5" hidden="false" customHeight="true" outlineLevel="0" collapsed="false">
      <c r="A469" s="22" t="n">
        <v>466</v>
      </c>
      <c r="B469" s="23" t="s">
        <v>780</v>
      </c>
      <c r="C469" s="23" t="s">
        <v>349</v>
      </c>
      <c r="D469" s="22" t="s">
        <v>319</v>
      </c>
      <c r="E469" s="23" t="s">
        <v>320</v>
      </c>
      <c r="F469" s="23"/>
      <c r="G469" s="23"/>
      <c r="H469" s="22" t="str">
        <f aca="false">IF(B469="","",IF(COUNTIF('MiT Strom Pipeline'!$B$6:$B$904,B469)&gt;0,"✓",""))</f>
        <v/>
      </c>
      <c r="I469" s="22" t="str">
        <f aca="false">IF(B469="","",IFERROR(VLOOKUP(B469,'MiT Strom Pipeline'!$B$6:$R$904,17,0),""))</f>
        <v/>
      </c>
      <c r="J469" s="23"/>
    </row>
    <row r="470" customFormat="false" ht="19.5" hidden="false" customHeight="true" outlineLevel="0" collapsed="false">
      <c r="A470" s="130" t="n">
        <v>467</v>
      </c>
      <c r="B470" s="131" t="s">
        <v>781</v>
      </c>
      <c r="C470" s="131" t="s">
        <v>84</v>
      </c>
      <c r="D470" s="130" t="s">
        <v>319</v>
      </c>
      <c r="E470" s="131" t="s">
        <v>320</v>
      </c>
      <c r="F470" s="131"/>
      <c r="G470" s="131"/>
      <c r="H470" s="130" t="str">
        <f aca="false">IF(B470="","",IF(COUNTIF('MiT Strom Pipeline'!$B$6:$B$904,B470)&gt;0,"✓",""))</f>
        <v/>
      </c>
      <c r="I470" s="130" t="str">
        <f aca="false">IF(B470="","",IFERROR(VLOOKUP(B470,'MiT Strom Pipeline'!$B$6:$R$904,17,0),""))</f>
        <v/>
      </c>
      <c r="J470" s="131"/>
    </row>
    <row r="471" customFormat="false" ht="19.5" hidden="false" customHeight="true" outlineLevel="0" collapsed="false">
      <c r="A471" s="22" t="n">
        <v>468</v>
      </c>
      <c r="B471" s="23" t="s">
        <v>782</v>
      </c>
      <c r="C471" s="23" t="s">
        <v>84</v>
      </c>
      <c r="D471" s="22" t="s">
        <v>319</v>
      </c>
      <c r="E471" s="23" t="s">
        <v>320</v>
      </c>
      <c r="F471" s="23"/>
      <c r="G471" s="23"/>
      <c r="H471" s="22" t="str">
        <f aca="false">IF(B471="","",IF(COUNTIF('MiT Strom Pipeline'!$B$6:$B$904,B471)&gt;0,"✓",""))</f>
        <v/>
      </c>
      <c r="I471" s="22" t="str">
        <f aca="false">IF(B471="","",IFERROR(VLOOKUP(B471,'MiT Strom Pipeline'!$B$6:$R$904,17,0),""))</f>
        <v/>
      </c>
      <c r="J471" s="23"/>
    </row>
    <row r="472" customFormat="false" ht="19.5" hidden="false" customHeight="true" outlineLevel="0" collapsed="false">
      <c r="A472" s="130" t="n">
        <v>469</v>
      </c>
      <c r="B472" s="131" t="s">
        <v>783</v>
      </c>
      <c r="C472" s="131" t="s">
        <v>84</v>
      </c>
      <c r="D472" s="130" t="s">
        <v>319</v>
      </c>
      <c r="E472" s="131" t="s">
        <v>320</v>
      </c>
      <c r="F472" s="131"/>
      <c r="G472" s="131"/>
      <c r="H472" s="130" t="str">
        <f aca="false">IF(B472="","",IF(COUNTIF('MiT Strom Pipeline'!$B$6:$B$904,B472)&gt;0,"✓",""))</f>
        <v/>
      </c>
      <c r="I472" s="130" t="str">
        <f aca="false">IF(B472="","",IFERROR(VLOOKUP(B472,'MiT Strom Pipeline'!$B$6:$R$904,17,0),""))</f>
        <v/>
      </c>
      <c r="J472" s="131"/>
    </row>
    <row r="473" customFormat="false" ht="19.5" hidden="false" customHeight="true" outlineLevel="0" collapsed="false">
      <c r="A473" s="22" t="n">
        <v>470</v>
      </c>
      <c r="B473" s="23" t="s">
        <v>535</v>
      </c>
      <c r="C473" s="23" t="s">
        <v>84</v>
      </c>
      <c r="D473" s="22" t="s">
        <v>319</v>
      </c>
      <c r="E473" s="23" t="s">
        <v>320</v>
      </c>
      <c r="F473" s="23"/>
      <c r="G473" s="23"/>
      <c r="H473" s="22" t="str">
        <f aca="false">IF(B473="","",IF(COUNTIF('MiT Strom Pipeline'!$B$6:$B$904,B473)&gt;0,"✓",""))</f>
        <v/>
      </c>
      <c r="I473" s="22" t="str">
        <f aca="false">IF(B473="","",IFERROR(VLOOKUP(B473,'MiT Strom Pipeline'!$B$6:$R$904,17,0),""))</f>
        <v/>
      </c>
      <c r="J473" s="23"/>
    </row>
    <row r="474" customFormat="false" ht="19.5" hidden="false" customHeight="true" outlineLevel="0" collapsed="false">
      <c r="A474" s="130" t="n">
        <v>471</v>
      </c>
      <c r="B474" s="131" t="s">
        <v>784</v>
      </c>
      <c r="C474" s="131" t="s">
        <v>75</v>
      </c>
      <c r="D474" s="130" t="s">
        <v>319</v>
      </c>
      <c r="E474" s="131" t="s">
        <v>320</v>
      </c>
      <c r="F474" s="131"/>
      <c r="G474" s="131"/>
      <c r="H474" s="130" t="str">
        <f aca="false">IF(B474="","",IF(COUNTIF('MiT Strom Pipeline'!$B$6:$B$904,B474)&gt;0,"✓",""))</f>
        <v/>
      </c>
      <c r="I474" s="130" t="str">
        <f aca="false">IF(B474="","",IFERROR(VLOOKUP(B474,'MiT Strom Pipeline'!$B$6:$R$904,17,0),""))</f>
        <v/>
      </c>
      <c r="J474" s="131"/>
    </row>
    <row r="475" customFormat="false" ht="19.5" hidden="false" customHeight="true" outlineLevel="0" collapsed="false">
      <c r="A475" s="22" t="n">
        <v>472</v>
      </c>
      <c r="B475" s="23" t="s">
        <v>785</v>
      </c>
      <c r="C475" s="23" t="s">
        <v>84</v>
      </c>
      <c r="D475" s="22" t="s">
        <v>41</v>
      </c>
      <c r="E475" s="23" t="s">
        <v>320</v>
      </c>
      <c r="F475" s="23"/>
      <c r="G475" s="23"/>
      <c r="H475" s="22" t="str">
        <f aca="false">IF(B475="","",IF(COUNTIF('MiT Strom Pipeline'!$B$6:$B$904,B475)&gt;0,"✓",""))</f>
        <v/>
      </c>
      <c r="I475" s="22" t="str">
        <f aca="false">IF(B475="","",IFERROR(VLOOKUP(B475,'MiT Strom Pipeline'!$B$6:$R$904,17,0),""))</f>
        <v/>
      </c>
      <c r="J475" s="23"/>
    </row>
    <row r="476" customFormat="false" ht="19.5" hidden="false" customHeight="true" outlineLevel="0" collapsed="false">
      <c r="A476" s="130" t="n">
        <v>473</v>
      </c>
      <c r="B476" s="131" t="s">
        <v>786</v>
      </c>
      <c r="C476" s="131" t="s">
        <v>84</v>
      </c>
      <c r="D476" s="130" t="s">
        <v>319</v>
      </c>
      <c r="E476" s="131" t="s">
        <v>320</v>
      </c>
      <c r="F476" s="131"/>
      <c r="G476" s="131"/>
      <c r="H476" s="130" t="str">
        <f aca="false">IF(B476="","",IF(COUNTIF('MiT Strom Pipeline'!$B$6:$B$904,B476)&gt;0,"✓",""))</f>
        <v/>
      </c>
      <c r="I476" s="130" t="str">
        <f aca="false">IF(B476="","",IFERROR(VLOOKUP(B476,'MiT Strom Pipeline'!$B$6:$R$904,17,0),""))</f>
        <v/>
      </c>
      <c r="J476" s="131"/>
    </row>
    <row r="477" customFormat="false" ht="19.5" hidden="false" customHeight="true" outlineLevel="0" collapsed="false">
      <c r="A477" s="22" t="n">
        <v>474</v>
      </c>
      <c r="B477" s="23" t="s">
        <v>787</v>
      </c>
      <c r="C477" s="23" t="s">
        <v>84</v>
      </c>
      <c r="D477" s="22" t="s">
        <v>319</v>
      </c>
      <c r="E477" s="23" t="s">
        <v>320</v>
      </c>
      <c r="F477" s="23"/>
      <c r="G477" s="23"/>
      <c r="H477" s="22" t="str">
        <f aca="false">IF(B477="","",IF(COUNTIF('MiT Strom Pipeline'!$B$6:$B$904,B477)&gt;0,"✓",""))</f>
        <v/>
      </c>
      <c r="I477" s="22" t="str">
        <f aca="false">IF(B477="","",IFERROR(VLOOKUP(B477,'MiT Strom Pipeline'!$B$6:$R$904,17,0),""))</f>
        <v/>
      </c>
      <c r="J477" s="23"/>
    </row>
    <row r="478" customFormat="false" ht="19.5" hidden="false" customHeight="true" outlineLevel="0" collapsed="false">
      <c r="A478" s="130" t="n">
        <v>475</v>
      </c>
      <c r="B478" s="131" t="s">
        <v>788</v>
      </c>
      <c r="C478" s="131" t="s">
        <v>84</v>
      </c>
      <c r="D478" s="130" t="s">
        <v>319</v>
      </c>
      <c r="E478" s="131" t="s">
        <v>320</v>
      </c>
      <c r="F478" s="131"/>
      <c r="G478" s="131"/>
      <c r="H478" s="130" t="str">
        <f aca="false">IF(B478="","",IF(COUNTIF('MiT Strom Pipeline'!$B$6:$B$904,B478)&gt;0,"✓",""))</f>
        <v/>
      </c>
      <c r="I478" s="130" t="str">
        <f aca="false">IF(B478="","",IFERROR(VLOOKUP(B478,'MiT Strom Pipeline'!$B$6:$R$904,17,0),""))</f>
        <v/>
      </c>
      <c r="J478" s="131"/>
    </row>
    <row r="479" customFormat="false" ht="19.5" hidden="false" customHeight="true" outlineLevel="0" collapsed="false">
      <c r="A479" s="22" t="n">
        <v>476</v>
      </c>
      <c r="B479" s="23" t="s">
        <v>789</v>
      </c>
      <c r="C479" s="23" t="s">
        <v>347</v>
      </c>
      <c r="D479" s="22" t="s">
        <v>319</v>
      </c>
      <c r="E479" s="23" t="s">
        <v>320</v>
      </c>
      <c r="F479" s="23"/>
      <c r="G479" s="23"/>
      <c r="H479" s="22" t="str">
        <f aca="false">IF(B479="","",IF(COUNTIF('MiT Strom Pipeline'!$B$6:$B$904,B479)&gt;0,"✓",""))</f>
        <v/>
      </c>
      <c r="I479" s="22" t="str">
        <f aca="false">IF(B479="","",IFERROR(VLOOKUP(B479,'MiT Strom Pipeline'!$B$6:$R$904,17,0),""))</f>
        <v/>
      </c>
      <c r="J479" s="23"/>
    </row>
    <row r="480" customFormat="false" ht="19.5" hidden="false" customHeight="true" outlineLevel="0" collapsed="false">
      <c r="A480" s="130" t="n">
        <v>477</v>
      </c>
      <c r="B480" s="131" t="s">
        <v>790</v>
      </c>
      <c r="C480" s="131" t="s">
        <v>84</v>
      </c>
      <c r="D480" s="130" t="s">
        <v>319</v>
      </c>
      <c r="E480" s="131" t="s">
        <v>320</v>
      </c>
      <c r="F480" s="131"/>
      <c r="G480" s="131"/>
      <c r="H480" s="130" t="str">
        <f aca="false">IF(B480="","",IF(COUNTIF('MiT Strom Pipeline'!$B$6:$B$904,B480)&gt;0,"✓",""))</f>
        <v/>
      </c>
      <c r="I480" s="130" t="str">
        <f aca="false">IF(B480="","",IFERROR(VLOOKUP(B480,'MiT Strom Pipeline'!$B$6:$R$904,17,0),""))</f>
        <v/>
      </c>
      <c r="J480" s="131"/>
    </row>
    <row r="481" customFormat="false" ht="19.5" hidden="false" customHeight="true" outlineLevel="0" collapsed="false">
      <c r="A481" s="22" t="n">
        <v>478</v>
      </c>
      <c r="B481" s="23" t="s">
        <v>791</v>
      </c>
      <c r="C481" s="23" t="s">
        <v>84</v>
      </c>
      <c r="D481" s="22" t="s">
        <v>319</v>
      </c>
      <c r="E481" s="23" t="s">
        <v>320</v>
      </c>
      <c r="F481" s="23"/>
      <c r="G481" s="23"/>
      <c r="H481" s="22" t="str">
        <f aca="false">IF(B481="","",IF(COUNTIF('MiT Strom Pipeline'!$B$6:$B$904,B481)&gt;0,"✓",""))</f>
        <v/>
      </c>
      <c r="I481" s="22" t="str">
        <f aca="false">IF(B481="","",IFERROR(VLOOKUP(B481,'MiT Strom Pipeline'!$B$6:$R$904,17,0),""))</f>
        <v/>
      </c>
      <c r="J481" s="23"/>
    </row>
    <row r="482" customFormat="false" ht="19.5" hidden="false" customHeight="true" outlineLevel="0" collapsed="false">
      <c r="A482" s="130" t="n">
        <v>479</v>
      </c>
      <c r="B482" s="131" t="s">
        <v>792</v>
      </c>
      <c r="C482" s="131" t="s">
        <v>84</v>
      </c>
      <c r="D482" s="130" t="s">
        <v>59</v>
      </c>
      <c r="E482" s="131" t="s">
        <v>320</v>
      </c>
      <c r="F482" s="131"/>
      <c r="G482" s="131"/>
      <c r="H482" s="130" t="str">
        <f aca="false">IF(B482="","",IF(COUNTIF('MiT Strom Pipeline'!$B$6:$B$904,B482)&gt;0,"✓",""))</f>
        <v/>
      </c>
      <c r="I482" s="130" t="str">
        <f aca="false">IF(B482="","",IFERROR(VLOOKUP(B482,'MiT Strom Pipeline'!$B$6:$R$904,17,0),""))</f>
        <v/>
      </c>
      <c r="J482" s="131"/>
    </row>
    <row r="483" customFormat="false" ht="19.5" hidden="false" customHeight="true" outlineLevel="0" collapsed="false">
      <c r="A483" s="22" t="n">
        <v>480</v>
      </c>
      <c r="B483" s="23" t="s">
        <v>793</v>
      </c>
      <c r="C483" s="23" t="s">
        <v>84</v>
      </c>
      <c r="D483" s="22" t="s">
        <v>319</v>
      </c>
      <c r="E483" s="23" t="s">
        <v>320</v>
      </c>
      <c r="F483" s="23"/>
      <c r="G483" s="23"/>
      <c r="H483" s="22" t="str">
        <f aca="false">IF(B483="","",IF(COUNTIF('MiT Strom Pipeline'!$B$6:$B$904,B483)&gt;0,"✓",""))</f>
        <v/>
      </c>
      <c r="I483" s="22" t="str">
        <f aca="false">IF(B483="","",IFERROR(VLOOKUP(B483,'MiT Strom Pipeline'!$B$6:$R$904,17,0),""))</f>
        <v/>
      </c>
      <c r="J483" s="23"/>
    </row>
    <row r="484" customFormat="false" ht="19.5" hidden="false" customHeight="true" outlineLevel="0" collapsed="false">
      <c r="A484" s="130" t="n">
        <v>481</v>
      </c>
      <c r="B484" s="131" t="s">
        <v>794</v>
      </c>
      <c r="C484" s="131" t="s">
        <v>75</v>
      </c>
      <c r="D484" s="130" t="s">
        <v>319</v>
      </c>
      <c r="E484" s="131" t="s">
        <v>320</v>
      </c>
      <c r="F484" s="131"/>
      <c r="G484" s="131"/>
      <c r="H484" s="130" t="str">
        <f aca="false">IF(B484="","",IF(COUNTIF('MiT Strom Pipeline'!$B$6:$B$904,B484)&gt;0,"✓",""))</f>
        <v/>
      </c>
      <c r="I484" s="130" t="str">
        <f aca="false">IF(B484="","",IFERROR(VLOOKUP(B484,'MiT Strom Pipeline'!$B$6:$R$904,17,0),""))</f>
        <v/>
      </c>
      <c r="J484" s="131"/>
    </row>
    <row r="485" customFormat="false" ht="19.5" hidden="false" customHeight="true" outlineLevel="0" collapsed="false">
      <c r="A485" s="22" t="n">
        <v>482</v>
      </c>
      <c r="B485" s="23" t="s">
        <v>795</v>
      </c>
      <c r="C485" s="23" t="s">
        <v>84</v>
      </c>
      <c r="D485" s="22" t="s">
        <v>319</v>
      </c>
      <c r="E485" s="23" t="s">
        <v>320</v>
      </c>
      <c r="F485" s="23"/>
      <c r="G485" s="23"/>
      <c r="H485" s="22" t="str">
        <f aca="false">IF(B485="","",IF(COUNTIF('MiT Strom Pipeline'!$B$6:$B$904,B485)&gt;0,"✓",""))</f>
        <v/>
      </c>
      <c r="I485" s="22" t="str">
        <f aca="false">IF(B485="","",IFERROR(VLOOKUP(B485,'MiT Strom Pipeline'!$B$6:$R$904,17,0),""))</f>
        <v/>
      </c>
      <c r="J485" s="23"/>
    </row>
    <row r="486" customFormat="false" ht="19.5" hidden="false" customHeight="true" outlineLevel="0" collapsed="false">
      <c r="A486" s="130" t="n">
        <v>483</v>
      </c>
      <c r="B486" s="131" t="s">
        <v>796</v>
      </c>
      <c r="C486" s="131" t="s">
        <v>84</v>
      </c>
      <c r="D486" s="130" t="s">
        <v>797</v>
      </c>
      <c r="E486" s="131" t="s">
        <v>328</v>
      </c>
      <c r="F486" s="131"/>
      <c r="G486" s="131"/>
      <c r="H486" s="130" t="str">
        <f aca="false">IF(B486="","",IF(COUNTIF('MiT Strom Pipeline'!$B$6:$B$904,B486)&gt;0,"✓",""))</f>
        <v/>
      </c>
      <c r="I486" s="130" t="str">
        <f aca="false">IF(B486="","",IFERROR(VLOOKUP(B486,'MiT Strom Pipeline'!$B$6:$R$904,17,0),""))</f>
        <v/>
      </c>
      <c r="J486" s="131"/>
    </row>
    <row r="487" customFormat="false" ht="19.5" hidden="false" customHeight="true" outlineLevel="0" collapsed="false">
      <c r="A487" s="22" t="n">
        <v>484</v>
      </c>
      <c r="B487" s="23" t="s">
        <v>798</v>
      </c>
      <c r="C487" s="23" t="s">
        <v>347</v>
      </c>
      <c r="D487" s="22" t="s">
        <v>319</v>
      </c>
      <c r="E487" s="23" t="s">
        <v>320</v>
      </c>
      <c r="F487" s="23"/>
      <c r="G487" s="23"/>
      <c r="H487" s="22" t="str">
        <f aca="false">IF(B487="","",IF(COUNTIF('MiT Strom Pipeline'!$B$6:$B$904,B487)&gt;0,"✓",""))</f>
        <v/>
      </c>
      <c r="I487" s="22" t="str">
        <f aca="false">IF(B487="","",IFERROR(VLOOKUP(B487,'MiT Strom Pipeline'!$B$6:$R$904,17,0),""))</f>
        <v/>
      </c>
      <c r="J487" s="23"/>
    </row>
    <row r="488" customFormat="false" ht="19.5" hidden="false" customHeight="true" outlineLevel="0" collapsed="false">
      <c r="A488" s="130" t="n">
        <v>485</v>
      </c>
      <c r="B488" s="131" t="s">
        <v>698</v>
      </c>
      <c r="C488" s="131" t="s">
        <v>84</v>
      </c>
      <c r="D488" s="130" t="s">
        <v>319</v>
      </c>
      <c r="E488" s="131" t="s">
        <v>320</v>
      </c>
      <c r="F488" s="131"/>
      <c r="G488" s="131"/>
      <c r="H488" s="130" t="str">
        <f aca="false">IF(B488="","",IF(COUNTIF('MiT Strom Pipeline'!$B$6:$B$904,B488)&gt;0,"✓",""))</f>
        <v/>
      </c>
      <c r="I488" s="130" t="str">
        <f aca="false">IF(B488="","",IFERROR(VLOOKUP(B488,'MiT Strom Pipeline'!$B$6:$R$904,17,0),""))</f>
        <v/>
      </c>
      <c r="J488" s="131"/>
    </row>
    <row r="489" customFormat="false" ht="19.5" hidden="false" customHeight="true" outlineLevel="0" collapsed="false">
      <c r="A489" s="22" t="n">
        <v>486</v>
      </c>
      <c r="B489" s="23" t="s">
        <v>799</v>
      </c>
      <c r="C489" s="23" t="s">
        <v>393</v>
      </c>
      <c r="D489" s="22" t="s">
        <v>319</v>
      </c>
      <c r="E489" s="23" t="s">
        <v>320</v>
      </c>
      <c r="F489" s="23"/>
      <c r="G489" s="23"/>
      <c r="H489" s="22" t="str">
        <f aca="false">IF(B489="","",IF(COUNTIF('MiT Strom Pipeline'!$B$6:$B$904,B489)&gt;0,"✓",""))</f>
        <v/>
      </c>
      <c r="I489" s="22" t="str">
        <f aca="false">IF(B489="","",IFERROR(VLOOKUP(B489,'MiT Strom Pipeline'!$B$6:$R$904,17,0),""))</f>
        <v/>
      </c>
      <c r="J489" s="23"/>
    </row>
    <row r="490" customFormat="false" ht="19.5" hidden="false" customHeight="true" outlineLevel="0" collapsed="false">
      <c r="A490" s="130" t="n">
        <v>487</v>
      </c>
      <c r="B490" s="131" t="s">
        <v>800</v>
      </c>
      <c r="C490" s="131" t="s">
        <v>84</v>
      </c>
      <c r="D490" s="130" t="s">
        <v>319</v>
      </c>
      <c r="E490" s="131" t="s">
        <v>320</v>
      </c>
      <c r="F490" s="131"/>
      <c r="G490" s="131"/>
      <c r="H490" s="130" t="str">
        <f aca="false">IF(B490="","",IF(COUNTIF('MiT Strom Pipeline'!$B$6:$B$904,B490)&gt;0,"✓",""))</f>
        <v/>
      </c>
      <c r="I490" s="130" t="str">
        <f aca="false">IF(B490="","",IFERROR(VLOOKUP(B490,'MiT Strom Pipeline'!$B$6:$R$904,17,0),""))</f>
        <v/>
      </c>
      <c r="J490" s="131"/>
    </row>
    <row r="491" customFormat="false" ht="19.5" hidden="false" customHeight="true" outlineLevel="0" collapsed="false">
      <c r="A491" s="22" t="n">
        <v>488</v>
      </c>
      <c r="B491" s="23" t="s">
        <v>801</v>
      </c>
      <c r="C491" s="23" t="s">
        <v>347</v>
      </c>
      <c r="D491" s="22" t="s">
        <v>72</v>
      </c>
      <c r="E491" s="23" t="s">
        <v>328</v>
      </c>
      <c r="F491" s="23"/>
      <c r="G491" s="23"/>
      <c r="H491" s="22" t="str">
        <f aca="false">IF(B491="","",IF(COUNTIF('MiT Strom Pipeline'!$B$6:$B$904,B491)&gt;0,"✓",""))</f>
        <v/>
      </c>
      <c r="I491" s="22" t="str">
        <f aca="false">IF(B491="","",IFERROR(VLOOKUP(B491,'MiT Strom Pipeline'!$B$6:$R$904,17,0),""))</f>
        <v/>
      </c>
      <c r="J491" s="23"/>
    </row>
    <row r="492" customFormat="false" ht="19.5" hidden="false" customHeight="true" outlineLevel="0" collapsed="false">
      <c r="A492" s="130" t="n">
        <v>489</v>
      </c>
      <c r="B492" s="131" t="s">
        <v>802</v>
      </c>
      <c r="C492" s="131" t="s">
        <v>84</v>
      </c>
      <c r="D492" s="130" t="s">
        <v>319</v>
      </c>
      <c r="E492" s="131" t="s">
        <v>328</v>
      </c>
      <c r="F492" s="131"/>
      <c r="G492" s="131"/>
      <c r="H492" s="130" t="str">
        <f aca="false">IF(B492="","",IF(COUNTIF('MiT Strom Pipeline'!$B$6:$B$904,B492)&gt;0,"✓",""))</f>
        <v/>
      </c>
      <c r="I492" s="130" t="str">
        <f aca="false">IF(B492="","",IFERROR(VLOOKUP(B492,'MiT Strom Pipeline'!$B$6:$R$904,17,0),""))</f>
        <v/>
      </c>
      <c r="J492" s="131"/>
    </row>
    <row r="493" customFormat="false" ht="19.5" hidden="false" customHeight="true" outlineLevel="0" collapsed="false">
      <c r="A493" s="22" t="n">
        <v>490</v>
      </c>
      <c r="B493" s="23" t="s">
        <v>803</v>
      </c>
      <c r="C493" s="23" t="s">
        <v>84</v>
      </c>
      <c r="D493" s="22" t="s">
        <v>319</v>
      </c>
      <c r="E493" s="23" t="s">
        <v>328</v>
      </c>
      <c r="F493" s="23"/>
      <c r="G493" s="23"/>
      <c r="H493" s="22" t="str">
        <f aca="false">IF(B493="","",IF(COUNTIF('MiT Strom Pipeline'!$B$6:$B$904,B493)&gt;0,"✓",""))</f>
        <v/>
      </c>
      <c r="I493" s="22" t="str">
        <f aca="false">IF(B493="","",IFERROR(VLOOKUP(B493,'MiT Strom Pipeline'!$B$6:$R$904,17,0),""))</f>
        <v/>
      </c>
      <c r="J493" s="23"/>
    </row>
    <row r="494" customFormat="false" ht="19.5" hidden="false" customHeight="true" outlineLevel="0" collapsed="false">
      <c r="A494" s="130" t="n">
        <v>491</v>
      </c>
      <c r="B494" s="131" t="s">
        <v>804</v>
      </c>
      <c r="C494" s="131" t="s">
        <v>84</v>
      </c>
      <c r="D494" s="130" t="s">
        <v>319</v>
      </c>
      <c r="E494" s="131" t="s">
        <v>320</v>
      </c>
      <c r="F494" s="131"/>
      <c r="G494" s="131"/>
      <c r="H494" s="130" t="str">
        <f aca="false">IF(B494="","",IF(COUNTIF('MiT Strom Pipeline'!$B$6:$B$904,B494)&gt;0,"✓",""))</f>
        <v/>
      </c>
      <c r="I494" s="130" t="str">
        <f aca="false">IF(B494="","",IFERROR(VLOOKUP(B494,'MiT Strom Pipeline'!$B$6:$R$904,17,0),""))</f>
        <v/>
      </c>
      <c r="J494" s="131"/>
    </row>
    <row r="495" customFormat="false" ht="19.5" hidden="false" customHeight="true" outlineLevel="0" collapsed="false">
      <c r="A495" s="22" t="n">
        <v>492</v>
      </c>
      <c r="B495" s="23" t="s">
        <v>805</v>
      </c>
      <c r="C495" s="23" t="s">
        <v>347</v>
      </c>
      <c r="D495" s="22" t="s">
        <v>319</v>
      </c>
      <c r="E495" s="23" t="s">
        <v>320</v>
      </c>
      <c r="F495" s="23"/>
      <c r="G495" s="23"/>
      <c r="H495" s="22" t="str">
        <f aca="false">IF(B495="","",IF(COUNTIF('MiT Strom Pipeline'!$B$6:$B$904,B495)&gt;0,"✓",""))</f>
        <v/>
      </c>
      <c r="I495" s="22" t="str">
        <f aca="false">IF(B495="","",IFERROR(VLOOKUP(B495,'MiT Strom Pipeline'!$B$6:$R$904,17,0),""))</f>
        <v/>
      </c>
      <c r="J495" s="23"/>
    </row>
    <row r="496" customFormat="false" ht="19.5" hidden="false" customHeight="true" outlineLevel="0" collapsed="false">
      <c r="A496" s="130" t="n">
        <v>493</v>
      </c>
      <c r="B496" s="131" t="s">
        <v>806</v>
      </c>
      <c r="C496" s="131" t="s">
        <v>84</v>
      </c>
      <c r="D496" s="130" t="s">
        <v>319</v>
      </c>
      <c r="E496" s="131" t="s">
        <v>328</v>
      </c>
      <c r="F496" s="131"/>
      <c r="G496" s="131"/>
      <c r="H496" s="130" t="str">
        <f aca="false">IF(B496="","",IF(COUNTIF('MiT Strom Pipeline'!$B$6:$B$904,B496)&gt;0,"✓",""))</f>
        <v/>
      </c>
      <c r="I496" s="130" t="str">
        <f aca="false">IF(B496="","",IFERROR(VLOOKUP(B496,'MiT Strom Pipeline'!$B$6:$R$904,17,0),""))</f>
        <v/>
      </c>
      <c r="J496" s="131"/>
    </row>
    <row r="497" customFormat="false" ht="19.5" hidden="false" customHeight="true" outlineLevel="0" collapsed="false">
      <c r="A497" s="22" t="n">
        <v>494</v>
      </c>
      <c r="B497" s="23" t="s">
        <v>807</v>
      </c>
      <c r="C497" s="23" t="s">
        <v>75</v>
      </c>
      <c r="D497" s="22" t="s">
        <v>319</v>
      </c>
      <c r="E497" s="23" t="s">
        <v>320</v>
      </c>
      <c r="F497" s="23"/>
      <c r="G497" s="23"/>
      <c r="H497" s="22" t="str">
        <f aca="false">IF(B497="","",IF(COUNTIF('MiT Strom Pipeline'!$B$6:$B$904,B497)&gt;0,"✓",""))</f>
        <v/>
      </c>
      <c r="I497" s="22" t="str">
        <f aca="false">IF(B497="","",IFERROR(VLOOKUP(B497,'MiT Strom Pipeline'!$B$6:$R$904,17,0),""))</f>
        <v/>
      </c>
      <c r="J497" s="23"/>
    </row>
    <row r="498" customFormat="false" ht="19.5" hidden="false" customHeight="true" outlineLevel="0" collapsed="false">
      <c r="A498" s="130" t="n">
        <v>495</v>
      </c>
      <c r="B498" s="131" t="s">
        <v>808</v>
      </c>
      <c r="C498" s="131" t="s">
        <v>84</v>
      </c>
      <c r="D498" s="130" t="s">
        <v>319</v>
      </c>
      <c r="E498" s="131" t="s">
        <v>320</v>
      </c>
      <c r="F498" s="131"/>
      <c r="G498" s="131"/>
      <c r="H498" s="130" t="str">
        <f aca="false">IF(B498="","",IF(COUNTIF('MiT Strom Pipeline'!$B$6:$B$904,B498)&gt;0,"✓",""))</f>
        <v/>
      </c>
      <c r="I498" s="130" t="str">
        <f aca="false">IF(B498="","",IFERROR(VLOOKUP(B498,'MiT Strom Pipeline'!$B$6:$R$904,17,0),""))</f>
        <v/>
      </c>
      <c r="J498" s="131"/>
    </row>
    <row r="499" customFormat="false" ht="19.5" hidden="false" customHeight="true" outlineLevel="0" collapsed="false">
      <c r="A499" s="22" t="n">
        <v>496</v>
      </c>
      <c r="B499" s="23" t="s">
        <v>809</v>
      </c>
      <c r="C499" s="23" t="s">
        <v>84</v>
      </c>
      <c r="D499" s="22" t="s">
        <v>319</v>
      </c>
      <c r="E499" s="23" t="s">
        <v>328</v>
      </c>
      <c r="F499" s="23"/>
      <c r="G499" s="23"/>
      <c r="H499" s="22" t="str">
        <f aca="false">IF(B499="","",IF(COUNTIF('MiT Strom Pipeline'!$B$6:$B$904,B499)&gt;0,"✓",""))</f>
        <v/>
      </c>
      <c r="I499" s="22" t="str">
        <f aca="false">IF(B499="","",IFERROR(VLOOKUP(B499,'MiT Strom Pipeline'!$B$6:$R$904,17,0),""))</f>
        <v/>
      </c>
      <c r="J499" s="2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400E"/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"/>
    <col collapsed="false" customWidth="true" hidden="false" outlineLevel="0" max="3" min="3" style="1" width="8"/>
    <col collapsed="false" customWidth="true" hidden="false" outlineLevel="0" max="5" min="4" style="1" width="16"/>
    <col collapsed="false" customWidth="true" hidden="false" outlineLevel="0" max="6" min="6" style="1" width="26"/>
    <col collapsed="false" customWidth="true" hidden="false" outlineLevel="0" max="7" min="7" style="1" width="12"/>
    <col collapsed="false" customWidth="true" hidden="false" outlineLevel="0" max="8" min="8" style="1" width="3"/>
    <col collapsed="false" customWidth="true" hidden="false" outlineLevel="0" max="9" min="9" style="1" width="26"/>
    <col collapsed="false" customWidth="true" hidden="false" outlineLevel="0" max="10" min="10" style="1" width="8"/>
    <col collapsed="false" customWidth="true" hidden="false" outlineLevel="0" max="12" min="11" style="1" width="16"/>
    <col collapsed="false" customWidth="true" hidden="false" outlineLevel="0" max="13" min="13" style="1" width="26"/>
    <col collapsed="false" customWidth="true" hidden="false" outlineLevel="0" max="14" min="14" style="1" width="14"/>
  </cols>
  <sheetData>
    <row r="1" customFormat="false" ht="33.75" hidden="false" customHeight="true" outlineLevel="0" collapsed="false">
      <c r="A1" s="157" t="s">
        <v>810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</row>
    <row r="2" customFormat="false" ht="15.75" hidden="false" customHeight="true" outlineLevel="0" collapsed="false">
      <c r="A2" s="109" t="s">
        <v>811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3" customFormat="false" ht="4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1.75" hidden="false" customHeight="true" outlineLevel="0" collapsed="false">
      <c r="A4" s="158" t="s">
        <v>38</v>
      </c>
      <c r="B4" s="158" t="s">
        <v>812</v>
      </c>
      <c r="C4" s="158" t="s">
        <v>134</v>
      </c>
      <c r="D4" s="159" t="s">
        <v>813</v>
      </c>
      <c r="E4" s="159" t="s">
        <v>12</v>
      </c>
      <c r="F4" s="160" t="s">
        <v>814</v>
      </c>
      <c r="G4" s="158" t="s">
        <v>100</v>
      </c>
      <c r="H4" s="14"/>
      <c r="I4" s="161" t="s">
        <v>9</v>
      </c>
      <c r="J4" s="162" t="s">
        <v>812</v>
      </c>
      <c r="K4" s="163" t="s">
        <v>813</v>
      </c>
      <c r="L4" s="163" t="s">
        <v>815</v>
      </c>
      <c r="M4" s="161" t="s">
        <v>816</v>
      </c>
      <c r="N4" s="162" t="s">
        <v>817</v>
      </c>
    </row>
    <row r="5" customFormat="false" ht="19.5" hidden="false" customHeight="true" outlineLevel="0" collapsed="false">
      <c r="A5" s="130" t="s">
        <v>41</v>
      </c>
      <c r="B5" s="164" t="n">
        <f aca="false">IF(A5="","",COUNTIF('MiT Strom Pipeline'!$C$6:$C$904,A5))</f>
        <v>4</v>
      </c>
      <c r="C5" s="164" t="n">
        <f aca="false">IF(A5="","",COUNTIFS('MiT Strom Pipeline'!$C$6:$C$904,A5,'MiT Strom Pipeline'!$R$6:$R$904,"WON"))</f>
        <v>1</v>
      </c>
      <c r="D5" s="132" t="n">
        <f aca="false">IF(A5="","",SUMIFS('MiT Strom Pipeline'!$I$6:$I$904,'MiT Strom Pipeline'!$C$6:$C$904,A5))</f>
        <v>282710</v>
      </c>
      <c r="E5" s="132" t="n">
        <f aca="false">IF(A5="","",SUMIFS('MiT Strom Pipeline'!$Q$6:$Q$904,'MiT Strom Pipeline'!$C$6:$C$904,A5))</f>
        <v>110461</v>
      </c>
      <c r="F5" s="131" t="str">
        <f aca="false">IF(OR(A5="",B5=0,SUMPRODUCT(MAX(('MiT Strom Pipeline'!$C$6:$C$904=A5)*'MiT Strom Pipeline'!$AA$6:$AA$904))=0),"–",IFERROR(INDEX('MiT Strom Pipeline'!$B$6:$B$904,SUMPRODUCT(('MiT Strom Pipeline'!$C$6:$C$904=A5)*('MiT Strom Pipeline'!$AA$6:$AA$904=SUMPRODUCT(MAX(('MiT Strom Pipeline'!$C$6:$C$904=A5)*'MiT Strom Pipeline'!$AA$6:$AA$904)))*(ROW('MiT Strom Pipeline'!$AA$6:$AA$904)-5))),"–"))</f>
        <v>Reto EKAG</v>
      </c>
      <c r="G5" s="130" t="str">
        <f aca="false">IF(OR(A5="",B5=0),"–",TEXT(C5/B5,"0%")&amp;" WON")</f>
        <v>25% WON</v>
      </c>
      <c r="H5" s="14"/>
      <c r="I5" s="39" t="s">
        <v>42</v>
      </c>
      <c r="J5" s="165" t="n">
        <f aca="false">IF(I5="","",COUNTIF('MiT Strom Pipeline'!$D$6:$D$904,I5))</f>
        <v>1</v>
      </c>
      <c r="K5" s="40" t="n">
        <f aca="false">IF(I5="","",SUMIFS('MiT Strom Pipeline'!$I$6:$I$904,'MiT Strom Pipeline'!$D$6:$D$904,I5))</f>
        <v>150000</v>
      </c>
      <c r="L5" s="40" t="n">
        <f aca="false">IF(I5="","",SUMIFS('MiT Strom Pipeline'!$Q$6:$Q$904,'MiT Strom Pipeline'!$D$6:$D$904,I5))</f>
        <v>1350</v>
      </c>
      <c r="M5" s="39" t="str">
        <f aca="false">IF(OR(I5="",J5=0,SUMPRODUCT(MAX(('MiT Strom Pipeline'!$D$6:$D$904=I5)*'MiT Strom Pipeline'!$AA$6:$AA$904))=0),"–",IFERROR(INDEX('MiT Strom Pipeline'!$B$6:$B$904,SUMPRODUCT(('MiT Strom Pipeline'!$D$6:$D$904=I5)*('MiT Strom Pipeline'!$AA$6:$AA$904=SUMPRODUCT(MAX(('MiT Strom Pipeline'!$D$6:$D$904=I5)*'MiT Strom Pipeline'!$AA$6:$AA$904)))*(ROW('MiT Strom Pipeline'!$AA$6:$AA$904)-5))),"–"))</f>
        <v>Stagelight – OpenAir Frauenfeld</v>
      </c>
      <c r="N5" s="38" t="str">
        <f aca="false">IF(OR(I5="",J5=0),"–",COUNTIFS('MiT Strom Pipeline'!$D$6:$D$904,I5,'MiT Strom Pipeline'!$R$6:$R$904,"WON")&amp;" / "&amp;J5&amp;" WON")</f>
        <v>0 / 1 WON</v>
      </c>
    </row>
    <row r="6" customFormat="false" ht="19.5" hidden="false" customHeight="true" outlineLevel="0" collapsed="false">
      <c r="A6" s="22" t="s">
        <v>68</v>
      </c>
      <c r="B6" s="166" t="n">
        <f aca="false">IF(A6="","",COUNTIF('MiT Strom Pipeline'!$C$6:$C$904,A6))</f>
        <v>1</v>
      </c>
      <c r="C6" s="166" t="n">
        <f aca="false">IF(A6="","",COUNTIFS('MiT Strom Pipeline'!$C$6:$C$904,A6,'MiT Strom Pipeline'!$R$6:$R$904,"WON"))</f>
        <v>0</v>
      </c>
      <c r="D6" s="24" t="n">
        <f aca="false">IF(A6="","",SUMIFS('MiT Strom Pipeline'!$I$6:$I$904,'MiT Strom Pipeline'!$C$6:$C$904,A6))</f>
        <v>150000</v>
      </c>
      <c r="E6" s="24" t="n">
        <f aca="false">IF(A6="","",SUMIFS('MiT Strom Pipeline'!$Q$6:$Q$904,'MiT Strom Pipeline'!$C$6:$C$904,A6))</f>
        <v>1350</v>
      </c>
      <c r="F6" s="23" t="str">
        <f aca="false">IF(OR(A6="",B6=0,SUMPRODUCT(MAX(('MiT Strom Pipeline'!$C$6:$C$904=A6)*'MiT Strom Pipeline'!$AA$6:$AA$904))=0),"–",IFERROR(INDEX('MiT Strom Pipeline'!$B$6:$B$904,SUMPRODUCT(('MiT Strom Pipeline'!$C$6:$C$904=A6)*('MiT Strom Pipeline'!$AA$6:$AA$904=SUMPRODUCT(MAX(('MiT Strom Pipeline'!$C$6:$C$904=A6)*'MiT Strom Pipeline'!$AA$6:$AA$904)))*(ROW('MiT Strom Pipeline'!$AA$6:$AA$904)-5))),"–"))</f>
        <v>Stagelight – OpenAir Frauenfeld</v>
      </c>
      <c r="G6" s="22" t="str">
        <f aca="false">IF(OR(A6="",B6=0),"–",TEXT(C6/B6,"0%")&amp;" WON")</f>
        <v>0% WON</v>
      </c>
      <c r="H6" s="14"/>
      <c r="I6" s="23" t="s">
        <v>45</v>
      </c>
      <c r="J6" s="166" t="n">
        <f aca="false">IF(I6="","",COUNTIF('MiT Strom Pipeline'!$D$6:$D$904,I6))</f>
        <v>0</v>
      </c>
      <c r="K6" s="24" t="n">
        <f aca="false">IF(I6="","",SUMIFS('MiT Strom Pipeline'!$I$6:$I$904,'MiT Strom Pipeline'!$D$6:$D$904,I6))</f>
        <v>0</v>
      </c>
      <c r="L6" s="24" t="n">
        <f aca="false">IF(I6="","",SUMIFS('MiT Strom Pipeline'!$Q$6:$Q$904,'MiT Strom Pipeline'!$D$6:$D$904,I6))</f>
        <v>0</v>
      </c>
      <c r="M6" s="23" t="str">
        <f aca="false">IF(OR(I6="",J6=0,SUMPRODUCT(MAX(('MiT Strom Pipeline'!$D$6:$D$904=I6)*'MiT Strom Pipeline'!$AA$6:$AA$904))=0),"–",IFERROR(INDEX('MiT Strom Pipeline'!$B$6:$B$904,SUMPRODUCT(('MiT Strom Pipeline'!$D$6:$D$904=I6)*('MiT Strom Pipeline'!$AA$6:$AA$904=SUMPRODUCT(MAX(('MiT Strom Pipeline'!$D$6:$D$904=I6)*'MiT Strom Pipeline'!$AA$6:$AA$904)))*(ROW('MiT Strom Pipeline'!$AA$6:$AA$904)-5))),"–"))</f>
        <v>–</v>
      </c>
      <c r="N6" s="22" t="str">
        <f aca="false">IF(OR(I6="",J6=0),"–",COUNTIFS('MiT Strom Pipeline'!$D$6:$D$904,I6,'MiT Strom Pipeline'!$R$6:$R$904,"WON")&amp;" / "&amp;J6&amp;" WON")</f>
        <v>–</v>
      </c>
    </row>
    <row r="7" customFormat="false" ht="19.5" hidden="false" customHeight="true" outlineLevel="0" collapsed="false">
      <c r="A7" s="130" t="s">
        <v>65</v>
      </c>
      <c r="B7" s="164" t="n">
        <f aca="false">IF(A7="","",COUNTIF('MiT Strom Pipeline'!$C$6:$C$904,A7))</f>
        <v>1</v>
      </c>
      <c r="C7" s="164" t="n">
        <f aca="false">IF(A7="","",COUNTIFS('MiT Strom Pipeline'!$C$6:$C$904,A7,'MiT Strom Pipeline'!$R$6:$R$904,"WON"))</f>
        <v>0</v>
      </c>
      <c r="D7" s="132" t="n">
        <f aca="false">IF(A7="","",SUMIFS('MiT Strom Pipeline'!$I$6:$I$904,'MiT Strom Pipeline'!$C$6:$C$904,A7))</f>
        <v>390000</v>
      </c>
      <c r="E7" s="132" t="n">
        <f aca="false">IF(A7="","",SUMIFS('MiT Strom Pipeline'!$Q$6:$Q$904,'MiT Strom Pipeline'!$C$6:$C$904,A7))</f>
        <v>1950</v>
      </c>
      <c r="F7" s="131" t="str">
        <f aca="false">IF(OR(A7="",B7=0,SUMPRODUCT(MAX(('MiT Strom Pipeline'!$C$6:$C$904=A7)*'MiT Strom Pipeline'!$AA$6:$AA$904))=0),"–",IFERROR(INDEX('MiT Strom Pipeline'!$B$6:$B$904,SUMPRODUCT(('MiT Strom Pipeline'!$C$6:$C$904=A7)*('MiT Strom Pipeline'!$AA$6:$AA$904=SUMPRODUCT(MAX(('MiT Strom Pipeline'!$C$6:$C$904=A7)*'MiT Strom Pipeline'!$AA$6:$AA$904)))*(ROW('MiT Strom Pipeline'!$AA$6:$AA$904)-5))),"–"))</f>
        <v>Wincasa Solothurn</v>
      </c>
      <c r="G7" s="130" t="str">
        <f aca="false">IF(OR(A7="",B7=0),"–",TEXT(C7/B7,"0%")&amp;" WON")</f>
        <v>0% WON</v>
      </c>
      <c r="H7" s="14"/>
      <c r="I7" s="39" t="s">
        <v>48</v>
      </c>
      <c r="J7" s="165" t="n">
        <f aca="false">IF(I7="","",COUNTIF('MiT Strom Pipeline'!$D$6:$D$904,I7))</f>
        <v>2</v>
      </c>
      <c r="K7" s="40" t="n">
        <f aca="false">IF(I7="","",SUMIFS('MiT Strom Pipeline'!$I$6:$I$904,'MiT Strom Pipeline'!$D$6:$D$904,I7))</f>
        <v>0</v>
      </c>
      <c r="L7" s="40" t="n">
        <f aca="false">IF(I7="","",SUMIFS('MiT Strom Pipeline'!$Q$6:$Q$904,'MiT Strom Pipeline'!$D$6:$D$904,I7))</f>
        <v>0</v>
      </c>
      <c r="M7" s="39" t="str">
        <f aca="false">IF(OR(I7="",J7=0,SUMPRODUCT(MAX(('MiT Strom Pipeline'!$D$6:$D$904=I7)*'MiT Strom Pipeline'!$AA$6:$AA$904))=0),"–",IFERROR(INDEX('MiT Strom Pipeline'!$B$6:$B$904,SUMPRODUCT(('MiT Strom Pipeline'!$D$6:$D$904=I7)*('MiT Strom Pipeline'!$AA$6:$AA$904=SUMPRODUCT(MAX(('MiT Strom Pipeline'!$D$6:$D$904=I7)*'MiT Strom Pipeline'!$AA$6:$AA$904)))*(ROW('MiT Strom Pipeline'!$AA$6:$AA$904)-5))),"–"))</f>
        <v>–</v>
      </c>
      <c r="N7" s="38" t="str">
        <f aca="false">IF(OR(I7="",J7=0),"–",COUNTIFS('MiT Strom Pipeline'!$D$6:$D$904,I7,'MiT Strom Pipeline'!$R$6:$R$904,"WON")&amp;" / "&amp;J7&amp;" WON")</f>
        <v>1 / 2 WON</v>
      </c>
    </row>
    <row r="8" customFormat="false" ht="19.5" hidden="false" customHeight="true" outlineLevel="0" collapsed="false">
      <c r="A8" s="22" t="s">
        <v>53</v>
      </c>
      <c r="B8" s="166" t="n">
        <f aca="false">IF(A8="","",COUNTIF('MiT Strom Pipeline'!$C$6:$C$904,A8))</f>
        <v>2</v>
      </c>
      <c r="C8" s="166" t="n">
        <f aca="false">IF(A8="","",COUNTIFS('MiT Strom Pipeline'!$C$6:$C$904,A8,'MiT Strom Pipeline'!$R$6:$R$904,"WON"))</f>
        <v>0</v>
      </c>
      <c r="D8" s="24" t="n">
        <f aca="false">IF(A8="","",SUMIFS('MiT Strom Pipeline'!$I$6:$I$904,'MiT Strom Pipeline'!$C$6:$C$904,A8))</f>
        <v>77325.62</v>
      </c>
      <c r="E8" s="24" t="n">
        <f aca="false">IF(A8="","",SUMIFS('MiT Strom Pipeline'!$Q$6:$Q$904,'MiT Strom Pipeline'!$C$6:$C$904,A8))</f>
        <v>38662.81</v>
      </c>
      <c r="F8" s="23" t="str">
        <f aca="false">IF(OR(A8="",B8=0,SUMPRODUCT(MAX(('MiT Strom Pipeline'!$C$6:$C$904=A8)*'MiT Strom Pipeline'!$AA$6:$AA$904))=0),"–",IFERROR(INDEX('MiT Strom Pipeline'!$B$6:$B$904,SUMPRODUCT(('MiT Strom Pipeline'!$C$6:$C$904=A8)*('MiT Strom Pipeline'!$AA$6:$AA$904=SUMPRODUCT(MAX(('MiT Strom Pipeline'!$C$6:$C$904=A8)*'MiT Strom Pipeline'!$AA$6:$AA$904)))*(ROW('MiT Strom Pipeline'!$AA$6:$AA$904)-5))),"–"))</f>
        <v>WEF</v>
      </c>
      <c r="G8" s="22" t="str">
        <f aca="false">IF(OR(A8="",B8=0),"–",TEXT(C8/B8,"0%")&amp;" WON")</f>
        <v>0% WON</v>
      </c>
      <c r="H8" s="14"/>
      <c r="I8" s="23" t="s">
        <v>51</v>
      </c>
      <c r="J8" s="166" t="n">
        <f aca="false">IF(I8="","",COUNTIF('MiT Strom Pipeline'!$D$6:$D$904,I8))</f>
        <v>2</v>
      </c>
      <c r="K8" s="24" t="n">
        <f aca="false">IF(I8="","",SUMIFS('MiT Strom Pipeline'!$I$6:$I$904,'MiT Strom Pipeline'!$D$6:$D$904,I8))</f>
        <v>137658.69</v>
      </c>
      <c r="L8" s="24" t="n">
        <f aca="false">IF(I8="","",SUMIFS('MiT Strom Pipeline'!$Q$6:$Q$904,'MiT Strom Pipeline'!$D$6:$D$904,I8))</f>
        <v>68829.345</v>
      </c>
      <c r="M8" s="23" t="str">
        <f aca="false">IF(OR(I8="",J8=0,SUMPRODUCT(MAX(('MiT Strom Pipeline'!$D$6:$D$904=I8)*'MiT Strom Pipeline'!$AA$6:$AA$904))=0),"–",IFERROR(INDEX('MiT Strom Pipeline'!$B$6:$B$904,SUMPRODUCT(('MiT Strom Pipeline'!$D$6:$D$904=I8)*('MiT Strom Pipeline'!$AA$6:$AA$904=SUMPRODUCT(MAX(('MiT Strom Pipeline'!$D$6:$D$904=I8)*'MiT Strom Pipeline'!$AA$6:$AA$904)))*(ROW('MiT Strom Pipeline'!$AA$6:$AA$904)-5))),"–"))</f>
        <v>Murg Flums Energie</v>
      </c>
      <c r="N8" s="22" t="str">
        <f aca="false">IF(OR(I8="",J8=0),"–",COUNTIFS('MiT Strom Pipeline'!$D$6:$D$904,I8,'MiT Strom Pipeline'!$R$6:$R$904,"WON")&amp;" / "&amp;J8&amp;" WON")</f>
        <v>0 / 2 WON</v>
      </c>
    </row>
    <row r="9" customFormat="false" ht="19.5" hidden="false" customHeight="true" outlineLevel="0" collapsed="false">
      <c r="A9" s="130" t="s">
        <v>50</v>
      </c>
      <c r="B9" s="164" t="n">
        <f aca="false">IF(A9="","",COUNTIF('MiT Strom Pipeline'!$C$6:$C$904,A9))</f>
        <v>1</v>
      </c>
      <c r="C9" s="164" t="n">
        <f aca="false">IF(A9="","",COUNTIFS('MiT Strom Pipeline'!$C$6:$C$904,A9,'MiT Strom Pipeline'!$R$6:$R$904,"WON"))</f>
        <v>0</v>
      </c>
      <c r="D9" s="132" t="n">
        <f aca="false">IF(A9="","",SUMIFS('MiT Strom Pipeline'!$I$6:$I$904,'MiT Strom Pipeline'!$C$6:$C$904,A9))</f>
        <v>38885</v>
      </c>
      <c r="E9" s="132" t="n">
        <f aca="false">IF(A9="","",SUMIFS('MiT Strom Pipeline'!$Q$6:$Q$904,'MiT Strom Pipeline'!$C$6:$C$904,A9))</f>
        <v>19442.5</v>
      </c>
      <c r="F9" s="131" t="str">
        <f aca="false">IF(OR(A9="",B9=0,SUMPRODUCT(MAX(('MiT Strom Pipeline'!$C$6:$C$904=A9)*'MiT Strom Pipeline'!$AA$6:$AA$904))=0),"–",IFERROR(INDEX('MiT Strom Pipeline'!$B$6:$B$904,SUMPRODUCT(('MiT Strom Pipeline'!$C$6:$C$904=A9)*('MiT Strom Pipeline'!$AA$6:$AA$904=SUMPRODUCT(MAX(('MiT Strom Pipeline'!$C$6:$C$904=A9)*'MiT Strom Pipeline'!$AA$6:$AA$904)))*(ROW('MiT Strom Pipeline'!$AA$6:$AA$904)-5))),"–"))</f>
        <v>Sade CGTH (Schweiz)</v>
      </c>
      <c r="G9" s="130" t="str">
        <f aca="false">IF(OR(A9="",B9=0),"–",TEXT(C9/B9,"0%")&amp;" WON")</f>
        <v>0% WON</v>
      </c>
      <c r="H9" s="14"/>
      <c r="I9" s="39" t="s">
        <v>54</v>
      </c>
      <c r="J9" s="165" t="n">
        <f aca="false">IF(I9="","",COUNTIF('MiT Strom Pipeline'!$D$6:$D$904,I9))</f>
        <v>1</v>
      </c>
      <c r="K9" s="40" t="n">
        <f aca="false">IF(I9="","",SUMIFS('MiT Strom Pipeline'!$I$6:$I$904,'MiT Strom Pipeline'!$D$6:$D$904,I9))</f>
        <v>10000</v>
      </c>
      <c r="L9" s="40" t="n">
        <f aca="false">IF(I9="","",SUMIFS('MiT Strom Pipeline'!$Q$6:$Q$904,'MiT Strom Pipeline'!$D$6:$D$904,I9))</f>
        <v>100</v>
      </c>
      <c r="M9" s="39" t="str">
        <f aca="false">IF(OR(I9="",J9=0,SUMPRODUCT(MAX(('MiT Strom Pipeline'!$D$6:$D$904=I9)*'MiT Strom Pipeline'!$AA$6:$AA$904))=0),"–",IFERROR(INDEX('MiT Strom Pipeline'!$B$6:$B$904,SUMPRODUCT(('MiT Strom Pipeline'!$D$6:$D$904=I9)*('MiT Strom Pipeline'!$AA$6:$AA$904=SUMPRODUCT(MAX(('MiT Strom Pipeline'!$D$6:$D$904=I9)*'MiT Strom Pipeline'!$AA$6:$AA$904)))*(ROW('MiT Strom Pipeline'!$AA$6:$AA$904)-5))),"–"))</f>
        <v>Siemens</v>
      </c>
      <c r="N9" s="38" t="str">
        <f aca="false">IF(OR(I9="",J9=0),"–",COUNTIFS('MiT Strom Pipeline'!$D$6:$D$904,I9,'MiT Strom Pipeline'!$R$6:$R$904,"WON")&amp;" / "&amp;J9&amp;" WON")</f>
        <v>1 / 1 WON</v>
      </c>
    </row>
    <row r="10" customFormat="false" ht="19.5" hidden="false" customHeight="true" outlineLevel="0" collapsed="false">
      <c r="A10" s="22" t="s">
        <v>78</v>
      </c>
      <c r="B10" s="166" t="n">
        <f aca="false">IF(A10="","",COUNTIF('MiT Strom Pipeline'!$C$6:$C$904,A10))</f>
        <v>13</v>
      </c>
      <c r="C10" s="166" t="n">
        <f aca="false">IF(A10="","",COUNTIFS('MiT Strom Pipeline'!$C$6:$C$904,A10,'MiT Strom Pipeline'!$R$6:$R$904,"WON"))</f>
        <v>2</v>
      </c>
      <c r="D10" s="24" t="n">
        <f aca="false">IF(A10="","",SUMIFS('MiT Strom Pipeline'!$I$6:$I$904,'MiT Strom Pipeline'!$C$6:$C$904,A10))</f>
        <v>1301772</v>
      </c>
      <c r="E10" s="24" t="n">
        <f aca="false">IF(A10="","",SUMIFS('MiT Strom Pipeline'!$Q$6:$Q$904,'MiT Strom Pipeline'!$C$6:$C$904,A10))</f>
        <v>294086</v>
      </c>
      <c r="F10" s="23" t="str">
        <f aca="false">IF(OR(A10="",B10=0,SUMPRODUCT(MAX(('MiT Strom Pipeline'!$C$6:$C$904=A10)*'MiT Strom Pipeline'!$AA$6:$AA$904))=0),"–",IFERROR(INDEX('MiT Strom Pipeline'!$B$6:$B$904,SUMPRODUCT(('MiT Strom Pipeline'!$C$6:$C$904=A10)*('MiT Strom Pipeline'!$AA$6:$AA$904=SUMPRODUCT(MAX(('MiT Strom Pipeline'!$C$6:$C$904=A10)*'MiT Strom Pipeline'!$AA$6:$AA$904)))*(ROW('MiT Strom Pipeline'!$AA$6:$AA$904)-5))),"–"))</f>
        <v>Badermetaux Sàrl (Schweiz)</v>
      </c>
      <c r="G10" s="22" t="str">
        <f aca="false">IF(OR(A10="",B10=0),"–",TEXT(C10/B10,"0%")&amp;" WON")</f>
        <v>15% WON</v>
      </c>
      <c r="H10" s="14"/>
      <c r="I10" s="23" t="s">
        <v>57</v>
      </c>
      <c r="J10" s="166" t="n">
        <f aca="false">IF(I10="","",COUNTIF('MiT Strom Pipeline'!$D$6:$D$904,I10))</f>
        <v>3</v>
      </c>
      <c r="K10" s="24" t="n">
        <f aca="false">IF(I10="","",SUMIFS('MiT Strom Pipeline'!$I$6:$I$904,'MiT Strom Pipeline'!$D$6:$D$904,I10))</f>
        <v>75769</v>
      </c>
      <c r="L10" s="24" t="n">
        <f aca="false">IF(I10="","",SUMIFS('MiT Strom Pipeline'!$Q$6:$Q$904,'MiT Strom Pipeline'!$D$6:$D$904,I10))</f>
        <v>37884.5</v>
      </c>
      <c r="M10" s="23" t="str">
        <f aca="false">IF(OR(I10="",J10=0,SUMPRODUCT(MAX(('MiT Strom Pipeline'!$D$6:$D$904=I10)*'MiT Strom Pipeline'!$AA$6:$AA$904))=0),"–",IFERROR(INDEX('MiT Strom Pipeline'!$B$6:$B$904,SUMPRODUCT(('MiT Strom Pipeline'!$D$6:$D$904=I10)*('MiT Strom Pipeline'!$AA$6:$AA$904=SUMPRODUCT(MAX(('MiT Strom Pipeline'!$D$6:$D$904=I10)*'MiT Strom Pipeline'!$AA$6:$AA$904)))*(ROW('MiT Strom Pipeline'!$AA$6:$AA$904)-5))),"–"))</f>
        <v>Trafag AG</v>
      </c>
      <c r="N10" s="22" t="str">
        <f aca="false">IF(OR(I10="",J10=0),"–",COUNTIFS('MiT Strom Pipeline'!$D$6:$D$904,I10,'MiT Strom Pipeline'!$R$6:$R$904,"WON")&amp;" / "&amp;J10&amp;" WON")</f>
        <v>0 / 3 WON</v>
      </c>
    </row>
    <row r="11" customFormat="false" ht="19.5" hidden="false" customHeight="true" outlineLevel="0" collapsed="false">
      <c r="A11" s="130" t="s">
        <v>59</v>
      </c>
      <c r="B11" s="164" t="n">
        <f aca="false">IF(A11="","",COUNTIF('MiT Strom Pipeline'!$C$6:$C$904,A11))</f>
        <v>2</v>
      </c>
      <c r="C11" s="164" t="n">
        <f aca="false">IF(A11="","",COUNTIFS('MiT Strom Pipeline'!$C$6:$C$904,A11,'MiT Strom Pipeline'!$R$6:$R$904,"WON"))</f>
        <v>0</v>
      </c>
      <c r="D11" s="132" t="n">
        <f aca="false">IF(A11="","",SUMIFS('MiT Strom Pipeline'!$I$6:$I$904,'MiT Strom Pipeline'!$C$6:$C$904,A11))</f>
        <v>96658.69</v>
      </c>
      <c r="E11" s="132" t="n">
        <f aca="false">IF(A11="","",SUMIFS('MiT Strom Pipeline'!$Q$6:$Q$904,'MiT Strom Pipeline'!$C$6:$C$904,A11))</f>
        <v>48329.345</v>
      </c>
      <c r="F11" s="131" t="str">
        <f aca="false">IF(OR(A11="",B11=0,SUMPRODUCT(MAX(('MiT Strom Pipeline'!$C$6:$C$904=A11)*'MiT Strom Pipeline'!$AA$6:$AA$904))=0),"–",IFERROR(INDEX('MiT Strom Pipeline'!$B$6:$B$904,SUMPRODUCT(('MiT Strom Pipeline'!$C$6:$C$904=A11)*('MiT Strom Pipeline'!$AA$6:$AA$904=SUMPRODUCT(MAX(('MiT Strom Pipeline'!$C$6:$C$904=A11)*'MiT Strom Pipeline'!$AA$6:$AA$904)))*(ROW('MiT Strom Pipeline'!$AA$6:$AA$904)-5))),"–"))</f>
        <v>Murg Flums Energie</v>
      </c>
      <c r="G11" s="130" t="str">
        <f aca="false">IF(OR(A11="",B11=0),"–",TEXT(C11/B11,"0%")&amp;" WON")</f>
        <v>0% WON</v>
      </c>
      <c r="H11" s="14"/>
      <c r="I11" s="39" t="s">
        <v>60</v>
      </c>
      <c r="J11" s="165" t="n">
        <f aca="false">IF(I11="","",COUNTIF('MiT Strom Pipeline'!$D$6:$D$904,I11))</f>
        <v>1</v>
      </c>
      <c r="K11" s="40" t="n">
        <f aca="false">IF(I11="","",SUMIFS('MiT Strom Pipeline'!$I$6:$I$904,'MiT Strom Pipeline'!$D$6:$D$904,I11))</f>
        <v>500000</v>
      </c>
      <c r="L11" s="40" t="n">
        <f aca="false">IF(I11="","",SUMIFS('MiT Strom Pipeline'!$Q$6:$Q$904,'MiT Strom Pipeline'!$D$6:$D$904,I11))</f>
        <v>50000</v>
      </c>
      <c r="M11" s="39" t="str">
        <f aca="false">IF(OR(I11="",J11=0,SUMPRODUCT(MAX(('MiT Strom Pipeline'!$D$6:$D$904=I11)*'MiT Strom Pipeline'!$AA$6:$AA$904))=0),"–",IFERROR(INDEX('MiT Strom Pipeline'!$B$6:$B$904,SUMPRODUCT(('MiT Strom Pipeline'!$D$6:$D$904=I11)*('MiT Strom Pipeline'!$AA$6:$AA$904=SUMPRODUCT(MAX(('MiT Strom Pipeline'!$D$6:$D$904=I11)*'MiT Strom Pipeline'!$AA$6:$AA$904)))*(ROW('MiT Strom Pipeline'!$AA$6:$AA$904)-5))),"–"))</f>
        <v>Badermetaux Sàrl (Schweiz)</v>
      </c>
      <c r="N11" s="38" t="str">
        <f aca="false">IF(OR(I11="",J11=0),"–",COUNTIFS('MiT Strom Pipeline'!$D$6:$D$904,I11,'MiT Strom Pipeline'!$R$6:$R$904,"WON")&amp;" / "&amp;J11&amp;" WON")</f>
        <v>0 / 1 WON</v>
      </c>
    </row>
    <row r="12" customFormat="false" ht="19.5" hidden="false" customHeight="true" outlineLevel="0" collapsed="false">
      <c r="A12" s="22" t="s">
        <v>62</v>
      </c>
      <c r="B12" s="166" t="n">
        <f aca="false">IF(A12="","",COUNTIF('MiT Strom Pipeline'!$C$6:$C$904,A12))</f>
        <v>5</v>
      </c>
      <c r="C12" s="166" t="n">
        <f aca="false">IF(A12="","",COUNTIFS('MiT Strom Pipeline'!$C$6:$C$904,A12,'MiT Strom Pipeline'!$R$6:$R$904,"WON"))</f>
        <v>1</v>
      </c>
      <c r="D12" s="24" t="n">
        <f aca="false">IF(A12="","",SUMIFS('MiT Strom Pipeline'!$I$6:$I$904,'MiT Strom Pipeline'!$C$6:$C$904,A12))</f>
        <v>2624715</v>
      </c>
      <c r="E12" s="24" t="n">
        <f aca="false">IF(A12="","",SUMIFS('MiT Strom Pipeline'!$Q$6:$Q$904,'MiT Strom Pipeline'!$C$6:$C$904,A12))</f>
        <v>1312357.5</v>
      </c>
      <c r="F12" s="23" t="str">
        <f aca="false">IF(OR(A12="",B12=0,SUMPRODUCT(MAX(('MiT Strom Pipeline'!$C$6:$C$904=A12)*'MiT Strom Pipeline'!$AA$6:$AA$904))=0),"–",IFERROR(INDEX('MiT Strom Pipeline'!$B$6:$B$904,SUMPRODUCT(('MiT Strom Pipeline'!$C$6:$C$904=A12)*('MiT Strom Pipeline'!$AA$6:$AA$904=SUMPRODUCT(MAX(('MiT Strom Pipeline'!$C$6:$C$904=A12)*'MiT Strom Pipeline'!$AA$6:$AA$904)))*(ROW('MiT Strom Pipeline'!$AA$6:$AA$904)-5))),"–"))</f>
        <v>Rimus &amp; Sstrada</v>
      </c>
      <c r="G12" s="22" t="str">
        <f aca="false">IF(OR(A12="",B12=0),"–",TEXT(C12/B12,"0%")&amp;" WON")</f>
        <v>20% WON</v>
      </c>
      <c r="H12" s="14"/>
      <c r="I12" s="23" t="s">
        <v>63</v>
      </c>
      <c r="J12" s="166" t="n">
        <f aca="false">IF(I12="","",COUNTIF('MiT Strom Pipeline'!$D$6:$D$904,I12))</f>
        <v>1</v>
      </c>
      <c r="K12" s="24" t="n">
        <f aca="false">IF(I12="","",SUMIFS('MiT Strom Pipeline'!$I$6:$I$904,'MiT Strom Pipeline'!$D$6:$D$904,I12))</f>
        <v>13100</v>
      </c>
      <c r="L12" s="24" t="n">
        <f aca="false">IF(I12="","",SUMIFS('MiT Strom Pipeline'!$Q$6:$Q$904,'MiT Strom Pipeline'!$D$6:$D$904,I12))</f>
        <v>131</v>
      </c>
      <c r="M12" s="23" t="str">
        <f aca="false">IF(OR(I12="",J12=0,SUMPRODUCT(MAX(('MiT Strom Pipeline'!$D$6:$D$904=I12)*'MiT Strom Pipeline'!$AA$6:$AA$904))=0),"–",IFERROR(INDEX('MiT Strom Pipeline'!$B$6:$B$904,SUMPRODUCT(('MiT Strom Pipeline'!$D$6:$D$904=I12)*('MiT Strom Pipeline'!$AA$6:$AA$904=SUMPRODUCT(MAX(('MiT Strom Pipeline'!$D$6:$D$904=I12)*'MiT Strom Pipeline'!$AA$6:$AA$904)))*(ROW('MiT Strom Pipeline'!$AA$6:$AA$904)-5))),"–"))</f>
        <v>Oerlikon Metco Wohlen</v>
      </c>
      <c r="N12" s="22" t="str">
        <f aca="false">IF(OR(I12="",J12=0),"–",COUNTIFS('MiT Strom Pipeline'!$D$6:$D$904,I12,'MiT Strom Pipeline'!$R$6:$R$904,"WON")&amp;" / "&amp;J12&amp;" WON")</f>
        <v>1 / 1 WON</v>
      </c>
    </row>
    <row r="13" customFormat="false" ht="19.5" hidden="false" customHeight="true" outlineLevel="0" collapsed="false">
      <c r="A13" s="130" t="s">
        <v>70</v>
      </c>
      <c r="B13" s="164" t="n">
        <f aca="false">IF(A13="","",COUNTIF('MiT Strom Pipeline'!$C$6:$C$904,A13))</f>
        <v>1</v>
      </c>
      <c r="C13" s="164" t="n">
        <f aca="false">IF(A13="","",COUNTIFS('MiT Strom Pipeline'!$C$6:$C$904,A13,'MiT Strom Pipeline'!$R$6:$R$904,"WON"))</f>
        <v>0</v>
      </c>
      <c r="D13" s="132" t="n">
        <f aca="false">IF(A13="","",SUMIFS('MiT Strom Pipeline'!$I$6:$I$904,'MiT Strom Pipeline'!$C$6:$C$904,A13))</f>
        <v>0</v>
      </c>
      <c r="E13" s="132" t="n">
        <f aca="false">IF(A13="","",SUMIFS('MiT Strom Pipeline'!$Q$6:$Q$904,'MiT Strom Pipeline'!$C$6:$C$904,A13))</f>
        <v>0</v>
      </c>
      <c r="F13" s="131" t="str">
        <f aca="false">IF(OR(A13="",B13=0,SUMPRODUCT(MAX(('MiT Strom Pipeline'!$C$6:$C$904=A13)*'MiT Strom Pipeline'!$AA$6:$AA$904))=0),"–",IFERROR(INDEX('MiT Strom Pipeline'!$B$6:$B$904,SUMPRODUCT(('MiT Strom Pipeline'!$C$6:$C$904=A13)*('MiT Strom Pipeline'!$AA$6:$AA$904=SUMPRODUCT(MAX(('MiT Strom Pipeline'!$C$6:$C$904=A13)*'MiT Strom Pipeline'!$AA$6:$AA$904)))*(ROW('MiT Strom Pipeline'!$AA$6:$AA$904)-5))),"–"))</f>
        <v>–</v>
      </c>
      <c r="G13" s="130" t="str">
        <f aca="false">IF(OR(A13="",B13=0),"–",TEXT(C13/B13,"0%")&amp;" WON")</f>
        <v>0% WON</v>
      </c>
      <c r="H13" s="14"/>
      <c r="I13" s="39" t="s">
        <v>66</v>
      </c>
      <c r="J13" s="165" t="n">
        <f aca="false">IF(I13="","",COUNTIF('MiT Strom Pipeline'!$D$6:$D$904,I13))</f>
        <v>6</v>
      </c>
      <c r="K13" s="40" t="n">
        <f aca="false">IF(I13="","",SUMIFS('MiT Strom Pipeline'!$I$6:$I$904,'MiT Strom Pipeline'!$D$6:$D$904,I13))</f>
        <v>2624715</v>
      </c>
      <c r="L13" s="40" t="n">
        <f aca="false">IF(I13="","",SUMIFS('MiT Strom Pipeline'!$Q$6:$Q$904,'MiT Strom Pipeline'!$D$6:$D$904,I13))</f>
        <v>1312357.5</v>
      </c>
      <c r="M13" s="39" t="str">
        <f aca="false">IF(OR(I13="",J13=0,SUMPRODUCT(MAX(('MiT Strom Pipeline'!$D$6:$D$904=I13)*'MiT Strom Pipeline'!$AA$6:$AA$904))=0),"–",IFERROR(INDEX('MiT Strom Pipeline'!$B$6:$B$904,SUMPRODUCT(('MiT Strom Pipeline'!$D$6:$D$904=I13)*('MiT Strom Pipeline'!$AA$6:$AA$904=SUMPRODUCT(MAX(('MiT Strom Pipeline'!$D$6:$D$904=I13)*'MiT Strom Pipeline'!$AA$6:$AA$904)))*(ROW('MiT Strom Pipeline'!$AA$6:$AA$904)-5))),"–"))</f>
        <v>Rimus &amp; Sstrada</v>
      </c>
      <c r="N13" s="38" t="str">
        <f aca="false">IF(OR(I13="",J13=0),"–",COUNTIFS('MiT Strom Pipeline'!$D$6:$D$904,I13,'MiT Strom Pipeline'!$R$6:$R$904,"WON")&amp;" / "&amp;J13&amp;" WON")</f>
        <v>0 / 6 WON</v>
      </c>
    </row>
    <row r="14" customFormat="false" ht="19.5" hidden="false" customHeight="true" outlineLevel="0" collapsed="false">
      <c r="A14" s="22" t="s">
        <v>44</v>
      </c>
      <c r="B14" s="166" t="n">
        <f aca="false">IF(A14="","",COUNTIF('MiT Strom Pipeline'!$C$6:$C$904,A14))</f>
        <v>2</v>
      </c>
      <c r="C14" s="166" t="n">
        <f aca="false">IF(A14="","",COUNTIFS('MiT Strom Pipeline'!$C$6:$C$904,A14,'MiT Strom Pipeline'!$R$6:$R$904,"WON"))</f>
        <v>0</v>
      </c>
      <c r="D14" s="24" t="n">
        <f aca="false">IF(A14="","",SUMIFS('MiT Strom Pipeline'!$I$6:$I$904,'MiT Strom Pipeline'!$C$6:$C$904,A14))</f>
        <v>39000</v>
      </c>
      <c r="E14" s="24" t="n">
        <f aca="false">IF(A14="","",SUMIFS('MiT Strom Pipeline'!$Q$6:$Q$904,'MiT Strom Pipeline'!$C$6:$C$904,A14))</f>
        <v>0</v>
      </c>
      <c r="F14" s="23" t="str">
        <f aca="false">IF(OR(A14="",B14=0,SUMPRODUCT(MAX(('MiT Strom Pipeline'!$C$6:$C$904=A14)*'MiT Strom Pipeline'!$AA$6:$AA$904))=0),"–",IFERROR(INDEX('MiT Strom Pipeline'!$B$6:$B$904,SUMPRODUCT(('MiT Strom Pipeline'!$C$6:$C$904=A14)*('MiT Strom Pipeline'!$AA$6:$AA$904=SUMPRODUCT(MAX(('MiT Strom Pipeline'!$C$6:$C$904=A14)*'MiT Strom Pipeline'!$AA$6:$AA$904)))*(ROW('MiT Strom Pipeline'!$AA$6:$AA$904)-5))),"–"))</f>
        <v>Holinger</v>
      </c>
      <c r="G14" s="22" t="str">
        <f aca="false">IF(OR(A14="",B14=0),"–",TEXT(C14/B14,"0%")&amp;" WON")</f>
        <v>0% WON</v>
      </c>
      <c r="H14" s="14"/>
      <c r="I14" s="23" t="s">
        <v>69</v>
      </c>
      <c r="J14" s="166" t="n">
        <f aca="false">IF(I14="","",COUNTIF('MiT Strom Pipeline'!$D$6:$D$904,I14))</f>
        <v>1</v>
      </c>
      <c r="K14" s="24" t="n">
        <f aca="false">IF(I14="","",SUMIFS('MiT Strom Pipeline'!$I$6:$I$904,'MiT Strom Pipeline'!$D$6:$D$904,I14))</f>
        <v>38885</v>
      </c>
      <c r="L14" s="24" t="n">
        <f aca="false">IF(I14="","",SUMIFS('MiT Strom Pipeline'!$Q$6:$Q$904,'MiT Strom Pipeline'!$D$6:$D$904,I14))</f>
        <v>19442.5</v>
      </c>
      <c r="M14" s="23" t="str">
        <f aca="false">IF(OR(I14="",J14=0,SUMPRODUCT(MAX(('MiT Strom Pipeline'!$D$6:$D$904=I14)*'MiT Strom Pipeline'!$AA$6:$AA$904))=0),"–",IFERROR(INDEX('MiT Strom Pipeline'!$B$6:$B$904,SUMPRODUCT(('MiT Strom Pipeline'!$D$6:$D$904=I14)*('MiT Strom Pipeline'!$AA$6:$AA$904=SUMPRODUCT(MAX(('MiT Strom Pipeline'!$D$6:$D$904=I14)*'MiT Strom Pipeline'!$AA$6:$AA$904)))*(ROW('MiT Strom Pipeline'!$AA$6:$AA$904)-5))),"–"))</f>
        <v>Sade CGTH (Schweiz)</v>
      </c>
      <c r="N14" s="22" t="str">
        <f aca="false">IF(OR(I14="",J14=0),"–",COUNTIFS('MiT Strom Pipeline'!$D$6:$D$904,I14,'MiT Strom Pipeline'!$R$6:$R$904,"WON")&amp;" / "&amp;J14&amp;" WON")</f>
        <v>0 / 1 WON</v>
      </c>
    </row>
    <row r="15" customFormat="false" ht="19.5" hidden="false" customHeight="true" outlineLevel="0" collapsed="false">
      <c r="A15" s="130" t="s">
        <v>76</v>
      </c>
      <c r="B15" s="164" t="n">
        <f aca="false">IF(A15="","",COUNTIF('MiT Strom Pipeline'!$C$6:$C$904,A15))</f>
        <v>0</v>
      </c>
      <c r="C15" s="164" t="n">
        <f aca="false">IF(A15="","",COUNTIFS('MiT Strom Pipeline'!$C$6:$C$904,A15,'MiT Strom Pipeline'!$R$6:$R$904,"WON"))</f>
        <v>0</v>
      </c>
      <c r="D15" s="132" t="n">
        <f aca="false">IF(A15="","",SUMIFS('MiT Strom Pipeline'!$I$6:$I$904,'MiT Strom Pipeline'!$C$6:$C$904,A15))</f>
        <v>0</v>
      </c>
      <c r="E15" s="132" t="n">
        <f aca="false">IF(A15="","",SUMIFS('MiT Strom Pipeline'!$Q$6:$Q$904,'MiT Strom Pipeline'!$C$6:$C$904,A15))</f>
        <v>0</v>
      </c>
      <c r="F15" s="131" t="str">
        <f aca="false">IF(OR(A15="",B15=0,SUMPRODUCT(MAX(('MiT Strom Pipeline'!$C$6:$C$904=A15)*'MiT Strom Pipeline'!$AA$6:$AA$904))=0),"–",IFERROR(INDEX('MiT Strom Pipeline'!$B$6:$B$904,SUMPRODUCT(('MiT Strom Pipeline'!$C$6:$C$904=A15)*('MiT Strom Pipeline'!$AA$6:$AA$904=SUMPRODUCT(MAX(('MiT Strom Pipeline'!$C$6:$C$904=A15)*'MiT Strom Pipeline'!$AA$6:$AA$904)))*(ROW('MiT Strom Pipeline'!$AA$6:$AA$904)-5))),"–"))</f>
        <v>–</v>
      </c>
      <c r="G15" s="130" t="str">
        <f aca="false">IF(OR(A15="",B15=0),"–",TEXT(C15/B15,"0%")&amp;" WON")</f>
        <v>–</v>
      </c>
      <c r="H15" s="14"/>
      <c r="I15" s="39" t="s">
        <v>71</v>
      </c>
      <c r="J15" s="165" t="n">
        <f aca="false">IF(I15="","",COUNTIF('MiT Strom Pipeline'!$D$6:$D$904,I15))</f>
        <v>1</v>
      </c>
      <c r="K15" s="40" t="n">
        <f aca="false">IF(I15="","",SUMIFS('MiT Strom Pipeline'!$I$6:$I$904,'MiT Strom Pipeline'!$D$6:$D$904,I15))</f>
        <v>0</v>
      </c>
      <c r="L15" s="40" t="n">
        <f aca="false">IF(I15="","",SUMIFS('MiT Strom Pipeline'!$Q$6:$Q$904,'MiT Strom Pipeline'!$D$6:$D$904,I15))</f>
        <v>0</v>
      </c>
      <c r="M15" s="39" t="str">
        <f aca="false">IF(OR(I15="",J15=0,SUMPRODUCT(MAX(('MiT Strom Pipeline'!$D$6:$D$904=I15)*'MiT Strom Pipeline'!$AA$6:$AA$904))=0),"–",IFERROR(INDEX('MiT Strom Pipeline'!$B$6:$B$904,SUMPRODUCT(('MiT Strom Pipeline'!$D$6:$D$904=I15)*('MiT Strom Pipeline'!$AA$6:$AA$904=SUMPRODUCT(MAX(('MiT Strom Pipeline'!$D$6:$D$904=I15)*'MiT Strom Pipeline'!$AA$6:$AA$904)))*(ROW('MiT Strom Pipeline'!$AA$6:$AA$904)-5))),"–"))</f>
        <v>–</v>
      </c>
      <c r="N15" s="38" t="str">
        <f aca="false">IF(OR(I15="",J15=0),"–",COUNTIFS('MiT Strom Pipeline'!$D$6:$D$904,I15,'MiT Strom Pipeline'!$R$6:$R$904,"WON")&amp;" / "&amp;J15&amp;" WON")</f>
        <v>0 / 1 WON</v>
      </c>
    </row>
    <row r="16" customFormat="false" ht="19.5" hidden="false" customHeight="true" outlineLevel="0" collapsed="false">
      <c r="A16" s="22" t="s">
        <v>72</v>
      </c>
      <c r="B16" s="166" t="n">
        <f aca="false">IF(A16="","",COUNTIF('MiT Strom Pipeline'!$C$6:$C$904,A16))</f>
        <v>2</v>
      </c>
      <c r="C16" s="166" t="n">
        <f aca="false">IF(A16="","",COUNTIFS('MiT Strom Pipeline'!$C$6:$C$904,A16,'MiT Strom Pipeline'!$R$6:$R$904,"WON"))</f>
        <v>0</v>
      </c>
      <c r="D16" s="24" t="n">
        <f aca="false">IF(A16="","",SUMIFS('MiT Strom Pipeline'!$I$6:$I$904,'MiT Strom Pipeline'!$C$6:$C$904,A16))</f>
        <v>0</v>
      </c>
      <c r="E16" s="24" t="n">
        <f aca="false">IF(A16="","",SUMIFS('MiT Strom Pipeline'!$Q$6:$Q$904,'MiT Strom Pipeline'!$C$6:$C$904,A16))</f>
        <v>0</v>
      </c>
      <c r="F16" s="23" t="str">
        <f aca="false">IF(OR(A16="",B16=0,SUMPRODUCT(MAX(('MiT Strom Pipeline'!$C$6:$C$904=A16)*'MiT Strom Pipeline'!$AA$6:$AA$904))=0),"–",IFERROR(INDEX('MiT Strom Pipeline'!$B$6:$B$904,SUMPRODUCT(('MiT Strom Pipeline'!$C$6:$C$904=A16)*('MiT Strom Pipeline'!$AA$6:$AA$904=SUMPRODUCT(MAX(('MiT Strom Pipeline'!$C$6:$C$904=A16)*'MiT Strom Pipeline'!$AA$6:$AA$904)))*(ROW('MiT Strom Pipeline'!$AA$6:$AA$904)-5))),"–"))</f>
        <v>–</v>
      </c>
      <c r="G16" s="22" t="str">
        <f aca="false">IF(OR(A16="",B16=0),"–",TEXT(C16/B16,"0%")&amp;" WON")</f>
        <v>0% WON</v>
      </c>
      <c r="H16" s="14"/>
      <c r="I16" s="23" t="s">
        <v>73</v>
      </c>
      <c r="J16" s="166" t="n">
        <f aca="false">IF(I16="","",COUNTIF('MiT Strom Pipeline'!$D$6:$D$904,I16))</f>
        <v>1</v>
      </c>
      <c r="K16" s="24" t="n">
        <f aca="false">IF(I16="","",SUMIFS('MiT Strom Pipeline'!$I$6:$I$904,'MiT Strom Pipeline'!$D$6:$D$904,I16))</f>
        <v>365003</v>
      </c>
      <c r="L16" s="24" t="n">
        <f aca="false">IF(I16="","",SUMIFS('MiT Strom Pipeline'!$Q$6:$Q$904,'MiT Strom Pipeline'!$D$6:$D$904,I16))</f>
        <v>182501.5</v>
      </c>
      <c r="M16" s="23" t="str">
        <f aca="false">IF(OR(I16="",J16=0,SUMPRODUCT(MAX(('MiT Strom Pipeline'!$D$6:$D$904=I16)*'MiT Strom Pipeline'!$AA$6:$AA$904))=0),"–",IFERROR(INDEX('MiT Strom Pipeline'!$B$6:$B$904,SUMPRODUCT(('MiT Strom Pipeline'!$D$6:$D$904=I16)*('MiT Strom Pipeline'!$AA$6:$AA$904=SUMPRODUCT(MAX(('MiT Strom Pipeline'!$D$6:$D$904=I16)*'MiT Strom Pipeline'!$AA$6:$AA$904)))*(ROW('MiT Strom Pipeline'!$AA$6:$AA$904)-5))),"–"))</f>
        <v>Proxima Fusion AG</v>
      </c>
      <c r="N16" s="22" t="str">
        <f aca="false">IF(OR(I16="",J16=0),"–",COUNTIFS('MiT Strom Pipeline'!$D$6:$D$904,I16,'MiT Strom Pipeline'!$R$6:$R$904,"WON")&amp;" / "&amp;J16&amp;" WON")</f>
        <v>0 / 1 WON</v>
      </c>
    </row>
    <row r="17" customFormat="false" ht="19.5" hidden="false" customHeight="true" outlineLevel="0" collapsed="false">
      <c r="A17" s="130" t="s">
        <v>47</v>
      </c>
      <c r="B17" s="164" t="n">
        <f aca="false">IF(A17="","",COUNTIF('MiT Strom Pipeline'!$C$6:$C$904,A17))</f>
        <v>0</v>
      </c>
      <c r="C17" s="164" t="n">
        <f aca="false">IF(A17="","",COUNTIFS('MiT Strom Pipeline'!$C$6:$C$904,A17,'MiT Strom Pipeline'!$R$6:$R$904,"WON"))</f>
        <v>0</v>
      </c>
      <c r="D17" s="132" t="n">
        <f aca="false">IF(A17="","",SUMIFS('MiT Strom Pipeline'!$I$6:$I$904,'MiT Strom Pipeline'!$C$6:$C$904,A17))</f>
        <v>0</v>
      </c>
      <c r="E17" s="132" t="n">
        <f aca="false">IF(A17="","",SUMIFS('MiT Strom Pipeline'!$Q$6:$Q$904,'MiT Strom Pipeline'!$C$6:$C$904,A17))</f>
        <v>0</v>
      </c>
      <c r="F17" s="131" t="str">
        <f aca="false">IF(OR(A17="",B17=0,SUMPRODUCT(MAX(('MiT Strom Pipeline'!$C$6:$C$904=A17)*'MiT Strom Pipeline'!$AA$6:$AA$904))=0),"–",IFERROR(INDEX('MiT Strom Pipeline'!$B$6:$B$904,SUMPRODUCT(('MiT Strom Pipeline'!$C$6:$C$904=A17)*('MiT Strom Pipeline'!$AA$6:$AA$904=SUMPRODUCT(MAX(('MiT Strom Pipeline'!$C$6:$C$904=A17)*'MiT Strom Pipeline'!$AA$6:$AA$904)))*(ROW('MiT Strom Pipeline'!$AA$6:$AA$904)-5))),"–"))</f>
        <v>–</v>
      </c>
      <c r="G17" s="130" t="str">
        <f aca="false">IF(OR(A17="",B17=0),"–",TEXT(C17/B17,"0%")&amp;" WON")</f>
        <v>–</v>
      </c>
      <c r="H17" s="14"/>
      <c r="I17" s="39" t="s">
        <v>75</v>
      </c>
      <c r="J17" s="165" t="n">
        <f aca="false">IF(I17="","",COUNTIF('MiT Strom Pipeline'!$D$6:$D$904,I17))</f>
        <v>5</v>
      </c>
      <c r="K17" s="40" t="n">
        <f aca="false">IF(I17="","",SUMIFS('MiT Strom Pipeline'!$I$6:$I$904,'MiT Strom Pipeline'!$D$6:$D$904,I17))</f>
        <v>220660</v>
      </c>
      <c r="L17" s="40" t="n">
        <f aca="false">IF(I17="","",SUMIFS('MiT Strom Pipeline'!$Q$6:$Q$904,'MiT Strom Pipeline'!$D$6:$D$904,I17))</f>
        <v>110330</v>
      </c>
      <c r="M17" s="39" t="str">
        <f aca="false">IF(OR(I17="",J17=0,SUMPRODUCT(MAX(('MiT Strom Pipeline'!$D$6:$D$904=I17)*'MiT Strom Pipeline'!$AA$6:$AA$904))=0),"–",IFERROR(INDEX('MiT Strom Pipeline'!$B$6:$B$904,SUMPRODUCT(('MiT Strom Pipeline'!$D$6:$D$904=I17)*('MiT Strom Pipeline'!$AA$6:$AA$904=SUMPRODUCT(MAX(('MiT Strom Pipeline'!$D$6:$D$904=I17)*'MiT Strom Pipeline'!$AA$6:$AA$904)))*(ROW('MiT Strom Pipeline'!$AA$6:$AA$904)-5))),"–"))</f>
        <v>Reto EKAG</v>
      </c>
      <c r="N17" s="38" t="str">
        <f aca="false">IF(OR(I17="",J17=0),"–",COUNTIFS('MiT Strom Pipeline'!$D$6:$D$904,I17,'MiT Strom Pipeline'!$R$6:$R$904,"WON")&amp;" / "&amp;J17&amp;" WON")</f>
        <v>0 / 5 WON</v>
      </c>
    </row>
    <row r="18" customFormat="false" ht="19.5" hidden="false" customHeight="true" outlineLevel="0" collapsed="false">
      <c r="A18" s="22" t="s">
        <v>56</v>
      </c>
      <c r="B18" s="166" t="n">
        <f aca="false">IF(A18="","",COUNTIF('MiT Strom Pipeline'!$C$6:$C$904,A18))</f>
        <v>0</v>
      </c>
      <c r="C18" s="166" t="n">
        <f aca="false">IF(A18="","",COUNTIFS('MiT Strom Pipeline'!$C$6:$C$904,A18,'MiT Strom Pipeline'!$R$6:$R$904,"WON"))</f>
        <v>0</v>
      </c>
      <c r="D18" s="24" t="n">
        <f aca="false">IF(A18="","",SUMIFS('MiT Strom Pipeline'!$I$6:$I$904,'MiT Strom Pipeline'!$C$6:$C$904,A18))</f>
        <v>0</v>
      </c>
      <c r="E18" s="24" t="n">
        <f aca="false">IF(A18="","",SUMIFS('MiT Strom Pipeline'!$Q$6:$Q$904,'MiT Strom Pipeline'!$C$6:$C$904,A18))</f>
        <v>0</v>
      </c>
      <c r="F18" s="23" t="str">
        <f aca="false">IF(OR(A18="",B18=0,SUMPRODUCT(MAX(('MiT Strom Pipeline'!$C$6:$C$904=A18)*'MiT Strom Pipeline'!$AA$6:$AA$904))=0),"–",IFERROR(INDEX('MiT Strom Pipeline'!$B$6:$B$904,SUMPRODUCT(('MiT Strom Pipeline'!$C$6:$C$904=A18)*('MiT Strom Pipeline'!$AA$6:$AA$904=SUMPRODUCT(MAX(('MiT Strom Pipeline'!$C$6:$C$904=A18)*'MiT Strom Pipeline'!$AA$6:$AA$904)))*(ROW('MiT Strom Pipeline'!$AA$6:$AA$904)-5))),"–"))</f>
        <v>–</v>
      </c>
      <c r="G18" s="22" t="str">
        <f aca="false">IF(OR(A18="",B18=0),"–",TEXT(C18/B18,"0%")&amp;" WON")</f>
        <v>–</v>
      </c>
      <c r="H18" s="14"/>
      <c r="I18" s="23" t="s">
        <v>77</v>
      </c>
      <c r="J18" s="166" t="n">
        <f aca="false">IF(I18="","",COUNTIF('MiT Strom Pipeline'!$D$6:$D$904,I18))</f>
        <v>1</v>
      </c>
      <c r="K18" s="24" t="n">
        <f aca="false">IF(I18="","",SUMIFS('MiT Strom Pipeline'!$I$6:$I$904,'MiT Strom Pipeline'!$D$6:$D$904,I18))</f>
        <v>0</v>
      </c>
      <c r="L18" s="24" t="n">
        <f aca="false">IF(I18="","",SUMIFS('MiT Strom Pipeline'!$Q$6:$Q$904,'MiT Strom Pipeline'!$D$6:$D$904,I18))</f>
        <v>0</v>
      </c>
      <c r="M18" s="23" t="str">
        <f aca="false">IF(OR(I18="",J18=0,SUMPRODUCT(MAX(('MiT Strom Pipeline'!$D$6:$D$904=I18)*'MiT Strom Pipeline'!$AA$6:$AA$904))=0),"–",IFERROR(INDEX('MiT Strom Pipeline'!$B$6:$B$904,SUMPRODUCT(('MiT Strom Pipeline'!$D$6:$D$904=I18)*('MiT Strom Pipeline'!$AA$6:$AA$904=SUMPRODUCT(MAX(('MiT Strom Pipeline'!$D$6:$D$904=I18)*'MiT Strom Pipeline'!$AA$6:$AA$904)))*(ROW('MiT Strom Pipeline'!$AA$6:$AA$904)-5))),"–"))</f>
        <v>–</v>
      </c>
      <c r="N18" s="22" t="str">
        <f aca="false">IF(OR(I18="",J18=0),"–",COUNTIFS('MiT Strom Pipeline'!$D$6:$D$904,I18,'MiT Strom Pipeline'!$R$6:$R$904,"WON")&amp;" / "&amp;J18&amp;" WON")</f>
        <v>0 / 1 WON</v>
      </c>
    </row>
    <row r="19" customFormat="false" ht="19.5" hidden="false" customHeight="true" outlineLevel="0" collapsed="false">
      <c r="A19" s="1" t="s">
        <v>74</v>
      </c>
      <c r="B19" s="164" t="n">
        <f aca="false">IF(A19="","",COUNTIF('MiT Strom Pipeline'!$C$6:$C$904,A19))</f>
        <v>1</v>
      </c>
      <c r="C19" s="164" t="n">
        <f aca="false">IF(A19="","",COUNTIFS('MiT Strom Pipeline'!$C$6:$C$904,A19,'MiT Strom Pipeline'!$R$6:$R$904,"WON"))</f>
        <v>0</v>
      </c>
      <c r="D19" s="132" t="n">
        <f aca="false">IF(A19="","",SUMIFS('MiT Strom Pipeline'!$I$6:$I$904,'MiT Strom Pipeline'!$C$6:$C$904,A19))</f>
        <v>0</v>
      </c>
      <c r="E19" s="132" t="n">
        <f aca="false">IF(A19="","",SUMIFS('MiT Strom Pipeline'!$Q$6:$Q$904,'MiT Strom Pipeline'!$C$6:$C$904,A19))</f>
        <v>0</v>
      </c>
      <c r="F19" s="131" t="str">
        <f aca="false">IF(OR(A19="",B19=0,SUMPRODUCT(MAX(('MiT Strom Pipeline'!$C$6:$C$904=A19)*'MiT Strom Pipeline'!$AA$6:$AA$904))=0),"–",IFERROR(INDEX('MiT Strom Pipeline'!$B$6:$B$904,SUMPRODUCT(('MiT Strom Pipeline'!$C$6:$C$904=A19)*('MiT Strom Pipeline'!$AA$6:$AA$904=SUMPRODUCT(MAX(('MiT Strom Pipeline'!$C$6:$C$904=A19)*'MiT Strom Pipeline'!$AA$6:$AA$904)))*(ROW('MiT Strom Pipeline'!$AA$6:$AA$904)-5))),"–"))</f>
        <v>–</v>
      </c>
      <c r="G19" s="130" t="str">
        <f aca="false">IF(OR(A19="",B19=0),"–",TEXT(C19/B19,"0%")&amp;" WON")</f>
        <v>0% WON</v>
      </c>
      <c r="I19" s="39" t="s">
        <v>79</v>
      </c>
      <c r="J19" s="165" t="n">
        <f aca="false">IF(I19="","",COUNTIF('MiT Strom Pipeline'!$D$6:$D$904,I19))</f>
        <v>1</v>
      </c>
      <c r="K19" s="40" t="n">
        <f aca="false">IF(I19="","",SUMIFS('MiT Strom Pipeline'!$I$6:$I$904,'MiT Strom Pipeline'!$D$6:$D$904,I19))</f>
        <v>0</v>
      </c>
      <c r="L19" s="40" t="n">
        <f aca="false">IF(I19="","",SUMIFS('MiT Strom Pipeline'!$Q$6:$Q$904,'MiT Strom Pipeline'!$D$6:$D$904,I19))</f>
        <v>0</v>
      </c>
      <c r="M19" s="39" t="str">
        <f aca="false">IF(OR(I19="",J19=0,SUMPRODUCT(MAX(('MiT Strom Pipeline'!$D$6:$D$904=I19)*'MiT Strom Pipeline'!$AA$6:$AA$904))=0),"–",IFERROR(INDEX('MiT Strom Pipeline'!$B$6:$B$904,SUMPRODUCT(('MiT Strom Pipeline'!$D$6:$D$904=I19)*('MiT Strom Pipeline'!$AA$6:$AA$904=SUMPRODUCT(MAX(('MiT Strom Pipeline'!$D$6:$D$904=I19)*'MiT Strom Pipeline'!$AA$6:$AA$904)))*(ROW('MiT Strom Pipeline'!$AA$6:$AA$904)-5))),"–"))</f>
        <v>–</v>
      </c>
      <c r="N19" s="38" t="str">
        <f aca="false">IF(OR(I19="",J19=0),"–",COUNTIFS('MiT Strom Pipeline'!$D$6:$D$904,I19,'MiT Strom Pipeline'!$R$6:$R$904,"WON")&amp;" / "&amp;J19&amp;" WON")</f>
        <v>0 / 1 WON</v>
      </c>
    </row>
    <row r="20" customFormat="false" ht="19.5" hidden="false" customHeight="true" outlineLevel="0" collapsed="false">
      <c r="I20" s="23" t="s">
        <v>80</v>
      </c>
      <c r="J20" s="166" t="n">
        <f aca="false">IF(I20="","",COUNTIF('MiT Strom Pipeline'!$D$6:$D$904,I20))</f>
        <v>1</v>
      </c>
      <c r="K20" s="24" t="n">
        <f aca="false">IF(I20="","",SUMIFS('MiT Strom Pipeline'!$I$6:$I$904,'MiT Strom Pipeline'!$D$6:$D$904,I20))</f>
        <v>390000</v>
      </c>
      <c r="L20" s="24" t="n">
        <f aca="false">IF(I20="","",SUMIFS('MiT Strom Pipeline'!$Q$6:$Q$904,'MiT Strom Pipeline'!$D$6:$D$904,I20))</f>
        <v>1950</v>
      </c>
      <c r="M20" s="23" t="str">
        <f aca="false">IF(OR(I20="",J20=0,SUMPRODUCT(MAX(('MiT Strom Pipeline'!$D$6:$D$904=I20)*'MiT Strom Pipeline'!$AA$6:$AA$904))=0),"–",IFERROR(INDEX('MiT Strom Pipeline'!$B$6:$B$904,SUMPRODUCT(('MiT Strom Pipeline'!$D$6:$D$904=I20)*('MiT Strom Pipeline'!$AA$6:$AA$904=SUMPRODUCT(MAX(('MiT Strom Pipeline'!$D$6:$D$904=I20)*'MiT Strom Pipeline'!$AA$6:$AA$904)))*(ROW('MiT Strom Pipeline'!$AA$6:$AA$904)-5))),"–"))</f>
        <v>Wincasa Solothurn</v>
      </c>
      <c r="N20" s="22" t="str">
        <f aca="false">IF(OR(I20="",J20=0),"–",COUNTIFS('MiT Strom Pipeline'!$D$6:$D$904,I20,'MiT Strom Pipeline'!$R$6:$R$904,"WON")&amp;" / "&amp;J20&amp;" WON")</f>
        <v>0 / 1 WON</v>
      </c>
    </row>
    <row r="21" customFormat="false" ht="19.5" hidden="false" customHeight="true" outlineLevel="0" collapsed="false">
      <c r="I21" s="39" t="s">
        <v>81</v>
      </c>
      <c r="J21" s="165" t="n">
        <f aca="false">IF(I21="","",COUNTIF('MiT Strom Pipeline'!$D$6:$D$904,I21))</f>
        <v>1</v>
      </c>
      <c r="K21" s="40" t="n">
        <f aca="false">IF(I21="","",SUMIFS('MiT Strom Pipeline'!$I$6:$I$904,'MiT Strom Pipeline'!$D$6:$D$904,I21))</f>
        <v>0</v>
      </c>
      <c r="L21" s="40" t="n">
        <f aca="false">IF(I21="","",SUMIFS('MiT Strom Pipeline'!$Q$6:$Q$904,'MiT Strom Pipeline'!$D$6:$D$904,I21))</f>
        <v>0</v>
      </c>
      <c r="M21" s="39" t="str">
        <f aca="false">IF(OR(I21="",J21=0,SUMPRODUCT(MAX(('MiT Strom Pipeline'!$D$6:$D$904=I21)*'MiT Strom Pipeline'!$AA$6:$AA$904))=0),"–",IFERROR(INDEX('MiT Strom Pipeline'!$B$6:$B$904,SUMPRODUCT(('MiT Strom Pipeline'!$D$6:$D$904=I21)*('MiT Strom Pipeline'!$AA$6:$AA$904=SUMPRODUCT(MAX(('MiT Strom Pipeline'!$D$6:$D$904=I21)*'MiT Strom Pipeline'!$AA$6:$AA$904)))*(ROW('MiT Strom Pipeline'!$AA$6:$AA$904)-5))),"–"))</f>
        <v>–</v>
      </c>
      <c r="N21" s="38" t="str">
        <f aca="false">IF(OR(I21="",J21=0),"–",COUNTIFS('MiT Strom Pipeline'!$D$6:$D$904,I21,'MiT Strom Pipeline'!$R$6:$R$904,"WON")&amp;" / "&amp;J21&amp;" WON")</f>
        <v>0 / 1 WON</v>
      </c>
    </row>
    <row r="22" customFormat="false" ht="19.5" hidden="false" customHeight="true" outlineLevel="0" collapsed="false">
      <c r="I22" s="23" t="s">
        <v>82</v>
      </c>
      <c r="J22" s="166" t="n">
        <f aca="false">IF(I22="","",COUNTIF('MiT Strom Pipeline'!$D$6:$D$904,I22))</f>
        <v>1</v>
      </c>
      <c r="K22" s="24" t="n">
        <f aca="false">IF(I22="","",SUMIFS('MiT Strom Pipeline'!$I$6:$I$904,'MiT Strom Pipeline'!$D$6:$D$904,I22))</f>
        <v>0</v>
      </c>
      <c r="L22" s="24" t="n">
        <f aca="false">IF(I22="","",SUMIFS('MiT Strom Pipeline'!$Q$6:$Q$904,'MiT Strom Pipeline'!$D$6:$D$904,I22))</f>
        <v>0</v>
      </c>
      <c r="M22" s="23" t="str">
        <f aca="false">IF(OR(I22="",J22=0,SUMPRODUCT(MAX(('MiT Strom Pipeline'!$D$6:$D$904=I22)*'MiT Strom Pipeline'!$AA$6:$AA$904))=0),"–",IFERROR(INDEX('MiT Strom Pipeline'!$B$6:$B$904,SUMPRODUCT(('MiT Strom Pipeline'!$D$6:$D$904=I22)*('MiT Strom Pipeline'!$AA$6:$AA$904=SUMPRODUCT(MAX(('MiT Strom Pipeline'!$D$6:$D$904=I22)*'MiT Strom Pipeline'!$AA$6:$AA$904)))*(ROW('MiT Strom Pipeline'!$AA$6:$AA$904)-5))),"–"))</f>
        <v>–</v>
      </c>
      <c r="N22" s="22" t="str">
        <f aca="false">IF(OR(I22="",J22=0),"–",COUNTIFS('MiT Strom Pipeline'!$D$6:$D$904,I22,'MiT Strom Pipeline'!$R$6:$R$904,"WON")&amp;" / "&amp;J22&amp;" WON")</f>
        <v>0 / 1 WON</v>
      </c>
    </row>
    <row r="23" customFormat="false" ht="15" hidden="false" customHeight="true" outlineLevel="0" collapsed="false">
      <c r="I23" s="1" t="s">
        <v>83</v>
      </c>
      <c r="J23" s="165" t="n">
        <f aca="false">IF(I23="","",COUNTIF('MiT Strom Pipeline'!$D$6:$D$904,I23))</f>
        <v>1</v>
      </c>
      <c r="K23" s="40" t="n">
        <f aca="false">IF(I23="","",SUMIFS('MiT Strom Pipeline'!$I$6:$I$904,'MiT Strom Pipeline'!$D$6:$D$904,I23))</f>
        <v>310000</v>
      </c>
      <c r="L23" s="40" t="n">
        <f aca="false">IF(I23="","",SUMIFS('MiT Strom Pipeline'!$Q$6:$Q$904,'MiT Strom Pipeline'!$D$6:$D$904,I23))</f>
        <v>3100</v>
      </c>
      <c r="M23" s="39" t="str">
        <f aca="false">IF(OR(I23="",J23=0,SUMPRODUCT(MAX(('MiT Strom Pipeline'!$D$6:$D$904=I23)*'MiT Strom Pipeline'!$AA$6:$AA$904))=0),"–",IFERROR(INDEX('MiT Strom Pipeline'!$B$6:$B$904,SUMPRODUCT(('MiT Strom Pipeline'!$D$6:$D$904=I23)*('MiT Strom Pipeline'!$AA$6:$AA$904=SUMPRODUCT(MAX(('MiT Strom Pipeline'!$D$6:$D$904=I23)*'MiT Strom Pipeline'!$AA$6:$AA$904)))*(ROW('MiT Strom Pipeline'!$AA$6:$AA$904)-5))),"–"))</f>
        <v>Ice Hockey Championship</v>
      </c>
      <c r="N23" s="38" t="str">
        <f aca="false">IF(OR(I23="",J23=0),"–",COUNTIFS('MiT Strom Pipeline'!$D$6:$D$904,I23,'MiT Strom Pipeline'!$R$6:$R$904,"WON")&amp;" / "&amp;J23&amp;" WON")</f>
        <v>1 / 1 WON</v>
      </c>
    </row>
    <row r="24" customFormat="false" ht="15" hidden="false" customHeight="true" outlineLevel="0" collapsed="false">
      <c r="I24" s="1" t="s">
        <v>84</v>
      </c>
      <c r="J24" s="165" t="n">
        <f aca="false">IF(I24="","",COUNTIF('MiT Strom Pipeline'!$D$6:$D$904,I24))</f>
        <v>0</v>
      </c>
      <c r="K24" s="40" t="n">
        <f aca="false">IF(I24="","",SUMIFS('MiT Strom Pipeline'!$I$6:$I$904,'MiT Strom Pipeline'!$D$6:$D$904,I24))</f>
        <v>0</v>
      </c>
      <c r="L24" s="40" t="n">
        <f aca="false">IF(I24="","",SUMIFS('MiT Strom Pipeline'!$Q$6:$Q$904,'MiT Strom Pipeline'!$D$6:$D$904,I24))</f>
        <v>0</v>
      </c>
      <c r="M24" s="39" t="str">
        <f aca="false">IF(OR(I24="",J24=0,SUMPRODUCT(MAX(('MiT Strom Pipeline'!$D$6:$D$904=I24)*'MiT Strom Pipeline'!$AA$6:$AA$904))=0),"–",IFERROR(INDEX('MiT Strom Pipeline'!$B$6:$B$904,SUMPRODUCT(('MiT Strom Pipeline'!$D$6:$D$904=I24)*('MiT Strom Pipeline'!$AA$6:$AA$904=SUMPRODUCT(MAX(('MiT Strom Pipeline'!$D$6:$D$904=I24)*'MiT Strom Pipeline'!$AA$6:$AA$904)))*(ROW('MiT Strom Pipeline'!$AA$6:$AA$904)-5))),"–"))</f>
        <v>–</v>
      </c>
      <c r="N24" s="38" t="str">
        <f aca="false">IF(OR(I24="",J24=0),"–",COUNTIFS('MiT Strom Pipeline'!$D$6:$D$904,I24,'MiT Strom Pipeline'!$R$6:$R$904,"WON")&amp;" / "&amp;J24&amp;" WON")</f>
        <v>–</v>
      </c>
    </row>
    <row r="25" customFormat="false" ht="15" hidden="false" customHeight="true" outlineLevel="0" collapsed="false">
      <c r="I25" s="1" t="s">
        <v>85</v>
      </c>
      <c r="J25" s="165" t="n">
        <f aca="false">IF(I25="","",COUNTIF('MiT Strom Pipeline'!$D$6:$D$904,I25))</f>
        <v>1</v>
      </c>
      <c r="K25" s="40" t="n">
        <f aca="false">IF(I25="","",SUMIFS('MiT Strom Pipeline'!$I$6:$I$904,'MiT Strom Pipeline'!$D$6:$D$904,I25))</f>
        <v>48950</v>
      </c>
      <c r="L25" s="40" t="n">
        <f aca="false">IF(I25="","",SUMIFS('MiT Strom Pipeline'!$Q$6:$Q$904,'MiT Strom Pipeline'!$D$6:$D$904,I25))</f>
        <v>0</v>
      </c>
      <c r="M25" s="39" t="str">
        <f aca="false">IF(OR(I25="",J25=0,SUMPRODUCT(MAX(('MiT Strom Pipeline'!$D$6:$D$904=I25)*'MiT Strom Pipeline'!$AA$6:$AA$904))=0),"–",IFERROR(INDEX('MiT Strom Pipeline'!$B$6:$B$904,SUMPRODUCT(('MiT Strom Pipeline'!$D$6:$D$904=I25)*('MiT Strom Pipeline'!$AA$6:$AA$904=SUMPRODUCT(MAX(('MiT Strom Pipeline'!$D$6:$D$904=I25)*'MiT Strom Pipeline'!$AA$6:$AA$904)))*(ROW('MiT Strom Pipeline'!$AA$6:$AA$904)-5))),"–"))</f>
        <v>AKSA Würenlos</v>
      </c>
      <c r="N25" s="38" t="str">
        <f aca="false">IF(OR(I25="",J25=0),"–",COUNTIFS('MiT Strom Pipeline'!$D$6:$D$904,I25,'MiT Strom Pipeline'!$R$6:$R$904,"WON")&amp;" / "&amp;J25&amp;" WON")</f>
        <v>0 / 1 WON</v>
      </c>
    </row>
    <row r="26" customFormat="false" ht="15" hidden="false" customHeight="true" outlineLevel="0" collapsed="false">
      <c r="I26" s="1" t="s">
        <v>86</v>
      </c>
      <c r="J26" s="165" t="n">
        <f aca="false">IF(I26="","",COUNTIF('MiT Strom Pipeline'!$D$6:$D$904,I26))</f>
        <v>1</v>
      </c>
      <c r="K26" s="40" t="n">
        <f aca="false">IF(I26="","",SUMIFS('MiT Strom Pipeline'!$I$6:$I$904,'MiT Strom Pipeline'!$D$6:$D$904,I26))</f>
        <v>39000</v>
      </c>
      <c r="L26" s="40" t="n">
        <f aca="false">IF(I26="","",SUMIFS('MiT Strom Pipeline'!$Q$6:$Q$904,'MiT Strom Pipeline'!$D$6:$D$904,I26))</f>
        <v>0</v>
      </c>
      <c r="M26" s="39" t="str">
        <f aca="false">IF(OR(I26="",J26=0,SUMPRODUCT(MAX(('MiT Strom Pipeline'!$D$6:$D$904=I26)*'MiT Strom Pipeline'!$AA$6:$AA$904))=0),"–",IFERROR(INDEX('MiT Strom Pipeline'!$B$6:$B$904,SUMPRODUCT(('MiT Strom Pipeline'!$D$6:$D$904=I26)*('MiT Strom Pipeline'!$AA$6:$AA$904=SUMPRODUCT(MAX(('MiT Strom Pipeline'!$D$6:$D$904=I26)*'MiT Strom Pipeline'!$AA$6:$AA$904)))*(ROW('MiT Strom Pipeline'!$AA$6:$AA$904)-5))),"–"))</f>
        <v>Holinger</v>
      </c>
      <c r="N26" s="38" t="str">
        <f aca="false">IF(OR(I26="",J26=0),"–",COUNTIFS('MiT Strom Pipeline'!$D$6:$D$904,I26,'MiT Strom Pipeline'!$R$6:$R$904,"WON")&amp;" / "&amp;J26&amp;" WON")</f>
        <v>0 / 1 WON</v>
      </c>
    </row>
    <row r="27" customFormat="false" ht="15" hidden="false" customHeight="true" outlineLevel="0" collapsed="false">
      <c r="I27" s="1" t="s">
        <v>87</v>
      </c>
      <c r="J27" s="165" t="n">
        <f aca="false">IF(I27="","",COUNTIF('MiT Strom Pipeline'!$D$6:$D$904,I27))</f>
        <v>2</v>
      </c>
      <c r="K27" s="40" t="n">
        <f aca="false">IF(I27="","",SUMIFS('MiT Strom Pipeline'!$I$6:$I$904,'MiT Strom Pipeline'!$D$6:$D$904,I27))</f>
        <v>77325.62</v>
      </c>
      <c r="L27" s="40" t="n">
        <f aca="false">IF(I27="","",SUMIFS('MiT Strom Pipeline'!$Q$6:$Q$904,'MiT Strom Pipeline'!$D$6:$D$904,I27))</f>
        <v>38662.81</v>
      </c>
      <c r="M27" s="39" t="str">
        <f aca="false">IF(OR(I27="",J27=0,SUMPRODUCT(MAX(('MiT Strom Pipeline'!$D$6:$D$904=I27)*'MiT Strom Pipeline'!$AA$6:$AA$904))=0),"–",IFERROR(INDEX('MiT Strom Pipeline'!$B$6:$B$904,SUMPRODUCT(('MiT Strom Pipeline'!$D$6:$D$904=I27)*('MiT Strom Pipeline'!$AA$6:$AA$904=SUMPRODUCT(MAX(('MiT Strom Pipeline'!$D$6:$D$904=I27)*'MiT Strom Pipeline'!$AA$6:$AA$904)))*(ROW('MiT Strom Pipeline'!$AA$6:$AA$904)-5))),"–"))</f>
        <v>WEF</v>
      </c>
      <c r="N27" s="38" t="str">
        <f aca="false">IF(OR(I27="",J27=0),"–",COUNTIFS('MiT Strom Pipeline'!$D$6:$D$904,I27,'MiT Strom Pipeline'!$R$6:$R$904,"WON")&amp;" / "&amp;J27&amp;" WON")</f>
        <v>0 / 2 WON</v>
      </c>
    </row>
    <row r="28" customFormat="false" ht="15" hidden="false" customHeight="true" outlineLevel="0" collapsed="false">
      <c r="I28" s="1" t="s">
        <v>88</v>
      </c>
      <c r="J28" s="165" t="n">
        <f aca="false">IF(I28="","",COUNTIF('MiT Strom Pipeline'!$D$6:$D$904,I28))</f>
        <v>1</v>
      </c>
      <c r="K28" s="40" t="n">
        <f aca="false">IF(I28="","",SUMIFS('MiT Strom Pipeline'!$I$6:$I$904,'MiT Strom Pipeline'!$D$6:$D$904,I28))</f>
        <v>0</v>
      </c>
      <c r="L28" s="40" t="n">
        <f aca="false">IF(I28="","",SUMIFS('MiT Strom Pipeline'!$Q$6:$Q$904,'MiT Strom Pipeline'!$D$6:$D$904,I28))</f>
        <v>0</v>
      </c>
      <c r="M28" s="39" t="str">
        <f aca="false">IF(OR(I28="",J28=0,SUMPRODUCT(MAX(('MiT Strom Pipeline'!$D$6:$D$904=I28)*'MiT Strom Pipeline'!$AA$6:$AA$904))=0),"–",IFERROR(INDEX('MiT Strom Pipeline'!$B$6:$B$904,SUMPRODUCT(('MiT Strom Pipeline'!$D$6:$D$904=I28)*('MiT Strom Pipeline'!$AA$6:$AA$904=SUMPRODUCT(MAX(('MiT Strom Pipeline'!$D$6:$D$904=I28)*'MiT Strom Pipeline'!$AA$6:$AA$904)))*(ROW('MiT Strom Pipeline'!$AA$6:$AA$904)-5))),"–"))</f>
        <v>–</v>
      </c>
      <c r="N28" s="38" t="str">
        <f aca="false">IF(OR(I28="",J28=0),"–",COUNTIFS('MiT Strom Pipeline'!$D$6:$D$904,I28,'MiT Strom Pipeline'!$R$6:$R$904,"WON")&amp;" / "&amp;J28&amp;" WON")</f>
        <v>0 / 1 WON</v>
      </c>
    </row>
  </sheetData>
  <mergeCells count="3">
    <mergeCell ref="A1:N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0" width="80"/>
    <col collapsed="false" customWidth="true" hidden="false" outlineLevel="0" max="6" min="3" style="0" width="15"/>
  </cols>
  <sheetData>
    <row r="1" customFormat="false" ht="31.5" hidden="false" customHeight="true" outlineLevel="0" collapsed="false">
      <c r="A1" s="167" t="s">
        <v>818</v>
      </c>
      <c r="B1" s="167"/>
      <c r="C1" s="167"/>
      <c r="D1" s="167"/>
      <c r="E1" s="167"/>
      <c r="F1" s="167"/>
    </row>
    <row r="3" customFormat="false" ht="24" hidden="false" customHeight="true" outlineLevel="0" collapsed="false">
      <c r="A3" s="168" t="s">
        <v>819</v>
      </c>
      <c r="B3" s="168"/>
      <c r="C3" s="168"/>
      <c r="D3" s="168"/>
      <c r="E3" s="168"/>
      <c r="F3" s="168"/>
    </row>
    <row r="4" customFormat="false" ht="15" hidden="false" customHeight="false" outlineLevel="0" collapsed="false">
      <c r="A4" s="169" t="s">
        <v>820</v>
      </c>
      <c r="B4" s="169"/>
      <c r="C4" s="169"/>
      <c r="D4" s="169"/>
      <c r="E4" s="169"/>
      <c r="F4" s="169"/>
    </row>
    <row r="5" customFormat="false" ht="15" hidden="false" customHeight="true" outlineLevel="0" collapsed="false">
      <c r="A5" s="169" t="s">
        <v>821</v>
      </c>
      <c r="B5" s="169"/>
      <c r="C5" s="169"/>
      <c r="D5" s="169"/>
      <c r="E5" s="169"/>
      <c r="F5" s="169"/>
    </row>
    <row r="6" customFormat="false" ht="15" hidden="false" customHeight="true" outlineLevel="0" collapsed="false">
      <c r="A6" s="169" t="s">
        <v>822</v>
      </c>
      <c r="B6" s="169"/>
      <c r="C6" s="169"/>
      <c r="D6" s="169"/>
      <c r="E6" s="169"/>
      <c r="F6" s="169"/>
    </row>
    <row r="7" customFormat="false" ht="15" hidden="false" customHeight="true" outlineLevel="0" collapsed="false">
      <c r="A7" s="169" t="s">
        <v>823</v>
      </c>
      <c r="B7" s="169"/>
      <c r="C7" s="169"/>
      <c r="D7" s="169"/>
      <c r="E7" s="169"/>
      <c r="F7" s="169"/>
    </row>
    <row r="8" customFormat="false" ht="15" hidden="false" customHeight="true" outlineLevel="0" collapsed="false">
      <c r="A8" s="169" t="s">
        <v>824</v>
      </c>
      <c r="B8" s="169"/>
      <c r="C8" s="169"/>
      <c r="D8" s="169"/>
      <c r="E8" s="169"/>
      <c r="F8" s="169"/>
    </row>
    <row r="9" customFormat="false" ht="15" hidden="false" customHeight="true" outlineLevel="0" collapsed="false"/>
    <row r="10" customFormat="false" ht="24" hidden="false" customHeight="true" outlineLevel="0" collapsed="false">
      <c r="A10" s="170" t="s">
        <v>825</v>
      </c>
      <c r="B10" s="170"/>
      <c r="C10" s="170"/>
      <c r="D10" s="170"/>
      <c r="E10" s="170"/>
      <c r="F10" s="170"/>
    </row>
    <row r="11" customFormat="false" ht="15" hidden="false" customHeight="false" outlineLevel="0" collapsed="false">
      <c r="A11" s="171" t="s">
        <v>826</v>
      </c>
      <c r="B11" s="171"/>
      <c r="C11" s="171"/>
      <c r="D11" s="171"/>
      <c r="E11" s="171"/>
      <c r="F11" s="171"/>
    </row>
    <row r="12" customFormat="false" ht="15" hidden="false" customHeight="true" outlineLevel="0" collapsed="false">
      <c r="A12" s="171" t="s">
        <v>827</v>
      </c>
      <c r="B12" s="171"/>
      <c r="C12" s="171"/>
      <c r="D12" s="171"/>
      <c r="E12" s="171"/>
      <c r="F12" s="171"/>
    </row>
    <row r="13" customFormat="false" ht="15" hidden="false" customHeight="true" outlineLevel="0" collapsed="false">
      <c r="A13" s="171" t="s">
        <v>828</v>
      </c>
      <c r="B13" s="171"/>
      <c r="C13" s="171"/>
      <c r="D13" s="171"/>
      <c r="E13" s="171"/>
      <c r="F13" s="171"/>
    </row>
    <row r="14" customFormat="false" ht="15" hidden="false" customHeight="true" outlineLevel="0" collapsed="false">
      <c r="A14" s="171" t="s">
        <v>829</v>
      </c>
      <c r="B14" s="171"/>
      <c r="C14" s="171"/>
      <c r="D14" s="171"/>
      <c r="E14" s="171"/>
      <c r="F14" s="171"/>
    </row>
    <row r="15" customFormat="false" ht="15" hidden="false" customHeight="true" outlineLevel="0" collapsed="false">
      <c r="A15" s="171" t="s">
        <v>830</v>
      </c>
      <c r="B15" s="171"/>
      <c r="C15" s="171"/>
      <c r="D15" s="171"/>
      <c r="E15" s="171"/>
      <c r="F15" s="171"/>
    </row>
    <row r="16" customFormat="false" ht="15" hidden="false" customHeight="true" outlineLevel="0" collapsed="false">
      <c r="A16" s="171" t="s">
        <v>831</v>
      </c>
      <c r="B16" s="171"/>
      <c r="C16" s="171"/>
      <c r="D16" s="171"/>
      <c r="E16" s="171"/>
      <c r="F16" s="171"/>
    </row>
    <row r="18" customFormat="false" ht="15" hidden="false" customHeight="true" outlineLevel="0" collapsed="false"/>
    <row r="19" customFormat="false" ht="24" hidden="false" customHeight="true" outlineLevel="0" collapsed="false">
      <c r="A19" s="172" t="s">
        <v>832</v>
      </c>
      <c r="B19" s="172"/>
      <c r="C19" s="172"/>
      <c r="D19" s="172"/>
      <c r="E19" s="172"/>
      <c r="F19" s="172"/>
    </row>
    <row r="20" customFormat="false" ht="15" hidden="false" customHeight="false" outlineLevel="0" collapsed="false">
      <c r="A20" s="173" t="s">
        <v>833</v>
      </c>
      <c r="B20" s="173" t="s">
        <v>834</v>
      </c>
    </row>
    <row r="21" customFormat="false" ht="15" hidden="false" customHeight="true" outlineLevel="0" collapsed="false">
      <c r="A21" s="174" t="s">
        <v>835</v>
      </c>
      <c r="B21" s="175" t="s">
        <v>836</v>
      </c>
      <c r="C21" s="175"/>
      <c r="D21" s="175"/>
      <c r="E21" s="175"/>
      <c r="F21" s="175"/>
    </row>
    <row r="22" customFormat="false" ht="15" hidden="false" customHeight="true" outlineLevel="0" collapsed="false">
      <c r="A22" s="176" t="s">
        <v>837</v>
      </c>
      <c r="B22" s="177" t="s">
        <v>838</v>
      </c>
      <c r="C22" s="177"/>
      <c r="D22" s="177"/>
      <c r="E22" s="177"/>
      <c r="F22" s="177"/>
    </row>
    <row r="23" customFormat="false" ht="15" hidden="false" customHeight="true" outlineLevel="0" collapsed="false">
      <c r="A23" s="174" t="s">
        <v>839</v>
      </c>
      <c r="B23" s="175" t="s">
        <v>840</v>
      </c>
      <c r="C23" s="175"/>
      <c r="D23" s="175"/>
      <c r="E23" s="175"/>
      <c r="F23" s="175"/>
    </row>
    <row r="24" customFormat="false" ht="15" hidden="false" customHeight="false" outlineLevel="0" collapsed="false">
      <c r="A24" s="176" t="s">
        <v>841</v>
      </c>
      <c r="B24" s="177" t="s">
        <v>842</v>
      </c>
      <c r="C24" s="177"/>
      <c r="D24" s="177"/>
      <c r="E24" s="177"/>
      <c r="F24" s="177"/>
    </row>
    <row r="25" customFormat="false" ht="15" hidden="false" customHeight="true" outlineLevel="0" collapsed="false">
      <c r="A25" s="178" t="s">
        <v>843</v>
      </c>
      <c r="B25" s="178" t="s">
        <v>844</v>
      </c>
      <c r="C25" s="178"/>
      <c r="D25" s="178"/>
      <c r="E25" s="178"/>
      <c r="F25" s="178"/>
    </row>
    <row r="26" customFormat="false" ht="15" hidden="false" customHeight="true" outlineLevel="0" collapsed="false">
      <c r="A26" s="176" t="s">
        <v>845</v>
      </c>
      <c r="B26" s="177" t="s">
        <v>846</v>
      </c>
      <c r="C26" s="177"/>
      <c r="D26" s="177"/>
      <c r="E26" s="177"/>
      <c r="F26" s="177"/>
    </row>
    <row r="27" customFormat="false" ht="15" hidden="false" customHeight="true" outlineLevel="0" collapsed="false">
      <c r="A27" s="174" t="s">
        <v>847</v>
      </c>
      <c r="B27" s="175" t="s">
        <v>848</v>
      </c>
      <c r="C27" s="175"/>
      <c r="D27" s="175"/>
      <c r="E27" s="175"/>
      <c r="F27" s="175"/>
    </row>
    <row r="28" customFormat="false" ht="15" hidden="false" customHeight="true" outlineLevel="0" collapsed="false"/>
    <row r="29" customFormat="false" ht="15" hidden="false" customHeight="true" outlineLevel="0" collapsed="false"/>
    <row r="30" customFormat="false" ht="24" hidden="false" customHeight="true" outlineLevel="0" collapsed="false">
      <c r="A30" s="179" t="s">
        <v>849</v>
      </c>
      <c r="B30" s="179"/>
      <c r="C30" s="179"/>
      <c r="D30" s="179"/>
      <c r="E30" s="179"/>
      <c r="F30" s="179"/>
    </row>
    <row r="31" customFormat="false" ht="15" hidden="false" customHeight="true" outlineLevel="0" collapsed="false">
      <c r="A31" s="180" t="s">
        <v>850</v>
      </c>
      <c r="B31" s="180"/>
      <c r="C31" s="180"/>
      <c r="D31" s="180"/>
      <c r="E31" s="180"/>
      <c r="F31" s="180"/>
    </row>
    <row r="32" customFormat="false" ht="15" hidden="false" customHeight="true" outlineLevel="0" collapsed="false">
      <c r="A32" s="180" t="s">
        <v>851</v>
      </c>
      <c r="B32" s="180"/>
      <c r="C32" s="180"/>
      <c r="D32" s="180"/>
      <c r="E32" s="180"/>
      <c r="F32" s="180"/>
    </row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>
      <c r="A35" s="181" t="s">
        <v>852</v>
      </c>
      <c r="B35" s="181"/>
      <c r="C35" s="181"/>
      <c r="D35" s="181"/>
      <c r="E35" s="181"/>
      <c r="F35" s="181"/>
    </row>
    <row r="36" customFormat="false" ht="15" hidden="false" customHeight="true" outlineLevel="0" collapsed="false"/>
    <row r="37" customFormat="false" ht="15" hidden="false" customHeight="true" outlineLevel="0" collapsed="false">
      <c r="A37" s="182" t="s">
        <v>853</v>
      </c>
      <c r="B37" s="182"/>
      <c r="C37" s="182"/>
      <c r="D37" s="182"/>
      <c r="E37" s="182"/>
      <c r="F37" s="182"/>
    </row>
    <row r="38" customFormat="false" ht="15" hidden="false" customHeight="true" outlineLevel="0" collapsed="false">
      <c r="A38" s="182" t="s">
        <v>854</v>
      </c>
      <c r="B38" s="182"/>
      <c r="C38" s="182"/>
      <c r="D38" s="182"/>
      <c r="E38" s="182"/>
      <c r="F38" s="182"/>
    </row>
    <row r="39" customFormat="false" ht="15" hidden="false" customHeight="true" outlineLevel="0" collapsed="false">
      <c r="A39" s="182" t="s">
        <v>855</v>
      </c>
      <c r="B39" s="182"/>
      <c r="C39" s="182"/>
      <c r="D39" s="182"/>
      <c r="E39" s="182"/>
      <c r="F39" s="182"/>
    </row>
    <row r="40" customFormat="false" ht="15" hidden="false" customHeight="true" outlineLevel="0" collapsed="false">
      <c r="A40" s="182" t="s">
        <v>856</v>
      </c>
      <c r="B40" s="182"/>
      <c r="C40" s="182"/>
      <c r="D40" s="182"/>
      <c r="E40" s="182"/>
      <c r="F40" s="182"/>
    </row>
    <row r="41" customFormat="false" ht="15" hidden="false" customHeight="true" outlineLevel="0" collapsed="false">
      <c r="A41" s="182" t="s">
        <v>854</v>
      </c>
      <c r="B41" s="182"/>
      <c r="C41" s="182"/>
      <c r="D41" s="182"/>
      <c r="E41" s="182"/>
      <c r="F41" s="182"/>
    </row>
    <row r="42" customFormat="false" ht="15" hidden="false" customHeight="true" outlineLevel="0" collapsed="false">
      <c r="A42" s="182" t="s">
        <v>857</v>
      </c>
      <c r="B42" s="182"/>
      <c r="C42" s="182"/>
      <c r="D42" s="182"/>
      <c r="E42" s="182"/>
      <c r="F42" s="182"/>
    </row>
    <row r="43" customFormat="false" ht="15" hidden="false" customHeight="true" outlineLevel="0" collapsed="false">
      <c r="A43" s="182"/>
      <c r="B43" s="182"/>
      <c r="C43" s="182"/>
      <c r="D43" s="182"/>
      <c r="E43" s="182"/>
      <c r="F43" s="182"/>
    </row>
    <row r="44" customFormat="false" ht="15" hidden="false" customHeight="true" outlineLevel="0" collapsed="false">
      <c r="A44" s="182" t="s">
        <v>858</v>
      </c>
      <c r="B44" s="182"/>
      <c r="C44" s="182"/>
      <c r="D44" s="182"/>
      <c r="E44" s="182"/>
      <c r="F44" s="182"/>
    </row>
    <row r="45" customFormat="false" ht="15" hidden="false" customHeight="true" outlineLevel="0" collapsed="false">
      <c r="A45" s="182" t="s">
        <v>859</v>
      </c>
      <c r="B45" s="182"/>
      <c r="C45" s="182"/>
      <c r="D45" s="182"/>
      <c r="E45" s="182"/>
      <c r="F45" s="182"/>
    </row>
    <row r="46" customFormat="false" ht="15" hidden="false" customHeight="true" outlineLevel="0" collapsed="false">
      <c r="A46" s="182" t="s">
        <v>860</v>
      </c>
      <c r="B46" s="182"/>
      <c r="C46" s="182"/>
      <c r="D46" s="182"/>
      <c r="E46" s="182"/>
      <c r="F46" s="182"/>
    </row>
    <row r="47" customFormat="false" ht="15" hidden="false" customHeight="true" outlineLevel="0" collapsed="false">
      <c r="A47" s="182" t="s">
        <v>861</v>
      </c>
      <c r="B47" s="182"/>
      <c r="C47" s="182"/>
      <c r="D47" s="182"/>
      <c r="E47" s="182"/>
      <c r="F47" s="182"/>
    </row>
    <row r="48" customFormat="false" ht="15" hidden="false" customHeight="true" outlineLevel="0" collapsed="false">
      <c r="A48" s="182"/>
      <c r="B48" s="182"/>
      <c r="C48" s="182"/>
      <c r="D48" s="182"/>
      <c r="E48" s="182"/>
      <c r="F48" s="182"/>
    </row>
    <row r="49" customFormat="false" ht="15" hidden="false" customHeight="true" outlineLevel="0" collapsed="false">
      <c r="A49" s="182" t="s">
        <v>862</v>
      </c>
      <c r="B49" s="182"/>
      <c r="C49" s="182"/>
      <c r="D49" s="182"/>
      <c r="E49" s="182"/>
      <c r="F49" s="182"/>
    </row>
    <row r="50" customFormat="false" ht="15" hidden="false" customHeight="true" outlineLevel="0" collapsed="false">
      <c r="A50" s="182" t="s">
        <v>863</v>
      </c>
      <c r="B50" s="182"/>
      <c r="C50" s="182"/>
      <c r="D50" s="182"/>
      <c r="E50" s="182"/>
      <c r="F50" s="182"/>
    </row>
    <row r="51" customFormat="false" ht="15" hidden="false" customHeight="true" outlineLevel="0" collapsed="false">
      <c r="A51" s="182" t="s">
        <v>862</v>
      </c>
      <c r="B51" s="182"/>
      <c r="C51" s="182"/>
      <c r="D51" s="182"/>
      <c r="E51" s="182"/>
      <c r="F51" s="182"/>
    </row>
    <row r="52" customFormat="false" ht="15" hidden="false" customHeight="true" outlineLevel="0" collapsed="false">
      <c r="A52" s="182" t="s">
        <v>864</v>
      </c>
      <c r="B52" s="182"/>
      <c r="C52" s="182"/>
      <c r="D52" s="182"/>
      <c r="E52" s="182"/>
      <c r="F52" s="182"/>
    </row>
    <row r="53" customFormat="false" ht="15" hidden="false" customHeight="true" outlineLevel="0" collapsed="false">
      <c r="A53" s="182" t="s">
        <v>865</v>
      </c>
      <c r="B53" s="182"/>
      <c r="C53" s="182"/>
      <c r="D53" s="182"/>
      <c r="E53" s="182"/>
      <c r="F53" s="182"/>
    </row>
    <row r="54" customFormat="false" ht="15" hidden="false" customHeight="true" outlineLevel="0" collapsed="false">
      <c r="A54" s="182" t="s">
        <v>866</v>
      </c>
      <c r="B54" s="182"/>
      <c r="C54" s="182"/>
      <c r="D54" s="182"/>
      <c r="E54" s="182"/>
      <c r="F54" s="182"/>
    </row>
    <row r="55" customFormat="false" ht="15" hidden="false" customHeight="true" outlineLevel="0" collapsed="false">
      <c r="A55" s="182" t="s">
        <v>867</v>
      </c>
      <c r="B55" s="182"/>
      <c r="C55" s="182"/>
      <c r="D55" s="182"/>
      <c r="E55" s="182"/>
      <c r="F55" s="182"/>
    </row>
    <row r="56" customFormat="false" ht="15" hidden="false" customHeight="true" outlineLevel="0" collapsed="false">
      <c r="A56" s="182"/>
      <c r="B56" s="182"/>
      <c r="C56" s="182"/>
      <c r="D56" s="182"/>
      <c r="E56" s="182"/>
      <c r="F56" s="182"/>
    </row>
    <row r="57" customFormat="false" ht="15" hidden="false" customHeight="true" outlineLevel="0" collapsed="false">
      <c r="A57" s="182" t="s">
        <v>868</v>
      </c>
      <c r="B57" s="182"/>
      <c r="C57" s="182"/>
      <c r="D57" s="182"/>
      <c r="E57" s="182"/>
      <c r="F57" s="182"/>
    </row>
    <row r="58" customFormat="false" ht="15" hidden="false" customHeight="true" outlineLevel="0" collapsed="false">
      <c r="A58" s="182"/>
      <c r="B58" s="182"/>
      <c r="C58" s="182"/>
      <c r="D58" s="182"/>
      <c r="E58" s="182"/>
      <c r="F58" s="182"/>
    </row>
    <row r="59" customFormat="false" ht="15" hidden="false" customHeight="true" outlineLevel="0" collapsed="false">
      <c r="A59" s="182" t="s">
        <v>869</v>
      </c>
      <c r="B59" s="182"/>
      <c r="C59" s="182"/>
      <c r="D59" s="182"/>
      <c r="E59" s="182"/>
      <c r="F59" s="182"/>
    </row>
    <row r="60" customFormat="false" ht="15" hidden="false" customHeight="true" outlineLevel="0" collapsed="false">
      <c r="A60" s="182" t="s">
        <v>870</v>
      </c>
      <c r="B60" s="182"/>
      <c r="C60" s="182"/>
      <c r="D60" s="182"/>
      <c r="E60" s="182"/>
      <c r="F60" s="182"/>
    </row>
    <row r="61" customFormat="false" ht="15" hidden="false" customHeight="true" outlineLevel="0" collapsed="false">
      <c r="A61" s="182" t="s">
        <v>871</v>
      </c>
      <c r="B61" s="182"/>
      <c r="C61" s="182"/>
      <c r="D61" s="182"/>
      <c r="E61" s="182"/>
      <c r="F61" s="182"/>
    </row>
    <row r="62" customFormat="false" ht="15" hidden="false" customHeight="true" outlineLevel="0" collapsed="false">
      <c r="A62" s="182"/>
      <c r="B62" s="182"/>
      <c r="C62" s="182"/>
      <c r="D62" s="182"/>
      <c r="E62" s="182"/>
      <c r="F62" s="182"/>
    </row>
    <row r="63" customFormat="false" ht="15" hidden="false" customHeight="true" outlineLevel="0" collapsed="false">
      <c r="A63" s="182" t="s">
        <v>872</v>
      </c>
      <c r="B63" s="182"/>
      <c r="C63" s="182"/>
      <c r="D63" s="182"/>
      <c r="E63" s="182"/>
      <c r="F63" s="182"/>
    </row>
    <row r="64" customFormat="false" ht="15" hidden="false" customHeight="true" outlineLevel="0" collapsed="false">
      <c r="A64" s="182" t="s">
        <v>873</v>
      </c>
      <c r="B64" s="182"/>
      <c r="C64" s="182"/>
      <c r="D64" s="182"/>
      <c r="E64" s="182"/>
      <c r="F64" s="182"/>
    </row>
    <row r="65" customFormat="false" ht="15" hidden="false" customHeight="true" outlineLevel="0" collapsed="false">
      <c r="A65" s="182" t="s">
        <v>874</v>
      </c>
      <c r="B65" s="182"/>
      <c r="C65" s="182"/>
      <c r="D65" s="182"/>
      <c r="E65" s="182"/>
      <c r="F65" s="182"/>
    </row>
    <row r="66" customFormat="false" ht="15" hidden="false" customHeight="true" outlineLevel="0" collapsed="false">
      <c r="A66" s="182"/>
      <c r="B66" s="182"/>
      <c r="C66" s="182"/>
      <c r="D66" s="182"/>
      <c r="E66" s="182"/>
      <c r="F66" s="182"/>
    </row>
    <row r="67" customFormat="false" ht="15" hidden="false" customHeight="true" outlineLevel="0" collapsed="false">
      <c r="A67" s="182" t="s">
        <v>875</v>
      </c>
      <c r="B67" s="182"/>
      <c r="C67" s="182"/>
      <c r="D67" s="182"/>
      <c r="E67" s="182"/>
      <c r="F67" s="182"/>
    </row>
    <row r="68" customFormat="false" ht="15" hidden="false" customHeight="true" outlineLevel="0" collapsed="false">
      <c r="A68" s="182" t="s">
        <v>876</v>
      </c>
      <c r="B68" s="182"/>
      <c r="C68" s="182"/>
      <c r="D68" s="182"/>
      <c r="E68" s="182"/>
      <c r="F68" s="182"/>
    </row>
    <row r="69" customFormat="false" ht="15" hidden="false" customHeight="true" outlineLevel="0" collapsed="false">
      <c r="A69" s="182" t="s">
        <v>877</v>
      </c>
      <c r="B69" s="182"/>
      <c r="C69" s="182"/>
      <c r="D69" s="182"/>
      <c r="E69" s="182"/>
      <c r="F69" s="182"/>
    </row>
    <row r="70" customFormat="false" ht="15" hidden="false" customHeight="true" outlineLevel="0" collapsed="false">
      <c r="A70" s="182" t="s">
        <v>878</v>
      </c>
      <c r="B70" s="182"/>
      <c r="C70" s="182"/>
      <c r="D70" s="182"/>
      <c r="E70" s="182"/>
      <c r="F70" s="182"/>
    </row>
    <row r="71" customFormat="false" ht="15" hidden="false" customHeight="true" outlineLevel="0" collapsed="false">
      <c r="A71" s="182" t="s">
        <v>879</v>
      </c>
      <c r="B71" s="182"/>
      <c r="C71" s="182"/>
      <c r="D71" s="182"/>
      <c r="E71" s="182"/>
      <c r="F71" s="182"/>
    </row>
    <row r="72" customFormat="false" ht="15" hidden="false" customHeight="true" outlineLevel="0" collapsed="false">
      <c r="A72" s="182" t="s">
        <v>872</v>
      </c>
      <c r="B72" s="182"/>
      <c r="C72" s="182"/>
      <c r="D72" s="182"/>
      <c r="E72" s="182"/>
      <c r="F72" s="182"/>
    </row>
    <row r="73" customFormat="false" ht="15" hidden="false" customHeight="true" outlineLevel="0" collapsed="false">
      <c r="A73" s="182" t="s">
        <v>874</v>
      </c>
      <c r="B73" s="182"/>
      <c r="C73" s="182"/>
      <c r="D73" s="182"/>
      <c r="E73" s="182"/>
      <c r="F73" s="182"/>
    </row>
    <row r="74" customFormat="false" ht="15" hidden="false" customHeight="true" outlineLevel="0" collapsed="false">
      <c r="A74" s="182" t="s">
        <v>880</v>
      </c>
      <c r="B74" s="182"/>
      <c r="C74" s="182"/>
      <c r="D74" s="182"/>
      <c r="E74" s="182"/>
      <c r="F74" s="182"/>
    </row>
    <row r="75" customFormat="false" ht="15" hidden="false" customHeight="true" outlineLevel="0" collapsed="false">
      <c r="A75" s="182" t="s">
        <v>881</v>
      </c>
      <c r="B75" s="182"/>
      <c r="C75" s="182"/>
      <c r="D75" s="182"/>
      <c r="E75" s="182"/>
      <c r="F75" s="182"/>
    </row>
    <row r="76" customFormat="false" ht="15" hidden="false" customHeight="true" outlineLevel="0" collapsed="false">
      <c r="A76" s="182"/>
      <c r="B76" s="182"/>
      <c r="C76" s="182"/>
      <c r="D76" s="182"/>
      <c r="E76" s="182"/>
      <c r="F76" s="182"/>
    </row>
    <row r="77" customFormat="false" ht="15" hidden="false" customHeight="true" outlineLevel="0" collapsed="false">
      <c r="A77" s="182" t="s">
        <v>862</v>
      </c>
      <c r="B77" s="182"/>
      <c r="C77" s="182"/>
      <c r="D77" s="182"/>
      <c r="E77" s="182"/>
      <c r="F77" s="182"/>
    </row>
    <row r="78" customFormat="false" ht="15" hidden="false" customHeight="true" outlineLevel="0" collapsed="false">
      <c r="A78" s="182" t="s">
        <v>882</v>
      </c>
      <c r="B78" s="182"/>
      <c r="C78" s="182"/>
      <c r="D78" s="182"/>
      <c r="E78" s="182"/>
      <c r="F78" s="182"/>
    </row>
    <row r="79" customFormat="false" ht="15" hidden="false" customHeight="true" outlineLevel="0" collapsed="false">
      <c r="A79" s="182" t="s">
        <v>862</v>
      </c>
      <c r="B79" s="182"/>
      <c r="C79" s="182"/>
      <c r="D79" s="182"/>
      <c r="E79" s="182"/>
      <c r="F79" s="182"/>
    </row>
    <row r="80" customFormat="false" ht="15" hidden="false" customHeight="true" outlineLevel="0" collapsed="false">
      <c r="A80" s="182" t="s">
        <v>883</v>
      </c>
      <c r="B80" s="182"/>
      <c r="C80" s="182"/>
      <c r="D80" s="182"/>
      <c r="E80" s="182"/>
      <c r="F80" s="182"/>
    </row>
    <row r="81" customFormat="false" ht="15" hidden="false" customHeight="true" outlineLevel="0" collapsed="false">
      <c r="A81" s="182" t="s">
        <v>884</v>
      </c>
      <c r="B81" s="182"/>
      <c r="C81" s="182"/>
      <c r="D81" s="182"/>
      <c r="E81" s="182"/>
      <c r="F81" s="182"/>
    </row>
    <row r="82" customFormat="false" ht="15" hidden="false" customHeight="true" outlineLevel="0" collapsed="false">
      <c r="A82" s="182" t="s">
        <v>885</v>
      </c>
      <c r="B82" s="182"/>
      <c r="C82" s="182"/>
      <c r="D82" s="182"/>
      <c r="E82" s="182"/>
      <c r="F82" s="182"/>
    </row>
    <row r="83" customFormat="false" ht="15" hidden="false" customHeight="true" outlineLevel="0" collapsed="false">
      <c r="A83" s="182" t="s">
        <v>886</v>
      </c>
      <c r="B83" s="182"/>
      <c r="C83" s="182"/>
      <c r="D83" s="182"/>
      <c r="E83" s="182"/>
      <c r="F83" s="182"/>
    </row>
    <row r="84" customFormat="false" ht="15" hidden="false" customHeight="true" outlineLevel="0" collapsed="false">
      <c r="A84" s="182" t="s">
        <v>887</v>
      </c>
      <c r="B84" s="182"/>
      <c r="C84" s="182"/>
      <c r="D84" s="182"/>
      <c r="E84" s="182"/>
      <c r="F84" s="182"/>
    </row>
    <row r="85" customFormat="false" ht="15" hidden="false" customHeight="true" outlineLevel="0" collapsed="false">
      <c r="A85" s="182" t="s">
        <v>888</v>
      </c>
      <c r="B85" s="182"/>
      <c r="C85" s="182"/>
      <c r="D85" s="182"/>
      <c r="E85" s="182"/>
      <c r="F85" s="182"/>
    </row>
    <row r="86" customFormat="false" ht="15" hidden="false" customHeight="true" outlineLevel="0" collapsed="false">
      <c r="A86" s="182"/>
      <c r="B86" s="182"/>
      <c r="C86" s="182"/>
      <c r="D86" s="182"/>
      <c r="E86" s="182"/>
      <c r="F86" s="182"/>
    </row>
    <row r="87" customFormat="false" ht="15" hidden="false" customHeight="true" outlineLevel="0" collapsed="false">
      <c r="A87" s="182" t="s">
        <v>889</v>
      </c>
      <c r="B87" s="182"/>
      <c r="C87" s="182"/>
      <c r="D87" s="182"/>
      <c r="E87" s="182"/>
      <c r="F87" s="182"/>
    </row>
    <row r="88" customFormat="false" ht="15" hidden="false" customHeight="true" outlineLevel="0" collapsed="false">
      <c r="A88" s="182" t="s">
        <v>890</v>
      </c>
      <c r="B88" s="182"/>
      <c r="C88" s="182"/>
      <c r="D88" s="182"/>
      <c r="E88" s="182"/>
      <c r="F88" s="182"/>
    </row>
    <row r="89" customFormat="false" ht="15" hidden="false" customHeight="true" outlineLevel="0" collapsed="false">
      <c r="A89" s="182" t="s">
        <v>891</v>
      </c>
      <c r="B89" s="182"/>
      <c r="C89" s="182"/>
      <c r="D89" s="182"/>
      <c r="E89" s="182"/>
      <c r="F89" s="182"/>
    </row>
    <row r="90" customFormat="false" ht="15" hidden="false" customHeight="true" outlineLevel="0" collapsed="false">
      <c r="A90" s="182" t="s">
        <v>892</v>
      </c>
      <c r="B90" s="182"/>
      <c r="C90" s="182"/>
      <c r="D90" s="182"/>
      <c r="E90" s="182"/>
      <c r="F90" s="182"/>
    </row>
    <row r="91" customFormat="false" ht="15" hidden="false" customHeight="true" outlineLevel="0" collapsed="false">
      <c r="A91" s="182" t="s">
        <v>893</v>
      </c>
      <c r="B91" s="182"/>
      <c r="C91" s="182"/>
      <c r="D91" s="182"/>
      <c r="E91" s="182"/>
      <c r="F91" s="182"/>
    </row>
    <row r="92" customFormat="false" ht="15" hidden="false" customHeight="true" outlineLevel="0" collapsed="false">
      <c r="A92" s="182" t="s">
        <v>894</v>
      </c>
      <c r="B92" s="182"/>
      <c r="C92" s="182"/>
      <c r="D92" s="182"/>
      <c r="E92" s="182"/>
      <c r="F92" s="182"/>
    </row>
    <row r="93" customFormat="false" ht="15" hidden="false" customHeight="true" outlineLevel="0" collapsed="false">
      <c r="A93" s="182" t="s">
        <v>895</v>
      </c>
      <c r="B93" s="182"/>
      <c r="C93" s="182"/>
      <c r="D93" s="182"/>
      <c r="E93" s="182"/>
      <c r="F93" s="182"/>
    </row>
    <row r="94" customFormat="false" ht="15" hidden="false" customHeight="true" outlineLevel="0" collapsed="false">
      <c r="A94" s="182" t="s">
        <v>896</v>
      </c>
      <c r="B94" s="182"/>
      <c r="C94" s="182"/>
      <c r="D94" s="182"/>
      <c r="E94" s="182"/>
      <c r="F94" s="182"/>
    </row>
    <row r="95" customFormat="false" ht="15" hidden="false" customHeight="true" outlineLevel="0" collapsed="false">
      <c r="A95" s="182" t="s">
        <v>878</v>
      </c>
      <c r="B95" s="182"/>
      <c r="C95" s="182"/>
      <c r="D95" s="182"/>
      <c r="E95" s="182"/>
      <c r="F95" s="182"/>
    </row>
    <row r="96" customFormat="false" ht="15" hidden="false" customHeight="true" outlineLevel="0" collapsed="false">
      <c r="A96" s="182" t="s">
        <v>897</v>
      </c>
      <c r="B96" s="182"/>
      <c r="C96" s="182"/>
      <c r="D96" s="182"/>
      <c r="E96" s="182"/>
      <c r="F96" s="182"/>
    </row>
    <row r="97" customFormat="false" ht="15" hidden="false" customHeight="true" outlineLevel="0" collapsed="false">
      <c r="A97" s="182" t="s">
        <v>898</v>
      </c>
      <c r="B97" s="182"/>
      <c r="C97" s="182"/>
      <c r="D97" s="182"/>
      <c r="E97" s="182"/>
      <c r="F97" s="182"/>
    </row>
    <row r="98" customFormat="false" ht="15" hidden="false" customHeight="true" outlineLevel="0" collapsed="false">
      <c r="A98" s="182" t="s">
        <v>881</v>
      </c>
      <c r="B98" s="182"/>
      <c r="C98" s="182"/>
      <c r="D98" s="182"/>
      <c r="E98" s="182"/>
      <c r="F98" s="182"/>
    </row>
    <row r="99" customFormat="false" ht="15" hidden="false" customHeight="true" outlineLevel="0" collapsed="false">
      <c r="A99" s="182"/>
      <c r="B99" s="182"/>
      <c r="C99" s="182"/>
      <c r="D99" s="182"/>
      <c r="E99" s="182"/>
      <c r="F99" s="182"/>
    </row>
    <row r="100" customFormat="false" ht="15" hidden="false" customHeight="true" outlineLevel="0" collapsed="false">
      <c r="A100" s="182" t="s">
        <v>862</v>
      </c>
      <c r="B100" s="182"/>
      <c r="C100" s="182"/>
      <c r="D100" s="182"/>
      <c r="E100" s="182"/>
      <c r="F100" s="182"/>
    </row>
    <row r="101" customFormat="false" ht="15" hidden="false" customHeight="true" outlineLevel="0" collapsed="false">
      <c r="A101" s="182" t="s">
        <v>899</v>
      </c>
      <c r="B101" s="182"/>
      <c r="C101" s="182"/>
      <c r="D101" s="182"/>
      <c r="E101" s="182"/>
      <c r="F101" s="182"/>
    </row>
    <row r="102" customFormat="false" ht="15" hidden="false" customHeight="true" outlineLevel="0" collapsed="false">
      <c r="A102" s="182" t="s">
        <v>862</v>
      </c>
      <c r="B102" s="182"/>
      <c r="C102" s="182"/>
      <c r="D102" s="182"/>
      <c r="E102" s="182"/>
      <c r="F102" s="182"/>
    </row>
    <row r="103" customFormat="false" ht="15" hidden="false" customHeight="true" outlineLevel="0" collapsed="false">
      <c r="A103" s="182" t="s">
        <v>900</v>
      </c>
      <c r="B103" s="182"/>
      <c r="C103" s="182"/>
      <c r="D103" s="182"/>
      <c r="E103" s="182"/>
      <c r="F103" s="182"/>
    </row>
    <row r="104" customFormat="false" ht="15" hidden="false" customHeight="true" outlineLevel="0" collapsed="false">
      <c r="A104" s="182" t="s">
        <v>901</v>
      </c>
      <c r="B104" s="182"/>
      <c r="C104" s="182"/>
      <c r="D104" s="182"/>
      <c r="E104" s="182"/>
      <c r="F104" s="182"/>
    </row>
    <row r="105" customFormat="false" ht="15" hidden="false" customHeight="true" outlineLevel="0" collapsed="false">
      <c r="A105" s="182" t="s">
        <v>902</v>
      </c>
      <c r="B105" s="182"/>
      <c r="C105" s="182"/>
      <c r="D105" s="182"/>
      <c r="E105" s="182"/>
      <c r="F105" s="182"/>
    </row>
    <row r="106" customFormat="false" ht="15" hidden="false" customHeight="true" outlineLevel="0" collapsed="false">
      <c r="A106" s="182" t="s">
        <v>903</v>
      </c>
      <c r="B106" s="182"/>
      <c r="C106" s="182"/>
      <c r="D106" s="182"/>
      <c r="E106" s="182"/>
      <c r="F106" s="182"/>
    </row>
    <row r="107" customFormat="false" ht="15" hidden="false" customHeight="true" outlineLevel="0" collapsed="false">
      <c r="A107" s="182" t="s">
        <v>887</v>
      </c>
      <c r="B107" s="182"/>
      <c r="C107" s="182"/>
      <c r="D107" s="182"/>
      <c r="E107" s="182"/>
      <c r="F107" s="182"/>
    </row>
    <row r="108" customFormat="false" ht="15" hidden="false" customHeight="true" outlineLevel="0" collapsed="false">
      <c r="A108" s="182" t="s">
        <v>888</v>
      </c>
      <c r="B108" s="182"/>
      <c r="C108" s="182"/>
      <c r="D108" s="182"/>
      <c r="E108" s="182"/>
      <c r="F108" s="182"/>
    </row>
    <row r="109" customFormat="false" ht="15" hidden="false" customHeight="true" outlineLevel="0" collapsed="false">
      <c r="A109" s="182" t="s">
        <v>904</v>
      </c>
      <c r="B109" s="182"/>
      <c r="C109" s="182"/>
      <c r="D109" s="182"/>
      <c r="E109" s="182"/>
      <c r="F109" s="182"/>
    </row>
    <row r="110" customFormat="false" ht="15" hidden="false" customHeight="true" outlineLevel="0" collapsed="false">
      <c r="A110" s="182"/>
      <c r="B110" s="182"/>
      <c r="C110" s="182"/>
      <c r="D110" s="182"/>
      <c r="E110" s="182"/>
      <c r="F110" s="182"/>
    </row>
    <row r="111" customFormat="false" ht="15" hidden="false" customHeight="true" outlineLevel="0" collapsed="false">
      <c r="A111" s="182" t="s">
        <v>905</v>
      </c>
      <c r="B111" s="182"/>
      <c r="C111" s="182"/>
      <c r="D111" s="182"/>
      <c r="E111" s="182"/>
      <c r="F111" s="182"/>
    </row>
    <row r="112" customFormat="false" ht="15" hidden="false" customHeight="true" outlineLevel="0" collapsed="false">
      <c r="A112" s="182" t="s">
        <v>906</v>
      </c>
      <c r="B112" s="182"/>
      <c r="C112" s="182"/>
      <c r="D112" s="182"/>
      <c r="E112" s="182"/>
      <c r="F112" s="182"/>
    </row>
    <row r="113" customFormat="false" ht="15" hidden="false" customHeight="true" outlineLevel="0" collapsed="false">
      <c r="A113" s="182" t="s">
        <v>907</v>
      </c>
      <c r="B113" s="182"/>
      <c r="C113" s="182"/>
      <c r="D113" s="182"/>
      <c r="E113" s="182"/>
      <c r="F113" s="182"/>
    </row>
    <row r="114" customFormat="false" ht="15" hidden="false" customHeight="true" outlineLevel="0" collapsed="false">
      <c r="A114" s="182" t="s">
        <v>908</v>
      </c>
      <c r="B114" s="182"/>
      <c r="C114" s="182"/>
      <c r="D114" s="182"/>
      <c r="E114" s="182"/>
      <c r="F114" s="182"/>
    </row>
    <row r="115" customFormat="false" ht="15" hidden="false" customHeight="true" outlineLevel="0" collapsed="false">
      <c r="A115" s="182" t="s">
        <v>909</v>
      </c>
      <c r="B115" s="182"/>
      <c r="C115" s="182"/>
      <c r="D115" s="182"/>
      <c r="E115" s="182"/>
      <c r="F115" s="182"/>
    </row>
    <row r="116" customFormat="false" ht="15" hidden="false" customHeight="true" outlineLevel="0" collapsed="false">
      <c r="A116" s="182" t="s">
        <v>910</v>
      </c>
      <c r="B116" s="182"/>
      <c r="C116" s="182"/>
      <c r="D116" s="182"/>
      <c r="E116" s="182"/>
      <c r="F116" s="182"/>
    </row>
    <row r="117" customFormat="false" ht="15" hidden="false" customHeight="true" outlineLevel="0" collapsed="false">
      <c r="A117" s="182" t="s">
        <v>911</v>
      </c>
      <c r="B117" s="182"/>
      <c r="C117" s="182"/>
      <c r="D117" s="182"/>
      <c r="E117" s="182"/>
      <c r="F117" s="182"/>
    </row>
    <row r="118" customFormat="false" ht="15" hidden="false" customHeight="true" outlineLevel="0" collapsed="false">
      <c r="A118" s="182" t="s">
        <v>878</v>
      </c>
      <c r="B118" s="182"/>
      <c r="C118" s="182"/>
      <c r="D118" s="182"/>
      <c r="E118" s="182"/>
      <c r="F118" s="182"/>
    </row>
    <row r="119" customFormat="false" ht="15" hidden="false" customHeight="true" outlineLevel="0" collapsed="false">
      <c r="A119" s="182" t="s">
        <v>912</v>
      </c>
      <c r="B119" s="182"/>
      <c r="C119" s="182"/>
      <c r="D119" s="182"/>
      <c r="E119" s="182"/>
      <c r="F119" s="182"/>
    </row>
    <row r="120" customFormat="false" ht="15" hidden="false" customHeight="true" outlineLevel="0" collapsed="false">
      <c r="A120" s="182" t="s">
        <v>898</v>
      </c>
      <c r="B120" s="182"/>
      <c r="C120" s="182"/>
      <c r="D120" s="182"/>
      <c r="E120" s="182"/>
      <c r="F120" s="182"/>
    </row>
    <row r="121" customFormat="false" ht="15" hidden="false" customHeight="true" outlineLevel="0" collapsed="false">
      <c r="A121" s="182" t="s">
        <v>881</v>
      </c>
      <c r="B121" s="182"/>
      <c r="C121" s="182"/>
      <c r="D121" s="182"/>
      <c r="E121" s="182"/>
      <c r="F121" s="182"/>
    </row>
    <row r="122" customFormat="false" ht="15" hidden="false" customHeight="true" outlineLevel="0" collapsed="false">
      <c r="A122" s="182"/>
      <c r="B122" s="182"/>
      <c r="C122" s="182"/>
      <c r="D122" s="182"/>
      <c r="E122" s="182"/>
      <c r="F122" s="182"/>
    </row>
    <row r="123" customFormat="false" ht="15" hidden="false" customHeight="true" outlineLevel="0" collapsed="false">
      <c r="A123" s="182" t="s">
        <v>862</v>
      </c>
      <c r="B123" s="182"/>
      <c r="C123" s="182"/>
      <c r="D123" s="182"/>
      <c r="E123" s="182"/>
      <c r="F123" s="182"/>
    </row>
    <row r="124" customFormat="false" ht="15" hidden="false" customHeight="true" outlineLevel="0" collapsed="false">
      <c r="A124" s="182" t="s">
        <v>913</v>
      </c>
      <c r="B124" s="182"/>
      <c r="C124" s="182"/>
      <c r="D124" s="182"/>
      <c r="E124" s="182"/>
      <c r="F124" s="182"/>
    </row>
    <row r="125" customFormat="false" ht="15" hidden="false" customHeight="true" outlineLevel="0" collapsed="false">
      <c r="A125" s="182" t="s">
        <v>862</v>
      </c>
      <c r="B125" s="182"/>
      <c r="C125" s="182"/>
      <c r="D125" s="182"/>
      <c r="E125" s="182"/>
      <c r="F125" s="182"/>
    </row>
    <row r="126" customFormat="false" ht="15" hidden="false" customHeight="true" outlineLevel="0" collapsed="false">
      <c r="A126" s="182" t="s">
        <v>914</v>
      </c>
      <c r="B126" s="182"/>
      <c r="C126" s="182"/>
      <c r="D126" s="182"/>
      <c r="E126" s="182"/>
      <c r="F126" s="182"/>
    </row>
    <row r="127" customFormat="false" ht="15" hidden="false" customHeight="true" outlineLevel="0" collapsed="false">
      <c r="A127" s="182" t="s">
        <v>915</v>
      </c>
      <c r="B127" s="182"/>
      <c r="C127" s="182"/>
      <c r="D127" s="182"/>
      <c r="E127" s="182"/>
      <c r="F127" s="182"/>
    </row>
    <row r="128" customFormat="false" ht="15" hidden="false" customHeight="true" outlineLevel="0" collapsed="false">
      <c r="A128" s="182" t="s">
        <v>916</v>
      </c>
      <c r="B128" s="182"/>
      <c r="C128" s="182"/>
      <c r="D128" s="182"/>
      <c r="E128" s="182"/>
      <c r="F128" s="182"/>
    </row>
    <row r="129" customFormat="false" ht="15" hidden="false" customHeight="true" outlineLevel="0" collapsed="false">
      <c r="A129" s="182" t="s">
        <v>917</v>
      </c>
      <c r="B129" s="182"/>
      <c r="C129" s="182"/>
      <c r="D129" s="182"/>
      <c r="E129" s="182"/>
      <c r="F129" s="182"/>
    </row>
    <row r="130" customFormat="false" ht="15" hidden="false" customHeight="true" outlineLevel="0" collapsed="false">
      <c r="A130" s="182" t="s">
        <v>918</v>
      </c>
      <c r="B130" s="182"/>
      <c r="C130" s="182"/>
      <c r="D130" s="182"/>
      <c r="E130" s="182"/>
      <c r="F130" s="182"/>
    </row>
    <row r="131" customFormat="false" ht="15" hidden="false" customHeight="true" outlineLevel="0" collapsed="false">
      <c r="A131" s="182" t="s">
        <v>919</v>
      </c>
      <c r="B131" s="182"/>
      <c r="C131" s="182"/>
      <c r="D131" s="182"/>
      <c r="E131" s="182"/>
      <c r="F131" s="182"/>
    </row>
    <row r="132" customFormat="false" ht="15" hidden="false" customHeight="true" outlineLevel="0" collapsed="false">
      <c r="A132" s="182" t="s">
        <v>920</v>
      </c>
      <c r="B132" s="182"/>
      <c r="C132" s="182"/>
      <c r="D132" s="182"/>
      <c r="E132" s="182"/>
      <c r="F132" s="182"/>
    </row>
    <row r="133" customFormat="false" ht="15" hidden="false" customHeight="true" outlineLevel="0" collapsed="false">
      <c r="A133" s="182" t="s">
        <v>881</v>
      </c>
      <c r="B133" s="182"/>
      <c r="C133" s="182"/>
      <c r="D133" s="182"/>
      <c r="E133" s="182"/>
      <c r="F133" s="182"/>
    </row>
    <row r="134" customFormat="false" ht="15" hidden="false" customHeight="true" outlineLevel="0" collapsed="false">
      <c r="A134" s="182"/>
      <c r="B134" s="182"/>
      <c r="C134" s="182"/>
      <c r="D134" s="182"/>
      <c r="E134" s="182"/>
      <c r="F134" s="182"/>
    </row>
    <row r="135" customFormat="false" ht="15" hidden="false" customHeight="true" outlineLevel="0" collapsed="false">
      <c r="A135" s="182" t="s">
        <v>862</v>
      </c>
      <c r="B135" s="182"/>
      <c r="C135" s="182"/>
      <c r="D135" s="182"/>
      <c r="E135" s="182"/>
      <c r="F135" s="182"/>
    </row>
    <row r="136" customFormat="false" ht="15" hidden="false" customHeight="true" outlineLevel="0" collapsed="false">
      <c r="A136" s="182" t="s">
        <v>921</v>
      </c>
      <c r="B136" s="182"/>
      <c r="C136" s="182"/>
      <c r="D136" s="182"/>
      <c r="E136" s="182"/>
      <c r="F136" s="182"/>
    </row>
    <row r="137" customFormat="false" ht="15" hidden="false" customHeight="true" outlineLevel="0" collapsed="false">
      <c r="A137" s="182" t="s">
        <v>862</v>
      </c>
      <c r="B137" s="182"/>
      <c r="C137" s="182"/>
      <c r="D137" s="182"/>
      <c r="E137" s="182"/>
      <c r="F137" s="182"/>
    </row>
    <row r="138" customFormat="false" ht="15" hidden="false" customHeight="true" outlineLevel="0" collapsed="false">
      <c r="A138" s="182" t="s">
        <v>922</v>
      </c>
      <c r="B138" s="182"/>
      <c r="C138" s="182"/>
      <c r="D138" s="182"/>
      <c r="E138" s="182"/>
      <c r="F138" s="182"/>
    </row>
    <row r="139" customFormat="false" ht="15" hidden="false" customHeight="true" outlineLevel="0" collapsed="false">
      <c r="A139" s="182" t="s">
        <v>916</v>
      </c>
      <c r="B139" s="182"/>
      <c r="C139" s="182"/>
      <c r="D139" s="182"/>
      <c r="E139" s="182"/>
      <c r="F139" s="182"/>
    </row>
    <row r="140" customFormat="false" ht="15" hidden="false" customHeight="true" outlineLevel="0" collapsed="false">
      <c r="A140" s="182" t="s">
        <v>923</v>
      </c>
      <c r="B140" s="182"/>
      <c r="C140" s="182"/>
      <c r="D140" s="182"/>
      <c r="E140" s="182"/>
      <c r="F140" s="182"/>
    </row>
    <row r="141" customFormat="false" ht="15" hidden="false" customHeight="true" outlineLevel="0" collapsed="false">
      <c r="A141" s="182" t="s">
        <v>924</v>
      </c>
      <c r="B141" s="182"/>
      <c r="C141" s="182"/>
      <c r="D141" s="182"/>
      <c r="E141" s="182"/>
      <c r="F141" s="182"/>
    </row>
    <row r="142" customFormat="false" ht="15" hidden="false" customHeight="true" outlineLevel="0" collapsed="false">
      <c r="A142" s="182" t="s">
        <v>881</v>
      </c>
      <c r="B142" s="182"/>
      <c r="C142" s="182"/>
      <c r="D142" s="182"/>
      <c r="E142" s="182"/>
      <c r="F142" s="182"/>
    </row>
    <row r="143" customFormat="false" ht="15" hidden="false" customHeight="true" outlineLevel="0" collapsed="false">
      <c r="A143" s="182"/>
      <c r="B143" s="182"/>
      <c r="C143" s="182"/>
      <c r="D143" s="182"/>
      <c r="E143" s="182"/>
      <c r="F143" s="182"/>
    </row>
    <row r="144" customFormat="false" ht="15" hidden="false" customHeight="true" outlineLevel="0" collapsed="false">
      <c r="A144" s="182" t="s">
        <v>862</v>
      </c>
      <c r="B144" s="182"/>
      <c r="C144" s="182"/>
      <c r="D144" s="182"/>
      <c r="E144" s="182"/>
      <c r="F144" s="182"/>
    </row>
    <row r="145" customFormat="false" ht="15" hidden="false" customHeight="true" outlineLevel="0" collapsed="false">
      <c r="A145" s="182" t="s">
        <v>925</v>
      </c>
      <c r="B145" s="182"/>
      <c r="C145" s="182"/>
      <c r="D145" s="182"/>
      <c r="E145" s="182"/>
      <c r="F145" s="182"/>
    </row>
    <row r="146" customFormat="false" ht="15" hidden="false" customHeight="true" outlineLevel="0" collapsed="false">
      <c r="A146" s="182" t="s">
        <v>862</v>
      </c>
      <c r="B146" s="182"/>
      <c r="C146" s="182"/>
      <c r="D146" s="182"/>
      <c r="E146" s="182"/>
      <c r="F146" s="182"/>
    </row>
    <row r="147" customFormat="false" ht="15" hidden="false" customHeight="true" outlineLevel="0" collapsed="false">
      <c r="A147" s="182" t="s">
        <v>926</v>
      </c>
      <c r="B147" s="182"/>
      <c r="C147" s="182"/>
      <c r="D147" s="182"/>
      <c r="E147" s="182"/>
      <c r="F147" s="182"/>
    </row>
    <row r="148" customFormat="false" ht="15" hidden="false" customHeight="true" outlineLevel="0" collapsed="false">
      <c r="A148" s="182" t="s">
        <v>927</v>
      </c>
      <c r="B148" s="182"/>
      <c r="C148" s="182"/>
      <c r="D148" s="182"/>
      <c r="E148" s="182"/>
      <c r="F148" s="182"/>
    </row>
    <row r="149" customFormat="false" ht="15" hidden="false" customHeight="true" outlineLevel="0" collapsed="false">
      <c r="A149" s="182" t="s">
        <v>928</v>
      </c>
      <c r="B149" s="182"/>
      <c r="C149" s="182"/>
      <c r="D149" s="182"/>
      <c r="E149" s="182"/>
      <c r="F149" s="182"/>
    </row>
    <row r="150" customFormat="false" ht="15" hidden="false" customHeight="true" outlineLevel="0" collapsed="false">
      <c r="A150" s="182"/>
      <c r="B150" s="182"/>
      <c r="C150" s="182"/>
      <c r="D150" s="182"/>
      <c r="E150" s="182"/>
      <c r="F150" s="182"/>
    </row>
    <row r="151" customFormat="false" ht="15" hidden="false" customHeight="true" outlineLevel="0" collapsed="false">
      <c r="A151" s="182" t="s">
        <v>887</v>
      </c>
      <c r="B151" s="182"/>
      <c r="C151" s="182"/>
      <c r="D151" s="182"/>
      <c r="E151" s="182"/>
      <c r="F151" s="182"/>
    </row>
    <row r="152" customFormat="false" ht="15" hidden="false" customHeight="true" outlineLevel="0" collapsed="false">
      <c r="A152" s="182" t="s">
        <v>929</v>
      </c>
      <c r="B152" s="182"/>
      <c r="C152" s="182"/>
      <c r="D152" s="182"/>
      <c r="E152" s="182"/>
      <c r="F152" s="182"/>
    </row>
    <row r="153" customFormat="false" ht="15" hidden="false" customHeight="true" outlineLevel="0" collapsed="false">
      <c r="A153" s="182" t="s">
        <v>889</v>
      </c>
      <c r="B153" s="182"/>
      <c r="C153" s="182"/>
      <c r="D153" s="182"/>
      <c r="E153" s="182"/>
      <c r="F153" s="182"/>
    </row>
    <row r="154" customFormat="false" ht="15" hidden="false" customHeight="true" outlineLevel="0" collapsed="false">
      <c r="A154" s="182"/>
      <c r="B154" s="182"/>
      <c r="C154" s="182"/>
      <c r="D154" s="182"/>
      <c r="E154" s="182"/>
      <c r="F154" s="182"/>
    </row>
    <row r="155" customFormat="false" ht="15" hidden="false" customHeight="true" outlineLevel="0" collapsed="false">
      <c r="A155" s="182" t="s">
        <v>930</v>
      </c>
      <c r="B155" s="182"/>
      <c r="C155" s="182"/>
      <c r="D155" s="182"/>
      <c r="E155" s="182"/>
      <c r="F155" s="182"/>
    </row>
    <row r="156" customFormat="false" ht="15" hidden="false" customHeight="true" outlineLevel="0" collapsed="false">
      <c r="A156" s="182" t="s">
        <v>931</v>
      </c>
      <c r="B156" s="182"/>
      <c r="C156" s="182"/>
      <c r="D156" s="182"/>
      <c r="E156" s="182"/>
      <c r="F156" s="182"/>
    </row>
    <row r="157" customFormat="false" ht="15" hidden="false" customHeight="true" outlineLevel="0" collapsed="false">
      <c r="A157" s="182" t="s">
        <v>932</v>
      </c>
      <c r="B157" s="182"/>
      <c r="C157" s="182"/>
      <c r="D157" s="182"/>
      <c r="E157" s="182"/>
      <c r="F157" s="182"/>
    </row>
    <row r="158" customFormat="false" ht="15" hidden="false" customHeight="true" outlineLevel="0" collapsed="false">
      <c r="A158" s="182"/>
      <c r="B158" s="182"/>
      <c r="C158" s="182"/>
      <c r="D158" s="182"/>
      <c r="E158" s="182"/>
      <c r="F158" s="182"/>
    </row>
    <row r="159" customFormat="false" ht="15" hidden="false" customHeight="true" outlineLevel="0" collapsed="false">
      <c r="A159" s="182" t="s">
        <v>933</v>
      </c>
      <c r="B159" s="182"/>
      <c r="C159" s="182"/>
      <c r="D159" s="182"/>
      <c r="E159" s="182"/>
      <c r="F159" s="182"/>
    </row>
    <row r="160" customFormat="false" ht="15" hidden="false" customHeight="true" outlineLevel="0" collapsed="false">
      <c r="A160" s="182" t="s">
        <v>934</v>
      </c>
      <c r="B160" s="182"/>
      <c r="C160" s="182"/>
      <c r="D160" s="182"/>
      <c r="E160" s="182"/>
      <c r="F160" s="182"/>
    </row>
    <row r="161" customFormat="false" ht="15" hidden="false" customHeight="true" outlineLevel="0" collapsed="false">
      <c r="A161" s="182" t="s">
        <v>935</v>
      </c>
      <c r="B161" s="182"/>
      <c r="C161" s="182"/>
      <c r="D161" s="182"/>
      <c r="E161" s="182"/>
      <c r="F161" s="182"/>
    </row>
    <row r="162" customFormat="false" ht="15" hidden="false" customHeight="true" outlineLevel="0" collapsed="false">
      <c r="A162" s="182" t="s">
        <v>936</v>
      </c>
      <c r="B162" s="182"/>
      <c r="C162" s="182"/>
      <c r="D162" s="182"/>
      <c r="E162" s="182"/>
      <c r="F162" s="182"/>
    </row>
    <row r="163" customFormat="false" ht="15" hidden="false" customHeight="true" outlineLevel="0" collapsed="false">
      <c r="A163" s="182" t="s">
        <v>937</v>
      </c>
      <c r="B163" s="182"/>
      <c r="C163" s="182"/>
      <c r="D163" s="182"/>
      <c r="E163" s="182"/>
      <c r="F163" s="182"/>
    </row>
    <row r="164" customFormat="false" ht="15" hidden="false" customHeight="true" outlineLevel="0" collapsed="false">
      <c r="A164" s="182" t="s">
        <v>938</v>
      </c>
      <c r="B164" s="182"/>
      <c r="C164" s="182"/>
      <c r="D164" s="182"/>
      <c r="E164" s="182"/>
      <c r="F164" s="182"/>
    </row>
    <row r="165" customFormat="false" ht="15" hidden="false" customHeight="true" outlineLevel="0" collapsed="false">
      <c r="A165" s="182" t="s">
        <v>939</v>
      </c>
      <c r="B165" s="182"/>
      <c r="C165" s="182"/>
      <c r="D165" s="182"/>
      <c r="E165" s="182"/>
      <c r="F165" s="182"/>
    </row>
    <row r="166" customFormat="false" ht="15" hidden="false" customHeight="true" outlineLevel="0" collapsed="false">
      <c r="A166" s="182" t="s">
        <v>940</v>
      </c>
      <c r="B166" s="182"/>
      <c r="C166" s="182"/>
      <c r="D166" s="182"/>
      <c r="E166" s="182"/>
      <c r="F166" s="182"/>
    </row>
    <row r="167" customFormat="false" ht="15" hidden="false" customHeight="true" outlineLevel="0" collapsed="false">
      <c r="A167" s="182" t="s">
        <v>941</v>
      </c>
      <c r="B167" s="182"/>
      <c r="C167" s="182"/>
      <c r="D167" s="182"/>
      <c r="E167" s="182"/>
      <c r="F167" s="182"/>
    </row>
    <row r="168" customFormat="false" ht="15" hidden="false" customHeight="true" outlineLevel="0" collapsed="false">
      <c r="A168" s="182" t="s">
        <v>942</v>
      </c>
      <c r="B168" s="182"/>
      <c r="C168" s="182"/>
      <c r="D168" s="182"/>
      <c r="E168" s="182"/>
      <c r="F168" s="182"/>
    </row>
    <row r="169" customFormat="false" ht="15" hidden="false" customHeight="true" outlineLevel="0" collapsed="false">
      <c r="A169" s="182" t="s">
        <v>943</v>
      </c>
      <c r="B169" s="182"/>
      <c r="C169" s="182"/>
      <c r="D169" s="182"/>
      <c r="E169" s="182"/>
      <c r="F169" s="182"/>
    </row>
    <row r="170" customFormat="false" ht="15" hidden="false" customHeight="true" outlineLevel="0" collapsed="false">
      <c r="A170" s="182" t="s">
        <v>944</v>
      </c>
      <c r="B170" s="182"/>
      <c r="C170" s="182"/>
      <c r="D170" s="182"/>
      <c r="E170" s="182"/>
      <c r="F170" s="182"/>
    </row>
    <row r="171" customFormat="false" ht="15" hidden="false" customHeight="true" outlineLevel="0" collapsed="false">
      <c r="A171" s="182" t="s">
        <v>878</v>
      </c>
      <c r="B171" s="182"/>
      <c r="C171" s="182"/>
      <c r="D171" s="182"/>
      <c r="E171" s="182"/>
      <c r="F171" s="182"/>
    </row>
    <row r="172" customFormat="false" ht="15" hidden="false" customHeight="true" outlineLevel="0" collapsed="false">
      <c r="A172" s="182" t="s">
        <v>945</v>
      </c>
      <c r="B172" s="182"/>
      <c r="C172" s="182"/>
      <c r="D172" s="182"/>
      <c r="E172" s="182"/>
      <c r="F172" s="182"/>
    </row>
    <row r="173" customFormat="false" ht="15" hidden="false" customHeight="true" outlineLevel="0" collapsed="false">
      <c r="A173" s="182" t="s">
        <v>946</v>
      </c>
      <c r="B173" s="182"/>
      <c r="C173" s="182"/>
      <c r="D173" s="182"/>
      <c r="E173" s="182"/>
      <c r="F173" s="182"/>
    </row>
    <row r="174" customFormat="false" ht="15" hidden="false" customHeight="true" outlineLevel="0" collapsed="false">
      <c r="A174" s="182" t="s">
        <v>947</v>
      </c>
      <c r="B174" s="182"/>
      <c r="C174" s="182"/>
      <c r="D174" s="182"/>
      <c r="E174" s="182"/>
      <c r="F174" s="182"/>
    </row>
    <row r="175" customFormat="false" ht="15" hidden="false" customHeight="true" outlineLevel="0" collapsed="false">
      <c r="A175" s="182" t="s">
        <v>881</v>
      </c>
      <c r="B175" s="182"/>
      <c r="C175" s="182"/>
      <c r="D175" s="182"/>
      <c r="E175" s="182"/>
      <c r="F175" s="182"/>
    </row>
    <row r="176" customFormat="false" ht="15" hidden="false" customHeight="true" outlineLevel="0" collapsed="false">
      <c r="A176" s="182"/>
      <c r="B176" s="182"/>
      <c r="C176" s="182"/>
      <c r="D176" s="182"/>
      <c r="E176" s="182"/>
      <c r="F176" s="182"/>
    </row>
    <row r="177" customFormat="false" ht="15" hidden="false" customHeight="true" outlineLevel="0" collapsed="false">
      <c r="A177" s="182" t="s">
        <v>862</v>
      </c>
      <c r="B177" s="182"/>
      <c r="C177" s="182"/>
      <c r="D177" s="182"/>
      <c r="E177" s="182"/>
      <c r="F177" s="182"/>
    </row>
    <row r="178" customFormat="false" ht="15" hidden="false" customHeight="true" outlineLevel="0" collapsed="false">
      <c r="A178" s="182" t="s">
        <v>948</v>
      </c>
      <c r="B178" s="182"/>
      <c r="C178" s="182"/>
      <c r="D178" s="182"/>
      <c r="E178" s="182"/>
      <c r="F178" s="182"/>
    </row>
    <row r="179" customFormat="false" ht="15" hidden="false" customHeight="true" outlineLevel="0" collapsed="false">
      <c r="A179" s="182" t="s">
        <v>862</v>
      </c>
      <c r="B179" s="182"/>
      <c r="C179" s="182"/>
      <c r="D179" s="182"/>
      <c r="E179" s="182"/>
      <c r="F179" s="182"/>
    </row>
    <row r="180" customFormat="false" ht="15" hidden="false" customHeight="true" outlineLevel="0" collapsed="false">
      <c r="A180" s="182" t="s">
        <v>949</v>
      </c>
      <c r="B180" s="182"/>
      <c r="C180" s="182"/>
      <c r="D180" s="182"/>
      <c r="E180" s="182"/>
      <c r="F180" s="182"/>
    </row>
    <row r="181" customFormat="false" ht="15" hidden="false" customHeight="true" outlineLevel="0" collapsed="false">
      <c r="A181" s="182" t="s">
        <v>950</v>
      </c>
      <c r="B181" s="182"/>
      <c r="C181" s="182"/>
      <c r="D181" s="182"/>
      <c r="E181" s="182"/>
      <c r="F181" s="182"/>
    </row>
    <row r="182" customFormat="false" ht="15" hidden="false" customHeight="true" outlineLevel="0" collapsed="false">
      <c r="A182" s="182" t="s">
        <v>951</v>
      </c>
      <c r="B182" s="182"/>
      <c r="C182" s="182"/>
      <c r="D182" s="182"/>
      <c r="E182" s="182"/>
      <c r="F182" s="182"/>
    </row>
    <row r="183" customFormat="false" ht="15" hidden="false" customHeight="true" outlineLevel="0" collapsed="false">
      <c r="A183" s="182" t="s">
        <v>952</v>
      </c>
      <c r="B183" s="182"/>
      <c r="C183" s="182"/>
      <c r="D183" s="182"/>
      <c r="E183" s="182"/>
      <c r="F183" s="182"/>
    </row>
    <row r="184" customFormat="false" ht="15" hidden="false" customHeight="true" outlineLevel="0" collapsed="false">
      <c r="A184" s="182"/>
      <c r="B184" s="182"/>
      <c r="C184" s="182"/>
      <c r="D184" s="182"/>
      <c r="E184" s="182"/>
      <c r="F184" s="182"/>
    </row>
    <row r="185" customFormat="false" ht="15" hidden="false" customHeight="true" outlineLevel="0" collapsed="false">
      <c r="A185" s="182" t="s">
        <v>953</v>
      </c>
      <c r="B185" s="182"/>
      <c r="C185" s="182"/>
      <c r="D185" s="182"/>
      <c r="E185" s="182"/>
      <c r="F185" s="182"/>
    </row>
    <row r="186" customFormat="false" ht="15" hidden="false" customHeight="true" outlineLevel="0" collapsed="false">
      <c r="A186" s="182" t="s">
        <v>954</v>
      </c>
      <c r="B186" s="182"/>
      <c r="C186" s="182"/>
      <c r="D186" s="182"/>
      <c r="E186" s="182"/>
      <c r="F186" s="182"/>
    </row>
    <row r="187" customFormat="false" ht="15" hidden="false" customHeight="true" outlineLevel="0" collapsed="false">
      <c r="A187" s="182" t="s">
        <v>955</v>
      </c>
      <c r="B187" s="182"/>
      <c r="C187" s="182"/>
      <c r="D187" s="182"/>
      <c r="E187" s="182"/>
      <c r="F187" s="182"/>
    </row>
    <row r="188" customFormat="false" ht="15" hidden="false" customHeight="true" outlineLevel="0" collapsed="false">
      <c r="A188" s="182" t="s">
        <v>956</v>
      </c>
      <c r="B188" s="182"/>
      <c r="C188" s="182"/>
      <c r="D188" s="182"/>
      <c r="E188" s="182"/>
      <c r="F188" s="182"/>
    </row>
    <row r="189" customFormat="false" ht="15" hidden="false" customHeight="true" outlineLevel="0" collapsed="false">
      <c r="A189" s="182" t="s">
        <v>957</v>
      </c>
      <c r="B189" s="182"/>
      <c r="C189" s="182"/>
      <c r="D189" s="182"/>
      <c r="E189" s="182"/>
      <c r="F189" s="182"/>
    </row>
    <row r="190" customFormat="false" ht="15" hidden="false" customHeight="true" outlineLevel="0" collapsed="false">
      <c r="A190" s="182" t="s">
        <v>958</v>
      </c>
      <c r="B190" s="182"/>
      <c r="C190" s="182"/>
      <c r="D190" s="182"/>
      <c r="E190" s="182"/>
      <c r="F190" s="182"/>
    </row>
    <row r="191" customFormat="false" ht="15" hidden="false" customHeight="true" outlineLevel="0" collapsed="false">
      <c r="A191" s="182" t="s">
        <v>959</v>
      </c>
      <c r="B191" s="182"/>
      <c r="C191" s="182"/>
      <c r="D191" s="182"/>
      <c r="E191" s="182"/>
      <c r="F191" s="182"/>
    </row>
    <row r="192" customFormat="false" ht="15" hidden="false" customHeight="true" outlineLevel="0" collapsed="false">
      <c r="A192" s="182" t="s">
        <v>960</v>
      </c>
      <c r="B192" s="182"/>
      <c r="C192" s="182"/>
      <c r="D192" s="182"/>
      <c r="E192" s="182"/>
      <c r="F192" s="182"/>
    </row>
    <row r="193" customFormat="false" ht="15" hidden="false" customHeight="true" outlineLevel="0" collapsed="false">
      <c r="A193" s="182" t="s">
        <v>961</v>
      </c>
      <c r="B193" s="182"/>
      <c r="C193" s="182"/>
      <c r="D193" s="182"/>
      <c r="E193" s="182"/>
      <c r="F193" s="182"/>
    </row>
    <row r="194" customFormat="false" ht="15" hidden="false" customHeight="true" outlineLevel="0" collapsed="false">
      <c r="A194" s="182"/>
      <c r="B194" s="182"/>
      <c r="C194" s="182"/>
      <c r="D194" s="182"/>
      <c r="E194" s="182"/>
      <c r="F194" s="182"/>
    </row>
    <row r="195" customFormat="false" ht="15" hidden="false" customHeight="true" outlineLevel="0" collapsed="false">
      <c r="A195" s="182" t="s">
        <v>962</v>
      </c>
      <c r="B195" s="182"/>
      <c r="C195" s="182"/>
      <c r="D195" s="182"/>
      <c r="E195" s="182"/>
      <c r="F195" s="182"/>
    </row>
    <row r="196" customFormat="false" ht="15" hidden="false" customHeight="true" outlineLevel="0" collapsed="false">
      <c r="A196" s="182" t="s">
        <v>963</v>
      </c>
      <c r="B196" s="182"/>
      <c r="C196" s="182"/>
      <c r="D196" s="182"/>
      <c r="E196" s="182"/>
      <c r="F196" s="182"/>
    </row>
    <row r="197" customFormat="false" ht="15" hidden="false" customHeight="true" outlineLevel="0" collapsed="false">
      <c r="A197" s="182" t="s">
        <v>964</v>
      </c>
      <c r="B197" s="182"/>
      <c r="C197" s="182"/>
      <c r="D197" s="182"/>
      <c r="E197" s="182"/>
      <c r="F197" s="182"/>
    </row>
    <row r="198" customFormat="false" ht="15" hidden="false" customHeight="true" outlineLevel="0" collapsed="false">
      <c r="A198" s="182" t="s">
        <v>965</v>
      </c>
      <c r="B198" s="182"/>
      <c r="C198" s="182"/>
      <c r="D198" s="182"/>
      <c r="E198" s="182"/>
      <c r="F198" s="182"/>
    </row>
    <row r="199" customFormat="false" ht="15" hidden="false" customHeight="true" outlineLevel="0" collapsed="false">
      <c r="A199" s="182" t="s">
        <v>966</v>
      </c>
      <c r="B199" s="182"/>
      <c r="C199" s="182"/>
      <c r="D199" s="182"/>
      <c r="E199" s="182"/>
      <c r="F199" s="182"/>
    </row>
    <row r="200" customFormat="false" ht="15" hidden="false" customHeight="true" outlineLevel="0" collapsed="false">
      <c r="A200" s="182" t="s">
        <v>967</v>
      </c>
      <c r="B200" s="182"/>
      <c r="C200" s="182"/>
      <c r="D200" s="182"/>
      <c r="E200" s="182"/>
      <c r="F200" s="182"/>
    </row>
    <row r="201" customFormat="false" ht="15" hidden="false" customHeight="true" outlineLevel="0" collapsed="false">
      <c r="A201" s="182" t="s">
        <v>968</v>
      </c>
      <c r="B201" s="182"/>
      <c r="C201" s="182"/>
      <c r="D201" s="182"/>
      <c r="E201" s="182"/>
      <c r="F201" s="182"/>
    </row>
    <row r="202" customFormat="false" ht="15" hidden="false" customHeight="true" outlineLevel="0" collapsed="false">
      <c r="A202" s="182" t="s">
        <v>969</v>
      </c>
      <c r="B202" s="182"/>
      <c r="C202" s="182"/>
      <c r="D202" s="182"/>
      <c r="E202" s="182"/>
      <c r="F202" s="182"/>
    </row>
    <row r="203" customFormat="false" ht="15" hidden="false" customHeight="true" outlineLevel="0" collapsed="false">
      <c r="A203" s="182"/>
      <c r="B203" s="182"/>
      <c r="C203" s="182"/>
      <c r="D203" s="182"/>
      <c r="E203" s="182"/>
      <c r="F203" s="182"/>
    </row>
    <row r="204" customFormat="false" ht="15" hidden="false" customHeight="true" outlineLevel="0" collapsed="false">
      <c r="A204" s="182" t="s">
        <v>970</v>
      </c>
      <c r="B204" s="182"/>
      <c r="C204" s="182"/>
      <c r="D204" s="182"/>
      <c r="E204" s="182"/>
      <c r="F204" s="182"/>
    </row>
    <row r="205" customFormat="false" ht="15" hidden="false" customHeight="true" outlineLevel="0" collapsed="false">
      <c r="A205" s="182" t="s">
        <v>971</v>
      </c>
      <c r="B205" s="182"/>
      <c r="C205" s="182"/>
      <c r="D205" s="182"/>
      <c r="E205" s="182"/>
      <c r="F205" s="182"/>
    </row>
    <row r="206" customFormat="false" ht="15" hidden="false" customHeight="true" outlineLevel="0" collapsed="false">
      <c r="A206" s="182" t="s">
        <v>972</v>
      </c>
      <c r="B206" s="182"/>
      <c r="C206" s="182"/>
      <c r="D206" s="182"/>
      <c r="E206" s="182"/>
      <c r="F206" s="182"/>
    </row>
    <row r="207" customFormat="false" ht="15" hidden="false" customHeight="true" outlineLevel="0" collapsed="false">
      <c r="A207" s="182"/>
      <c r="B207" s="182"/>
      <c r="C207" s="182"/>
      <c r="D207" s="182"/>
      <c r="E207" s="182"/>
      <c r="F207" s="182"/>
    </row>
    <row r="208" customFormat="false" ht="15" hidden="false" customHeight="true" outlineLevel="0" collapsed="false">
      <c r="A208" s="182" t="s">
        <v>973</v>
      </c>
      <c r="B208" s="182"/>
      <c r="C208" s="182"/>
      <c r="D208" s="182"/>
      <c r="E208" s="182"/>
      <c r="F208" s="182"/>
    </row>
    <row r="209" customFormat="false" ht="15" hidden="false" customHeight="true" outlineLevel="0" collapsed="false">
      <c r="A209" s="182" t="s">
        <v>974</v>
      </c>
      <c r="B209" s="182"/>
      <c r="C209" s="182"/>
      <c r="D209" s="182"/>
      <c r="E209" s="182"/>
      <c r="F209" s="182"/>
    </row>
    <row r="210" customFormat="false" ht="15" hidden="false" customHeight="true" outlineLevel="0" collapsed="false">
      <c r="A210" s="182" t="s">
        <v>975</v>
      </c>
      <c r="B210" s="182"/>
      <c r="C210" s="182"/>
      <c r="D210" s="182"/>
      <c r="E210" s="182"/>
      <c r="F210" s="182"/>
    </row>
    <row r="211" customFormat="false" ht="15" hidden="false" customHeight="true" outlineLevel="0" collapsed="false">
      <c r="A211" s="182" t="s">
        <v>976</v>
      </c>
      <c r="B211" s="182"/>
      <c r="C211" s="182"/>
      <c r="D211" s="182"/>
      <c r="E211" s="182"/>
      <c r="F211" s="182"/>
    </row>
    <row r="212" customFormat="false" ht="15" hidden="false" customHeight="true" outlineLevel="0" collapsed="false">
      <c r="A212" s="182" t="s">
        <v>878</v>
      </c>
      <c r="B212" s="182"/>
      <c r="C212" s="182"/>
      <c r="D212" s="182"/>
      <c r="E212" s="182"/>
      <c r="F212" s="182"/>
    </row>
    <row r="213" customFormat="false" ht="15" hidden="false" customHeight="true" outlineLevel="0" collapsed="false">
      <c r="A213" s="182" t="s">
        <v>977</v>
      </c>
      <c r="B213" s="182"/>
      <c r="C213" s="182"/>
      <c r="D213" s="182"/>
      <c r="E213" s="182"/>
      <c r="F213" s="182"/>
    </row>
    <row r="214" customFormat="false" ht="15" hidden="false" customHeight="true" outlineLevel="0" collapsed="false">
      <c r="A214" s="182" t="s">
        <v>978</v>
      </c>
      <c r="B214" s="182"/>
      <c r="C214" s="182"/>
      <c r="D214" s="182"/>
      <c r="E214" s="182"/>
      <c r="F214" s="182"/>
    </row>
    <row r="215" customFormat="false" ht="15" hidden="false" customHeight="true" outlineLevel="0" collapsed="false">
      <c r="A215" s="182" t="s">
        <v>881</v>
      </c>
      <c r="B215" s="182"/>
      <c r="C215" s="182"/>
      <c r="D215" s="182"/>
      <c r="E215" s="182"/>
      <c r="F215" s="182"/>
    </row>
    <row r="216" customFormat="false" ht="15" hidden="false" customHeight="true" outlineLevel="0" collapsed="false">
      <c r="A216" s="182"/>
      <c r="B216" s="182"/>
      <c r="C216" s="182"/>
      <c r="D216" s="182"/>
      <c r="E216" s="182"/>
      <c r="F216" s="182"/>
    </row>
    <row r="217" customFormat="false" ht="15" hidden="false" customHeight="true" outlineLevel="0" collapsed="false">
      <c r="A217" s="182" t="s">
        <v>862</v>
      </c>
      <c r="B217" s="182"/>
      <c r="C217" s="182"/>
      <c r="D217" s="182"/>
      <c r="E217" s="182"/>
      <c r="F217" s="182"/>
    </row>
    <row r="218" customFormat="false" ht="15" hidden="false" customHeight="true" outlineLevel="0" collapsed="false">
      <c r="A218" s="182" t="s">
        <v>979</v>
      </c>
      <c r="B218" s="182"/>
      <c r="C218" s="182"/>
      <c r="D218" s="182"/>
      <c r="E218" s="182"/>
      <c r="F218" s="182"/>
    </row>
    <row r="219" customFormat="false" ht="15" hidden="false" customHeight="true" outlineLevel="0" collapsed="false">
      <c r="A219" s="182" t="s">
        <v>862</v>
      </c>
      <c r="B219" s="182"/>
      <c r="C219" s="182"/>
      <c r="D219" s="182"/>
      <c r="E219" s="182"/>
      <c r="F219" s="182"/>
    </row>
    <row r="220" customFormat="false" ht="15" hidden="false" customHeight="true" outlineLevel="0" collapsed="false">
      <c r="A220" s="182" t="s">
        <v>980</v>
      </c>
      <c r="B220" s="182"/>
      <c r="C220" s="182"/>
      <c r="D220" s="182"/>
      <c r="E220" s="182"/>
      <c r="F220" s="182"/>
    </row>
    <row r="221" customFormat="false" ht="15" hidden="false" customHeight="true" outlineLevel="0" collapsed="false">
      <c r="A221" s="182" t="s">
        <v>981</v>
      </c>
      <c r="B221" s="182"/>
      <c r="C221" s="182"/>
      <c r="D221" s="182"/>
      <c r="E221" s="182"/>
      <c r="F221" s="182"/>
    </row>
    <row r="222" customFormat="false" ht="15" hidden="false" customHeight="true" outlineLevel="0" collapsed="false">
      <c r="A222" s="182" t="s">
        <v>982</v>
      </c>
      <c r="B222" s="182"/>
      <c r="C222" s="182"/>
      <c r="D222" s="182"/>
      <c r="E222" s="182"/>
      <c r="F222" s="182"/>
    </row>
    <row r="223" customFormat="false" ht="15" hidden="false" customHeight="true" outlineLevel="0" collapsed="false">
      <c r="A223" s="182" t="s">
        <v>916</v>
      </c>
      <c r="B223" s="182"/>
      <c r="C223" s="182"/>
      <c r="D223" s="182"/>
      <c r="E223" s="182"/>
      <c r="F223" s="182"/>
    </row>
    <row r="224" customFormat="false" ht="15" hidden="false" customHeight="true" outlineLevel="0" collapsed="false">
      <c r="A224" s="182" t="s">
        <v>983</v>
      </c>
      <c r="B224" s="182"/>
      <c r="C224" s="182"/>
      <c r="D224" s="182"/>
      <c r="E224" s="182"/>
      <c r="F224" s="182"/>
    </row>
    <row r="225" customFormat="false" ht="15" hidden="false" customHeight="true" outlineLevel="0" collapsed="false">
      <c r="A225" s="182" t="s">
        <v>984</v>
      </c>
      <c r="B225" s="182"/>
      <c r="C225" s="182"/>
      <c r="D225" s="182"/>
      <c r="E225" s="182"/>
      <c r="F225" s="182"/>
    </row>
    <row r="226" customFormat="false" ht="15" hidden="false" customHeight="true" outlineLevel="0" collapsed="false">
      <c r="A226" s="182" t="s">
        <v>985</v>
      </c>
      <c r="B226" s="182"/>
      <c r="C226" s="182"/>
      <c r="D226" s="182"/>
      <c r="E226" s="182"/>
      <c r="F226" s="182"/>
    </row>
    <row r="227" customFormat="false" ht="15" hidden="false" customHeight="true" outlineLevel="0" collapsed="false">
      <c r="A227" s="182" t="s">
        <v>986</v>
      </c>
      <c r="B227" s="182"/>
      <c r="C227" s="182"/>
      <c r="D227" s="182"/>
      <c r="E227" s="182"/>
      <c r="F227" s="182"/>
    </row>
    <row r="228" customFormat="false" ht="15" hidden="false" customHeight="true" outlineLevel="0" collapsed="false">
      <c r="A228" s="182" t="s">
        <v>987</v>
      </c>
      <c r="B228" s="182"/>
      <c r="C228" s="182"/>
      <c r="D228" s="182"/>
      <c r="E228" s="182"/>
      <c r="F228" s="182"/>
    </row>
    <row r="229" customFormat="false" ht="15" hidden="false" customHeight="true" outlineLevel="0" collapsed="false">
      <c r="A229" s="182"/>
      <c r="B229" s="182"/>
      <c r="C229" s="182"/>
      <c r="D229" s="182"/>
      <c r="E229" s="182"/>
      <c r="F229" s="182"/>
    </row>
    <row r="230" customFormat="false" ht="15" hidden="false" customHeight="true" outlineLevel="0" collapsed="false">
      <c r="A230" s="182" t="s">
        <v>988</v>
      </c>
      <c r="B230" s="182"/>
      <c r="C230" s="182"/>
      <c r="D230" s="182"/>
      <c r="E230" s="182"/>
      <c r="F230" s="182"/>
    </row>
    <row r="231" customFormat="false" ht="15" hidden="false" customHeight="true" outlineLevel="0" collapsed="false">
      <c r="A231" s="182" t="s">
        <v>989</v>
      </c>
      <c r="B231" s="182"/>
      <c r="C231" s="182"/>
      <c r="D231" s="182"/>
      <c r="E231" s="182"/>
      <c r="F231" s="182"/>
    </row>
    <row r="232" customFormat="false" ht="15" hidden="false" customHeight="true" outlineLevel="0" collapsed="false">
      <c r="A232" s="182" t="s">
        <v>990</v>
      </c>
      <c r="B232" s="182"/>
      <c r="C232" s="182"/>
      <c r="D232" s="182"/>
      <c r="E232" s="182"/>
      <c r="F232" s="182"/>
    </row>
    <row r="233" customFormat="false" ht="15" hidden="false" customHeight="true" outlineLevel="0" collapsed="false">
      <c r="A233" s="182" t="s">
        <v>991</v>
      </c>
      <c r="B233" s="182"/>
      <c r="C233" s="182"/>
      <c r="D233" s="182"/>
      <c r="E233" s="182"/>
      <c r="F233" s="182"/>
    </row>
    <row r="234" customFormat="false" ht="15" hidden="false" customHeight="true" outlineLevel="0" collapsed="false">
      <c r="A234" s="182" t="s">
        <v>992</v>
      </c>
      <c r="B234" s="182"/>
      <c r="C234" s="182"/>
      <c r="D234" s="182"/>
      <c r="E234" s="182"/>
      <c r="F234" s="182"/>
    </row>
    <row r="235" customFormat="false" ht="15" hidden="false" customHeight="true" outlineLevel="0" collapsed="false">
      <c r="A235" s="182" t="s">
        <v>993</v>
      </c>
      <c r="B235" s="182"/>
      <c r="C235" s="182"/>
      <c r="D235" s="182"/>
      <c r="E235" s="182"/>
      <c r="F235" s="182"/>
    </row>
    <row r="236" customFormat="false" ht="15" hidden="false" customHeight="true" outlineLevel="0" collapsed="false">
      <c r="A236" s="182" t="s">
        <v>994</v>
      </c>
      <c r="B236" s="182"/>
      <c r="C236" s="182"/>
      <c r="D236" s="182"/>
      <c r="E236" s="182"/>
      <c r="F236" s="182"/>
    </row>
    <row r="237" customFormat="false" ht="15" hidden="false" customHeight="false" outlineLevel="0" collapsed="false">
      <c r="A237" s="182" t="s">
        <v>995</v>
      </c>
      <c r="B237" s="182"/>
      <c r="C237" s="182"/>
      <c r="D237" s="182"/>
      <c r="E237" s="182"/>
      <c r="F237" s="182"/>
    </row>
    <row r="238" customFormat="false" ht="15" hidden="false" customHeight="false" outlineLevel="0" collapsed="false">
      <c r="A238" s="182" t="s">
        <v>881</v>
      </c>
      <c r="B238" s="182"/>
      <c r="C238" s="182"/>
      <c r="D238" s="182"/>
      <c r="E238" s="182"/>
      <c r="F238" s="182"/>
    </row>
    <row r="239" customFormat="false" ht="15" hidden="false" customHeight="false" outlineLevel="0" collapsed="false">
      <c r="A239" s="182"/>
      <c r="B239" s="182"/>
      <c r="C239" s="182"/>
      <c r="D239" s="182"/>
      <c r="E239" s="182"/>
      <c r="F239" s="182"/>
    </row>
    <row r="240" customFormat="false" ht="15" hidden="false" customHeight="false" outlineLevel="0" collapsed="false">
      <c r="A240" s="182" t="s">
        <v>862</v>
      </c>
      <c r="B240" s="182"/>
      <c r="C240" s="182"/>
      <c r="D240" s="182"/>
      <c r="E240" s="182"/>
      <c r="F240" s="182"/>
    </row>
    <row r="241" customFormat="false" ht="15" hidden="false" customHeight="false" outlineLevel="0" collapsed="false">
      <c r="A241" s="182" t="s">
        <v>996</v>
      </c>
      <c r="B241" s="182"/>
      <c r="C241" s="182"/>
      <c r="D241" s="182"/>
      <c r="E241" s="182"/>
      <c r="F241" s="182"/>
    </row>
    <row r="242" customFormat="false" ht="15" hidden="false" customHeight="false" outlineLevel="0" collapsed="false">
      <c r="A242" s="182" t="s">
        <v>862</v>
      </c>
      <c r="B242" s="182"/>
      <c r="C242" s="182"/>
      <c r="D242" s="182"/>
      <c r="E242" s="182"/>
      <c r="F242" s="182"/>
    </row>
    <row r="243" customFormat="false" ht="15" hidden="false" customHeight="false" outlineLevel="0" collapsed="false">
      <c r="A243" s="182" t="s">
        <v>997</v>
      </c>
      <c r="B243" s="182"/>
      <c r="C243" s="182"/>
      <c r="D243" s="182"/>
      <c r="E243" s="182"/>
      <c r="F243" s="182"/>
    </row>
    <row r="244" customFormat="false" ht="15" hidden="false" customHeight="false" outlineLevel="0" collapsed="false">
      <c r="A244" s="182" t="s">
        <v>998</v>
      </c>
      <c r="B244" s="182"/>
      <c r="C244" s="182"/>
      <c r="D244" s="182"/>
      <c r="E244" s="182"/>
      <c r="F244" s="182"/>
    </row>
    <row r="245" customFormat="false" ht="15" hidden="false" customHeight="false" outlineLevel="0" collapsed="false">
      <c r="A245" s="182" t="s">
        <v>999</v>
      </c>
      <c r="B245" s="182"/>
      <c r="C245" s="182"/>
      <c r="D245" s="182"/>
      <c r="E245" s="182"/>
      <c r="F245" s="182"/>
    </row>
    <row r="246" customFormat="false" ht="15" hidden="false" customHeight="false" outlineLevel="0" collapsed="false">
      <c r="A246" s="182" t="s">
        <v>1000</v>
      </c>
      <c r="B246" s="182"/>
      <c r="C246" s="182"/>
      <c r="D246" s="182"/>
      <c r="E246" s="182"/>
      <c r="F246" s="182"/>
    </row>
    <row r="247" customFormat="false" ht="15" hidden="false" customHeight="false" outlineLevel="0" collapsed="false">
      <c r="A247" s="182" t="s">
        <v>1001</v>
      </c>
      <c r="B247" s="182"/>
      <c r="C247" s="182"/>
      <c r="D247" s="182"/>
      <c r="E247" s="182"/>
      <c r="F247" s="182"/>
    </row>
  </sheetData>
  <mergeCells count="237">
    <mergeCell ref="A1:F1"/>
    <mergeCell ref="A3:F3"/>
    <mergeCell ref="A4:F4"/>
    <mergeCell ref="A5:F5"/>
    <mergeCell ref="A6:F6"/>
    <mergeCell ref="A7:F7"/>
    <mergeCell ref="A8:F8"/>
    <mergeCell ref="A10:F10"/>
    <mergeCell ref="A11:F11"/>
    <mergeCell ref="A12:F12"/>
    <mergeCell ref="A13:F13"/>
    <mergeCell ref="A14:F14"/>
    <mergeCell ref="A15:F15"/>
    <mergeCell ref="A16:F16"/>
    <mergeCell ref="A19:F19"/>
    <mergeCell ref="B21:F21"/>
    <mergeCell ref="B22:F22"/>
    <mergeCell ref="B23:F23"/>
    <mergeCell ref="B24:F24"/>
    <mergeCell ref="A25:F25"/>
    <mergeCell ref="B26:F26"/>
    <mergeCell ref="B27:F27"/>
    <mergeCell ref="A30:F30"/>
    <mergeCell ref="A31:F31"/>
    <mergeCell ref="A32:F32"/>
    <mergeCell ref="A35:F35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88:F88"/>
    <mergeCell ref="A89:F89"/>
    <mergeCell ref="A90:F90"/>
    <mergeCell ref="A91:F91"/>
    <mergeCell ref="A92:F92"/>
    <mergeCell ref="A93:F93"/>
    <mergeCell ref="A94:F94"/>
    <mergeCell ref="A95:F95"/>
    <mergeCell ref="A96:F96"/>
    <mergeCell ref="A97:F97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  <mergeCell ref="A109:F109"/>
    <mergeCell ref="A110:F110"/>
    <mergeCell ref="A111:F111"/>
    <mergeCell ref="A112:F112"/>
    <mergeCell ref="A113:F113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28:F128"/>
    <mergeCell ref="A129:F129"/>
    <mergeCell ref="A130:F130"/>
    <mergeCell ref="A131:F131"/>
    <mergeCell ref="A132:F132"/>
    <mergeCell ref="A133:F133"/>
    <mergeCell ref="A134:F134"/>
    <mergeCell ref="A135:F135"/>
    <mergeCell ref="A136:F136"/>
    <mergeCell ref="A137:F137"/>
    <mergeCell ref="A138:F138"/>
    <mergeCell ref="A139:F139"/>
    <mergeCell ref="A140:F140"/>
    <mergeCell ref="A141:F141"/>
    <mergeCell ref="A142:F142"/>
    <mergeCell ref="A143:F143"/>
    <mergeCell ref="A144:F144"/>
    <mergeCell ref="A145:F145"/>
    <mergeCell ref="A146:F146"/>
    <mergeCell ref="A147:F147"/>
    <mergeCell ref="A148:F148"/>
    <mergeCell ref="A149:F149"/>
    <mergeCell ref="A150:F150"/>
    <mergeCell ref="A151:F151"/>
    <mergeCell ref="A152:F152"/>
    <mergeCell ref="A153:F153"/>
    <mergeCell ref="A154:F154"/>
    <mergeCell ref="A155:F155"/>
    <mergeCell ref="A156:F156"/>
    <mergeCell ref="A157:F157"/>
    <mergeCell ref="A158:F158"/>
    <mergeCell ref="A159:F159"/>
    <mergeCell ref="A160:F160"/>
    <mergeCell ref="A161:F161"/>
    <mergeCell ref="A162:F162"/>
    <mergeCell ref="A163:F163"/>
    <mergeCell ref="A164:F164"/>
    <mergeCell ref="A165:F165"/>
    <mergeCell ref="A166:F166"/>
    <mergeCell ref="A167:F167"/>
    <mergeCell ref="A168:F168"/>
    <mergeCell ref="A169:F169"/>
    <mergeCell ref="A170:F170"/>
    <mergeCell ref="A171:F171"/>
    <mergeCell ref="A172:F172"/>
    <mergeCell ref="A173:F173"/>
    <mergeCell ref="A174:F174"/>
    <mergeCell ref="A175:F175"/>
    <mergeCell ref="A176:F176"/>
    <mergeCell ref="A177:F177"/>
    <mergeCell ref="A178:F178"/>
    <mergeCell ref="A179:F179"/>
    <mergeCell ref="A180:F180"/>
    <mergeCell ref="A181:F181"/>
    <mergeCell ref="A182:F182"/>
    <mergeCell ref="A183:F183"/>
    <mergeCell ref="A184:F184"/>
    <mergeCell ref="A185:F185"/>
    <mergeCell ref="A186:F186"/>
    <mergeCell ref="A187:F187"/>
    <mergeCell ref="A188:F188"/>
    <mergeCell ref="A189:F189"/>
    <mergeCell ref="A190:F190"/>
    <mergeCell ref="A191:F191"/>
    <mergeCell ref="A192:F192"/>
    <mergeCell ref="A193:F193"/>
    <mergeCell ref="A194:F194"/>
    <mergeCell ref="A195:F195"/>
    <mergeCell ref="A196:F196"/>
    <mergeCell ref="A197:F197"/>
    <mergeCell ref="A198:F198"/>
    <mergeCell ref="A199:F199"/>
    <mergeCell ref="A200:F200"/>
    <mergeCell ref="A201:F201"/>
    <mergeCell ref="A202:F202"/>
    <mergeCell ref="A203:F203"/>
    <mergeCell ref="A204:F204"/>
    <mergeCell ref="A205:F205"/>
    <mergeCell ref="A206:F206"/>
    <mergeCell ref="A207:F207"/>
    <mergeCell ref="A208:F208"/>
    <mergeCell ref="A209:F209"/>
    <mergeCell ref="A210:F210"/>
    <mergeCell ref="A211:F211"/>
    <mergeCell ref="A212:F212"/>
    <mergeCell ref="A213:F213"/>
    <mergeCell ref="A214:F214"/>
    <mergeCell ref="A215:F215"/>
    <mergeCell ref="A216:F216"/>
    <mergeCell ref="A217:F217"/>
    <mergeCell ref="A218:F218"/>
    <mergeCell ref="A219:F219"/>
    <mergeCell ref="A220:F220"/>
    <mergeCell ref="A221:F221"/>
    <mergeCell ref="A222:F222"/>
    <mergeCell ref="A223:F223"/>
    <mergeCell ref="A224:F224"/>
    <mergeCell ref="A225:F225"/>
    <mergeCell ref="A226:F226"/>
    <mergeCell ref="A227:F227"/>
    <mergeCell ref="A228:F228"/>
    <mergeCell ref="A229:F229"/>
    <mergeCell ref="A230:F230"/>
    <mergeCell ref="A231:F231"/>
    <mergeCell ref="A232:F232"/>
    <mergeCell ref="A233:F233"/>
    <mergeCell ref="A234:F234"/>
    <mergeCell ref="A235:F235"/>
    <mergeCell ref="A236:F236"/>
    <mergeCell ref="A237:F237"/>
    <mergeCell ref="A238:F238"/>
    <mergeCell ref="A239:F239"/>
    <mergeCell ref="A240:F240"/>
    <mergeCell ref="A241:F241"/>
    <mergeCell ref="A242:F242"/>
    <mergeCell ref="A243:F243"/>
    <mergeCell ref="A244:F244"/>
    <mergeCell ref="A245:F245"/>
    <mergeCell ref="A246:F246"/>
    <mergeCell ref="A247:F2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2026-05-19T15:27:07Z</dcterms:created>
  <dc:creator>openpyxl</dc:creator>
  <dc:description/>
  <dc:language>en-US</dc:language>
  <cp:lastModifiedBy>Burak Ücöz</cp:lastModifiedBy>
  <dcterms:modified xsi:type="dcterms:W3CDTF">2026-05-29T08:43:35Z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