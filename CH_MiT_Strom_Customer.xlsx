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EO Report" sheetId="1" state="visible" r:id="rId3"/>
    <sheet name="Dashboard" sheetId="2" state="visible" r:id="rId4"/>
    <sheet name="MiT Strom Pipeline" sheetId="3" state="visible" r:id="rId5"/>
    <sheet name="Kundenkartei" sheetId="4" state="visible" r:id="rId6"/>
    <sheet name="Kantone &amp; Segmente" sheetId="5" state="visible" r:id="rId7"/>
  </sheets>
  <definedNames>
    <definedName function="false" hidden="true" localSheetId="2" name="_xlnm._FilterDatabase" vbProcedure="false">'MiT Strom Pipeline'!$A$5:$X$105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<sst xmlns="http://schemas.openxmlformats.org/spreadsheetml/2006/main" count="2645" uniqueCount="784">
  <si>
    <t xml:space="preserve">⚡  MiT Strom Schweiz — CEO Sales Report  ·  Mai 2026</t>
  </si>
  <si>
    <t xml:space="preserve">Mobil in Time AG  ·  An Aggreko Company  ·  Burak Ücöz  ·  Neue Einträge in «MiT Strom Pipeline» erscheinen automatisch.</t>
  </si>
  <si>
    <t xml:space="preserve">✅  AUFTRAGSEINGANG (WON)</t>
  </si>
  <si>
    <t xml:space="preserve">📄  OFFERTE — Laufend</t>
  </si>
  <si>
    <t xml:space="preserve">🎯  OPPORTUNITÄT</t>
  </si>
  <si>
    <t xml:space="preserve">✅  1. AUFTRAGSEINGANG (WON) — Bestätigte Aufträge</t>
  </si>
  <si>
    <t xml:space="preserve">#</t>
  </si>
  <si>
    <t xml:space="preserve">Kunde / Unternehmen</t>
  </si>
  <si>
    <t xml:space="preserve">Kt.</t>
  </si>
  <si>
    <t xml:space="preserve">Segment</t>
  </si>
  <si>
    <t xml:space="preserve">Leistung / Fleet</t>
  </si>
  <si>
    <t xml:space="preserve">Volumen CHF</t>
  </si>
  <si>
    <t xml:space="preserve">Gew.Wert CHF</t>
  </si>
  <si>
    <t xml:space="preserve">Marge CHF</t>
  </si>
  <si>
    <t xml:space="preserve">Status</t>
  </si>
  <si>
    <t xml:space="preserve">Wahr.%</t>
  </si>
  <si>
    <t xml:space="preserve">Nächster Schritt</t>
  </si>
  <si>
    <t xml:space="preserve">📄  2. OFFERTE — Versendete &amp; laufende Angebote</t>
  </si>
  <si>
    <t xml:space="preserve">🎯  3. OPPORTUNITÄT — Qualifizierte Leads</t>
  </si>
  <si>
    <t xml:space="preserve">📊  GESAMTTOTAL — Aktive Pipeline</t>
  </si>
  <si>
    <t xml:space="preserve">  → WON</t>
  </si>
  <si>
    <t xml:space="preserve">  → Offerte</t>
  </si>
  <si>
    <t xml:space="preserve">  → Opportunität</t>
  </si>
  <si>
    <t xml:space="preserve">Stand: Mai 2026  |  Burak Ücöz  |  Mobil in Time AG – An Aggreko Company  |  VERTRAULICH</t>
  </si>
  <si>
    <t xml:space="preserve">⚡  MiT Strom Schweiz  |  Sales Dashboard  |  Mai 2026</t>
  </si>
  <si>
    <t xml:space="preserve">Mobil in Time AG  ·  An Aggreko Company  ·  Burak Ücöz  ·  Neue Einträge in «MiT Strom Pipeline» (bis Zeile 100) erscheinen automatisch.</t>
  </si>
  <si>
    <t xml:space="preserve">✅  WON</t>
  </si>
  <si>
    <t xml:space="preserve">📄  OFFERTE</t>
  </si>
  <si>
    <t xml:space="preserve">🎯  OPP.</t>
  </si>
  <si>
    <t xml:space="preserve">📊  GESAMT</t>
  </si>
  <si>
    <t xml:space="preserve">✅  1. AUFTRAGSEINGANG (WON) — Gewonnene Aufträge</t>
  </si>
  <si>
    <t xml:space="preserve">📊  GESAMTTOTAL — Aktive Pipeline (exkl. Declined / LOST)</t>
  </si>
  <si>
    <t xml:space="preserve">⚡  MiT Strom Schweiz — Pipeline &amp; Deal Tracking  |  Mobil in Time AG – An Aggreko Company</t>
  </si>
  <si>
    <t xml:space="preserve">  ✏️  Nur in diesem Sheet Daten erfassen — Dashboard, CEO Report und Kantone aktualisieren sich automatisch.</t>
  </si>
  <si>
    <t xml:space="preserve">✅  WON Umsatz</t>
  </si>
  <si>
    <t xml:space="preserve">📋  Anzahl Deals (aktiv)</t>
  </si>
  <si>
    <t xml:space="preserve">💼  Offene Pipeline</t>
  </si>
  <si>
    <t xml:space="preserve">⚖️  Gewichteter Wert</t>
  </si>
  <si>
    <t xml:space="preserve">kW</t>
  </si>
  <si>
    <t xml:space="preserve">Dauer</t>
  </si>
  <si>
    <t xml:space="preserve">Start</t>
  </si>
  <si>
    <t xml:space="preserve">Volumen
CHF</t>
  </si>
  <si>
    <t xml:space="preserve">Equip.
CHF</t>
  </si>
  <si>
    <t xml:space="preserve">Transport
CHF</t>
  </si>
  <si>
    <t xml:space="preserve">Treibst.
CHF</t>
  </si>
  <si>
    <t xml:space="preserve">Technik.
CHF</t>
  </si>
  <si>
    <t xml:space="preserve">Übrige
CHF</t>
  </si>
  <si>
    <t xml:space="preserve">Marge
CHF</t>
  </si>
  <si>
    <t xml:space="preserve">Marge
%</t>
  </si>
  <si>
    <t xml:space="preserve">Gew.Wert
CHF</t>
  </si>
  <si>
    <t xml:space="preserve">Wahr.
%</t>
  </si>
  <si>
    <t xml:space="preserve">Akquise
Typ</t>
  </si>
  <si>
    <t xml:space="preserve">USP-Argument</t>
  </si>
  <si>
    <t xml:space="preserve">Follow-Up</t>
  </si>
  <si>
    <t xml:space="preserve">Notiz intern</t>
  </si>
  <si>
    <t xml:space="preserve">Ice Hockey Championship</t>
  </si>
  <si>
    <t xml:space="preserve">ZH</t>
  </si>
  <si>
    <t xml:space="preserve">Events &amp; Sport</t>
  </si>
  <si>
    <t xml:space="preserve">2×600+2×200 kVA</t>
  </si>
  <si>
    <t xml:space="preserve">4 Wochen</t>
  </si>
  <si>
    <t xml:space="preserve">02.05.2026</t>
  </si>
  <si>
    <t xml:space="preserve">WON</t>
  </si>
  <si>
    <t xml:space="preserve">100%</t>
  </si>
  <si>
    <t xml:space="preserve">Warm – Aggreko</t>
  </si>
  <si>
    <t xml:space="preserve">Aggreko Event-Power + Redundanz</t>
  </si>
  <si>
    <t xml:space="preserve">✅ Einsatzplanung läuft – Logistik finalisieren</t>
  </si>
  <si>
    <t xml:space="preserve">–</t>
  </si>
  <si>
    <t xml:space="preserve">Grossreferenz CH Events – öffentlich nutzbar</t>
  </si>
  <si>
    <t xml:space="preserve">Oerlikon Metco Wohlen</t>
  </si>
  <si>
    <t xml:space="preserve">AG</t>
  </si>
  <si>
    <t xml:space="preserve">Industrie / Oberfläche</t>
  </si>
  <si>
    <t xml:space="preserve">240 kVA Generator</t>
  </si>
  <si>
    <t xml:space="preserve">21 Tage</t>
  </si>
  <si>
    <t xml:space="preserve">08.04.2026</t>
  </si>
  <si>
    <t xml:space="preserve">Kalt</t>
  </si>
  <si>
    <t xml:space="preserve">Schnelle Lieferung 24/7</t>
  </si>
  <si>
    <t xml:space="preserve">✅ Abgeschlossen – Invoice prüfen, Referenz sichern</t>
  </si>
  <si>
    <t xml:space="preserve">Erste Referenz Kanton AG</t>
  </si>
  <si>
    <t xml:space="preserve">Siemens</t>
  </si>
  <si>
    <t xml:space="preserve">Industrie / Elektro</t>
  </si>
  <si>
    <t xml:space="preserve">600 kVA Generator</t>
  </si>
  <si>
    <t xml:space="preserve">tbd</t>
  </si>
  <si>
    <t xml:space="preserve">Warm</t>
  </si>
  <si>
    <t xml:space="preserve">Aggreko-Backbone + Verfügbarkeit</t>
  </si>
  <si>
    <t xml:space="preserve">✅ Referenzschreiben anfordern</t>
  </si>
  <si>
    <t xml:space="preserve">Referenz Industriebereich – sehr wertvoll</t>
  </si>
  <si>
    <t xml:space="preserve">Stagelight – OpenAir Frauenfeld</t>
  </si>
  <si>
    <t xml:space="preserve">TG</t>
  </si>
  <si>
    <t xml:space="preserve">Events &amp; Kultur</t>
  </si>
  <si>
    <t xml:space="preserve">~500 kVA Generator</t>
  </si>
  <si>
    <t xml:space="preserve">2 Wochen</t>
  </si>
  <si>
    <t xml:space="preserve">Jul. 2026</t>
  </si>
  <si>
    <t xml:space="preserve">offered</t>
  </si>
  <si>
    <t xml:space="preserve">90%</t>
  </si>
  <si>
    <t xml:space="preserve">Reaktionszeit &lt; 24h, Zuverlässigkeit</t>
  </si>
  <si>
    <t xml:space="preserve">Follow-up + Vertragsverhandlung initiieren</t>
  </si>
  <si>
    <t xml:space="preserve">OpenAir Festival – jährlich → Rahmenvertrag prüfen, Nicht umgehen den Ansprechpartner, Teams Meeting mit Aggreko Deutschland</t>
  </si>
  <si>
    <t xml:space="preserve">Wincasa Solothurn</t>
  </si>
  <si>
    <t xml:space="preserve">SO</t>
  </si>
  <si>
    <t xml:space="preserve">Immobilien / FM</t>
  </si>
  <si>
    <t xml:space="preserve">BESS 1 MWh</t>
  </si>
  <si>
    <t xml:space="preserve">365 Tage</t>
  </si>
  <si>
    <t xml:space="preserve">01.05.2026</t>
  </si>
  <si>
    <t xml:space="preserve">on hold</t>
  </si>
  <si>
    <t xml:space="preserve">50%</t>
  </si>
  <si>
    <t xml:space="preserve">BESS-Hybridlösung, Energiekostensenkung</t>
  </si>
  <si>
    <t xml:space="preserve">Entscheider-Meeting anfordern, Businesscase Energie-ROI</t>
  </si>
  <si>
    <t xml:space="preserve">Grösster offener Lead – Geduld + ROI-Argumentation</t>
  </si>
  <si>
    <t xml:space="preserve">Avia Volt Suisse AG</t>
  </si>
  <si>
    <t xml:space="preserve">EVU / Energie</t>
  </si>
  <si>
    <t xml:space="preserve">5×200 kVA Generator</t>
  </si>
  <si>
    <t xml:space="preserve">30 Tage</t>
  </si>
  <si>
    <t xml:space="preserve">Declined</t>
  </si>
  <si>
    <t xml:space="preserve">PQ-Monitoring inkl. – einzigartig in CH</t>
  </si>
  <si>
    <t xml:space="preserve">Angebotspräsentation Termin diese Woche</t>
  </si>
  <si>
    <t xml:space="preserve">EVU mit PQ-Bedarf – USP passt perfekt, Kunde hat kein bedarf zur Zeit</t>
  </si>
  <si>
    <t xml:space="preserve">Sade CGTH (Schweiz)</t>
  </si>
  <si>
    <t xml:space="preserve">GE</t>
  </si>
  <si>
    <t xml:space="preserve">Infrastruktur / Bau</t>
  </si>
  <si>
    <t xml:space="preserve">750 kVA Generator</t>
  </si>
  <si>
    <t xml:space="preserve">42 Tage</t>
  </si>
  <si>
    <t xml:space="preserve">06.04.2026</t>
  </si>
  <si>
    <t xml:space="preserve">follow-up</t>
  </si>
  <si>
    <t xml:space="preserve">24/7 Service, Aggreko-Zuverlässigkeit</t>
  </si>
  <si>
    <t xml:space="preserve">Auftragsbestätigung anfordern – Entscheid steht bevor</t>
  </si>
  <si>
    <t xml:space="preserve">Infrastrukturprojekt Romandie – Türöffner GE/VD</t>
  </si>
  <si>
    <t xml:space="preserve">Badermetaux Sàrl (Schweiz)</t>
  </si>
  <si>
    <t xml:space="preserve">Industrie / Metall</t>
  </si>
  <si>
    <t xml:space="preserve">600 kVA Langzeitmiete</t>
  </si>
  <si>
    <t xml:space="preserve">5 Jahre</t>
  </si>
  <si>
    <t xml:space="preserve">Apr./Mai 2026</t>
  </si>
  <si>
    <t xml:space="preserve">EN 50160-Zertifizierung, all-inclusive</t>
  </si>
  <si>
    <t xml:space="preserve">PQ-Analyse + Langzeitkonzept vorlegen</t>
  </si>
  <si>
    <t xml:space="preserve">500k CHF Potenzial – langer Zyklus, jetzt Vertrauen aufbauen</t>
  </si>
  <si>
    <t xml:space="preserve">Murg Flums Energie</t>
  </si>
  <si>
    <t xml:space="preserve">SG</t>
  </si>
  <si>
    <t xml:space="preserve">250 kVA Generator</t>
  </si>
  <si>
    <t xml:space="preserve">6-12 Monate</t>
  </si>
  <si>
    <t xml:space="preserve">Auf Abruf</t>
  </si>
  <si>
    <t xml:space="preserve">PQ-Expertise, NIV Art. 13 Compliance</t>
  </si>
  <si>
    <t xml:space="preserve">Bedarfsanalyse, NEA-Konzept vorschlagen, Termin vor Ort, Termin vor Ort wahrgenommen</t>
  </si>
  <si>
    <t xml:space="preserve">EVU SG – NEA-Bedarf qualifizieren, Alles ermittelt und Konzept erstellt und nur noch Offerte schicken mit dem Konzept</t>
  </si>
  <si>
    <t xml:space="preserve">Burkhalter Technics AG</t>
  </si>
  <si>
    <t xml:space="preserve">Elektroinstallation</t>
  </si>
  <si>
    <t xml:space="preserve">150 kVA Generator</t>
  </si>
  <si>
    <t xml:space="preserve">14 Tage</t>
  </si>
  <si>
    <t xml:space="preserve">10.05.2026</t>
  </si>
  <si>
    <t xml:space="preserve">Evaluation</t>
  </si>
  <si>
    <t xml:space="preserve">40%</t>
  </si>
  <si>
    <t xml:space="preserve">Warm – CBM</t>
  </si>
  <si>
    <t xml:space="preserve">Bestehende Beziehung, schnelle Lieferung</t>
  </si>
  <si>
    <t xml:space="preserve">Angebot finalisieren – CBM-Beziehung nutzen, Abrufbereit und Vertrag unterschreiben</t>
  </si>
  <si>
    <t xml:space="preserve">Bekannt aus CBM – Cross-Sell PQ-Monitoring möglich</t>
  </si>
  <si>
    <t xml:space="preserve">Show-Concept.ch AG</t>
  </si>
  <si>
    <t xml:space="preserve">Events / Medien</t>
  </si>
  <si>
    <t xml:space="preserve">200 kW Lastbank</t>
  </si>
  <si>
    <t xml:space="preserve">35%</t>
  </si>
  <si>
    <t xml:space="preserve">Lastbank-Testing – Spezialprodukt MiT</t>
  </si>
  <si>
    <t xml:space="preserve">Use-Case klären – Lastbank oder Generator?</t>
  </si>
  <si>
    <t xml:space="preserve">Spezialanfrage – konkreten Bedarf erst verstehen</t>
  </si>
  <si>
    <t xml:space="preserve">Proxima Fusion AG</t>
  </si>
  <si>
    <t xml:space="preserve">Forschung / Hightech</t>
  </si>
  <si>
    <t xml:space="preserve">-</t>
  </si>
  <si>
    <t xml:space="preserve">USV + PQ-Monitoring für Präzisionsanlagen</t>
  </si>
  <si>
    <t xml:space="preserve">Technisches Gespräch – USV + PQ-Anforderungen klären, Kunde hat Angebot und Technische Ausführung erhalten warten auf Feedback</t>
  </si>
  <si>
    <t xml:space="preserve">Fusionsforschung – sehr sensibler Strombedarf</t>
  </si>
  <si>
    <t xml:space="preserve">Trafag AG</t>
  </si>
  <si>
    <t xml:space="preserve">Industrie / Messtechnik</t>
  </si>
  <si>
    <t xml:space="preserve">450 kVA Generator</t>
  </si>
  <si>
    <t xml:space="preserve">PQ-zertifiziert für sensible Messtechnik</t>
  </si>
  <si>
    <t xml:space="preserve">Angebot vorbereiten – PQ-Argument für Messtechnik, Stefanie Hintermann kontaktieren für weiteren Ablauf, Kontakt aufgenommen und warten für die Zusage / Preisklärung</t>
  </si>
  <si>
    <t xml:space="preserve">Messtechnikhersteller – PQ-Argument optimal, Kunde hat alle Daten und Offerten</t>
  </si>
  <si>
    <t xml:space="preserve">BESS 500 kVA</t>
  </si>
  <si>
    <t xml:space="preserve">Kombi 450 kVA Generator / BESS 500 kVA</t>
  </si>
  <si>
    <t xml:space="preserve">Gotthard Base Tunnel</t>
  </si>
  <si>
    <t xml:space="preserve">UR</t>
  </si>
  <si>
    <t xml:space="preserve">Infrastruktur / Bahn</t>
  </si>
  <si>
    <t xml:space="preserve">Grossanlage tbd</t>
  </si>
  <si>
    <t xml:space="preserve">Jahre</t>
  </si>
  <si>
    <t xml:space="preserve">In evaluation</t>
  </si>
  <si>
    <t xml:space="preserve">20%</t>
  </si>
  <si>
    <t xml:space="preserve">NEA-Pflicht, kritische Infra (NIV Art. 13)</t>
  </si>
  <si>
    <t xml:space="preserve">Stakeholder identifizieren – AlpTransit/SBB kontaktieren</t>
  </si>
  <si>
    <t xml:space="preserve">Langfristig strategisch – Türöffner Bahnbereich</t>
  </si>
  <si>
    <t xml:space="preserve">Etavis Gossenbacher AG</t>
  </si>
  <si>
    <t xml:space="preserve">30 kVA USV/Generator</t>
  </si>
  <si>
    <t xml:space="preserve">90 Tage</t>
  </si>
  <si>
    <t xml:space="preserve">30%</t>
  </si>
  <si>
    <t xml:space="preserve">Flexibilität, kleines Setup schnell verfügbar</t>
  </si>
  <si>
    <t xml:space="preserve">Erstkontakt vertiefen – Bedarf qualifizieren</t>
  </si>
  <si>
    <t xml:space="preserve">Kleiner Lead – ausbaufähig prüfen</t>
  </si>
  <si>
    <t xml:space="preserve">MAS ETH Architektur</t>
  </si>
  <si>
    <t xml:space="preserve">Bildung / Forschung</t>
  </si>
  <si>
    <t xml:space="preserve">Bedarf qualifizieren oder disqualifizieren</t>
  </si>
  <si>
    <t xml:space="preserve">Lead aus Netzwerk – konkreter Bedarf noch unklar</t>
  </si>
  <si>
    <t xml:space="preserve">FIP ISA</t>
  </si>
  <si>
    <t xml:space="preserve">Recherche + Erstkontakt – Firma und Bedarf verstehen</t>
  </si>
  <si>
    <t xml:space="preserve">Noch nicht qualifiziert</t>
  </si>
  <si>
    <t xml:space="preserve">AKSA Würenlos</t>
  </si>
  <si>
    <t xml:space="preserve">Industrie / Generatoren</t>
  </si>
  <si>
    <t xml:space="preserve">1500 kVA Generator</t>
  </si>
  <si>
    <t xml:space="preserve">19 Tage</t>
  </si>
  <si>
    <t xml:space="preserve">20.04.2026</t>
  </si>
  <si>
    <t xml:space="preserve">0%</t>
  </si>
  <si>
    <t xml:space="preserve">Kunden angeschrieben 27.04.2026</t>
  </si>
  <si>
    <t xml:space="preserve">Wirtschaftlich nicht tragbar laut Kunde / Warten auf Rückmeldung</t>
  </si>
  <si>
    <t xml:space="preserve">Holinger</t>
  </si>
  <si>
    <t xml:space="preserve">BE</t>
  </si>
  <si>
    <t xml:space="preserve">Ingenieure / Planung</t>
  </si>
  <si>
    <t xml:space="preserve">07.05.2026</t>
  </si>
  <si>
    <t xml:space="preserve">LOST</t>
  </si>
  <si>
    <t xml:space="preserve">❌ Closed – in 12 Monaten wieder kontaktieren</t>
  </si>
  <si>
    <t xml:space="preserve">Bauherr Entscheid gegen MiT – kein Preisproblem</t>
  </si>
  <si>
    <t xml:space="preserve">X-Event</t>
  </si>
  <si>
    <t xml:space="preserve">SH</t>
  </si>
  <si>
    <t xml:space="preserve">100 kVA Generator</t>
  </si>
  <si>
    <t xml:space="preserve">1 Tag</t>
  </si>
  <si>
    <t xml:space="preserve">Sponsoring</t>
  </si>
  <si>
    <t xml:space="preserve">Kunde Telefon Kontaktiert und Vor Ort 
Besichtigung und Aufbauort</t>
  </si>
  <si>
    <t xml:space="preserve">Kunde hat Angebot angenommen, im Gegenzug Starte er eine Social Media Kampagne für uns und sind jetzt ein Partner für seine Events</t>
  </si>
  <si>
    <t xml:space="preserve">Coolworld Rentals</t>
  </si>
  <si>
    <t xml:space="preserve">Kühlung / Konkurrenz</t>
  </si>
  <si>
    <t xml:space="preserve">400 kVA Generator</t>
  </si>
  <si>
    <t xml:space="preserve">Flexibilität, Einfaches Setup</t>
  </si>
  <si>
    <t xml:space="preserve">Email Kontaktiert, Telefoniert</t>
  </si>
  <si>
    <t xml:space="preserve">Kunde klärt ab und meldet sich was der Kunde sagt</t>
  </si>
  <si>
    <t xml:space="preserve">Etavis Chur</t>
  </si>
  <si>
    <t xml:space="preserve">GR</t>
  </si>
  <si>
    <t xml:space="preserve">30 kVA Generator</t>
  </si>
  <si>
    <t xml:space="preserve">Email Kontaktiert</t>
  </si>
  <si>
    <t xml:space="preserve">Kunde angeschrieben</t>
  </si>
  <si>
    <t xml:space="preserve">Wetzikon</t>
  </si>
  <si>
    <t xml:space="preserve">Gemeinde</t>
  </si>
  <si>
    <t xml:space="preserve">tbd (PQ-kritisch)</t>
  </si>
  <si>
    <t xml:space="preserve">Machbarkeitsstudei</t>
  </si>
  <si>
    <t xml:space="preserve">Reto EKAG</t>
  </si>
  <si>
    <t xml:space="preserve">Option A 2x 6000 kVA Lastbank, 2x Trafo 6300 kVA</t>
  </si>
  <si>
    <t xml:space="preserve">12000 kVA + 13200 kVA</t>
  </si>
  <si>
    <t xml:space="preserve">Kunde angeschrieben, Kundentermin vor Ort in Mai 26, Termin Perfekt, Kunde benötigt Offerte, Kunde hat Offerte erhalten</t>
  </si>
  <si>
    <t xml:space="preserve">Option B 1x 6 kVA Trafo, 1x 3000 kVA Trafo, 1x 6000 kVA Lastbank, 1x 3300 kVA Lastbank</t>
  </si>
  <si>
    <t xml:space="preserve">9000 kVA + 9300 kVA</t>
  </si>
  <si>
    <t xml:space="preserve">OST Fachhochschule</t>
  </si>
  <si>
    <t xml:space="preserve">Hochschule</t>
  </si>
  <si>
    <t xml:space="preserve">200 kVA Lastbank</t>
  </si>
  <si>
    <t xml:space="preserve">Email Kontaktiert, Telefoniert, Kunde hat kein bedarf mehr</t>
  </si>
  <si>
    <t xml:space="preserve">Kunde angeschrieben, Kunde aus altem Netzwerk bekannt von CMB-Zeiten, Kunde hat kein Bedarf mehr</t>
  </si>
  <si>
    <t xml:space="preserve">Rimus &amp; Sstrada</t>
  </si>
  <si>
    <t xml:space="preserve">Industrie</t>
  </si>
  <si>
    <t xml:space="preserve">500 kWh Small BESS</t>
  </si>
  <si>
    <t xml:space="preserve">500 kWh</t>
  </si>
  <si>
    <t xml:space="preserve">inf</t>
  </si>
  <si>
    <t xml:space="preserve">Inbound</t>
  </si>
  <si>
    <t xml:space="preserve">Juni</t>
  </si>
  <si>
    <t xml:space="preserve">1 MWh Medium BESS</t>
  </si>
  <si>
    <t xml:space="preserve">1 MWh</t>
  </si>
  <si>
    <t xml:space="preserve">1,5 MWh Large BESS</t>
  </si>
  <si>
    <t xml:space="preserve">1,5 MWh</t>
  </si>
  <si>
    <t xml:space="preserve">WEF</t>
  </si>
  <si>
    <t xml:space="preserve">Event</t>
  </si>
  <si>
    <t xml:space="preserve">1500 kVA, 600 kVA, 450 kVA, 450 kVA</t>
  </si>
  <si>
    <t xml:space="preserve">28 tage</t>
  </si>
  <si>
    <t xml:space="preserve">tdb</t>
  </si>
  <si>
    <t xml:space="preserve">Offerte erstellt, Stefan hat die Offerte bekommen</t>
  </si>
  <si>
    <t xml:space="preserve">Juni (Stefan)</t>
  </si>
  <si>
    <t xml:space="preserve">Anfrage von Stefan über kontakt, Kunde braucht Offerte und wir müssen in der Range bei 85K Chf bleiben, Wir sind unter 80K CHF</t>
  </si>
  <si>
    <t xml:space="preserve">Gampeln</t>
  </si>
  <si>
    <t xml:space="preserve">VS</t>
  </si>
  <si>
    <t xml:space="preserve">Nestle</t>
  </si>
  <si>
    <t xml:space="preserve">VD</t>
  </si>
  <si>
    <t xml:space="preserve">WSP</t>
  </si>
  <si>
    <t xml:space="preserve">👥  CH Customer Overview  –  MiT Strom Schweiz  |  Mobil in Time AG</t>
  </si>
  <si>
    <t xml:space="preserve">  ✓ = in aktiver MiT Strom Pipeline  |  Pipeline-Status automatisch live</t>
  </si>
  <si>
    <t xml:space="preserve">Verantwortlicher</t>
  </si>
  <si>
    <t xml:space="preserve">Ansprechperson</t>
  </si>
  <si>
    <t xml:space="preserve">Telefon</t>
  </si>
  <si>
    <t xml:space="preserve">MiT Strom</t>
  </si>
  <si>
    <t xml:space="preserve">E-Mail</t>
  </si>
  <si>
    <t xml:space="preserve">EVUlution AG</t>
  </si>
  <si>
    <t xml:space="preserve">CH</t>
  </si>
  <si>
    <t xml:space="preserve">Ücöz</t>
  </si>
  <si>
    <t xml:space="preserve">Felix Pfister</t>
  </si>
  <si>
    <t xml:space="preserve">T +41 81 552 55 99</t>
  </si>
  <si>
    <t xml:space="preserve">felix.pfister@evulution.com</t>
  </si>
  <si>
    <t xml:space="preserve">Energie Wasser Bern</t>
  </si>
  <si>
    <t xml:space="preserve">Joel Stoll</t>
  </si>
  <si>
    <t xml:space="preserve">+41 79 758 68 19</t>
  </si>
  <si>
    <t xml:space="preserve">joel.stoll@ewb.ch</t>
  </si>
  <si>
    <t xml:space="preserve">Bugnard SA</t>
  </si>
  <si>
    <t xml:space="preserve">Industrie / Allgemein</t>
  </si>
  <si>
    <t xml:space="preserve">Yacine Meguireche</t>
  </si>
  <si>
    <t xml:space="preserve">795940451</t>
  </si>
  <si>
    <t xml:space="preserve">yacine.meguireche@bugnard.ch</t>
  </si>
  <si>
    <t xml:space="preserve">Recom Electronic AG</t>
  </si>
  <si>
    <t xml:space="preserve">Wiederverkäufer</t>
  </si>
  <si>
    <t xml:space="preserve">Flughafen Zürich AG</t>
  </si>
  <si>
    <t xml:space="preserve">Luftfahrt / Infra</t>
  </si>
  <si>
    <t xml:space="preserve">Thomas Nüssli</t>
  </si>
  <si>
    <t xml:space="preserve">T +41 43 816 77 74</t>
  </si>
  <si>
    <t xml:space="preserve">Thomas.Nuessli@zurich-airport.com</t>
  </si>
  <si>
    <t xml:space="preserve">Metron Measurement SA</t>
  </si>
  <si>
    <t xml:space="preserve">Swistec Systems AG</t>
  </si>
  <si>
    <t xml:space="preserve">Küffer Elektro-Technik AG</t>
  </si>
  <si>
    <t xml:space="preserve">Hospitec AG</t>
  </si>
  <si>
    <t xml:space="preserve">GE Energy Switzerland GmbH</t>
  </si>
  <si>
    <t xml:space="preserve">Industrielle Betriebe Murten</t>
  </si>
  <si>
    <t xml:space="preserve">FR</t>
  </si>
  <si>
    <t xml:space="preserve">Luzerner Kantonsspital</t>
  </si>
  <si>
    <t xml:space="preserve">Gesundheit / Spital</t>
  </si>
  <si>
    <t xml:space="preserve">LU</t>
  </si>
  <si>
    <t xml:space="preserve">ANDRITZ HYDRO AG</t>
  </si>
  <si>
    <t xml:space="preserve">Wasser / Infrastruktur</t>
  </si>
  <si>
    <t xml:space="preserve">Spring AG Apparatefabrik</t>
  </si>
  <si>
    <t xml:space="preserve">armasuisse Beschaffung</t>
  </si>
  <si>
    <t xml:space="preserve">Öffentliche Hand</t>
  </si>
  <si>
    <t xml:space="preserve">Axpo Power AG</t>
  </si>
  <si>
    <t xml:space="preserve">LUKS Spitalbetriebe AG</t>
  </si>
  <si>
    <t xml:space="preserve">Evatec AG</t>
  </si>
  <si>
    <t xml:space="preserve">Aptomet AG</t>
  </si>
  <si>
    <t xml:space="preserve">Hitachi Energy Ltd</t>
  </si>
  <si>
    <t xml:space="preserve">STB Engineering AG</t>
  </si>
  <si>
    <t xml:space="preserve">Schweizerische Bundesbahnen SBB</t>
  </si>
  <si>
    <t xml:space="preserve">Bahn / ÖPNV</t>
  </si>
  <si>
    <t xml:space="preserve">Energie Thun AG</t>
  </si>
  <si>
    <t xml:space="preserve">Ansaldo Energia Switzerland AG</t>
  </si>
  <si>
    <t xml:space="preserve">SIE SA</t>
  </si>
  <si>
    <t xml:space="preserve">Getinge Schweiz AG</t>
  </si>
  <si>
    <t xml:space="preserve">Tyrolit Hydrostress AG</t>
  </si>
  <si>
    <t xml:space="preserve">Maschinenbau</t>
  </si>
  <si>
    <t xml:space="preserve">Hach Lange GmbH</t>
  </si>
  <si>
    <t xml:space="preserve">Stadtwerk Winterthur</t>
  </si>
  <si>
    <t xml:space="preserve">Wärtsilä Services Switzerland Ltd</t>
  </si>
  <si>
    <t xml:space="preserve">Rhätische Bahn AG</t>
  </si>
  <si>
    <t xml:space="preserve">ABB Schweiz AG / GBS-09</t>
  </si>
  <si>
    <t xml:space="preserve">DS-Controlling GmbH</t>
  </si>
  <si>
    <t xml:space="preserve">Hilti Aktiengesellschaft</t>
  </si>
  <si>
    <t xml:space="preserve">Energie Freiamt AG</t>
  </si>
  <si>
    <t xml:space="preserve">Aare Energie AG</t>
  </si>
  <si>
    <t xml:space="preserve">Philipp Felder</t>
  </si>
  <si>
    <t xml:space="preserve">+41 62 205 56 92</t>
  </si>
  <si>
    <t xml:space="preserve">philipp.felder@aen.ch</t>
  </si>
  <si>
    <t xml:space="preserve">Hopital de La Tour</t>
  </si>
  <si>
    <t xml:space="preserve">Merki + Häfeli AG</t>
  </si>
  <si>
    <t xml:space="preserve">Arjo Switzerland AG</t>
  </si>
  <si>
    <t xml:space="preserve">MOSITECH Medizintechnik AG</t>
  </si>
  <si>
    <t xml:space="preserve">LB Industrial Solutions AG</t>
  </si>
  <si>
    <t xml:space="preserve">ewl Verkauf AG</t>
  </si>
  <si>
    <t xml:space="preserve">Sintrel Electronic AG</t>
  </si>
  <si>
    <t xml:space="preserve">Regatec Partner AG</t>
  </si>
  <si>
    <t xml:space="preserve">Sodimed SA</t>
  </si>
  <si>
    <t xml:space="preserve">F. Borner AG</t>
  </si>
  <si>
    <t xml:space="preserve">Hettich AG</t>
  </si>
  <si>
    <t xml:space="preserve">Panitek Power AG</t>
  </si>
  <si>
    <t xml:space="preserve">Cellpack Power Systems AG</t>
  </si>
  <si>
    <t xml:space="preserve">Lonza AG</t>
  </si>
  <si>
    <t xml:space="preserve">Chemie / Pharma</t>
  </si>
  <si>
    <t xml:space="preserve">Schibli AG</t>
  </si>
  <si>
    <t xml:space="preserve">Bruker Switzerland AG</t>
  </si>
  <si>
    <t xml:space="preserve">HLM Hertli AG</t>
  </si>
  <si>
    <t xml:space="preserve">Adolf Kühner AG</t>
  </si>
  <si>
    <t xml:space="preserve">EWZ</t>
  </si>
  <si>
    <t xml:space="preserve">Keramik Laufen AG</t>
  </si>
  <si>
    <t xml:space="preserve">Nahrungsmittel / Baustoffe</t>
  </si>
  <si>
    <t xml:space="preserve">power2energy</t>
  </si>
  <si>
    <t xml:space="preserve">Swissgrid AG</t>
  </si>
  <si>
    <t xml:space="preserve">Iftest AG</t>
  </si>
  <si>
    <t xml:space="preserve">Spital Thurgau AG</t>
  </si>
  <si>
    <t xml:space="preserve">Selmoni Installation AG</t>
  </si>
  <si>
    <t xml:space="preserve">Oertli Instrumente AG</t>
  </si>
  <si>
    <t xml:space="preserve">esolva ag</t>
  </si>
  <si>
    <t xml:space="preserve">Repower AG</t>
  </si>
  <si>
    <t xml:space="preserve">Reap AG</t>
  </si>
  <si>
    <t xml:space="preserve">Groupe Recomatic SA</t>
  </si>
  <si>
    <t xml:space="preserve">Olympus Schweiz AG</t>
  </si>
  <si>
    <t xml:space="preserve">Regionale Verkehrsbetriebe</t>
  </si>
  <si>
    <t xml:space="preserve">Verkehrsbetriebe</t>
  </si>
  <si>
    <t xml:space="preserve">Rittmeyer AG</t>
  </si>
  <si>
    <t xml:space="preserve">SMD Medical AG</t>
  </si>
  <si>
    <t xml:space="preserve">ABB Schweiz AG</t>
  </si>
  <si>
    <t xml:space="preserve">Garage Saurer SA</t>
  </si>
  <si>
    <t xml:space="preserve">Dräger Schweiz AG</t>
  </si>
  <si>
    <t xml:space="preserve">Scanatron Technics AG</t>
  </si>
  <si>
    <t xml:space="preserve">Fritz Studer AG</t>
  </si>
  <si>
    <t xml:space="preserve">Cie du chemin de fer</t>
  </si>
  <si>
    <t xml:space="preserve">Hydro Exploitation SA</t>
  </si>
  <si>
    <t xml:space="preserve">Cremo SA</t>
  </si>
  <si>
    <t xml:space="preserve">Veolia Industry Building -</t>
  </si>
  <si>
    <t xml:space="preserve">Willy A. Bachofen AG</t>
  </si>
  <si>
    <t xml:space="preserve">Mininavident</t>
  </si>
  <si>
    <t xml:space="preserve">Albula-Landwasser Kraftwerke AG</t>
  </si>
  <si>
    <t xml:space="preserve">MB Systembau AG</t>
  </si>
  <si>
    <t xml:space="preserve">Schär &amp; Leuenberger</t>
  </si>
  <si>
    <t xml:space="preserve">IBC Energie Wasser Chur</t>
  </si>
  <si>
    <t xml:space="preserve">BKW Energie AG</t>
  </si>
  <si>
    <t xml:space="preserve">Insel Gruppe AG</t>
  </si>
  <si>
    <t xml:space="preserve">MERBAG</t>
  </si>
  <si>
    <t xml:space="preserve">Gebr. Knecht AG</t>
  </si>
  <si>
    <t xml:space="preserve">Psychiatrie Baselland</t>
  </si>
  <si>
    <t xml:space="preserve">BS</t>
  </si>
  <si>
    <t xml:space="preserve">Huta AG</t>
  </si>
  <si>
    <t xml:space="preserve">Primeo Netz AG</t>
  </si>
  <si>
    <t xml:space="preserve">Stadtspital Triemli Zürich</t>
  </si>
  <si>
    <t xml:space="preserve">SBB AG</t>
  </si>
  <si>
    <t xml:space="preserve">Kraftwerke Oberhasli AG</t>
  </si>
  <si>
    <t xml:space="preserve">Winkler Livecom AG</t>
  </si>
  <si>
    <t xml:space="preserve">Events &amp; Messen</t>
  </si>
  <si>
    <t xml:space="preserve">Hermed Medizintechnik Schweiz AG</t>
  </si>
  <si>
    <t xml:space="preserve">Swiss Timing LTD</t>
  </si>
  <si>
    <t xml:space="preserve">V-Zug AG</t>
  </si>
  <si>
    <t xml:space="preserve">ZG</t>
  </si>
  <si>
    <t xml:space="preserve">Immeditech Swiss Solutions</t>
  </si>
  <si>
    <t xml:space="preserve">Ametek CTS GmbH</t>
  </si>
  <si>
    <t xml:space="preserve">Axpo AG Netze</t>
  </si>
  <si>
    <t xml:space="preserve">Axpo Solutions AG</t>
  </si>
  <si>
    <t xml:space="preserve">Gemeindewerke Erstfeld</t>
  </si>
  <si>
    <t xml:space="preserve">Zentrum Allmendhof AG</t>
  </si>
  <si>
    <t xml:space="preserve">Nestlé Nespresso SA</t>
  </si>
  <si>
    <t xml:space="preserve">St. Gallisch-Appenzellische</t>
  </si>
  <si>
    <t xml:space="preserve">Alterswohnheim Neukirch-Egnach</t>
  </si>
  <si>
    <t xml:space="preserve">Genossenschaft Elektra Ehrendingen</t>
  </si>
  <si>
    <t xml:space="preserve">Stiftung Ostschweizer Kinderspital</t>
  </si>
  <si>
    <t xml:space="preserve">SKYGUIDE</t>
  </si>
  <si>
    <t xml:space="preserve">AMAG Import AG</t>
  </si>
  <si>
    <t xml:space="preserve">Incontrol AG</t>
  </si>
  <si>
    <t xml:space="preserve">Parimed GmbH</t>
  </si>
  <si>
    <t xml:space="preserve">BKW Engineering</t>
  </si>
  <si>
    <t xml:space="preserve">Alterszentrum Sumiswald</t>
  </si>
  <si>
    <t xml:space="preserve">ELS-Elektronik GmbH</t>
  </si>
  <si>
    <t xml:space="preserve">Praximedico AG</t>
  </si>
  <si>
    <t xml:space="preserve">COSMED Switzerland GmbH</t>
  </si>
  <si>
    <t xml:space="preserve">Avesco AG</t>
  </si>
  <si>
    <t xml:space="preserve">Elektrizitätswerk Rheinau AG</t>
  </si>
  <si>
    <t xml:space="preserve">FHNW Fachhochschule Nordwestschweiz</t>
  </si>
  <si>
    <t xml:space="preserve">Elektroversorgung Würenligen</t>
  </si>
  <si>
    <t xml:space="preserve">Haslibrunnen AG</t>
  </si>
  <si>
    <t xml:space="preserve">Spital Bülach</t>
  </si>
  <si>
    <t xml:space="preserve">Wagner International AG</t>
  </si>
  <si>
    <t xml:space="preserve">Corroprot AG</t>
  </si>
  <si>
    <t xml:space="preserve">This AG</t>
  </si>
  <si>
    <t xml:space="preserve">Marcel Blanc &amp; Cie SA</t>
  </si>
  <si>
    <t xml:space="preserve">FMV SA</t>
  </si>
  <si>
    <t xml:space="preserve">ALPS Automation SA</t>
  </si>
  <si>
    <t xml:space="preserve">KKS Ultraschall AG</t>
  </si>
  <si>
    <t xml:space="preserve">GE Renewable</t>
  </si>
  <si>
    <t xml:space="preserve">Pfiffner Messwandler AG</t>
  </si>
  <si>
    <t xml:space="preserve">Metron SA</t>
  </si>
  <si>
    <t xml:space="preserve">Ciments Vigier SA</t>
  </si>
  <si>
    <t xml:space="preserve">Pflegezentrum Gehrenholz</t>
  </si>
  <si>
    <t xml:space="preserve">Leuag AG</t>
  </si>
  <si>
    <t xml:space="preserve">Jura-Cement-Fabriken AG</t>
  </si>
  <si>
    <t xml:space="preserve">Neuroswiss AG</t>
  </si>
  <si>
    <t xml:space="preserve">STI BUS AG</t>
  </si>
  <si>
    <t xml:space="preserve">Schmid Automation AG</t>
  </si>
  <si>
    <t xml:space="preserve">Basler Verkehrs-Betriebe</t>
  </si>
  <si>
    <t xml:space="preserve">Dottikon Exclusive Synthesis AG</t>
  </si>
  <si>
    <t xml:space="preserve">ETH Zürich</t>
  </si>
  <si>
    <t xml:space="preserve">EWS AG</t>
  </si>
  <si>
    <t xml:space="preserve">Tertianum Management AG</t>
  </si>
  <si>
    <t xml:space="preserve">Ivoclar Vivadent AG</t>
  </si>
  <si>
    <t xml:space="preserve">Alters- und Pflegeheim St. Martin</t>
  </si>
  <si>
    <t xml:space="preserve">ETAVIS Kriegel+Schaffner AG</t>
  </si>
  <si>
    <t xml:space="preserve">Alterszentrum Gibeleich</t>
  </si>
  <si>
    <t xml:space="preserve">Seerose</t>
  </si>
  <si>
    <t xml:space="preserve">Wohnheim Kontiki</t>
  </si>
  <si>
    <t xml:space="preserve">Demadent</t>
  </si>
  <si>
    <t xml:space="preserve">Vivale Neuhegi</t>
  </si>
  <si>
    <t xml:space="preserve">TB Gränichen Energie AG</t>
  </si>
  <si>
    <t xml:space="preserve">MCM MEDSYS AG</t>
  </si>
  <si>
    <t xml:space="preserve">HIESTAND Schweiz AG</t>
  </si>
  <si>
    <t xml:space="preserve">medeo AG</t>
  </si>
  <si>
    <t xml:space="preserve">RMC Tableaux SA</t>
  </si>
  <si>
    <t xml:space="preserve">Engineering and Services</t>
  </si>
  <si>
    <t xml:space="preserve">VIVAVIS Schweiz AG</t>
  </si>
  <si>
    <t xml:space="preserve">EIT.swiss</t>
  </si>
  <si>
    <t xml:space="preserve">Kantonsspital Graubünden</t>
  </si>
  <si>
    <t xml:space="preserve">Verkehrsbetriebe Luzern AG</t>
  </si>
  <si>
    <t xml:space="preserve">Hydro-Solar Energie AG</t>
  </si>
  <si>
    <t xml:space="preserve">SelLED AG</t>
  </si>
  <si>
    <t xml:space="preserve">Securelec-Vaud SA</t>
  </si>
  <si>
    <t xml:space="preserve">Lindenhofgruppe AG</t>
  </si>
  <si>
    <t xml:space="preserve">Cessna Zurich Citation</t>
  </si>
  <si>
    <t xml:space="preserve">Elektro Wallimann AG</t>
  </si>
  <si>
    <t xml:space="preserve">Varellion Teams AG</t>
  </si>
  <si>
    <t xml:space="preserve">Flims Electric AG</t>
  </si>
  <si>
    <t xml:space="preserve">Vaudaux-Eppendorf AG</t>
  </si>
  <si>
    <t xml:space="preserve">heimelig betten AG</t>
  </si>
  <si>
    <t xml:space="preserve">Bürki Electric AG</t>
  </si>
  <si>
    <t xml:space="preserve">Siloah AG</t>
  </si>
  <si>
    <t xml:space="preserve">Staat Wallis</t>
  </si>
  <si>
    <t xml:space="preserve">Ernst Schweizer AG, Metallbau</t>
  </si>
  <si>
    <t xml:space="preserve">Zugerland Verkehrsbetriebe AG</t>
  </si>
  <si>
    <t xml:space="preserve">Theramed AG</t>
  </si>
  <si>
    <t xml:space="preserve">Alters- und Pflegeheim Risi</t>
  </si>
  <si>
    <t xml:space="preserve">Bolanz AG</t>
  </si>
  <si>
    <t xml:space="preserve">Altherr Nutzfahrzeuge</t>
  </si>
  <si>
    <t xml:space="preserve">Elektrizitätswerk der</t>
  </si>
  <si>
    <t xml:space="preserve">GEWA</t>
  </si>
  <si>
    <t xml:space="preserve">Domenico Mozzillo</t>
  </si>
  <si>
    <t xml:space="preserve">Högger Systems AG</t>
  </si>
  <si>
    <t xml:space="preserve">Kernkraftwerk Leibstadt AG</t>
  </si>
  <si>
    <t xml:space="preserve">K. Schweizer AG</t>
  </si>
  <si>
    <t xml:space="preserve">Stadt Zürich</t>
  </si>
  <si>
    <t xml:space="preserve">AGVS / UPSA</t>
  </si>
  <si>
    <t xml:space="preserve">Moser-Schaltanlagen AG</t>
  </si>
  <si>
    <t xml:space="preserve">Biosystems Switzerland AG</t>
  </si>
  <si>
    <t xml:space="preserve">Elektro Expert GmbH</t>
  </si>
  <si>
    <t xml:space="preserve">Hes-SO Valais-Wallis</t>
  </si>
  <si>
    <t xml:space="preserve">Novartis Pharma Stein AG</t>
  </si>
  <si>
    <t xml:space="preserve">Stahlton AG</t>
  </si>
  <si>
    <t xml:space="preserve">Eniwa AG</t>
  </si>
  <si>
    <t xml:space="preserve">Arcomed AG</t>
  </si>
  <si>
    <t xml:space="preserve">EWA energieUri AG</t>
  </si>
  <si>
    <t xml:space="preserve">Transports publics de la région</t>
  </si>
  <si>
    <t xml:space="preserve">Binder Rehab AG</t>
  </si>
  <si>
    <t xml:space="preserve">Elektro Getzmann AG</t>
  </si>
  <si>
    <t xml:space="preserve">NuPa Electro Sàrl</t>
  </si>
  <si>
    <t xml:space="preserve">Auto Gewerbe Verband (AGVS)</t>
  </si>
  <si>
    <t xml:space="preserve">Groupe E SA</t>
  </si>
  <si>
    <t xml:space="preserve">Rheinmetall Air Defence AG</t>
  </si>
  <si>
    <t xml:space="preserve">Bürge - Fischer AG</t>
  </si>
  <si>
    <t xml:space="preserve">Reishauer AG</t>
  </si>
  <si>
    <t xml:space="preserve">BSR AUTOMATION AG</t>
  </si>
  <si>
    <t xml:space="preserve">Robert Fuchs AG</t>
  </si>
  <si>
    <t xml:space="preserve">Regionalspital Emmental AG</t>
  </si>
  <si>
    <t xml:space="preserve">Perlen Papier AG</t>
  </si>
  <si>
    <t xml:space="preserve">Scherler AG</t>
  </si>
  <si>
    <t xml:space="preserve">Opernhaus Zürich AG</t>
  </si>
  <si>
    <t xml:space="preserve">Vibratec AG</t>
  </si>
  <si>
    <t xml:space="preserve">Verkehrsbetriebe Zürich</t>
  </si>
  <si>
    <t xml:space="preserve">Aquasant Messtechnik AG</t>
  </si>
  <si>
    <t xml:space="preserve">Eltag AG</t>
  </si>
  <si>
    <t xml:space="preserve">Schweizerisch Technische Fachschule</t>
  </si>
  <si>
    <t xml:space="preserve">Bemag Objekteinrichtungen AG</t>
  </si>
  <si>
    <t xml:space="preserve">Ingmatic AG</t>
  </si>
  <si>
    <t xml:space="preserve">IED Gruppe AG</t>
  </si>
  <si>
    <t xml:space="preserve">Services Industriels Lausanne</t>
  </si>
  <si>
    <t xml:space="preserve">MIE Marine and Industry</t>
  </si>
  <si>
    <t xml:space="preserve">aeschimann automationssysteme ag</t>
  </si>
  <si>
    <t xml:space="preserve">PanGas AG</t>
  </si>
  <si>
    <t xml:space="preserve">Genossenschaft Migros Zürich</t>
  </si>
  <si>
    <t xml:space="preserve">E.M.S. Electro Medical Systems SA</t>
  </si>
  <si>
    <t xml:space="preserve">EKT AG</t>
  </si>
  <si>
    <t xml:space="preserve">Bugnard GVA SA</t>
  </si>
  <si>
    <t xml:space="preserve">Schärmtanne AG</t>
  </si>
  <si>
    <t xml:space="preserve">meierelektro AG</t>
  </si>
  <si>
    <t xml:space="preserve">NeuElektrik AG</t>
  </si>
  <si>
    <t xml:space="preserve">Costronic SA</t>
  </si>
  <si>
    <t xml:space="preserve">Penta-Electric AG</t>
  </si>
  <si>
    <t xml:space="preserve">EMS de Gravelone</t>
  </si>
  <si>
    <t xml:space="preserve">MVB Medizintechnik AG</t>
  </si>
  <si>
    <t xml:space="preserve">Kipfer und Burdak GmbH</t>
  </si>
  <si>
    <t xml:space="preserve">Weigel Technics + Care GmbH</t>
  </si>
  <si>
    <t xml:space="preserve">Rüetschi Elektromotoren u. Antriebe</t>
  </si>
  <si>
    <t xml:space="preserve">Anklin AG</t>
  </si>
  <si>
    <t xml:space="preserve">Altersheim Im Spiegel</t>
  </si>
  <si>
    <t xml:space="preserve">UPK-Basel</t>
  </si>
  <si>
    <t xml:space="preserve">ebs Energie AG</t>
  </si>
  <si>
    <t xml:space="preserve">Elektro Schmidli GmbH</t>
  </si>
  <si>
    <t xml:space="preserve">Nay Engineering AG</t>
  </si>
  <si>
    <t xml:space="preserve">Vebo Genossenschaft</t>
  </si>
  <si>
    <t xml:space="preserve">Spital Walenstadt</t>
  </si>
  <si>
    <t xml:space="preserve">RhV Elektrotechnik AG</t>
  </si>
  <si>
    <t xml:space="preserve">Storz Medical AG</t>
  </si>
  <si>
    <t xml:space="preserve">Psychiatrische Dienste Aargau AG</t>
  </si>
  <si>
    <t xml:space="preserve">SBB / I- ESP-PBT-RWT-RBC</t>
  </si>
  <si>
    <t xml:space="preserve">Andreas Gut</t>
  </si>
  <si>
    <t xml:space="preserve">Straub Medical AG</t>
  </si>
  <si>
    <t xml:space="preserve">Alterszentrum Burkertsmatt</t>
  </si>
  <si>
    <t xml:space="preserve">dahlia Lenggen</t>
  </si>
  <si>
    <t xml:space="preserve">Alters- und Pflegeheim Weierbach</t>
  </si>
  <si>
    <t xml:space="preserve">Kraftwerke Ilanz AG</t>
  </si>
  <si>
    <t xml:space="preserve">Seniorenzentrum Aumatt</t>
  </si>
  <si>
    <t xml:space="preserve">Bänziger Elektrokontrollen GmbH</t>
  </si>
  <si>
    <t xml:space="preserve">Frick Schaltanlagen AG</t>
  </si>
  <si>
    <t xml:space="preserve">Ammann Schweiz AG</t>
  </si>
  <si>
    <t xml:space="preserve">Schönbühl -</t>
  </si>
  <si>
    <t xml:space="preserve">Kaufmann AG</t>
  </si>
  <si>
    <t xml:space="preserve">Wild Electric AG</t>
  </si>
  <si>
    <t xml:space="preserve">APH Hofwis</t>
  </si>
  <si>
    <t xml:space="preserve">Technische Betriebe Glarus Nord</t>
  </si>
  <si>
    <t xml:space="preserve">Gesundheitszentrum Fricktal AG</t>
  </si>
  <si>
    <t xml:space="preserve">Lonza</t>
  </si>
  <si>
    <t xml:space="preserve">Sommerlatte &amp;</t>
  </si>
  <si>
    <t xml:space="preserve">Swiss Household Services AG</t>
  </si>
  <si>
    <t xml:space="preserve">St. Claraspital</t>
  </si>
  <si>
    <t xml:space="preserve">Festex AG</t>
  </si>
  <si>
    <t xml:space="preserve">Helbling Technik Bern AG</t>
  </si>
  <si>
    <t xml:space="preserve">Alters und Pflegeheim Glarus Nord</t>
  </si>
  <si>
    <t xml:space="preserve">B. Braun Medical AG</t>
  </si>
  <si>
    <t xml:space="preserve">AudioRent Clair AG</t>
  </si>
  <si>
    <t xml:space="preserve">Bifang Wohn- und Pflegezentrum Wohl</t>
  </si>
  <si>
    <t xml:space="preserve">Medomeg GmbH</t>
  </si>
  <si>
    <t xml:space="preserve">Electro Müller AG/SA</t>
  </si>
  <si>
    <t xml:space="preserve">Valgrid SA</t>
  </si>
  <si>
    <t xml:space="preserve">A. &amp; E. Geissmann AG</t>
  </si>
  <si>
    <t xml:space="preserve">EH Batterien AG</t>
  </si>
  <si>
    <t xml:space="preserve">Clear Solutions Laboratories AG</t>
  </si>
  <si>
    <t xml:space="preserve">Auto Schmid AG</t>
  </si>
  <si>
    <t xml:space="preserve">Services Industriels de Genève</t>
  </si>
  <si>
    <t xml:space="preserve">Axpo Grid AG</t>
  </si>
  <si>
    <t xml:space="preserve">STIHL Kettenwerk GmbH &amp; Co Kg</t>
  </si>
  <si>
    <t xml:space="preserve">Elektro-Kontrollservice Glaus GmbH</t>
  </si>
  <si>
    <t xml:space="preserve">Baumann Elektro AG</t>
  </si>
  <si>
    <t xml:space="preserve">FormaMed Sàrl</t>
  </si>
  <si>
    <t xml:space="preserve">Eternit (Suisse) SA</t>
  </si>
  <si>
    <t xml:space="preserve">La Castalie</t>
  </si>
  <si>
    <t xml:space="preserve">Schibli+Partner GmbH</t>
  </si>
  <si>
    <t xml:space="preserve">Spital STS AG</t>
  </si>
  <si>
    <t xml:space="preserve">Xaver Ücöz</t>
  </si>
  <si>
    <t xml:space="preserve">electro-engineering</t>
  </si>
  <si>
    <t xml:space="preserve">OEHRI EISENWAREN AG</t>
  </si>
  <si>
    <t xml:space="preserve">Parmeltec</t>
  </si>
  <si>
    <t xml:space="preserve">ECKART Suisse SA</t>
  </si>
  <si>
    <t xml:space="preserve">EGLI AG Process Technology</t>
  </si>
  <si>
    <t xml:space="preserve">Ferrum Process Systems AG</t>
  </si>
  <si>
    <t xml:space="preserve">Regionalwerke AG Baden</t>
  </si>
  <si>
    <t xml:space="preserve">Telsa SA</t>
  </si>
  <si>
    <t xml:space="preserve">Werke Fehraltorf</t>
  </si>
  <si>
    <t xml:space="preserve">Kantonsspital Uri</t>
  </si>
  <si>
    <t xml:space="preserve">Mansio</t>
  </si>
  <si>
    <t xml:space="preserve">Groupe E Connect SA</t>
  </si>
  <si>
    <t xml:space="preserve">talsee AG</t>
  </si>
  <si>
    <t xml:space="preserve">Karl Bubenhofer AG</t>
  </si>
  <si>
    <t xml:space="preserve">SI Group-Switzerland GmbH</t>
  </si>
  <si>
    <t xml:space="preserve">EMAG</t>
  </si>
  <si>
    <t xml:space="preserve">BSR Eltec AG</t>
  </si>
  <si>
    <t xml:space="preserve">V-Skin Medical Beauty AG</t>
  </si>
  <si>
    <t xml:space="preserve">Forces Motrices de Mauvoisin SA</t>
  </si>
  <si>
    <t xml:space="preserve">Gilgen Door Systems AG</t>
  </si>
  <si>
    <t xml:space="preserve">Marti Technik AG</t>
  </si>
  <si>
    <t xml:space="preserve">Admeco AG</t>
  </si>
  <si>
    <t xml:space="preserve">Electrosuisse</t>
  </si>
  <si>
    <t xml:space="preserve">Kantonales Spital Altstätten</t>
  </si>
  <si>
    <t xml:space="preserve">Aeschlimann Hotelbedarf AG</t>
  </si>
  <si>
    <t xml:space="preserve">Gifas-Electric GmbH</t>
  </si>
  <si>
    <t xml:space="preserve">Stiftung Alterszentrum im Zopf</t>
  </si>
  <si>
    <t xml:space="preserve">Kunz Solartech GmbH</t>
  </si>
  <si>
    <t xml:space="preserve">IBW Technik AG</t>
  </si>
  <si>
    <t xml:space="preserve">Mikron Switzerland AG, Boudry</t>
  </si>
  <si>
    <t xml:space="preserve">energiecheck bern ag</t>
  </si>
  <si>
    <t xml:space="preserve">Imbach ELKO AG</t>
  </si>
  <si>
    <t xml:space="preserve">HERMED Medizintechnik Schweiz AG</t>
  </si>
  <si>
    <t xml:space="preserve">Engeriedspital</t>
  </si>
  <si>
    <t xml:space="preserve">EPFL SV-IN</t>
  </si>
  <si>
    <t xml:space="preserve">Siemens Schweiz AG</t>
  </si>
  <si>
    <t xml:space="preserve">Ziemer Ophthalmic Systems AG</t>
  </si>
  <si>
    <t xml:space="preserve">innoMedicus AG</t>
  </si>
  <si>
    <t xml:space="preserve">Jenni Energietechnik AG</t>
  </si>
  <si>
    <t xml:space="preserve">Elma Electronic AG</t>
  </si>
  <si>
    <t xml:space="preserve">Alterszentrum Bruggwiesen</t>
  </si>
  <si>
    <t xml:space="preserve">Frautschi Medizintechnik</t>
  </si>
  <si>
    <t xml:space="preserve">Fischer AG</t>
  </si>
  <si>
    <t xml:space="preserve">Holcim (Schweiz) AG</t>
  </si>
  <si>
    <t xml:space="preserve">Apleona Schweiz AG</t>
  </si>
  <si>
    <t xml:space="preserve">Siemens Mobility AG</t>
  </si>
  <si>
    <t xml:space="preserve">Ausbildungszentrum AGVS FR</t>
  </si>
  <si>
    <t xml:space="preserve">Garage de la Petite</t>
  </si>
  <si>
    <t xml:space="preserve">AGVS Solothurn</t>
  </si>
  <si>
    <t xml:space="preserve">Wohn- und Pflegeheim Utzigen</t>
  </si>
  <si>
    <t xml:space="preserve">Inset AG</t>
  </si>
  <si>
    <t xml:space="preserve">CSC Electronic AG</t>
  </si>
  <si>
    <t xml:space="preserve">Gasser Elektro-Unternehmung AG</t>
  </si>
  <si>
    <t xml:space="preserve">Confiserie Sprüngli AG</t>
  </si>
  <si>
    <t xml:space="preserve">Trane (Schweiz) GmbH</t>
  </si>
  <si>
    <t xml:space="preserve">Arthur Bründler AG</t>
  </si>
  <si>
    <t xml:space="preserve">Q+S Control AG</t>
  </si>
  <si>
    <t xml:space="preserve">Georg Fischer</t>
  </si>
  <si>
    <t xml:space="preserve">Zürcher Hochschule für Angewandte W</t>
  </si>
  <si>
    <t xml:space="preserve">Barmelweid Gruppe AG</t>
  </si>
  <si>
    <t xml:space="preserve">Eletechnik Swiss Sàrl</t>
  </si>
  <si>
    <t xml:space="preserve">ASUP Schweiz GmbH</t>
  </si>
  <si>
    <t xml:space="preserve">Kummler + Matter AG</t>
  </si>
  <si>
    <t xml:space="preserve">Elektro-Material AG</t>
  </si>
  <si>
    <t xml:space="preserve">chestonag automation ag</t>
  </si>
  <si>
    <t xml:space="preserve">Spital Oberengadin</t>
  </si>
  <si>
    <t xml:space="preserve">Senevita Sunnwies</t>
  </si>
  <si>
    <t xml:space="preserve">Stadler Rheintal AG</t>
  </si>
  <si>
    <t xml:space="preserve">Elektro Küng AG</t>
  </si>
  <si>
    <t xml:space="preserve">PFISTERER Holding AG</t>
  </si>
  <si>
    <t xml:space="preserve">Alterswohnheim Am Wildbach</t>
  </si>
  <si>
    <t xml:space="preserve">Kanton Luzern</t>
  </si>
  <si>
    <t xml:space="preserve">Elektro Fux AG</t>
  </si>
  <si>
    <t xml:space="preserve">LOWIL Automation GmbH</t>
  </si>
  <si>
    <t xml:space="preserve">PFISTERER Switzerland AG</t>
  </si>
  <si>
    <t xml:space="preserve">Ferring International Center SA</t>
  </si>
  <si>
    <t xml:space="preserve">Proxomed Medizintechnik GmbH</t>
  </si>
  <si>
    <t xml:space="preserve">Pflegeheim Helios</t>
  </si>
  <si>
    <t xml:space="preserve">swisspro AG</t>
  </si>
  <si>
    <t xml:space="preserve">Procon AG</t>
  </si>
  <si>
    <t xml:space="preserve">Greuter AG</t>
  </si>
  <si>
    <t xml:space="preserve">Sprecher Automation Schweiz AG</t>
  </si>
  <si>
    <t xml:space="preserve">D. Fallegger Elektro-Tableaux AG</t>
  </si>
  <si>
    <t xml:space="preserve">Solothurner Spitäler AG</t>
  </si>
  <si>
    <t xml:space="preserve">Lüscher &amp; Partner Elektro AG</t>
  </si>
  <si>
    <t xml:space="preserve">Nouvag AG</t>
  </si>
  <si>
    <t xml:space="preserve">Inselspital Bern</t>
  </si>
  <si>
    <t xml:space="preserve">Speri &amp; Bütler AG</t>
  </si>
  <si>
    <t xml:space="preserve">Fisher Clinical Services GmbH</t>
  </si>
  <si>
    <t xml:space="preserve">Universitätsspital Zürich</t>
  </si>
  <si>
    <t xml:space="preserve">Daimler Buses Schweiz AG</t>
  </si>
  <si>
    <t xml:space="preserve">Gerbe</t>
  </si>
  <si>
    <t xml:space="preserve">Aeschimann Automationssysteme AG</t>
  </si>
  <si>
    <t xml:space="preserve">Tophinke Elektro Kontroll AG</t>
  </si>
  <si>
    <t xml:space="preserve">Schmalz Distributions-Systeme AG</t>
  </si>
  <si>
    <t xml:space="preserve">Frewitt Fabrique de Machines SA</t>
  </si>
  <si>
    <t xml:space="preserve">REAL Abwasser</t>
  </si>
  <si>
    <t xml:space="preserve">PR Contrôles</t>
  </si>
  <si>
    <t xml:space="preserve">INJECTOSOND SA</t>
  </si>
  <si>
    <t xml:space="preserve">Aerolite AG</t>
  </si>
  <si>
    <t xml:space="preserve">Zermatt Bergbahnen AG</t>
  </si>
  <si>
    <t xml:space="preserve">BIOPTRON AG</t>
  </si>
  <si>
    <t xml:space="preserve">AG Kraftwerk Wägital</t>
  </si>
  <si>
    <t xml:space="preserve">Trimada AG</t>
  </si>
  <si>
    <t xml:space="preserve">Suicorr AG</t>
  </si>
  <si>
    <t xml:space="preserve">Regionales Pflegezentrum Baden</t>
  </si>
  <si>
    <t xml:space="preserve">EW Aadorf</t>
  </si>
  <si>
    <t xml:space="preserve">ELCAL AG</t>
  </si>
  <si>
    <t xml:space="preserve">e-netz ag</t>
  </si>
  <si>
    <t xml:space="preserve">Regionales Wohn- und</t>
  </si>
  <si>
    <t xml:space="preserve">Foyer St-Joseph</t>
  </si>
  <si>
    <t xml:space="preserve">Steinemann Technology AG</t>
  </si>
  <si>
    <t xml:space="preserve">Boschung Mecatronic AG</t>
  </si>
  <si>
    <t xml:space="preserve">R&amp;P AG Elektrodienstleistung</t>
  </si>
  <si>
    <t xml:space="preserve">Alfred Wertli AG</t>
  </si>
  <si>
    <t xml:space="preserve">Sonnmatt</t>
  </si>
  <si>
    <t xml:space="preserve">Tophinke Automation &amp;</t>
  </si>
  <si>
    <t xml:space="preserve">Mapromatic GmbH</t>
  </si>
  <si>
    <t xml:space="preserve">Elbro AG</t>
  </si>
  <si>
    <t xml:space="preserve">Seniorenzentrum Oberburg</t>
  </si>
  <si>
    <t xml:space="preserve">Facility Solutions Lake Lucerne AG</t>
  </si>
  <si>
    <t xml:space="preserve">Stiftung Hofmatt</t>
  </si>
  <si>
    <t xml:space="preserve">Unilever Schweiz GmbH</t>
  </si>
  <si>
    <t xml:space="preserve">Grötzinger + Rychard AG</t>
  </si>
  <si>
    <t xml:space="preserve">Matterhorn Gotthard Bahn</t>
  </si>
  <si>
    <t xml:space="preserve">Masgat AG</t>
  </si>
  <si>
    <t xml:space="preserve">Sinergy Infrastructure SA</t>
  </si>
  <si>
    <t xml:space="preserve">Contrinex SA</t>
  </si>
  <si>
    <t xml:space="preserve">Reich+Nievergelt AG</t>
  </si>
  <si>
    <t xml:space="preserve">Arosa Energie</t>
  </si>
  <si>
    <t xml:space="preserve">as-automotion ag</t>
  </si>
  <si>
    <t xml:space="preserve">Elektrizitätswerke</t>
  </si>
  <si>
    <t xml:space="preserve">Schweizerische Bundesbahnen SBB AG</t>
  </si>
  <si>
    <t xml:space="preserve">Fondation La Résidence</t>
  </si>
  <si>
    <t xml:space="preserve">Sanitas Troesch SA</t>
  </si>
  <si>
    <t xml:space="preserve">Elektrizitäts- und Wasserwerk</t>
  </si>
  <si>
    <t xml:space="preserve">Elektrokontrolle Strebel</t>
  </si>
  <si>
    <t xml:space="preserve">Stöcklin Logistik AG</t>
  </si>
  <si>
    <t xml:space="preserve">Prosenio &amp; Rosenau</t>
  </si>
  <si>
    <t xml:space="preserve">Elektro Peyer AG</t>
  </si>
  <si>
    <t xml:space="preserve">Aksa Würenlos AG</t>
  </si>
  <si>
    <t xml:space="preserve">Aletsch AG</t>
  </si>
  <si>
    <t xml:space="preserve">Thoratec Switzerland GmbH</t>
  </si>
  <si>
    <t xml:space="preserve">Stiftung Alters-</t>
  </si>
  <si>
    <t xml:space="preserve">Pflegezentrum Witikon</t>
  </si>
  <si>
    <t xml:space="preserve">Marine Diesel Service GmbH</t>
  </si>
  <si>
    <t xml:space="preserve">Eugster / Frismag AG</t>
  </si>
  <si>
    <t xml:space="preserve">Entsorgung St. Gallen</t>
  </si>
  <si>
    <t xml:space="preserve">Montelec AG</t>
  </si>
  <si>
    <t xml:space="preserve">Elektro Kleiner AG</t>
  </si>
  <si>
    <t xml:space="preserve">Allmetra AG</t>
  </si>
  <si>
    <t xml:space="preserve">Hôpital Neuchâtelois - Pourtalès</t>
  </si>
  <si>
    <t xml:space="preserve">NE</t>
  </si>
  <si>
    <t xml:space="preserve">Sanitas Trösch AG</t>
  </si>
  <si>
    <t xml:space="preserve">Novartis AG</t>
  </si>
  <si>
    <t xml:space="preserve">TEQABLE AG</t>
  </si>
  <si>
    <t xml:space="preserve">Ghol - Hospital Nyon</t>
  </si>
  <si>
    <t xml:space="preserve">Ghol</t>
  </si>
  <si>
    <t xml:space="preserve">Groupement SIS</t>
  </si>
  <si>
    <t xml:space="preserve">Schätti AG</t>
  </si>
  <si>
    <t xml:space="preserve">Hermed Medizintechnik</t>
  </si>
  <si>
    <t xml:space="preserve">EMS Les Peupliers SA</t>
  </si>
  <si>
    <t xml:space="preserve">Elektro-Bau AG Rothrist</t>
  </si>
  <si>
    <t xml:space="preserve">Schocher + Rüegg AG</t>
  </si>
  <si>
    <t xml:space="preserve">EP Solutiions SA</t>
  </si>
  <si>
    <t xml:space="preserve">🗺  Pipeline-Analytics — Nach Kanton &amp; Segment  |  MiT Strom Schweiz</t>
  </si>
  <si>
    <t xml:space="preserve">  Alle Werte via COUNTIF/SUMIF live aus «MiT Strom Pipeline».</t>
  </si>
  <si>
    <t xml:space="preserve">Kanton</t>
  </si>
  <si>
    <t xml:space="preserve">Leads</t>
  </si>
  <si>
    <t xml:space="preserve">Vol. CHF</t>
  </si>
  <si>
    <t xml:space="preserve">Top Lead</t>
  </si>
  <si>
    <t xml:space="preserve">WON-Rate</t>
  </si>
  <si>
    <t xml:space="preserve">Gew.Wert</t>
  </si>
  <si>
    <t xml:space="preserve">Top Kunde</t>
  </si>
  <si>
    <t xml:space="preserve">WON / Total</t>
  </si>
  <si>
    <t xml:space="preserve">Events &amp; Kongress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</si>
</sst>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&quot; Positionen&quot;"/>
    <numFmt numFmtId="167" formatCode="General"/>
    <numFmt numFmtId="168" formatCode="0.00"/>
    <numFmt numFmtId="169" formatCode="0&quot; Deals&quot;"/>
    <numFmt numFmtId="170" formatCode="dd\.mm\.yyyy"/>
    <numFmt numFmtId="171" formatCode="yyyy\-mm\-dd\ h:mm:ss"/>
    <numFmt numFmtId="172" formatCode="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BBFFCC"/>
      <name val="Arial"/>
      <family val="0"/>
      <charset val="1"/>
    </font>
    <font>
      <b val="true"/>
      <sz val="11"/>
      <color rgb="FFBBDDFF"/>
      <name val="Arial"/>
      <family val="0"/>
      <charset val="1"/>
    </font>
    <font>
      <b val="true"/>
      <sz val="11"/>
      <color rgb="FFFFDD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2"/>
      <color rgb="FFD4A017"/>
      <name val="Arial"/>
      <family val="0"/>
      <charset val="1"/>
    </font>
    <font>
      <b val="true"/>
      <sz val="15"/>
      <color rgb="FFD4A01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1"/>
      <color rgb="FF1E3A5F"/>
      <name val="Arial"/>
      <family val="0"/>
      <charset val="1"/>
    </font>
    <font>
      <b val="true"/>
      <sz val="11"/>
      <color rgb="FF7C2D12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DDBB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0D1117"/>
        <bgColor rgb="FF111111"/>
      </patternFill>
    </fill>
    <fill>
      <patternFill patternType="solid">
        <fgColor rgb="FFC8102E"/>
        <bgColor rgb="FFDC2626"/>
      </patternFill>
    </fill>
    <fill>
      <patternFill patternType="solid">
        <fgColor rgb="FF166534"/>
        <bgColor rgb="FF1A7A4A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92400E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333333"/>
      </patternFill>
    </fill>
    <fill>
      <patternFill patternType="solid">
        <fgColor rgb="FFDCFCE7"/>
        <bgColor rgb="FFF0FDF4"/>
      </patternFill>
    </fill>
    <fill>
      <patternFill patternType="solid">
        <fgColor rgb="FFDBEAFE"/>
        <bgColor rgb="FFDCFCE7"/>
      </patternFill>
    </fill>
    <fill>
      <patternFill patternType="solid">
        <fgColor rgb="FFFEF3C7"/>
        <bgColor rgb="FFFEF2F2"/>
      </patternFill>
    </fill>
    <fill>
      <patternFill patternType="solid">
        <fgColor rgb="FFF8FAFC"/>
        <bgColor rgb="FFFFFFFF"/>
      </patternFill>
    </fill>
    <fill>
      <patternFill patternType="solid">
        <fgColor rgb="FF4C1D95"/>
        <bgColor rgb="FF660066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1A7A4A"/>
      </patternFill>
    </fill>
    <fill>
      <patternFill patternType="solid">
        <fgColor rgb="FF2563EB"/>
        <bgColor rgb="FF0066CC"/>
      </patternFill>
    </fill>
    <fill>
      <patternFill patternType="solid">
        <fgColor rgb="FFD97706"/>
        <bgColor rgb="FFD4A017"/>
      </patternFill>
    </fill>
    <fill>
      <patternFill patternType="solid">
        <fgColor rgb="FFFEF2F2"/>
        <bgColor rgb="FFF8FAFC"/>
      </patternFill>
    </fill>
    <fill>
      <patternFill patternType="solid">
        <fgColor rgb="FFDC2626"/>
        <bgColor rgb="FFC8102E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0066CC"/>
      </patternFill>
    </fill>
    <fill>
      <patternFill patternType="solid">
        <fgColor rgb="FF6B7280"/>
        <bgColor rgb="FF888888"/>
      </patternFill>
    </fill>
    <fill>
      <patternFill patternType="solid">
        <fgColor rgb="FF991B1B"/>
        <bgColor rgb="FF7C2D1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3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3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0891B2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2563EB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991B1B"/>
      <rgbColor rgb="FF166534"/>
      <rgbColor rgb="FF111111"/>
      <rgbColor rgb="FF808000"/>
      <rgbColor rgb="FF7C3AED"/>
      <rgbColor rgb="FF0891B2"/>
      <rgbColor rgb="FFDDBBFF"/>
      <rgbColor rgb="FF888888"/>
      <rgbColor rgb="FF9999FF"/>
      <rgbColor rgb="FF7C2D12"/>
      <rgbColor rgb="FFFEF3C7"/>
      <rgbColor rgb="FFDCFCE7"/>
      <rgbColor rgb="FF660066"/>
      <rgbColor rgb="FFFF8080"/>
      <rgbColor rgb="FF0066CC"/>
      <rgbColor rgb="FFBBDDFF"/>
      <rgbColor rgb="FF1E3A5F"/>
      <rgbColor rgb="FFFF00FF"/>
      <rgbColor rgb="FFFFFF00"/>
      <rgbColor rgb="FF00FFFF"/>
      <rgbColor rgb="FF800080"/>
      <rgbColor rgb="FF800000"/>
      <rgbColor rgb="FF1A7A4A"/>
      <rgbColor rgb="FF0000FF"/>
      <rgbColor rgb="FF00CCFF"/>
      <rgbColor rgb="FFDBEAFE"/>
      <rgbColor rgb="FFBBFFCC"/>
      <rgbColor rgb="FFFEF2F2"/>
      <rgbColor rgb="FFF0FDF4"/>
      <rgbColor rgb="FFF8FAFC"/>
      <rgbColor rgb="FFCC99FF"/>
      <rgbColor rgb="FFFFDDAA"/>
      <rgbColor rgb="FF2563EB"/>
      <rgbColor rgb="FF33CCCC"/>
      <rgbColor rgb="FF99CC00"/>
      <rgbColor rgb="FFFFCC00"/>
      <rgbColor rgb="FFD4A017"/>
      <rgbColor rgb="FFD97706"/>
      <rgbColor rgb="FF6B7280"/>
      <rgbColor rgb="FFAAAAAA"/>
      <rgbColor rgb="FF1F3864"/>
      <rgbColor rgb="FF16A34A"/>
      <rgbColor rgb="FF0D1117"/>
      <rgbColor rgb="FF1E293B"/>
      <rgbColor rgb="FF92400E"/>
      <rgbColor rgb="FFDC2626"/>
      <rgbColor rgb="FF4C1D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017"/>
    <pageSetUpPr fitToPage="false"/>
  </sheetPr>
  <dimension ref="A1:K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40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9.75" hidden="false" customHeight="true" outlineLevel="0" collapsed="false"/>
    <row r="5" customFormat="false" ht="21.75" hidden="false" customHeight="true" outlineLevel="0" collapsed="false">
      <c r="A5" s="4" t="s">
        <v>2</v>
      </c>
      <c r="B5" s="4"/>
      <c r="C5" s="4"/>
      <c r="D5" s="4"/>
      <c r="E5" s="5" t="s">
        <v>3</v>
      </c>
      <c r="F5" s="5"/>
      <c r="G5" s="5"/>
      <c r="H5" s="5"/>
      <c r="I5" s="6" t="s">
        <v>4</v>
      </c>
      <c r="J5" s="6"/>
      <c r="K5" s="6"/>
    </row>
    <row r="6" customFormat="false" ht="36" hidden="false" customHeight="true" outlineLevel="0" collapsed="false">
      <c r="A6" s="7" t="n">
        <f aca="false">SUMIFS('MiT Strom Pipeline'!I$6:I$904,'MiT Strom Pipeline'!R$6:R$904,"WON")</f>
        <v>333100</v>
      </c>
      <c r="B6" s="7"/>
      <c r="C6" s="7"/>
      <c r="D6" s="7"/>
      <c r="E6" s="8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F6" s="8"/>
      <c r="G6" s="8"/>
      <c r="H6" s="8"/>
      <c r="I6" s="9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J6" s="9"/>
      <c r="K6" s="9"/>
    </row>
    <row r="7" customFormat="false" ht="19.5" hidden="false" customHeight="true" outlineLevel="0" collapsed="false">
      <c r="A7" s="10" t="n">
        <f aca="false">COUNTIF('MiT Strom Pipeline'!R$6:R$904,"WON")</f>
        <v>4</v>
      </c>
      <c r="B7" s="10"/>
      <c r="C7" s="10"/>
      <c r="D7" s="10"/>
      <c r="E7" s="11" t="n">
        <f aca="false">COUNTIF('MiT Strom Pipeline'!R$6:R$904,"offered")+COUNTIF('MiT Strom Pipeline'!R$6:R$904,"to be offered")+COUNTIF('MiT Strom Pipeline'!R$6:R$904,"on hold")</f>
        <v>12</v>
      </c>
      <c r="F7" s="11"/>
      <c r="G7" s="11"/>
      <c r="H7" s="11"/>
      <c r="I7" s="12" t="n">
        <f aca="false">COUNTIF('MiT Strom Pipeline'!R$6:R$904,"follow-up")+COUNTIF('MiT Strom Pipeline'!R$6:R$904,"Evaluation")+COUNTIF('MiT Strom Pipeline'!R$6:R$904,"tbd")+COUNTIF('MiT Strom Pipeline'!R$6:R$904,"In evaluation")</f>
        <v>16</v>
      </c>
      <c r="J7" s="12"/>
      <c r="K7" s="12"/>
    </row>
    <row r="8" customFormat="false" ht="7.5" hidden="false" customHeight="true" outlineLevel="0" collapsed="false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customFormat="false" ht="24" hidden="false" customHeight="true" outlineLevel="0" collapsed="false">
      <c r="A9" s="14" t="s">
        <v>5</v>
      </c>
      <c r="B9" s="14"/>
      <c r="C9" s="14"/>
      <c r="D9" s="14"/>
      <c r="E9" s="14"/>
      <c r="F9" s="14"/>
      <c r="G9" s="14"/>
      <c r="H9" s="14"/>
      <c r="I9" s="14"/>
      <c r="J9" s="14"/>
      <c r="K9" s="14"/>
    </row>
    <row r="10" customFormat="false" ht="19.5" hidden="false" customHeight="true" outlineLevel="0" collapsed="false">
      <c r="A10" s="15" t="s">
        <v>6</v>
      </c>
      <c r="B10" s="16" t="s">
        <v>7</v>
      </c>
      <c r="C10" s="15" t="s">
        <v>8</v>
      </c>
      <c r="D10" s="16" t="s">
        <v>9</v>
      </c>
      <c r="E10" s="16" t="s">
        <v>10</v>
      </c>
      <c r="F10" s="17" t="s">
        <v>11</v>
      </c>
      <c r="G10" s="17" t="s">
        <v>12</v>
      </c>
      <c r="H10" s="17" t="s">
        <v>13</v>
      </c>
      <c r="I10" s="15" t="s">
        <v>14</v>
      </c>
      <c r="J10" s="15" t="s">
        <v>15</v>
      </c>
      <c r="K10" s="16" t="s">
        <v>16</v>
      </c>
    </row>
    <row r="11" customFormat="false" ht="15.75" hidden="false" customHeight="true" outlineLevel="0" collapsed="false">
      <c r="A11" s="18" t="n">
        <f aca="false">IF('MiT Strom Pipeline'!R6="WON",IF(ISNUMBER('MiT Strom Pipeline'!A6),'MiT Strom Pipeline'!A6,""),"")</f>
        <v>1</v>
      </c>
      <c r="B11" s="19" t="str">
        <f aca="false">IF('MiT Strom Pipeline'!R6="WON",'MiT Strom Pipeline'!B6,"")</f>
        <v>Ice Hockey Championship</v>
      </c>
      <c r="C11" s="18" t="str">
        <f aca="false">IF('MiT Strom Pipeline'!R6="WON",'MiT Strom Pipeline'!C6,"")</f>
        <v>ZH</v>
      </c>
      <c r="D11" s="19" t="str">
        <f aca="false">IF('MiT Strom Pipeline'!R6="WON",'MiT Strom Pipeline'!D6,"")</f>
        <v>Events &amp; Sport</v>
      </c>
      <c r="E11" s="19" t="str">
        <f aca="false">IF('MiT Strom Pipeline'!R6="WON",'MiT Strom Pipeline'!E6,"")</f>
        <v>2×600+2×200 kVA</v>
      </c>
      <c r="F11" s="20" t="n">
        <f aca="false">IF('MiT Strom Pipeline'!R6="WON",IF(ISNUMBER('MiT Strom Pipeline'!I6),'MiT Strom Pipeline'!I6,0),"")</f>
        <v>310000</v>
      </c>
      <c r="G11" s="20" t="n">
        <f aca="false">IF('MiT Strom Pipeline'!R6="WON",IF(ISNUMBER('MiT Strom Pipeline'!Q6),'MiT Strom Pipeline'!Q6,0),"")</f>
        <v>3100</v>
      </c>
      <c r="H11" s="20" t="n">
        <f aca="false">IF('MiT Strom Pipeline'!R6="WON",IF(ISNUMBER('MiT Strom Pipeline'!O6),'MiT Strom Pipeline'!O6,0),"")</f>
        <v>75000</v>
      </c>
      <c r="I11" s="18" t="str">
        <f aca="false">IF('MiT Strom Pipeline'!R6="WON",'MiT Strom Pipeline'!R6,"")</f>
        <v>WON</v>
      </c>
      <c r="J11" s="18" t="str">
        <f aca="false">IF('MiT Strom Pipeline'!R6="WON",'MiT Strom Pipeline'!S6,"")</f>
        <v>100%</v>
      </c>
      <c r="K11" s="19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21" t="n">
        <f aca="false">IF('MiT Strom Pipeline'!R7="WON",IF(ISNUMBER('MiT Strom Pipeline'!A7),'MiT Strom Pipeline'!A7,""),"")</f>
        <v>2</v>
      </c>
      <c r="B12" s="22" t="str">
        <f aca="false">IF('MiT Strom Pipeline'!R7="WON",'MiT Strom Pipeline'!B7,"")</f>
        <v>Oerlikon Metco Wohlen</v>
      </c>
      <c r="C12" s="21" t="str">
        <f aca="false">IF('MiT Strom Pipeline'!R7="WON",'MiT Strom Pipeline'!C7,"")</f>
        <v>AG</v>
      </c>
      <c r="D12" s="22" t="str">
        <f aca="false">IF('MiT Strom Pipeline'!R7="WON",'MiT Strom Pipeline'!D7,"")</f>
        <v>Industrie / Oberfläche</v>
      </c>
      <c r="E12" s="22" t="str">
        <f aca="false">IF('MiT Strom Pipeline'!R7="WON",'MiT Strom Pipeline'!E7,"")</f>
        <v>240 kVA Generator</v>
      </c>
      <c r="F12" s="23" t="n">
        <f aca="false">IF('MiT Strom Pipeline'!R7="WON",IF(ISNUMBER('MiT Strom Pipeline'!I7),'MiT Strom Pipeline'!I7,0),"")</f>
        <v>13100</v>
      </c>
      <c r="G12" s="23" t="n">
        <f aca="false">IF('MiT Strom Pipeline'!R7="WON",IF(ISNUMBER('MiT Strom Pipeline'!Q7),'MiT Strom Pipeline'!Q7,0),"")</f>
        <v>131</v>
      </c>
      <c r="H12" s="23" t="n">
        <f aca="false">IF('MiT Strom Pipeline'!R7="WON",IF(ISNUMBER('MiT Strom Pipeline'!O7),'MiT Strom Pipeline'!O7,0),"")</f>
        <v>3000</v>
      </c>
      <c r="I12" s="21" t="str">
        <f aca="false">IF('MiT Strom Pipeline'!R7="WON",'MiT Strom Pipeline'!R7,"")</f>
        <v>WON</v>
      </c>
      <c r="J12" s="21" t="str">
        <f aca="false">IF('MiT Strom Pipeline'!R7="WON",'MiT Strom Pipeline'!S7,"")</f>
        <v>100%</v>
      </c>
      <c r="K12" s="22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18" t="n">
        <f aca="false">IF('MiT Strom Pipeline'!R8="WON",IF(ISNUMBER('MiT Strom Pipeline'!A8),'MiT Strom Pipeline'!A8,""),"")</f>
        <v>3</v>
      </c>
      <c r="B13" s="19" t="str">
        <f aca="false">IF('MiT Strom Pipeline'!R8="WON",'MiT Strom Pipeline'!B8,"")</f>
        <v>Siemens</v>
      </c>
      <c r="C13" s="18" t="str">
        <f aca="false">IF('MiT Strom Pipeline'!R8="WON",'MiT Strom Pipeline'!C8,"")</f>
        <v>ZH</v>
      </c>
      <c r="D13" s="19" t="str">
        <f aca="false">IF('MiT Strom Pipeline'!R8="WON",'MiT Strom Pipeline'!D8,"")</f>
        <v>Industrie / Elektro</v>
      </c>
      <c r="E13" s="19" t="str">
        <f aca="false">IF('MiT Strom Pipeline'!R8="WON",'MiT Strom Pipeline'!E8,"")</f>
        <v>600 kVA Generator</v>
      </c>
      <c r="F13" s="20" t="n">
        <f aca="false">IF('MiT Strom Pipeline'!R8="WON",IF(ISNUMBER('MiT Strom Pipeline'!I8),'MiT Strom Pipeline'!I8,0),"")</f>
        <v>10000</v>
      </c>
      <c r="G13" s="20" t="n">
        <f aca="false">IF('MiT Strom Pipeline'!R8="WON",IF(ISNUMBER('MiT Strom Pipeline'!Q8),'MiT Strom Pipeline'!Q8,0),"")</f>
        <v>100</v>
      </c>
      <c r="H13" s="20" t="n">
        <f aca="false">IF('MiT Strom Pipeline'!R8="WON",IF(ISNUMBER('MiT Strom Pipeline'!O8),'MiT Strom Pipeline'!O8,0),"")</f>
        <v>10000</v>
      </c>
      <c r="I13" s="18" t="str">
        <f aca="false">IF('MiT Strom Pipeline'!R8="WON",'MiT Strom Pipeline'!R8,"")</f>
        <v>WON</v>
      </c>
      <c r="J13" s="18" t="str">
        <f aca="false">IF('MiT Strom Pipeline'!R8="WON",'MiT Strom Pipeline'!S8,"")</f>
        <v>100%</v>
      </c>
      <c r="K13" s="19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21" t="str">
        <f aca="false">IF('MiT Strom Pipeline'!R9="WON",IF(ISNUMBER('MiT Strom Pipeline'!A9),'MiT Strom Pipeline'!A9,""),"")</f>
        <v/>
      </c>
      <c r="B14" s="22" t="str">
        <f aca="false">IF('MiT Strom Pipeline'!R9="WON",'MiT Strom Pipeline'!B9,"")</f>
        <v/>
      </c>
      <c r="C14" s="21" t="str">
        <f aca="false">IF('MiT Strom Pipeline'!R9="WON",'MiT Strom Pipeline'!C9,"")</f>
        <v/>
      </c>
      <c r="D14" s="22" t="str">
        <f aca="false">IF('MiT Strom Pipeline'!R9="WON",'MiT Strom Pipeline'!D9,"")</f>
        <v/>
      </c>
      <c r="E14" s="22" t="str">
        <f aca="false">IF('MiT Strom Pipeline'!R9="WON",'MiT Strom Pipeline'!E9,"")</f>
        <v/>
      </c>
      <c r="F14" s="23" t="str">
        <f aca="false">IF('MiT Strom Pipeline'!R9="WON",IF(ISNUMBER('MiT Strom Pipeline'!I9),'MiT Strom Pipeline'!I9,0),"")</f>
        <v/>
      </c>
      <c r="G14" s="23" t="str">
        <f aca="false">IF('MiT Strom Pipeline'!R9="WON",IF(ISNUMBER('MiT Strom Pipeline'!Q9),'MiT Strom Pipeline'!Q9,0),"")</f>
        <v/>
      </c>
      <c r="H14" s="23" t="str">
        <f aca="false">IF('MiT Strom Pipeline'!R9="WON",IF(ISNUMBER('MiT Strom Pipeline'!O9),'MiT Strom Pipeline'!O9,0),"")</f>
        <v/>
      </c>
      <c r="I14" s="21" t="str">
        <f aca="false">IF('MiT Strom Pipeline'!R9="WON",'MiT Strom Pipeline'!R9,"")</f>
        <v/>
      </c>
      <c r="J14" s="21" t="str">
        <f aca="false">IF('MiT Strom Pipeline'!R9="WON",'MiT Strom Pipeline'!S9,"")</f>
        <v/>
      </c>
      <c r="K14" s="22" t="str">
        <f aca="false">IF('MiT Strom Pipeline'!R9="WON",IF(LEN('MiT Strom Pipeline'!V9)&gt;0,LEFT('MiT Strom Pipeline'!V9,55),""),"")</f>
        <v/>
      </c>
    </row>
    <row r="15" customFormat="false" ht="15.75" hidden="false" customHeight="true" outlineLevel="0" collapsed="false">
      <c r="A15" s="18" t="str">
        <f aca="false">IF('MiT Strom Pipeline'!R10="WON",IF(ISNUMBER('MiT Strom Pipeline'!A10),'MiT Strom Pipeline'!A10,""),"")</f>
        <v/>
      </c>
      <c r="B15" s="19" t="str">
        <f aca="false">IF('MiT Strom Pipeline'!R10="WON",'MiT Strom Pipeline'!B10,"")</f>
        <v/>
      </c>
      <c r="C15" s="18" t="str">
        <f aca="false">IF('MiT Strom Pipeline'!R10="WON",'MiT Strom Pipeline'!C10,"")</f>
        <v/>
      </c>
      <c r="D15" s="19" t="str">
        <f aca="false">IF('MiT Strom Pipeline'!R10="WON",'MiT Strom Pipeline'!D10,"")</f>
        <v/>
      </c>
      <c r="E15" s="19" t="str">
        <f aca="false">IF('MiT Strom Pipeline'!R10="WON",'MiT Strom Pipeline'!E10,"")</f>
        <v/>
      </c>
      <c r="F15" s="20" t="str">
        <f aca="false">IF('MiT Strom Pipeline'!R10="WON",IF(ISNUMBER('MiT Strom Pipeline'!I10),'MiT Strom Pipeline'!I10,0),"")</f>
        <v/>
      </c>
      <c r="G15" s="20" t="str">
        <f aca="false">IF('MiT Strom Pipeline'!R10="WON",IF(ISNUMBER('MiT Strom Pipeline'!Q10),'MiT Strom Pipeline'!Q10,0),"")</f>
        <v/>
      </c>
      <c r="H15" s="20" t="str">
        <f aca="false">IF('MiT Strom Pipeline'!R10="WON",IF(ISNUMBER('MiT Strom Pipeline'!O10),'MiT Strom Pipeline'!O10,0),"")</f>
        <v/>
      </c>
      <c r="I15" s="18" t="str">
        <f aca="false">IF('MiT Strom Pipeline'!R10="WON",'MiT Strom Pipeline'!R10,"")</f>
        <v/>
      </c>
      <c r="J15" s="18" t="str">
        <f aca="false">IF('MiT Strom Pipeline'!R10="WON",'MiT Strom Pipeline'!S10,"")</f>
        <v/>
      </c>
      <c r="K15" s="19" t="str">
        <f aca="false">IF('MiT Strom Pipeline'!R10="WON",IF(LEN('MiT Strom Pipeline'!V10)&gt;0,LEFT('MiT Strom Pipeline'!V10,55),""),"")</f>
        <v/>
      </c>
    </row>
    <row r="16" customFormat="false" ht="15.75" hidden="false" customHeight="true" outlineLevel="0" collapsed="false">
      <c r="A16" s="21" t="str">
        <f aca="false">IF('MiT Strom Pipeline'!R11="WON",IF(ISNUMBER('MiT Strom Pipeline'!A11),'MiT Strom Pipeline'!A11,""),"")</f>
        <v/>
      </c>
      <c r="B16" s="22" t="str">
        <f aca="false">IF('MiT Strom Pipeline'!R11="WON",'MiT Strom Pipeline'!B11,"")</f>
        <v/>
      </c>
      <c r="C16" s="21" t="str">
        <f aca="false">IF('MiT Strom Pipeline'!R11="WON",'MiT Strom Pipeline'!C11,"")</f>
        <v/>
      </c>
      <c r="D16" s="22" t="str">
        <f aca="false">IF('MiT Strom Pipeline'!R11="WON",'MiT Strom Pipeline'!D11,"")</f>
        <v/>
      </c>
      <c r="E16" s="22" t="str">
        <f aca="false">IF('MiT Strom Pipeline'!R11="WON",'MiT Strom Pipeline'!E11,"")</f>
        <v/>
      </c>
      <c r="F16" s="23" t="str">
        <f aca="false">IF('MiT Strom Pipeline'!R11="WON",IF(ISNUMBER('MiT Strom Pipeline'!I11),'MiT Strom Pipeline'!I11,0),"")</f>
        <v/>
      </c>
      <c r="G16" s="23" t="str">
        <f aca="false">IF('MiT Strom Pipeline'!R11="WON",IF(ISNUMBER('MiT Strom Pipeline'!Q11),'MiT Strom Pipeline'!Q11,0),"")</f>
        <v/>
      </c>
      <c r="H16" s="23" t="str">
        <f aca="false">IF('MiT Strom Pipeline'!R11="WON",IF(ISNUMBER('MiT Strom Pipeline'!O11),'MiT Strom Pipeline'!O11,0),"")</f>
        <v/>
      </c>
      <c r="I16" s="21" t="str">
        <f aca="false">IF('MiT Strom Pipeline'!R11="WON",'MiT Strom Pipeline'!R11,"")</f>
        <v/>
      </c>
      <c r="J16" s="21" t="str">
        <f aca="false">IF('MiT Strom Pipeline'!R11="WON",'MiT Strom Pipeline'!S11,"")</f>
        <v/>
      </c>
      <c r="K16" s="22" t="str">
        <f aca="false">IF('MiT Strom Pipeline'!R11="WON",IF(LEN('MiT Strom Pipeline'!V11)&gt;0,LEFT('MiT Strom Pipeline'!V11,55),""),"")</f>
        <v/>
      </c>
    </row>
    <row r="17" customFormat="false" ht="15.75" hidden="false" customHeight="true" outlineLevel="0" collapsed="false">
      <c r="A17" s="18" t="str">
        <f aca="false">IF('MiT Strom Pipeline'!R12="WON",IF(ISNUMBER('MiT Strom Pipeline'!A12),'MiT Strom Pipeline'!A12,""),"")</f>
        <v/>
      </c>
      <c r="B17" s="19" t="str">
        <f aca="false">IF('MiT Strom Pipeline'!R12="WON",'MiT Strom Pipeline'!B12,"")</f>
        <v/>
      </c>
      <c r="C17" s="18" t="str">
        <f aca="false">IF('MiT Strom Pipeline'!R12="WON",'MiT Strom Pipeline'!C12,"")</f>
        <v/>
      </c>
      <c r="D17" s="19" t="str">
        <f aca="false">IF('MiT Strom Pipeline'!R12="WON",'MiT Strom Pipeline'!D12,"")</f>
        <v/>
      </c>
      <c r="E17" s="19" t="str">
        <f aca="false">IF('MiT Strom Pipeline'!R12="WON",'MiT Strom Pipeline'!E12,"")</f>
        <v/>
      </c>
      <c r="F17" s="20" t="str">
        <f aca="false">IF('MiT Strom Pipeline'!R12="WON",IF(ISNUMBER('MiT Strom Pipeline'!I12),'MiT Strom Pipeline'!I12,0),"")</f>
        <v/>
      </c>
      <c r="G17" s="20" t="str">
        <f aca="false">IF('MiT Strom Pipeline'!R12="WON",IF(ISNUMBER('MiT Strom Pipeline'!Q12),'MiT Strom Pipeline'!Q12,0),"")</f>
        <v/>
      </c>
      <c r="H17" s="20" t="str">
        <f aca="false">IF('MiT Strom Pipeline'!R12="WON",IF(ISNUMBER('MiT Strom Pipeline'!O12),'MiT Strom Pipeline'!O12,0),"")</f>
        <v/>
      </c>
      <c r="I17" s="18" t="str">
        <f aca="false">IF('MiT Strom Pipeline'!R12="WON",'MiT Strom Pipeline'!R12,"")</f>
        <v/>
      </c>
      <c r="J17" s="18" t="str">
        <f aca="false">IF('MiT Strom Pipeline'!R12="WON",'MiT Strom Pipeline'!S12,"")</f>
        <v/>
      </c>
      <c r="K17" s="19" t="str">
        <f aca="false">IF('MiT Strom Pipeline'!R12="WON",IF(LEN('MiT Strom Pipeline'!V12)&gt;0,LEFT('MiT Strom Pipeline'!V12,55),""),"")</f>
        <v/>
      </c>
    </row>
    <row r="18" customFormat="false" ht="15.75" hidden="false" customHeight="true" outlineLevel="0" collapsed="false">
      <c r="A18" s="21" t="str">
        <f aca="false">IF('MiT Strom Pipeline'!R13="WON",IF(ISNUMBER('MiT Strom Pipeline'!A13),'MiT Strom Pipeline'!A13,""),"")</f>
        <v/>
      </c>
      <c r="B18" s="22" t="str">
        <f aca="false">IF('MiT Strom Pipeline'!R13="WON",'MiT Strom Pipeline'!B13,"")</f>
        <v/>
      </c>
      <c r="C18" s="21" t="str">
        <f aca="false">IF('MiT Strom Pipeline'!R13="WON",'MiT Strom Pipeline'!C13,"")</f>
        <v/>
      </c>
      <c r="D18" s="22" t="str">
        <f aca="false">IF('MiT Strom Pipeline'!R13="WON",'MiT Strom Pipeline'!D13,"")</f>
        <v/>
      </c>
      <c r="E18" s="22" t="str">
        <f aca="false">IF('MiT Strom Pipeline'!R13="WON",'MiT Strom Pipeline'!E13,"")</f>
        <v/>
      </c>
      <c r="F18" s="23" t="str">
        <f aca="false">IF('MiT Strom Pipeline'!R13="WON",IF(ISNUMBER('MiT Strom Pipeline'!I13),'MiT Strom Pipeline'!I13,0),"")</f>
        <v/>
      </c>
      <c r="G18" s="23" t="str">
        <f aca="false">IF('MiT Strom Pipeline'!R13="WON",IF(ISNUMBER('MiT Strom Pipeline'!Q13),'MiT Strom Pipeline'!Q13,0),"")</f>
        <v/>
      </c>
      <c r="H18" s="23" t="str">
        <f aca="false">IF('MiT Strom Pipeline'!R13="WON",IF(ISNUMBER('MiT Strom Pipeline'!O13),'MiT Strom Pipeline'!O13,0),"")</f>
        <v/>
      </c>
      <c r="I18" s="21" t="str">
        <f aca="false">IF('MiT Strom Pipeline'!R13="WON",'MiT Strom Pipeline'!R13,"")</f>
        <v/>
      </c>
      <c r="J18" s="21" t="str">
        <f aca="false">IF('MiT Strom Pipeline'!R13="WON",'MiT Strom Pipeline'!S13,"")</f>
        <v/>
      </c>
      <c r="K18" s="22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18" t="str">
        <f aca="false">IF('MiT Strom Pipeline'!R14="WON",IF(ISNUMBER('MiT Strom Pipeline'!A14),'MiT Strom Pipeline'!A14,""),"")</f>
        <v/>
      </c>
      <c r="B19" s="19" t="str">
        <f aca="false">IF('MiT Strom Pipeline'!R14="WON",'MiT Strom Pipeline'!B14,"")</f>
        <v/>
      </c>
      <c r="C19" s="18" t="str">
        <f aca="false">IF('MiT Strom Pipeline'!R14="WON",'MiT Strom Pipeline'!C14,"")</f>
        <v/>
      </c>
      <c r="D19" s="19" t="str">
        <f aca="false">IF('MiT Strom Pipeline'!R14="WON",'MiT Strom Pipeline'!D14,"")</f>
        <v/>
      </c>
      <c r="E19" s="19" t="str">
        <f aca="false">IF('MiT Strom Pipeline'!R14="WON",'MiT Strom Pipeline'!E14,"")</f>
        <v/>
      </c>
      <c r="F19" s="20" t="str">
        <f aca="false">IF('MiT Strom Pipeline'!R14="WON",IF(ISNUMBER('MiT Strom Pipeline'!I14),'MiT Strom Pipeline'!I14,0),"")</f>
        <v/>
      </c>
      <c r="G19" s="20" t="str">
        <f aca="false">IF('MiT Strom Pipeline'!R14="WON",IF(ISNUMBER('MiT Strom Pipeline'!Q14),'MiT Strom Pipeline'!Q14,0),"")</f>
        <v/>
      </c>
      <c r="H19" s="20" t="str">
        <f aca="false">IF('MiT Strom Pipeline'!R14="WON",IF(ISNUMBER('MiT Strom Pipeline'!O14),'MiT Strom Pipeline'!O14,0),"")</f>
        <v/>
      </c>
      <c r="I19" s="18" t="str">
        <f aca="false">IF('MiT Strom Pipeline'!R14="WON",'MiT Strom Pipeline'!R14,"")</f>
        <v/>
      </c>
      <c r="J19" s="18" t="str">
        <f aca="false">IF('MiT Strom Pipeline'!R14="WON",'MiT Strom Pipeline'!S14,"")</f>
        <v/>
      </c>
      <c r="K19" s="19" t="str">
        <f aca="false">IF('MiT Strom Pipeline'!R14="WON",IF(LEN('MiT Strom Pipeline'!V14)&gt;0,LEFT('MiT Strom Pipeline'!V14,55),""),"")</f>
        <v/>
      </c>
    </row>
    <row r="20" customFormat="false" ht="15.75" hidden="false" customHeight="true" outlineLevel="0" collapsed="false">
      <c r="A20" s="21" t="str">
        <f aca="false">IF('MiT Strom Pipeline'!R15="WON",IF(ISNUMBER('MiT Strom Pipeline'!A15),'MiT Strom Pipeline'!A15,""),"")</f>
        <v/>
      </c>
      <c r="B20" s="22" t="str">
        <f aca="false">IF('MiT Strom Pipeline'!R15="WON",'MiT Strom Pipeline'!B15,"")</f>
        <v/>
      </c>
      <c r="C20" s="21" t="str">
        <f aca="false">IF('MiT Strom Pipeline'!R15="WON",'MiT Strom Pipeline'!C15,"")</f>
        <v/>
      </c>
      <c r="D20" s="22" t="str">
        <f aca="false">IF('MiT Strom Pipeline'!R15="WON",'MiT Strom Pipeline'!D15,"")</f>
        <v/>
      </c>
      <c r="E20" s="22" t="str">
        <f aca="false">IF('MiT Strom Pipeline'!R15="WON",'MiT Strom Pipeline'!E15,"")</f>
        <v/>
      </c>
      <c r="F20" s="23" t="str">
        <f aca="false">IF('MiT Strom Pipeline'!R15="WON",IF(ISNUMBER('MiT Strom Pipeline'!I15),'MiT Strom Pipeline'!I15,0),"")</f>
        <v/>
      </c>
      <c r="G20" s="23" t="str">
        <f aca="false">IF('MiT Strom Pipeline'!R15="WON",IF(ISNUMBER('MiT Strom Pipeline'!Q15),'MiT Strom Pipeline'!Q15,0),"")</f>
        <v/>
      </c>
      <c r="H20" s="23" t="str">
        <f aca="false">IF('MiT Strom Pipeline'!R15="WON",IF(ISNUMBER('MiT Strom Pipeline'!O15),'MiT Strom Pipeline'!O15,0),"")</f>
        <v/>
      </c>
      <c r="I20" s="21" t="str">
        <f aca="false">IF('MiT Strom Pipeline'!R15="WON",'MiT Strom Pipeline'!R15,"")</f>
        <v/>
      </c>
      <c r="J20" s="21" t="str">
        <f aca="false">IF('MiT Strom Pipeline'!R15="WON",'MiT Strom Pipeline'!S15,"")</f>
        <v/>
      </c>
      <c r="K20" s="22" t="str">
        <f aca="false">IF('MiT Strom Pipeline'!R15="WON",IF(LEN('MiT Strom Pipeline'!V15)&gt;0,LEFT('MiT Strom Pipeline'!V15,55),""),"")</f>
        <v/>
      </c>
    </row>
    <row r="21" customFormat="false" ht="15.75" hidden="false" customHeight="true" outlineLevel="0" collapsed="false">
      <c r="A21" s="18" t="str">
        <f aca="false">IF('MiT Strom Pipeline'!R16="WON",IF(ISNUMBER('MiT Strom Pipeline'!A16),'MiT Strom Pipeline'!A16,""),"")</f>
        <v/>
      </c>
      <c r="B21" s="19" t="str">
        <f aca="false">IF('MiT Strom Pipeline'!R16="WON",'MiT Strom Pipeline'!B16,"")</f>
        <v/>
      </c>
      <c r="C21" s="18" t="str">
        <f aca="false">IF('MiT Strom Pipeline'!R16="WON",'MiT Strom Pipeline'!C16,"")</f>
        <v/>
      </c>
      <c r="D21" s="19" t="str">
        <f aca="false">IF('MiT Strom Pipeline'!R16="WON",'MiT Strom Pipeline'!D16,"")</f>
        <v/>
      </c>
      <c r="E21" s="19" t="str">
        <f aca="false">IF('MiT Strom Pipeline'!R16="WON",'MiT Strom Pipeline'!E16,"")</f>
        <v/>
      </c>
      <c r="F21" s="20" t="str">
        <f aca="false">IF('MiT Strom Pipeline'!R16="WON",IF(ISNUMBER('MiT Strom Pipeline'!I16),'MiT Strom Pipeline'!I16,0),"")</f>
        <v/>
      </c>
      <c r="G21" s="20" t="str">
        <f aca="false">IF('MiT Strom Pipeline'!R16="WON",IF(ISNUMBER('MiT Strom Pipeline'!Q16),'MiT Strom Pipeline'!Q16,0),"")</f>
        <v/>
      </c>
      <c r="H21" s="20" t="str">
        <f aca="false">IF('MiT Strom Pipeline'!R16="WON",IF(ISNUMBER('MiT Strom Pipeline'!O16),'MiT Strom Pipeline'!O16,0),"")</f>
        <v/>
      </c>
      <c r="I21" s="18" t="str">
        <f aca="false">IF('MiT Strom Pipeline'!R16="WON",'MiT Strom Pipeline'!R16,"")</f>
        <v/>
      </c>
      <c r="J21" s="18" t="str">
        <f aca="false">IF('MiT Strom Pipeline'!R16="WON",'MiT Strom Pipeline'!S16,"")</f>
        <v/>
      </c>
      <c r="K21" s="19" t="str">
        <f aca="false">IF('MiT Strom Pipeline'!R16="WON",IF(LEN('MiT Strom Pipeline'!V16)&gt;0,LEFT('MiT Strom Pipeline'!V16,55),""),"")</f>
        <v/>
      </c>
    </row>
    <row r="22" customFormat="false" ht="15.75" hidden="false" customHeight="true" outlineLevel="0" collapsed="false">
      <c r="A22" s="21" t="str">
        <f aca="false">IF('MiT Strom Pipeline'!R17="WON",IF(ISNUMBER('MiT Strom Pipeline'!A17),'MiT Strom Pipeline'!A17,""),"")</f>
        <v/>
      </c>
      <c r="B22" s="22" t="str">
        <f aca="false">IF('MiT Strom Pipeline'!R17="WON",'MiT Strom Pipeline'!B17,"")</f>
        <v/>
      </c>
      <c r="C22" s="21" t="str">
        <f aca="false">IF('MiT Strom Pipeline'!R17="WON",'MiT Strom Pipeline'!C17,"")</f>
        <v/>
      </c>
      <c r="D22" s="22" t="str">
        <f aca="false">IF('MiT Strom Pipeline'!R17="WON",'MiT Strom Pipeline'!D17,"")</f>
        <v/>
      </c>
      <c r="E22" s="22" t="str">
        <f aca="false">IF('MiT Strom Pipeline'!R17="WON",'MiT Strom Pipeline'!E17,"")</f>
        <v/>
      </c>
      <c r="F22" s="23" t="str">
        <f aca="false">IF('MiT Strom Pipeline'!R17="WON",IF(ISNUMBER('MiT Strom Pipeline'!I17),'MiT Strom Pipeline'!I17,0),"")</f>
        <v/>
      </c>
      <c r="G22" s="23" t="str">
        <f aca="false">IF('MiT Strom Pipeline'!R17="WON",IF(ISNUMBER('MiT Strom Pipeline'!Q17),'MiT Strom Pipeline'!Q17,0),"")</f>
        <v/>
      </c>
      <c r="H22" s="23" t="str">
        <f aca="false">IF('MiT Strom Pipeline'!R17="WON",IF(ISNUMBER('MiT Strom Pipeline'!O17),'MiT Strom Pipeline'!O17,0),"")</f>
        <v/>
      </c>
      <c r="I22" s="21" t="str">
        <f aca="false">IF('MiT Strom Pipeline'!R17="WON",'MiT Strom Pipeline'!R17,"")</f>
        <v/>
      </c>
      <c r="J22" s="21" t="str">
        <f aca="false">IF('MiT Strom Pipeline'!R17="WON",'MiT Strom Pipeline'!S17,"")</f>
        <v/>
      </c>
      <c r="K22" s="22" t="str">
        <f aca="false">IF('MiT Strom Pipeline'!R17="WON",IF(LEN('MiT Strom Pipeline'!V17)&gt;0,LEFT('MiT Strom Pipeline'!V17,55),""),"")</f>
        <v/>
      </c>
    </row>
    <row r="23" customFormat="false" ht="15.75" hidden="false" customHeight="true" outlineLevel="0" collapsed="false">
      <c r="A23" s="18" t="str">
        <f aca="false">IF('MiT Strom Pipeline'!R18="WON",IF(ISNUMBER('MiT Strom Pipeline'!A18),'MiT Strom Pipeline'!A18,""),"")</f>
        <v/>
      </c>
      <c r="B23" s="19" t="str">
        <f aca="false">IF('MiT Strom Pipeline'!R18="WON",'MiT Strom Pipeline'!B18,"")</f>
        <v/>
      </c>
      <c r="C23" s="18" t="str">
        <f aca="false">IF('MiT Strom Pipeline'!R18="WON",'MiT Strom Pipeline'!C18,"")</f>
        <v/>
      </c>
      <c r="D23" s="19" t="str">
        <f aca="false">IF('MiT Strom Pipeline'!R18="WON",'MiT Strom Pipeline'!D18,"")</f>
        <v/>
      </c>
      <c r="E23" s="19" t="str">
        <f aca="false">IF('MiT Strom Pipeline'!R18="WON",'MiT Strom Pipeline'!E18,"")</f>
        <v/>
      </c>
      <c r="F23" s="20" t="str">
        <f aca="false">IF('MiT Strom Pipeline'!R18="WON",IF(ISNUMBER('MiT Strom Pipeline'!I18),'MiT Strom Pipeline'!I18,0),"")</f>
        <v/>
      </c>
      <c r="G23" s="20" t="str">
        <f aca="false">IF('MiT Strom Pipeline'!R18="WON",IF(ISNUMBER('MiT Strom Pipeline'!Q18),'MiT Strom Pipeline'!Q18,0),"")</f>
        <v/>
      </c>
      <c r="H23" s="20" t="str">
        <f aca="false">IF('MiT Strom Pipeline'!R18="WON",IF(ISNUMBER('MiT Strom Pipeline'!O18),'MiT Strom Pipeline'!O18,0),"")</f>
        <v/>
      </c>
      <c r="I23" s="18" t="str">
        <f aca="false">IF('MiT Strom Pipeline'!R18="WON",'MiT Strom Pipeline'!R18,"")</f>
        <v/>
      </c>
      <c r="J23" s="18" t="str">
        <f aca="false">IF('MiT Strom Pipeline'!R18="WON",'MiT Strom Pipeline'!S18,"")</f>
        <v/>
      </c>
      <c r="K23" s="19" t="str">
        <f aca="false">IF('MiT Strom Pipeline'!R18="WON",IF(LEN('MiT Strom Pipeline'!V18)&gt;0,LEFT('MiT Strom Pipeline'!V18,55),""),"")</f>
        <v/>
      </c>
    </row>
    <row r="24" customFormat="false" ht="15.75" hidden="false" customHeight="true" outlineLevel="0" collapsed="false">
      <c r="A24" s="21" t="str">
        <f aca="false">IF('MiT Strom Pipeline'!R19="WON",IF(ISNUMBER('MiT Strom Pipeline'!A19),'MiT Strom Pipeline'!A19,""),"")</f>
        <v/>
      </c>
      <c r="B24" s="22" t="str">
        <f aca="false">IF('MiT Strom Pipeline'!R19="WON",'MiT Strom Pipeline'!B19,"")</f>
        <v/>
      </c>
      <c r="C24" s="21" t="str">
        <f aca="false">IF('MiT Strom Pipeline'!R19="WON",'MiT Strom Pipeline'!C19,"")</f>
        <v/>
      </c>
      <c r="D24" s="22" t="str">
        <f aca="false">IF('MiT Strom Pipeline'!R19="WON",'MiT Strom Pipeline'!D19,"")</f>
        <v/>
      </c>
      <c r="E24" s="22" t="str">
        <f aca="false">IF('MiT Strom Pipeline'!R19="WON",'MiT Strom Pipeline'!E19,"")</f>
        <v/>
      </c>
      <c r="F24" s="23" t="str">
        <f aca="false">IF('MiT Strom Pipeline'!R19="WON",IF(ISNUMBER('MiT Strom Pipeline'!I19),'MiT Strom Pipeline'!I19,0),"")</f>
        <v/>
      </c>
      <c r="G24" s="23" t="str">
        <f aca="false">IF('MiT Strom Pipeline'!R19="WON",IF(ISNUMBER('MiT Strom Pipeline'!Q19),'MiT Strom Pipeline'!Q19,0),"")</f>
        <v/>
      </c>
      <c r="H24" s="23" t="str">
        <f aca="false">IF('MiT Strom Pipeline'!R19="WON",IF(ISNUMBER('MiT Strom Pipeline'!O19),'MiT Strom Pipeline'!O19,0),"")</f>
        <v/>
      </c>
      <c r="I24" s="21" t="str">
        <f aca="false">IF('MiT Strom Pipeline'!R19="WON",'MiT Strom Pipeline'!R19,"")</f>
        <v/>
      </c>
      <c r="J24" s="21" t="str">
        <f aca="false">IF('MiT Strom Pipeline'!R19="WON",'MiT Strom Pipeline'!S19,"")</f>
        <v/>
      </c>
      <c r="K24" s="22" t="str">
        <f aca="false">IF('MiT Strom Pipeline'!R19="WON",IF(LEN('MiT Strom Pipeline'!V19)&gt;0,LEFT('MiT Strom Pipeline'!V19,55),""),"")</f>
        <v/>
      </c>
    </row>
    <row r="25" customFormat="false" ht="15.75" hidden="false" customHeight="true" outlineLevel="0" collapsed="false">
      <c r="A25" s="18" t="str">
        <f aca="false">IF('MiT Strom Pipeline'!R20="WON",IF(ISNUMBER('MiT Strom Pipeline'!A20),'MiT Strom Pipeline'!A20,""),"")</f>
        <v/>
      </c>
      <c r="B25" s="19" t="str">
        <f aca="false">IF('MiT Strom Pipeline'!R20="WON",'MiT Strom Pipeline'!B20,"")</f>
        <v/>
      </c>
      <c r="C25" s="18" t="str">
        <f aca="false">IF('MiT Strom Pipeline'!R20="WON",'MiT Strom Pipeline'!C20,"")</f>
        <v/>
      </c>
      <c r="D25" s="19" t="str">
        <f aca="false">IF('MiT Strom Pipeline'!R20="WON",'MiT Strom Pipeline'!D20,"")</f>
        <v/>
      </c>
      <c r="E25" s="19" t="str">
        <f aca="false">IF('MiT Strom Pipeline'!R20="WON",'MiT Strom Pipeline'!E20,"")</f>
        <v/>
      </c>
      <c r="F25" s="20" t="str">
        <f aca="false">IF('MiT Strom Pipeline'!R20="WON",IF(ISNUMBER('MiT Strom Pipeline'!I20),'MiT Strom Pipeline'!I20,0),"")</f>
        <v/>
      </c>
      <c r="G25" s="20" t="str">
        <f aca="false">IF('MiT Strom Pipeline'!R20="WON",IF(ISNUMBER('MiT Strom Pipeline'!Q20),'MiT Strom Pipeline'!Q20,0),"")</f>
        <v/>
      </c>
      <c r="H25" s="20" t="str">
        <f aca="false">IF('MiT Strom Pipeline'!R20="WON",IF(ISNUMBER('MiT Strom Pipeline'!O20),'MiT Strom Pipeline'!O20,0),"")</f>
        <v/>
      </c>
      <c r="I25" s="18" t="str">
        <f aca="false">IF('MiT Strom Pipeline'!R20="WON",'MiT Strom Pipeline'!R20,"")</f>
        <v/>
      </c>
      <c r="J25" s="18" t="str">
        <f aca="false">IF('MiT Strom Pipeline'!R20="WON",'MiT Strom Pipeline'!S20,"")</f>
        <v/>
      </c>
      <c r="K25" s="19" t="str">
        <f aca="false">IF('MiT Strom Pipeline'!R20="WON",IF(LEN('MiT Strom Pipeline'!V20)&gt;0,LEFT('MiT Strom Pipeline'!V20,55),""),"")</f>
        <v/>
      </c>
    </row>
    <row r="26" customFormat="false" ht="15.75" hidden="false" customHeight="true" outlineLevel="0" collapsed="false">
      <c r="A26" s="21" t="str">
        <f aca="false">IF('MiT Strom Pipeline'!R21="WON",IF(ISNUMBER('MiT Strom Pipeline'!A21),'MiT Strom Pipeline'!A21,""),"")</f>
        <v/>
      </c>
      <c r="B26" s="22" t="str">
        <f aca="false">IF('MiT Strom Pipeline'!R21="WON",'MiT Strom Pipeline'!B21,"")</f>
        <v/>
      </c>
      <c r="C26" s="21" t="str">
        <f aca="false">IF('MiT Strom Pipeline'!R21="WON",'MiT Strom Pipeline'!C21,"")</f>
        <v/>
      </c>
      <c r="D26" s="22" t="str">
        <f aca="false">IF('MiT Strom Pipeline'!R21="WON",'MiT Strom Pipeline'!D21,"")</f>
        <v/>
      </c>
      <c r="E26" s="22" t="str">
        <f aca="false">IF('MiT Strom Pipeline'!R21="WON",'MiT Strom Pipeline'!E21,"")</f>
        <v/>
      </c>
      <c r="F26" s="23" t="str">
        <f aca="false">IF('MiT Strom Pipeline'!R21="WON",IF(ISNUMBER('MiT Strom Pipeline'!I21),'MiT Strom Pipeline'!I21,0),"")</f>
        <v/>
      </c>
      <c r="G26" s="23" t="str">
        <f aca="false">IF('MiT Strom Pipeline'!R21="WON",IF(ISNUMBER('MiT Strom Pipeline'!Q21),'MiT Strom Pipeline'!Q21,0),"")</f>
        <v/>
      </c>
      <c r="H26" s="23" t="str">
        <f aca="false">IF('MiT Strom Pipeline'!R21="WON",IF(ISNUMBER('MiT Strom Pipeline'!O21),'MiT Strom Pipeline'!O21,0),"")</f>
        <v/>
      </c>
      <c r="I26" s="21" t="str">
        <f aca="false">IF('MiT Strom Pipeline'!R21="WON",'MiT Strom Pipeline'!R21,"")</f>
        <v/>
      </c>
      <c r="J26" s="21" t="str">
        <f aca="false">IF('MiT Strom Pipeline'!R21="WON",'MiT Strom Pipeline'!S21,"")</f>
        <v/>
      </c>
      <c r="K26" s="22" t="str">
        <f aca="false">IF('MiT Strom Pipeline'!R21="WON",IF(LEN('MiT Strom Pipeline'!V21)&gt;0,LEFT('MiT Strom Pipeline'!V21,55),""),"")</f>
        <v/>
      </c>
    </row>
    <row r="27" customFormat="false" ht="15.75" hidden="false" customHeight="true" outlineLevel="0" collapsed="false">
      <c r="A27" s="18" t="str">
        <f aca="false">IF('MiT Strom Pipeline'!R22="WON",IF(ISNUMBER('MiT Strom Pipeline'!A22),'MiT Strom Pipeline'!A22,""),"")</f>
        <v/>
      </c>
      <c r="B27" s="19" t="str">
        <f aca="false">IF('MiT Strom Pipeline'!R22="WON",'MiT Strom Pipeline'!B22,"")</f>
        <v/>
      </c>
      <c r="C27" s="18" t="str">
        <f aca="false">IF('MiT Strom Pipeline'!R22="WON",'MiT Strom Pipeline'!C22,"")</f>
        <v/>
      </c>
      <c r="D27" s="19" t="str">
        <f aca="false">IF('MiT Strom Pipeline'!R22="WON",'MiT Strom Pipeline'!D22,"")</f>
        <v/>
      </c>
      <c r="E27" s="19" t="str">
        <f aca="false">IF('MiT Strom Pipeline'!R22="WON",'MiT Strom Pipeline'!E22,"")</f>
        <v/>
      </c>
      <c r="F27" s="20" t="str">
        <f aca="false">IF('MiT Strom Pipeline'!R22="WON",IF(ISNUMBER('MiT Strom Pipeline'!I22),'MiT Strom Pipeline'!I22,0),"")</f>
        <v/>
      </c>
      <c r="G27" s="20" t="str">
        <f aca="false">IF('MiT Strom Pipeline'!R22="WON",IF(ISNUMBER('MiT Strom Pipeline'!Q22),'MiT Strom Pipeline'!Q22,0),"")</f>
        <v/>
      </c>
      <c r="H27" s="20" t="str">
        <f aca="false">IF('MiT Strom Pipeline'!R22="WON",IF(ISNUMBER('MiT Strom Pipeline'!O22),'MiT Strom Pipeline'!O22,0),"")</f>
        <v/>
      </c>
      <c r="I27" s="18" t="str">
        <f aca="false">IF('MiT Strom Pipeline'!R22="WON",'MiT Strom Pipeline'!R22,"")</f>
        <v/>
      </c>
      <c r="J27" s="18" t="str">
        <f aca="false">IF('MiT Strom Pipeline'!R22="WON",'MiT Strom Pipeline'!S22,"")</f>
        <v/>
      </c>
      <c r="K27" s="19" t="str">
        <f aca="false">IF('MiT Strom Pipeline'!R22="WON",IF(LEN('MiT Strom Pipeline'!V22)&gt;0,LEFT('MiT Strom Pipeline'!V22,55),""),"")</f>
        <v/>
      </c>
    </row>
    <row r="28" customFormat="false" ht="15.75" hidden="false" customHeight="true" outlineLevel="0" collapsed="false">
      <c r="A28" s="21" t="str">
        <f aca="false">IF('MiT Strom Pipeline'!R23="WON",IF(ISNUMBER('MiT Strom Pipeline'!A23),'MiT Strom Pipeline'!A23,""),"")</f>
        <v/>
      </c>
      <c r="B28" s="22" t="str">
        <f aca="false">IF('MiT Strom Pipeline'!R23="WON",'MiT Strom Pipeline'!B23,"")</f>
        <v/>
      </c>
      <c r="C28" s="21" t="str">
        <f aca="false">IF('MiT Strom Pipeline'!R23="WON",'MiT Strom Pipeline'!C23,"")</f>
        <v/>
      </c>
      <c r="D28" s="22" t="str">
        <f aca="false">IF('MiT Strom Pipeline'!R23="WON",'MiT Strom Pipeline'!D23,"")</f>
        <v/>
      </c>
      <c r="E28" s="22" t="str">
        <f aca="false">IF('MiT Strom Pipeline'!R23="WON",'MiT Strom Pipeline'!E23,"")</f>
        <v/>
      </c>
      <c r="F28" s="23" t="str">
        <f aca="false">IF('MiT Strom Pipeline'!R23="WON",IF(ISNUMBER('MiT Strom Pipeline'!I23),'MiT Strom Pipeline'!I23,0),"")</f>
        <v/>
      </c>
      <c r="G28" s="23" t="str">
        <f aca="false">IF('MiT Strom Pipeline'!R23="WON",IF(ISNUMBER('MiT Strom Pipeline'!Q23),'MiT Strom Pipeline'!Q23,0),"")</f>
        <v/>
      </c>
      <c r="H28" s="23" t="str">
        <f aca="false">IF('MiT Strom Pipeline'!R23="WON",IF(ISNUMBER('MiT Strom Pipeline'!O23),'MiT Strom Pipeline'!O23,0),"")</f>
        <v/>
      </c>
      <c r="I28" s="21" t="str">
        <f aca="false">IF('MiT Strom Pipeline'!R23="WON",'MiT Strom Pipeline'!R23,"")</f>
        <v/>
      </c>
      <c r="J28" s="21" t="str">
        <f aca="false">IF('MiT Strom Pipeline'!R23="WON",'MiT Strom Pipeline'!S23,"")</f>
        <v/>
      </c>
      <c r="K28" s="22" t="str">
        <f aca="false">IF('MiT Strom Pipeline'!R23="WON",IF(LEN('MiT Strom Pipeline'!V23)&gt;0,LEFT('MiT Strom Pipeline'!V23,55),""),"")</f>
        <v/>
      </c>
    </row>
    <row r="29" customFormat="false" ht="15.75" hidden="false" customHeight="true" outlineLevel="0" collapsed="false">
      <c r="A29" s="18" t="str">
        <f aca="false">IF('MiT Strom Pipeline'!R24="WON",IF(ISNUMBER('MiT Strom Pipeline'!A24),'MiT Strom Pipeline'!A24,""),"")</f>
        <v/>
      </c>
      <c r="B29" s="19" t="str">
        <f aca="false">IF('MiT Strom Pipeline'!R24="WON",'MiT Strom Pipeline'!B24,"")</f>
        <v/>
      </c>
      <c r="C29" s="18" t="str">
        <f aca="false">IF('MiT Strom Pipeline'!R24="WON",'MiT Strom Pipeline'!C24,"")</f>
        <v/>
      </c>
      <c r="D29" s="19" t="str">
        <f aca="false">IF('MiT Strom Pipeline'!R24="WON",'MiT Strom Pipeline'!D24,"")</f>
        <v/>
      </c>
      <c r="E29" s="19" t="str">
        <f aca="false">IF('MiT Strom Pipeline'!R24="WON",'MiT Strom Pipeline'!E24,"")</f>
        <v/>
      </c>
      <c r="F29" s="20" t="str">
        <f aca="false">IF('MiT Strom Pipeline'!R24="WON",IF(ISNUMBER('MiT Strom Pipeline'!I24),'MiT Strom Pipeline'!I24,0),"")</f>
        <v/>
      </c>
      <c r="G29" s="20" t="str">
        <f aca="false">IF('MiT Strom Pipeline'!R24="WON",IF(ISNUMBER('MiT Strom Pipeline'!Q24),'MiT Strom Pipeline'!Q24,0),"")</f>
        <v/>
      </c>
      <c r="H29" s="20" t="str">
        <f aca="false">IF('MiT Strom Pipeline'!R24="WON",IF(ISNUMBER('MiT Strom Pipeline'!O24),'MiT Strom Pipeline'!O24,0),"")</f>
        <v/>
      </c>
      <c r="I29" s="18" t="str">
        <f aca="false">IF('MiT Strom Pipeline'!R24="WON",'MiT Strom Pipeline'!R24,"")</f>
        <v/>
      </c>
      <c r="J29" s="18" t="str">
        <f aca="false">IF('MiT Strom Pipeline'!R24="WON",'MiT Strom Pipeline'!S24,"")</f>
        <v/>
      </c>
      <c r="K29" s="19" t="str">
        <f aca="false">IF('MiT Strom Pipeline'!R24="WON",IF(LEN('MiT Strom Pipeline'!V24)&gt;0,LEFT('MiT Strom Pipeline'!V24,55),""),"")</f>
        <v/>
      </c>
    </row>
    <row r="30" customFormat="false" ht="15.75" hidden="false" customHeight="true" outlineLevel="0" collapsed="false">
      <c r="A30" s="21" t="str">
        <f aca="false">IF('MiT Strom Pipeline'!R25="WON",IF(ISNUMBER('MiT Strom Pipeline'!A25),'MiT Strom Pipeline'!A25,""),"")</f>
        <v/>
      </c>
      <c r="B30" s="22" t="str">
        <f aca="false">IF('MiT Strom Pipeline'!R25="WON",'MiT Strom Pipeline'!B25,"")</f>
        <v/>
      </c>
      <c r="C30" s="21" t="str">
        <f aca="false">IF('MiT Strom Pipeline'!R25="WON",'MiT Strom Pipeline'!C25,"")</f>
        <v/>
      </c>
      <c r="D30" s="22" t="str">
        <f aca="false">IF('MiT Strom Pipeline'!R25="WON",'MiT Strom Pipeline'!D25,"")</f>
        <v/>
      </c>
      <c r="E30" s="22" t="str">
        <f aca="false">IF('MiT Strom Pipeline'!R25="WON",'MiT Strom Pipeline'!E25,"")</f>
        <v/>
      </c>
      <c r="F30" s="23" t="str">
        <f aca="false">IF('MiT Strom Pipeline'!R25="WON",IF(ISNUMBER('MiT Strom Pipeline'!I25),'MiT Strom Pipeline'!I25,0),"")</f>
        <v/>
      </c>
      <c r="G30" s="23" t="str">
        <f aca="false">IF('MiT Strom Pipeline'!R25="WON",IF(ISNUMBER('MiT Strom Pipeline'!Q25),'MiT Strom Pipeline'!Q25,0),"")</f>
        <v/>
      </c>
      <c r="H30" s="23" t="str">
        <f aca="false">IF('MiT Strom Pipeline'!R25="WON",IF(ISNUMBER('MiT Strom Pipeline'!O25),'MiT Strom Pipeline'!O25,0),"")</f>
        <v/>
      </c>
      <c r="I30" s="21" t="str">
        <f aca="false">IF('MiT Strom Pipeline'!R25="WON",'MiT Strom Pipeline'!R25,"")</f>
        <v/>
      </c>
      <c r="J30" s="21" t="str">
        <f aca="false">IF('MiT Strom Pipeline'!R25="WON",'MiT Strom Pipeline'!S25,"")</f>
        <v/>
      </c>
      <c r="K30" s="22" t="str">
        <f aca="false">IF('MiT Strom Pipeline'!R25="WON",IF(LEN('MiT Strom Pipeline'!V25)&gt;0,LEFT('MiT Strom Pipeline'!V25,55),""),"")</f>
        <v/>
      </c>
    </row>
    <row r="31" customFormat="false" ht="15.75" hidden="false" customHeight="true" outlineLevel="0" collapsed="false">
      <c r="A31" s="18" t="str">
        <f aca="false">IF('MiT Strom Pipeline'!R26="WON",IF(ISNUMBER('MiT Strom Pipeline'!A26),'MiT Strom Pipeline'!A26,""),"")</f>
        <v/>
      </c>
      <c r="B31" s="19" t="str">
        <f aca="false">IF('MiT Strom Pipeline'!R26="WON",'MiT Strom Pipeline'!B26,"")</f>
        <v/>
      </c>
      <c r="C31" s="18" t="str">
        <f aca="false">IF('MiT Strom Pipeline'!R26="WON",'MiT Strom Pipeline'!C26,"")</f>
        <v/>
      </c>
      <c r="D31" s="19" t="str">
        <f aca="false">IF('MiT Strom Pipeline'!R26="WON",'MiT Strom Pipeline'!D26,"")</f>
        <v/>
      </c>
      <c r="E31" s="19" t="str">
        <f aca="false">IF('MiT Strom Pipeline'!R26="WON",'MiT Strom Pipeline'!E26,"")</f>
        <v/>
      </c>
      <c r="F31" s="20" t="str">
        <f aca="false">IF('MiT Strom Pipeline'!R26="WON",IF(ISNUMBER('MiT Strom Pipeline'!I26),'MiT Strom Pipeline'!I26,0),"")</f>
        <v/>
      </c>
      <c r="G31" s="20" t="str">
        <f aca="false">IF('MiT Strom Pipeline'!R26="WON",IF(ISNUMBER('MiT Strom Pipeline'!Q26),'MiT Strom Pipeline'!Q26,0),"")</f>
        <v/>
      </c>
      <c r="H31" s="20" t="str">
        <f aca="false">IF('MiT Strom Pipeline'!R26="WON",IF(ISNUMBER('MiT Strom Pipeline'!O26),'MiT Strom Pipeline'!O26,0),"")</f>
        <v/>
      </c>
      <c r="I31" s="18" t="str">
        <f aca="false">IF('MiT Strom Pipeline'!R26="WON",'MiT Strom Pipeline'!R26,"")</f>
        <v/>
      </c>
      <c r="J31" s="18" t="str">
        <f aca="false">IF('MiT Strom Pipeline'!R26="WON",'MiT Strom Pipeline'!S26,"")</f>
        <v/>
      </c>
      <c r="K31" s="19" t="str">
        <f aca="false">IF('MiT Strom Pipeline'!R26="WON",IF(LEN('MiT Strom Pipeline'!V26)&gt;0,LEFT('MiT Strom Pipeline'!V26,55),""),"")</f>
        <v/>
      </c>
    </row>
    <row r="32" customFormat="false" ht="15.75" hidden="false" customHeight="true" outlineLevel="0" collapsed="false">
      <c r="A32" s="21" t="n">
        <f aca="false">IF('MiT Strom Pipeline'!R27="WON",IF(ISNUMBER('MiT Strom Pipeline'!A27),'MiT Strom Pipeline'!A27,""),"")</f>
        <v>21</v>
      </c>
      <c r="B32" s="22" t="str">
        <f aca="false">IF('MiT Strom Pipeline'!R27="WON",'MiT Strom Pipeline'!B27,"")</f>
        <v>X-Event</v>
      </c>
      <c r="C32" s="21" t="str">
        <f aca="false">IF('MiT Strom Pipeline'!R27="WON",'MiT Strom Pipeline'!C27,"")</f>
        <v>SH</v>
      </c>
      <c r="D32" s="22" t="str">
        <f aca="false">IF('MiT Strom Pipeline'!R27="WON",'MiT Strom Pipeline'!D27,"")</f>
        <v>Events / Medien</v>
      </c>
      <c r="E32" s="22" t="str">
        <f aca="false">IF('MiT Strom Pipeline'!R27="WON",'MiT Strom Pipeline'!E27,"")</f>
        <v>100 kVA Generator</v>
      </c>
      <c r="F32" s="23" t="n">
        <f aca="false">IF('MiT Strom Pipeline'!R27="WON",IF(ISNUMBER('MiT Strom Pipeline'!I27),'MiT Strom Pipeline'!I27,0),"")</f>
        <v>0</v>
      </c>
      <c r="G32" s="23" t="n">
        <f aca="false">IF('MiT Strom Pipeline'!R27="WON",IF(ISNUMBER('MiT Strom Pipeline'!Q27),'MiT Strom Pipeline'!Q27,0),"")</f>
        <v>0</v>
      </c>
      <c r="H32" s="23" t="n">
        <f aca="false">IF('MiT Strom Pipeline'!R27="WON",IF(ISNUMBER('MiT Strom Pipeline'!O27),'MiT Strom Pipeline'!O27,0),"")</f>
        <v>0</v>
      </c>
      <c r="I32" s="21" t="str">
        <f aca="false">IF('MiT Strom Pipeline'!R27="WON",'MiT Strom Pipeline'!R27,"")</f>
        <v>WON</v>
      </c>
      <c r="J32" s="21" t="n">
        <f aca="false">IF('MiT Strom Pipeline'!R27="WON",'MiT Strom Pipeline'!S27,"")</f>
        <v>1</v>
      </c>
      <c r="K32" s="24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false" customHeight="true" outlineLevel="0" collapsed="false">
      <c r="A33" s="18" t="str">
        <f aca="false">IF('MiT Strom Pipeline'!R28="WON",IF(ISNUMBER('MiT Strom Pipeline'!A28),'MiT Strom Pipeline'!A28,""),"")</f>
        <v/>
      </c>
      <c r="B33" s="19" t="str">
        <f aca="false">IF('MiT Strom Pipeline'!R28="WON",'MiT Strom Pipeline'!B28,"")</f>
        <v/>
      </c>
      <c r="C33" s="18" t="str">
        <f aca="false">IF('MiT Strom Pipeline'!R28="WON",'MiT Strom Pipeline'!C28,"")</f>
        <v/>
      </c>
      <c r="D33" s="19" t="str">
        <f aca="false">IF('MiT Strom Pipeline'!R28="WON",'MiT Strom Pipeline'!D28,"")</f>
        <v/>
      </c>
      <c r="E33" s="19" t="str">
        <f aca="false">IF('MiT Strom Pipeline'!R28="WON",'MiT Strom Pipeline'!E28,"")</f>
        <v/>
      </c>
      <c r="F33" s="20" t="str">
        <f aca="false">IF('MiT Strom Pipeline'!R28="WON",IF(ISNUMBER('MiT Strom Pipeline'!I28),'MiT Strom Pipeline'!I28,0),"")</f>
        <v/>
      </c>
      <c r="G33" s="20" t="str">
        <f aca="false">IF('MiT Strom Pipeline'!R28="WON",IF(ISNUMBER('MiT Strom Pipeline'!Q28),'MiT Strom Pipeline'!Q28,0),"")</f>
        <v/>
      </c>
      <c r="H33" s="20" t="str">
        <f aca="false">IF('MiT Strom Pipeline'!R28="WON",IF(ISNUMBER('MiT Strom Pipeline'!O28),'MiT Strom Pipeline'!O28,0),"")</f>
        <v/>
      </c>
      <c r="I33" s="18" t="str">
        <f aca="false">IF('MiT Strom Pipeline'!R28="WON",'MiT Strom Pipeline'!R28,"")</f>
        <v/>
      </c>
      <c r="J33" s="18" t="str">
        <f aca="false">IF('MiT Strom Pipeline'!R28="WON",'MiT Strom Pipeline'!S28,"")</f>
        <v/>
      </c>
      <c r="K33" s="19" t="str">
        <f aca="false">IF('MiT Strom Pipeline'!R28="WON",IF(LEN('MiT Strom Pipeline'!V28)&gt;0,LEFT('MiT Strom Pipeline'!V28,55),""),"")</f>
        <v/>
      </c>
    </row>
    <row r="34" customFormat="false" ht="15.75" hidden="false" customHeight="true" outlineLevel="0" collapsed="false">
      <c r="A34" s="21" t="str">
        <f aca="false">IF('MiT Strom Pipeline'!R29="WON",IF(ISNUMBER('MiT Strom Pipeline'!A29),'MiT Strom Pipeline'!A29,""),"")</f>
        <v/>
      </c>
      <c r="B34" s="22" t="str">
        <f aca="false">IF('MiT Strom Pipeline'!R29="WON",'MiT Strom Pipeline'!B29,"")</f>
        <v/>
      </c>
      <c r="C34" s="21" t="str">
        <f aca="false">IF('MiT Strom Pipeline'!R29="WON",'MiT Strom Pipeline'!C29,"")</f>
        <v/>
      </c>
      <c r="D34" s="22" t="str">
        <f aca="false">IF('MiT Strom Pipeline'!R29="WON",'MiT Strom Pipeline'!D29,"")</f>
        <v/>
      </c>
      <c r="E34" s="22" t="str">
        <f aca="false">IF('MiT Strom Pipeline'!R29="WON",'MiT Strom Pipeline'!E29,"")</f>
        <v/>
      </c>
      <c r="F34" s="23" t="str">
        <f aca="false">IF('MiT Strom Pipeline'!R29="WON",IF(ISNUMBER('MiT Strom Pipeline'!I29),'MiT Strom Pipeline'!I29,0),"")</f>
        <v/>
      </c>
      <c r="G34" s="23" t="str">
        <f aca="false">IF('MiT Strom Pipeline'!R29="WON",IF(ISNUMBER('MiT Strom Pipeline'!Q29),'MiT Strom Pipeline'!Q29,0),"")</f>
        <v/>
      </c>
      <c r="H34" s="23" t="str">
        <f aca="false">IF('MiT Strom Pipeline'!R29="WON",IF(ISNUMBER('MiT Strom Pipeline'!O29),'MiT Strom Pipeline'!O29,0),"")</f>
        <v/>
      </c>
      <c r="I34" s="21" t="str">
        <f aca="false">IF('MiT Strom Pipeline'!R29="WON",'MiT Strom Pipeline'!R29,"")</f>
        <v/>
      </c>
      <c r="J34" s="21" t="str">
        <f aca="false">IF('MiT Strom Pipeline'!R29="WON",'MiT Strom Pipeline'!S29,"")</f>
        <v/>
      </c>
      <c r="K34" s="22" t="str">
        <f aca="false">IF('MiT Strom Pipeline'!R29="WON",IF(LEN('MiT Strom Pipeline'!V29)&gt;0,LEFT('MiT Strom Pipeline'!V29,55),""),"")</f>
        <v/>
      </c>
    </row>
    <row r="35" customFormat="false" ht="15.75" hidden="false" customHeight="true" outlineLevel="0" collapsed="false">
      <c r="A35" s="18" t="str">
        <f aca="false">IF('MiT Strom Pipeline'!R30="WON",IF(ISNUMBER('MiT Strom Pipeline'!A30),'MiT Strom Pipeline'!A30,""),"")</f>
        <v/>
      </c>
      <c r="B35" s="19" t="str">
        <f aca="false">IF('MiT Strom Pipeline'!R30="WON",'MiT Strom Pipeline'!B30,"")</f>
        <v/>
      </c>
      <c r="C35" s="18" t="str">
        <f aca="false">IF('MiT Strom Pipeline'!R30="WON",'MiT Strom Pipeline'!C30,"")</f>
        <v/>
      </c>
      <c r="D35" s="19" t="str">
        <f aca="false">IF('MiT Strom Pipeline'!R30="WON",'MiT Strom Pipeline'!D30,"")</f>
        <v/>
      </c>
      <c r="E35" s="19" t="str">
        <f aca="false">IF('MiT Strom Pipeline'!R30="WON",'MiT Strom Pipeline'!E30,"")</f>
        <v/>
      </c>
      <c r="F35" s="20" t="str">
        <f aca="false">IF('MiT Strom Pipeline'!R30="WON",IF(ISNUMBER('MiT Strom Pipeline'!I30),'MiT Strom Pipeline'!I30,0),"")</f>
        <v/>
      </c>
      <c r="G35" s="20" t="str">
        <f aca="false">IF('MiT Strom Pipeline'!R30="WON",IF(ISNUMBER('MiT Strom Pipeline'!Q30),'MiT Strom Pipeline'!Q30,0),"")</f>
        <v/>
      </c>
      <c r="H35" s="20" t="str">
        <f aca="false">IF('MiT Strom Pipeline'!R30="WON",IF(ISNUMBER('MiT Strom Pipeline'!O30),'MiT Strom Pipeline'!O30,0),"")</f>
        <v/>
      </c>
      <c r="I35" s="18" t="str">
        <f aca="false">IF('MiT Strom Pipeline'!R30="WON",'MiT Strom Pipeline'!R30,"")</f>
        <v/>
      </c>
      <c r="J35" s="18" t="str">
        <f aca="false">IF('MiT Strom Pipeline'!R30="WON",'MiT Strom Pipeline'!S30,"")</f>
        <v/>
      </c>
      <c r="K35" s="19" t="str">
        <f aca="false">IF('MiT Strom Pipeline'!R30="WON",IF(LEN('MiT Strom Pipeline'!V30)&gt;0,LEFT('MiT Strom Pipeline'!V30,55),""),"")</f>
        <v/>
      </c>
    </row>
    <row r="36" customFormat="false" ht="15.75" hidden="false" customHeight="true" outlineLevel="0" collapsed="false">
      <c r="A36" s="21" t="str">
        <f aca="false">IF('MiT Strom Pipeline'!R31="WON",IF(ISNUMBER('MiT Strom Pipeline'!A31),'MiT Strom Pipeline'!A31,""),"")</f>
        <v/>
      </c>
      <c r="B36" s="22" t="str">
        <f aca="false">IF('MiT Strom Pipeline'!R31="WON",'MiT Strom Pipeline'!B31,"")</f>
        <v/>
      </c>
      <c r="C36" s="21" t="str">
        <f aca="false">IF('MiT Strom Pipeline'!R31="WON",'MiT Strom Pipeline'!C31,"")</f>
        <v/>
      </c>
      <c r="D36" s="22" t="str">
        <f aca="false">IF('MiT Strom Pipeline'!R31="WON",'MiT Strom Pipeline'!D31,"")</f>
        <v/>
      </c>
      <c r="E36" s="22" t="str">
        <f aca="false">IF('MiT Strom Pipeline'!R31="WON",'MiT Strom Pipeline'!E31,"")</f>
        <v/>
      </c>
      <c r="F36" s="23" t="str">
        <f aca="false">IF('MiT Strom Pipeline'!R31="WON",IF(ISNUMBER('MiT Strom Pipeline'!I31),'MiT Strom Pipeline'!I31,0),"")</f>
        <v/>
      </c>
      <c r="G36" s="23" t="str">
        <f aca="false">IF('MiT Strom Pipeline'!R31="WON",IF(ISNUMBER('MiT Strom Pipeline'!Q31),'MiT Strom Pipeline'!Q31,0),"")</f>
        <v/>
      </c>
      <c r="H36" s="23" t="str">
        <f aca="false">IF('MiT Strom Pipeline'!R31="WON",IF(ISNUMBER('MiT Strom Pipeline'!O31),'MiT Strom Pipeline'!O31,0),"")</f>
        <v/>
      </c>
      <c r="I36" s="21" t="str">
        <f aca="false">IF('MiT Strom Pipeline'!R31="WON",'MiT Strom Pipeline'!R31,"")</f>
        <v/>
      </c>
      <c r="J36" s="21" t="str">
        <f aca="false">IF('MiT Strom Pipeline'!R31="WON",'MiT Strom Pipeline'!S31,"")</f>
        <v/>
      </c>
      <c r="K36" s="22" t="str">
        <f aca="false">IF('MiT Strom Pipeline'!R31="WON",IF(LEN('MiT Strom Pipeline'!V31)&gt;0,LEFT('MiT Strom Pipeline'!V31,55),""),"")</f>
        <v/>
      </c>
    </row>
    <row r="37" customFormat="false" ht="15.75" hidden="false" customHeight="true" outlineLevel="0" collapsed="false">
      <c r="A37" s="18" t="str">
        <f aca="false">IF('MiT Strom Pipeline'!R32="WON",IF(ISNUMBER('MiT Strom Pipeline'!A32),'MiT Strom Pipeline'!A32,""),"")</f>
        <v/>
      </c>
      <c r="B37" s="19" t="str">
        <f aca="false">IF('MiT Strom Pipeline'!R32="WON",'MiT Strom Pipeline'!B32,"")</f>
        <v/>
      </c>
      <c r="C37" s="18" t="str">
        <f aca="false">IF('MiT Strom Pipeline'!R32="WON",'MiT Strom Pipeline'!C32,"")</f>
        <v/>
      </c>
      <c r="D37" s="19" t="str">
        <f aca="false">IF('MiT Strom Pipeline'!R32="WON",'MiT Strom Pipeline'!D32,"")</f>
        <v/>
      </c>
      <c r="E37" s="19" t="str">
        <f aca="false">IF('MiT Strom Pipeline'!R32="WON",'MiT Strom Pipeline'!E32,"")</f>
        <v/>
      </c>
      <c r="F37" s="20" t="str">
        <f aca="false">IF('MiT Strom Pipeline'!R32="WON",IF(ISNUMBER('MiT Strom Pipeline'!I32),'MiT Strom Pipeline'!I32,0),"")</f>
        <v/>
      </c>
      <c r="G37" s="20" t="str">
        <f aca="false">IF('MiT Strom Pipeline'!R32="WON",IF(ISNUMBER('MiT Strom Pipeline'!Q32),'MiT Strom Pipeline'!Q32,0),"")</f>
        <v/>
      </c>
      <c r="H37" s="20" t="str">
        <f aca="false">IF('MiT Strom Pipeline'!R32="WON",IF(ISNUMBER('MiT Strom Pipeline'!O32),'MiT Strom Pipeline'!O32,0),"")</f>
        <v/>
      </c>
      <c r="I37" s="18" t="str">
        <f aca="false">IF('MiT Strom Pipeline'!R32="WON",'MiT Strom Pipeline'!R32,"")</f>
        <v/>
      </c>
      <c r="J37" s="18" t="str">
        <f aca="false">IF('MiT Strom Pipeline'!R32="WON",'MiT Strom Pipeline'!S32,"")</f>
        <v/>
      </c>
      <c r="K37" s="19" t="str">
        <f aca="false">IF('MiT Strom Pipeline'!R32="WON",IF(LEN('MiT Strom Pipeline'!V32)&gt;0,LEFT('MiT Strom Pipeline'!V32,55),""),"")</f>
        <v/>
      </c>
    </row>
    <row r="38" customFormat="false" ht="15.75" hidden="false" customHeight="true" outlineLevel="0" collapsed="false">
      <c r="A38" s="21" t="str">
        <f aca="false">IF('MiT Strom Pipeline'!R33="WON",IF(ISNUMBER('MiT Strom Pipeline'!A33),'MiT Strom Pipeline'!A33,""),"")</f>
        <v/>
      </c>
      <c r="B38" s="22" t="str">
        <f aca="false">IF('MiT Strom Pipeline'!R33="WON",'MiT Strom Pipeline'!B33,"")</f>
        <v/>
      </c>
      <c r="C38" s="21" t="str">
        <f aca="false">IF('MiT Strom Pipeline'!R33="WON",'MiT Strom Pipeline'!C33,"")</f>
        <v/>
      </c>
      <c r="D38" s="22" t="str">
        <f aca="false">IF('MiT Strom Pipeline'!R33="WON",'MiT Strom Pipeline'!D33,"")</f>
        <v/>
      </c>
      <c r="E38" s="22" t="str">
        <f aca="false">IF('MiT Strom Pipeline'!R33="WON",'MiT Strom Pipeline'!E33,"")</f>
        <v/>
      </c>
      <c r="F38" s="23" t="str">
        <f aca="false">IF('MiT Strom Pipeline'!R33="WON",IF(ISNUMBER('MiT Strom Pipeline'!I33),'MiT Strom Pipeline'!I33,0),"")</f>
        <v/>
      </c>
      <c r="G38" s="23" t="str">
        <f aca="false">IF('MiT Strom Pipeline'!R33="WON",IF(ISNUMBER('MiT Strom Pipeline'!Q33),'MiT Strom Pipeline'!Q33,0),"")</f>
        <v/>
      </c>
      <c r="H38" s="23" t="str">
        <f aca="false">IF('MiT Strom Pipeline'!R33="WON",IF(ISNUMBER('MiT Strom Pipeline'!O33),'MiT Strom Pipeline'!O33,0),"")</f>
        <v/>
      </c>
      <c r="I38" s="21" t="str">
        <f aca="false">IF('MiT Strom Pipeline'!R33="WON",'MiT Strom Pipeline'!R33,"")</f>
        <v/>
      </c>
      <c r="J38" s="21" t="str">
        <f aca="false">IF('MiT Strom Pipeline'!R33="WON",'MiT Strom Pipeline'!S33,"")</f>
        <v/>
      </c>
      <c r="K38" s="22" t="str">
        <f aca="false">IF('MiT Strom Pipeline'!R33="WON",IF(LEN('MiT Strom Pipeline'!V33)&gt;0,LEFT('MiT Strom Pipeline'!V33,55),""),"")</f>
        <v/>
      </c>
    </row>
    <row r="39" customFormat="false" ht="15.75" hidden="false" customHeight="true" outlineLevel="0" collapsed="false">
      <c r="A39" s="18" t="str">
        <f aca="false">IF('MiT Strom Pipeline'!R34="WON",IF(ISNUMBER('MiT Strom Pipeline'!A34),'MiT Strom Pipeline'!A34,""),"")</f>
        <v/>
      </c>
      <c r="B39" s="19" t="str">
        <f aca="false">IF('MiT Strom Pipeline'!R34="WON",'MiT Strom Pipeline'!B34,"")</f>
        <v/>
      </c>
      <c r="C39" s="18" t="str">
        <f aca="false">IF('MiT Strom Pipeline'!R34="WON",'MiT Strom Pipeline'!C34,"")</f>
        <v/>
      </c>
      <c r="D39" s="19" t="str">
        <f aca="false">IF('MiT Strom Pipeline'!R34="WON",'MiT Strom Pipeline'!D34,"")</f>
        <v/>
      </c>
      <c r="E39" s="19" t="str">
        <f aca="false">IF('MiT Strom Pipeline'!R34="WON",'MiT Strom Pipeline'!E34,"")</f>
        <v/>
      </c>
      <c r="F39" s="20" t="str">
        <f aca="false">IF('MiT Strom Pipeline'!R34="WON",IF(ISNUMBER('MiT Strom Pipeline'!I34),'MiT Strom Pipeline'!I34,0),"")</f>
        <v/>
      </c>
      <c r="G39" s="20" t="str">
        <f aca="false">IF('MiT Strom Pipeline'!R34="WON",IF(ISNUMBER('MiT Strom Pipeline'!Q34),'MiT Strom Pipeline'!Q34,0),"")</f>
        <v/>
      </c>
      <c r="H39" s="20" t="str">
        <f aca="false">IF('MiT Strom Pipeline'!R34="WON",IF(ISNUMBER('MiT Strom Pipeline'!O34),'MiT Strom Pipeline'!O34,0),"")</f>
        <v/>
      </c>
      <c r="I39" s="18" t="str">
        <f aca="false">IF('MiT Strom Pipeline'!R34="WON",'MiT Strom Pipeline'!R34,"")</f>
        <v/>
      </c>
      <c r="J39" s="18" t="str">
        <f aca="false">IF('MiT Strom Pipeline'!R34="WON",'MiT Strom Pipeline'!S34,"")</f>
        <v/>
      </c>
      <c r="K39" s="19" t="str">
        <f aca="false">IF('MiT Strom Pipeline'!R34="WON",IF(LEN('MiT Strom Pipeline'!V34)&gt;0,LEFT('MiT Strom Pipeline'!V34,55),""),"")</f>
        <v/>
      </c>
    </row>
    <row r="40" customFormat="false" ht="15.75" hidden="false" customHeight="true" outlineLevel="0" collapsed="false">
      <c r="A40" s="21" t="str">
        <f aca="false">IF('MiT Strom Pipeline'!R35="WON",IF(ISNUMBER('MiT Strom Pipeline'!A35),'MiT Strom Pipeline'!A35,""),"")</f>
        <v/>
      </c>
      <c r="B40" s="22" t="str">
        <f aca="false">IF('MiT Strom Pipeline'!R35="WON",'MiT Strom Pipeline'!B35,"")</f>
        <v/>
      </c>
      <c r="C40" s="21" t="str">
        <f aca="false">IF('MiT Strom Pipeline'!R35="WON",'MiT Strom Pipeline'!C35,"")</f>
        <v/>
      </c>
      <c r="D40" s="22" t="str">
        <f aca="false">IF('MiT Strom Pipeline'!R35="WON",'MiT Strom Pipeline'!D35,"")</f>
        <v/>
      </c>
      <c r="E40" s="22" t="str">
        <f aca="false">IF('MiT Strom Pipeline'!R35="WON",'MiT Strom Pipeline'!E35,"")</f>
        <v/>
      </c>
      <c r="F40" s="23" t="str">
        <f aca="false">IF('MiT Strom Pipeline'!R35="WON",IF(ISNUMBER('MiT Strom Pipeline'!I35),'MiT Strom Pipeline'!I35,0),"")</f>
        <v/>
      </c>
      <c r="G40" s="23" t="str">
        <f aca="false">IF('MiT Strom Pipeline'!R35="WON",IF(ISNUMBER('MiT Strom Pipeline'!Q35),'MiT Strom Pipeline'!Q35,0),"")</f>
        <v/>
      </c>
      <c r="H40" s="23" t="str">
        <f aca="false">IF('MiT Strom Pipeline'!R35="WON",IF(ISNUMBER('MiT Strom Pipeline'!O35),'MiT Strom Pipeline'!O35,0),"")</f>
        <v/>
      </c>
      <c r="I40" s="21" t="str">
        <f aca="false">IF('MiT Strom Pipeline'!R35="WON",'MiT Strom Pipeline'!R35,"")</f>
        <v/>
      </c>
      <c r="J40" s="21" t="str">
        <f aca="false">IF('MiT Strom Pipeline'!R35="WON",'MiT Strom Pipeline'!S35,"")</f>
        <v/>
      </c>
      <c r="K40" s="22" t="str">
        <f aca="false">IF('MiT Strom Pipeline'!R35="WON",IF(LEN('MiT Strom Pipeline'!V35)&gt;0,LEFT('MiT Strom Pipeline'!V35,55),""),"")</f>
        <v/>
      </c>
    </row>
    <row r="41" customFormat="false" ht="15.75" hidden="false" customHeight="true" outlineLevel="0" collapsed="false">
      <c r="A41" s="18" t="str">
        <f aca="false">IF('MiT Strom Pipeline'!R36="WON",IF(ISNUMBER('MiT Strom Pipeline'!A36),'MiT Strom Pipeline'!A36,""),"")</f>
        <v/>
      </c>
      <c r="B41" s="19" t="str">
        <f aca="false">IF('MiT Strom Pipeline'!R36="WON",'MiT Strom Pipeline'!B36,"")</f>
        <v/>
      </c>
      <c r="C41" s="18" t="str">
        <f aca="false">IF('MiT Strom Pipeline'!R36="WON",'MiT Strom Pipeline'!C36,"")</f>
        <v/>
      </c>
      <c r="D41" s="19" t="str">
        <f aca="false">IF('MiT Strom Pipeline'!R36="WON",'MiT Strom Pipeline'!D36,"")</f>
        <v/>
      </c>
      <c r="E41" s="19" t="str">
        <f aca="false">IF('MiT Strom Pipeline'!R36="WON",'MiT Strom Pipeline'!E36,"")</f>
        <v/>
      </c>
      <c r="F41" s="20" t="str">
        <f aca="false">IF('MiT Strom Pipeline'!R36="WON",IF(ISNUMBER('MiT Strom Pipeline'!I36),'MiT Strom Pipeline'!I36,0),"")</f>
        <v/>
      </c>
      <c r="G41" s="20" t="str">
        <f aca="false">IF('MiT Strom Pipeline'!R36="WON",IF(ISNUMBER('MiT Strom Pipeline'!Q36),'MiT Strom Pipeline'!Q36,0),"")</f>
        <v/>
      </c>
      <c r="H41" s="20" t="str">
        <f aca="false">IF('MiT Strom Pipeline'!R36="WON",IF(ISNUMBER('MiT Strom Pipeline'!O36),'MiT Strom Pipeline'!O36,0),"")</f>
        <v/>
      </c>
      <c r="I41" s="18" t="str">
        <f aca="false">IF('MiT Strom Pipeline'!R36="WON",'MiT Strom Pipeline'!R36,"")</f>
        <v/>
      </c>
      <c r="J41" s="18" t="str">
        <f aca="false">IF('MiT Strom Pipeline'!R36="WON",'MiT Strom Pipeline'!S36,"")</f>
        <v/>
      </c>
      <c r="K41" s="19" t="str">
        <f aca="false">IF('MiT Strom Pipeline'!R36="WON",IF(LEN('MiT Strom Pipeline'!V36)&gt;0,LEFT('MiT Strom Pipeline'!V36,55),""),"")</f>
        <v/>
      </c>
    </row>
    <row r="42" customFormat="false" ht="15.75" hidden="false" customHeight="true" outlineLevel="0" collapsed="false">
      <c r="A42" s="21" t="str">
        <f aca="false">IF('MiT Strom Pipeline'!R37="WON",IF(ISNUMBER('MiT Strom Pipeline'!A37),'MiT Strom Pipeline'!A37,""),"")</f>
        <v/>
      </c>
      <c r="B42" s="22" t="str">
        <f aca="false">IF('MiT Strom Pipeline'!R37="WON",'MiT Strom Pipeline'!B37,"")</f>
        <v/>
      </c>
      <c r="C42" s="21" t="str">
        <f aca="false">IF('MiT Strom Pipeline'!R37="WON",'MiT Strom Pipeline'!C37,"")</f>
        <v/>
      </c>
      <c r="D42" s="22" t="str">
        <f aca="false">IF('MiT Strom Pipeline'!R37="WON",'MiT Strom Pipeline'!D37,"")</f>
        <v/>
      </c>
      <c r="E42" s="22" t="str">
        <f aca="false">IF('MiT Strom Pipeline'!R37="WON",'MiT Strom Pipeline'!E37,"")</f>
        <v/>
      </c>
      <c r="F42" s="23" t="str">
        <f aca="false">IF('MiT Strom Pipeline'!R37="WON",IF(ISNUMBER('MiT Strom Pipeline'!I37),'MiT Strom Pipeline'!I37,0),"")</f>
        <v/>
      </c>
      <c r="G42" s="23" t="str">
        <f aca="false">IF('MiT Strom Pipeline'!R37="WON",IF(ISNUMBER('MiT Strom Pipeline'!Q37),'MiT Strom Pipeline'!Q37,0),"")</f>
        <v/>
      </c>
      <c r="H42" s="23" t="str">
        <f aca="false">IF('MiT Strom Pipeline'!R37="WON",IF(ISNUMBER('MiT Strom Pipeline'!O37),'MiT Strom Pipeline'!O37,0),"")</f>
        <v/>
      </c>
      <c r="I42" s="21" t="str">
        <f aca="false">IF('MiT Strom Pipeline'!R37="WON",'MiT Strom Pipeline'!R37,"")</f>
        <v/>
      </c>
      <c r="J42" s="21" t="str">
        <f aca="false">IF('MiT Strom Pipeline'!R37="WON",'MiT Strom Pipeline'!S37,"")</f>
        <v/>
      </c>
      <c r="K42" s="22" t="str">
        <f aca="false">IF('MiT Strom Pipeline'!R37="WON",IF(LEN('MiT Strom Pipeline'!V37)&gt;0,LEFT('MiT Strom Pipeline'!V37,55),""),"")</f>
        <v/>
      </c>
    </row>
    <row r="43" customFormat="false" ht="15.75" hidden="false" customHeight="true" outlineLevel="0" collapsed="false">
      <c r="A43" s="18" t="str">
        <f aca="false">IF('MiT Strom Pipeline'!R38="WON",IF(ISNUMBER('MiT Strom Pipeline'!A38),'MiT Strom Pipeline'!A38,""),"")</f>
        <v/>
      </c>
      <c r="B43" s="19" t="str">
        <f aca="false">IF('MiT Strom Pipeline'!R38="WON",'MiT Strom Pipeline'!B38,"")</f>
        <v/>
      </c>
      <c r="C43" s="18" t="str">
        <f aca="false">IF('MiT Strom Pipeline'!R38="WON",'MiT Strom Pipeline'!C38,"")</f>
        <v/>
      </c>
      <c r="D43" s="19" t="str">
        <f aca="false">IF('MiT Strom Pipeline'!R38="WON",'MiT Strom Pipeline'!D38,"")</f>
        <v/>
      </c>
      <c r="E43" s="19" t="str">
        <f aca="false">IF('MiT Strom Pipeline'!R38="WON",'MiT Strom Pipeline'!E38,"")</f>
        <v/>
      </c>
      <c r="F43" s="20" t="str">
        <f aca="false">IF('MiT Strom Pipeline'!R38="WON",IF(ISNUMBER('MiT Strom Pipeline'!I38),'MiT Strom Pipeline'!I38,0),"")</f>
        <v/>
      </c>
      <c r="G43" s="20" t="str">
        <f aca="false">IF('MiT Strom Pipeline'!R38="WON",IF(ISNUMBER('MiT Strom Pipeline'!Q38),'MiT Strom Pipeline'!Q38,0),"")</f>
        <v/>
      </c>
      <c r="H43" s="20" t="str">
        <f aca="false">IF('MiT Strom Pipeline'!R38="WON",IF(ISNUMBER('MiT Strom Pipeline'!O38),'MiT Strom Pipeline'!O38,0),"")</f>
        <v/>
      </c>
      <c r="I43" s="18" t="str">
        <f aca="false">IF('MiT Strom Pipeline'!R38="WON",'MiT Strom Pipeline'!R38,"")</f>
        <v/>
      </c>
      <c r="J43" s="18" t="str">
        <f aca="false">IF('MiT Strom Pipeline'!R38="WON",'MiT Strom Pipeline'!S38,"")</f>
        <v/>
      </c>
      <c r="K43" s="19" t="str">
        <f aca="false">IF('MiT Strom Pipeline'!R38="WON",IF(LEN('MiT Strom Pipeline'!V38)&gt;0,LEFT('MiT Strom Pipeline'!V38,55),""),"")</f>
        <v/>
      </c>
    </row>
    <row r="44" customFormat="false" ht="15.75" hidden="false" customHeight="true" outlineLevel="0" collapsed="false">
      <c r="A44" s="21" t="str">
        <f aca="false">IF('MiT Strom Pipeline'!R39="WON",IF(ISNUMBER('MiT Strom Pipeline'!A39),'MiT Strom Pipeline'!A39,""),"")</f>
        <v/>
      </c>
      <c r="B44" s="22" t="str">
        <f aca="false">IF('MiT Strom Pipeline'!R39="WON",'MiT Strom Pipeline'!B39,"")</f>
        <v/>
      </c>
      <c r="C44" s="21" t="str">
        <f aca="false">IF('MiT Strom Pipeline'!R39="WON",'MiT Strom Pipeline'!C39,"")</f>
        <v/>
      </c>
      <c r="D44" s="22" t="str">
        <f aca="false">IF('MiT Strom Pipeline'!R39="WON",'MiT Strom Pipeline'!D39,"")</f>
        <v/>
      </c>
      <c r="E44" s="22" t="str">
        <f aca="false">IF('MiT Strom Pipeline'!R39="WON",'MiT Strom Pipeline'!E39,"")</f>
        <v/>
      </c>
      <c r="F44" s="23" t="str">
        <f aca="false">IF('MiT Strom Pipeline'!R39="WON",IF(ISNUMBER('MiT Strom Pipeline'!I39),'MiT Strom Pipeline'!I39,0),"")</f>
        <v/>
      </c>
      <c r="G44" s="23" t="str">
        <f aca="false">IF('MiT Strom Pipeline'!R39="WON",IF(ISNUMBER('MiT Strom Pipeline'!Q39),'MiT Strom Pipeline'!Q39,0),"")</f>
        <v/>
      </c>
      <c r="H44" s="23" t="str">
        <f aca="false">IF('MiT Strom Pipeline'!R39="WON",IF(ISNUMBER('MiT Strom Pipeline'!O39),'MiT Strom Pipeline'!O39,0),"")</f>
        <v/>
      </c>
      <c r="I44" s="21" t="str">
        <f aca="false">IF('MiT Strom Pipeline'!R39="WON",'MiT Strom Pipeline'!R39,"")</f>
        <v/>
      </c>
      <c r="J44" s="21" t="str">
        <f aca="false">IF('MiT Strom Pipeline'!R39="WON",'MiT Strom Pipeline'!S39,"")</f>
        <v/>
      </c>
      <c r="K44" s="22" t="str">
        <f aca="false">IF('MiT Strom Pipeline'!R39="WON",IF(LEN('MiT Strom Pipeline'!V39)&gt;0,LEFT('MiT Strom Pipeline'!V39,55),""),"")</f>
        <v/>
      </c>
    </row>
    <row r="45" customFormat="false" ht="15.75" hidden="false" customHeight="true" outlineLevel="0" collapsed="false">
      <c r="A45" s="18" t="str">
        <f aca="false">IF('MiT Strom Pipeline'!R40="WON",IF(ISNUMBER('MiT Strom Pipeline'!A40),'MiT Strom Pipeline'!A40,""),"")</f>
        <v/>
      </c>
      <c r="B45" s="19" t="str">
        <f aca="false">IF('MiT Strom Pipeline'!R40="WON",'MiT Strom Pipeline'!B40,"")</f>
        <v/>
      </c>
      <c r="C45" s="18" t="str">
        <f aca="false">IF('MiT Strom Pipeline'!R40="WON",'MiT Strom Pipeline'!C40,"")</f>
        <v/>
      </c>
      <c r="D45" s="19" t="str">
        <f aca="false">IF('MiT Strom Pipeline'!R40="WON",'MiT Strom Pipeline'!D40,"")</f>
        <v/>
      </c>
      <c r="E45" s="19" t="str">
        <f aca="false">IF('MiT Strom Pipeline'!R40="WON",'MiT Strom Pipeline'!E40,"")</f>
        <v/>
      </c>
      <c r="F45" s="20" t="str">
        <f aca="false">IF('MiT Strom Pipeline'!R40="WON",IF(ISNUMBER('MiT Strom Pipeline'!I40),'MiT Strom Pipeline'!I40,0),"")</f>
        <v/>
      </c>
      <c r="G45" s="20" t="str">
        <f aca="false">IF('MiT Strom Pipeline'!R40="WON",IF(ISNUMBER('MiT Strom Pipeline'!Q40),'MiT Strom Pipeline'!Q40,0),"")</f>
        <v/>
      </c>
      <c r="H45" s="20" t="str">
        <f aca="false">IF('MiT Strom Pipeline'!R40="WON",IF(ISNUMBER('MiT Strom Pipeline'!O40),'MiT Strom Pipeline'!O40,0),"")</f>
        <v/>
      </c>
      <c r="I45" s="18" t="str">
        <f aca="false">IF('MiT Strom Pipeline'!R40="WON",'MiT Strom Pipeline'!R40,"")</f>
        <v/>
      </c>
      <c r="J45" s="18" t="str">
        <f aca="false">IF('MiT Strom Pipeline'!R40="WON",'MiT Strom Pipeline'!S40,"")</f>
        <v/>
      </c>
      <c r="K45" s="19" t="str">
        <f aca="false">IF('MiT Strom Pipeline'!R40="WON",IF(LEN('MiT Strom Pipeline'!V40)&gt;0,LEFT('MiT Strom Pipeline'!V40,55),""),"")</f>
        <v/>
      </c>
    </row>
    <row r="46" customFormat="false" ht="15.75" hidden="false" customHeight="true" outlineLevel="0" collapsed="false">
      <c r="A46" s="21" t="str">
        <f aca="false">IF('MiT Strom Pipeline'!R41="WON",IF(ISNUMBER('MiT Strom Pipeline'!A41),'MiT Strom Pipeline'!A41,""),"")</f>
        <v/>
      </c>
      <c r="B46" s="22" t="str">
        <f aca="false">IF('MiT Strom Pipeline'!R41="WON",'MiT Strom Pipeline'!B41,"")</f>
        <v/>
      </c>
      <c r="C46" s="21" t="str">
        <f aca="false">IF('MiT Strom Pipeline'!R41="WON",'MiT Strom Pipeline'!C41,"")</f>
        <v/>
      </c>
      <c r="D46" s="22" t="str">
        <f aca="false">IF('MiT Strom Pipeline'!R41="WON",'MiT Strom Pipeline'!D41,"")</f>
        <v/>
      </c>
      <c r="E46" s="22" t="str">
        <f aca="false">IF('MiT Strom Pipeline'!R41="WON",'MiT Strom Pipeline'!E41,"")</f>
        <v/>
      </c>
      <c r="F46" s="23" t="str">
        <f aca="false">IF('MiT Strom Pipeline'!R41="WON",IF(ISNUMBER('MiT Strom Pipeline'!I41),'MiT Strom Pipeline'!I41,0),"")</f>
        <v/>
      </c>
      <c r="G46" s="23" t="str">
        <f aca="false">IF('MiT Strom Pipeline'!R41="WON",IF(ISNUMBER('MiT Strom Pipeline'!Q41),'MiT Strom Pipeline'!Q41,0),"")</f>
        <v/>
      </c>
      <c r="H46" s="23" t="str">
        <f aca="false">IF('MiT Strom Pipeline'!R41="WON",IF(ISNUMBER('MiT Strom Pipeline'!O41),'MiT Strom Pipeline'!O41,0),"")</f>
        <v/>
      </c>
      <c r="I46" s="21" t="str">
        <f aca="false">IF('MiT Strom Pipeline'!R41="WON",'MiT Strom Pipeline'!R41,"")</f>
        <v/>
      </c>
      <c r="J46" s="21" t="str">
        <f aca="false">IF('MiT Strom Pipeline'!R41="WON",'MiT Strom Pipeline'!S41,"")</f>
        <v/>
      </c>
      <c r="K46" s="22" t="str">
        <f aca="false">IF('MiT Strom Pipeline'!R41="WON",IF(LEN('MiT Strom Pipeline'!V41)&gt;0,LEFT('MiT Strom Pipeline'!V41,55),""),"")</f>
        <v/>
      </c>
    </row>
    <row r="47" customFormat="false" ht="15.75" hidden="false" customHeight="true" outlineLevel="0" collapsed="false">
      <c r="A47" s="18" t="str">
        <f aca="false">IF('MiT Strom Pipeline'!R42="WON",IF(ISNUMBER('MiT Strom Pipeline'!A42),'MiT Strom Pipeline'!A42,""),"")</f>
        <v/>
      </c>
      <c r="B47" s="19" t="str">
        <f aca="false">IF('MiT Strom Pipeline'!R42="WON",'MiT Strom Pipeline'!B42,"")</f>
        <v/>
      </c>
      <c r="C47" s="18" t="str">
        <f aca="false">IF('MiT Strom Pipeline'!R42="WON",'MiT Strom Pipeline'!C42,"")</f>
        <v/>
      </c>
      <c r="D47" s="19" t="str">
        <f aca="false">IF('MiT Strom Pipeline'!R42="WON",'MiT Strom Pipeline'!D42,"")</f>
        <v/>
      </c>
      <c r="E47" s="19" t="str">
        <f aca="false">IF('MiT Strom Pipeline'!R42="WON",'MiT Strom Pipeline'!E42,"")</f>
        <v/>
      </c>
      <c r="F47" s="20" t="str">
        <f aca="false">IF('MiT Strom Pipeline'!R42="WON",IF(ISNUMBER('MiT Strom Pipeline'!I42),'MiT Strom Pipeline'!I42,0),"")</f>
        <v/>
      </c>
      <c r="G47" s="20" t="str">
        <f aca="false">IF('MiT Strom Pipeline'!R42="WON",IF(ISNUMBER('MiT Strom Pipeline'!Q42),'MiT Strom Pipeline'!Q42,0),"")</f>
        <v/>
      </c>
      <c r="H47" s="20" t="str">
        <f aca="false">IF('MiT Strom Pipeline'!R42="WON",IF(ISNUMBER('MiT Strom Pipeline'!O42),'MiT Strom Pipeline'!O42,0),"")</f>
        <v/>
      </c>
      <c r="I47" s="18" t="str">
        <f aca="false">IF('MiT Strom Pipeline'!R42="WON",'MiT Strom Pipeline'!R42,"")</f>
        <v/>
      </c>
      <c r="J47" s="18" t="str">
        <f aca="false">IF('MiT Strom Pipeline'!R42="WON",'MiT Strom Pipeline'!S42,"")</f>
        <v/>
      </c>
      <c r="K47" s="19" t="str">
        <f aca="false">IF('MiT Strom Pipeline'!R42="WON",IF(LEN('MiT Strom Pipeline'!V42)&gt;0,LEFT('MiT Strom Pipeline'!V42,55),""),"")</f>
        <v/>
      </c>
    </row>
    <row r="48" customFormat="false" ht="15.75" hidden="false" customHeight="true" outlineLevel="0" collapsed="false">
      <c r="A48" s="21" t="str">
        <f aca="false">IF('MiT Strom Pipeline'!R43="WON",IF(ISNUMBER('MiT Strom Pipeline'!A43),'MiT Strom Pipeline'!A43,""),"")</f>
        <v/>
      </c>
      <c r="B48" s="22" t="str">
        <f aca="false">IF('MiT Strom Pipeline'!R43="WON",'MiT Strom Pipeline'!B43,"")</f>
        <v/>
      </c>
      <c r="C48" s="21" t="str">
        <f aca="false">IF('MiT Strom Pipeline'!R43="WON",'MiT Strom Pipeline'!C43,"")</f>
        <v/>
      </c>
      <c r="D48" s="22" t="str">
        <f aca="false">IF('MiT Strom Pipeline'!R43="WON",'MiT Strom Pipeline'!D43,"")</f>
        <v/>
      </c>
      <c r="E48" s="22" t="str">
        <f aca="false">IF('MiT Strom Pipeline'!R43="WON",'MiT Strom Pipeline'!E43,"")</f>
        <v/>
      </c>
      <c r="F48" s="23" t="str">
        <f aca="false">IF('MiT Strom Pipeline'!R43="WON",IF(ISNUMBER('MiT Strom Pipeline'!I43),'MiT Strom Pipeline'!I43,0),"")</f>
        <v/>
      </c>
      <c r="G48" s="23" t="str">
        <f aca="false">IF('MiT Strom Pipeline'!R43="WON",IF(ISNUMBER('MiT Strom Pipeline'!Q43),'MiT Strom Pipeline'!Q43,0),"")</f>
        <v/>
      </c>
      <c r="H48" s="23" t="str">
        <f aca="false">IF('MiT Strom Pipeline'!R43="WON",IF(ISNUMBER('MiT Strom Pipeline'!O43),'MiT Strom Pipeline'!O43,0),"")</f>
        <v/>
      </c>
      <c r="I48" s="21" t="str">
        <f aca="false">IF('MiT Strom Pipeline'!R43="WON",'MiT Strom Pipeline'!R43,"")</f>
        <v/>
      </c>
      <c r="J48" s="21" t="str">
        <f aca="false">IF('MiT Strom Pipeline'!R43="WON",'MiT Strom Pipeline'!S43,"")</f>
        <v/>
      </c>
      <c r="K48" s="22" t="str">
        <f aca="false">IF('MiT Strom Pipeline'!R43="WON",IF(LEN('MiT Strom Pipeline'!V43)&gt;0,LEFT('MiT Strom Pipeline'!V43,55),""),"")</f>
        <v/>
      </c>
    </row>
    <row r="49" customFormat="false" ht="15.75" hidden="false" customHeight="true" outlineLevel="0" collapsed="false">
      <c r="A49" s="18" t="str">
        <f aca="false">IF('MiT Strom Pipeline'!R44="WON",IF(ISNUMBER('MiT Strom Pipeline'!A44),'MiT Strom Pipeline'!A44,""),"")</f>
        <v/>
      </c>
      <c r="B49" s="19" t="str">
        <f aca="false">IF('MiT Strom Pipeline'!R44="WON",'MiT Strom Pipeline'!B44,"")</f>
        <v/>
      </c>
      <c r="C49" s="18" t="str">
        <f aca="false">IF('MiT Strom Pipeline'!R44="WON",'MiT Strom Pipeline'!C44,"")</f>
        <v/>
      </c>
      <c r="D49" s="19" t="str">
        <f aca="false">IF('MiT Strom Pipeline'!R44="WON",'MiT Strom Pipeline'!D44,"")</f>
        <v/>
      </c>
      <c r="E49" s="19" t="str">
        <f aca="false">IF('MiT Strom Pipeline'!R44="WON",'MiT Strom Pipeline'!E44,"")</f>
        <v/>
      </c>
      <c r="F49" s="20" t="str">
        <f aca="false">IF('MiT Strom Pipeline'!R44="WON",IF(ISNUMBER('MiT Strom Pipeline'!I44),'MiT Strom Pipeline'!I44,0),"")</f>
        <v/>
      </c>
      <c r="G49" s="20" t="str">
        <f aca="false">IF('MiT Strom Pipeline'!R44="WON",IF(ISNUMBER('MiT Strom Pipeline'!Q44),'MiT Strom Pipeline'!Q44,0),"")</f>
        <v/>
      </c>
      <c r="H49" s="20" t="str">
        <f aca="false">IF('MiT Strom Pipeline'!R44="WON",IF(ISNUMBER('MiT Strom Pipeline'!O44),'MiT Strom Pipeline'!O44,0),"")</f>
        <v/>
      </c>
      <c r="I49" s="18" t="str">
        <f aca="false">IF('MiT Strom Pipeline'!R44="WON",'MiT Strom Pipeline'!R44,"")</f>
        <v/>
      </c>
      <c r="J49" s="18" t="str">
        <f aca="false">IF('MiT Strom Pipeline'!R44="WON",'MiT Strom Pipeline'!S44,"")</f>
        <v/>
      </c>
      <c r="K49" s="19" t="str">
        <f aca="false">IF('MiT Strom Pipeline'!R44="WON",IF(LEN('MiT Strom Pipeline'!V44)&gt;0,LEFT('MiT Strom Pipeline'!V44,55),""),"")</f>
        <v/>
      </c>
    </row>
    <row r="50" customFormat="false" ht="15.75" hidden="false" customHeight="true" outlineLevel="0" collapsed="false">
      <c r="A50" s="21" t="str">
        <f aca="false">IF('MiT Strom Pipeline'!R45="WON",IF(ISNUMBER('MiT Strom Pipeline'!A45),'MiT Strom Pipeline'!A45,""),"")</f>
        <v/>
      </c>
      <c r="B50" s="22" t="str">
        <f aca="false">IF('MiT Strom Pipeline'!R45="WON",'MiT Strom Pipeline'!B45,"")</f>
        <v/>
      </c>
      <c r="C50" s="21" t="str">
        <f aca="false">IF('MiT Strom Pipeline'!R45="WON",'MiT Strom Pipeline'!C45,"")</f>
        <v/>
      </c>
      <c r="D50" s="22" t="str">
        <f aca="false">IF('MiT Strom Pipeline'!R45="WON",'MiT Strom Pipeline'!D45,"")</f>
        <v/>
      </c>
      <c r="E50" s="22" t="str">
        <f aca="false">IF('MiT Strom Pipeline'!R45="WON",'MiT Strom Pipeline'!E45,"")</f>
        <v/>
      </c>
      <c r="F50" s="23" t="str">
        <f aca="false">IF('MiT Strom Pipeline'!R45="WON",IF(ISNUMBER('MiT Strom Pipeline'!I45),'MiT Strom Pipeline'!I45,0),"")</f>
        <v/>
      </c>
      <c r="G50" s="23" t="str">
        <f aca="false">IF('MiT Strom Pipeline'!R45="WON",IF(ISNUMBER('MiT Strom Pipeline'!Q45),'MiT Strom Pipeline'!Q45,0),"")</f>
        <v/>
      </c>
      <c r="H50" s="23" t="str">
        <f aca="false">IF('MiT Strom Pipeline'!R45="WON",IF(ISNUMBER('MiT Strom Pipeline'!O45),'MiT Strom Pipeline'!O45,0),"")</f>
        <v/>
      </c>
      <c r="I50" s="21" t="str">
        <f aca="false">IF('MiT Strom Pipeline'!R45="WON",'MiT Strom Pipeline'!R45,"")</f>
        <v/>
      </c>
      <c r="J50" s="21" t="str">
        <f aca="false">IF('MiT Strom Pipeline'!R45="WON",'MiT Strom Pipeline'!S45,"")</f>
        <v/>
      </c>
      <c r="K50" s="22" t="str">
        <f aca="false">IF('MiT Strom Pipeline'!R45="WON",IF(LEN('MiT Strom Pipeline'!V45)&gt;0,LEFT('MiT Strom Pipeline'!V45,55),""),"")</f>
        <v/>
      </c>
    </row>
    <row r="51" customFormat="false" ht="15.75" hidden="false" customHeight="true" outlineLevel="0" collapsed="false">
      <c r="A51" s="18" t="str">
        <f aca="false">IF('MiT Strom Pipeline'!R46="WON",IF(ISNUMBER('MiT Strom Pipeline'!A46),'MiT Strom Pipeline'!A46,""),"")</f>
        <v/>
      </c>
      <c r="B51" s="19" t="str">
        <f aca="false">IF('MiT Strom Pipeline'!R46="WON",'MiT Strom Pipeline'!B46,"")</f>
        <v/>
      </c>
      <c r="C51" s="18" t="str">
        <f aca="false">IF('MiT Strom Pipeline'!R46="WON",'MiT Strom Pipeline'!C46,"")</f>
        <v/>
      </c>
      <c r="D51" s="19" t="str">
        <f aca="false">IF('MiT Strom Pipeline'!R46="WON",'MiT Strom Pipeline'!D46,"")</f>
        <v/>
      </c>
      <c r="E51" s="19" t="str">
        <f aca="false">IF('MiT Strom Pipeline'!R46="WON",'MiT Strom Pipeline'!E46,"")</f>
        <v/>
      </c>
      <c r="F51" s="20" t="str">
        <f aca="false">IF('MiT Strom Pipeline'!R46="WON",IF(ISNUMBER('MiT Strom Pipeline'!I46),'MiT Strom Pipeline'!I46,0),"")</f>
        <v/>
      </c>
      <c r="G51" s="20" t="str">
        <f aca="false">IF('MiT Strom Pipeline'!R46="WON",IF(ISNUMBER('MiT Strom Pipeline'!Q46),'MiT Strom Pipeline'!Q46,0),"")</f>
        <v/>
      </c>
      <c r="H51" s="20" t="str">
        <f aca="false">IF('MiT Strom Pipeline'!R46="WON",IF(ISNUMBER('MiT Strom Pipeline'!O46),'MiT Strom Pipeline'!O46,0),"")</f>
        <v/>
      </c>
      <c r="I51" s="18" t="str">
        <f aca="false">IF('MiT Strom Pipeline'!R46="WON",'MiT Strom Pipeline'!R46,"")</f>
        <v/>
      </c>
      <c r="J51" s="18" t="str">
        <f aca="false">IF('MiT Strom Pipeline'!R46="WON",'MiT Strom Pipeline'!S46,"")</f>
        <v/>
      </c>
      <c r="K51" s="19" t="str">
        <f aca="false">IF('MiT Strom Pipeline'!R46="WON",IF(LEN('MiT Strom Pipeline'!V46)&gt;0,LEFT('MiT Strom Pipeline'!V46,55),""),"")</f>
        <v/>
      </c>
    </row>
    <row r="52" customFormat="false" ht="15.75" hidden="false" customHeight="true" outlineLevel="0" collapsed="false">
      <c r="A52" s="21" t="str">
        <f aca="false">IF('MiT Strom Pipeline'!R47="WON",IF(ISNUMBER('MiT Strom Pipeline'!A47),'MiT Strom Pipeline'!A47,""),"")</f>
        <v/>
      </c>
      <c r="B52" s="22" t="str">
        <f aca="false">IF('MiT Strom Pipeline'!R47="WON",'MiT Strom Pipeline'!B47,"")</f>
        <v/>
      </c>
      <c r="C52" s="21" t="str">
        <f aca="false">IF('MiT Strom Pipeline'!R47="WON",'MiT Strom Pipeline'!C47,"")</f>
        <v/>
      </c>
      <c r="D52" s="22" t="str">
        <f aca="false">IF('MiT Strom Pipeline'!R47="WON",'MiT Strom Pipeline'!D47,"")</f>
        <v/>
      </c>
      <c r="E52" s="22" t="str">
        <f aca="false">IF('MiT Strom Pipeline'!R47="WON",'MiT Strom Pipeline'!E47,"")</f>
        <v/>
      </c>
      <c r="F52" s="23" t="str">
        <f aca="false">IF('MiT Strom Pipeline'!R47="WON",IF(ISNUMBER('MiT Strom Pipeline'!I47),'MiT Strom Pipeline'!I47,0),"")</f>
        <v/>
      </c>
      <c r="G52" s="23" t="str">
        <f aca="false">IF('MiT Strom Pipeline'!R47="WON",IF(ISNUMBER('MiT Strom Pipeline'!Q47),'MiT Strom Pipeline'!Q47,0),"")</f>
        <v/>
      </c>
      <c r="H52" s="23" t="str">
        <f aca="false">IF('MiT Strom Pipeline'!R47="WON",IF(ISNUMBER('MiT Strom Pipeline'!O47),'MiT Strom Pipeline'!O47,0),"")</f>
        <v/>
      </c>
      <c r="I52" s="21" t="str">
        <f aca="false">IF('MiT Strom Pipeline'!R47="WON",'MiT Strom Pipeline'!R47,"")</f>
        <v/>
      </c>
      <c r="J52" s="21" t="str">
        <f aca="false">IF('MiT Strom Pipeline'!R47="WON",'MiT Strom Pipeline'!S47,"")</f>
        <v/>
      </c>
      <c r="K52" s="22" t="str">
        <f aca="false">IF('MiT Strom Pipeline'!R47="WON",IF(LEN('MiT Strom Pipeline'!V47)&gt;0,LEFT('MiT Strom Pipeline'!V47,55),""),"")</f>
        <v/>
      </c>
    </row>
    <row r="53" customFormat="false" ht="15.75" hidden="false" customHeight="true" outlineLevel="0" collapsed="false">
      <c r="A53" s="18" t="str">
        <f aca="false">IF('MiT Strom Pipeline'!R48="WON",IF(ISNUMBER('MiT Strom Pipeline'!A48),'MiT Strom Pipeline'!A48,""),"")</f>
        <v/>
      </c>
      <c r="B53" s="19" t="str">
        <f aca="false">IF('MiT Strom Pipeline'!R48="WON",'MiT Strom Pipeline'!B48,"")</f>
        <v/>
      </c>
      <c r="C53" s="18" t="str">
        <f aca="false">IF('MiT Strom Pipeline'!R48="WON",'MiT Strom Pipeline'!C48,"")</f>
        <v/>
      </c>
      <c r="D53" s="19" t="str">
        <f aca="false">IF('MiT Strom Pipeline'!R48="WON",'MiT Strom Pipeline'!D48,"")</f>
        <v/>
      </c>
      <c r="E53" s="19" t="str">
        <f aca="false">IF('MiT Strom Pipeline'!R48="WON",'MiT Strom Pipeline'!E48,"")</f>
        <v/>
      </c>
      <c r="F53" s="20" t="str">
        <f aca="false">IF('MiT Strom Pipeline'!R48="WON",IF(ISNUMBER('MiT Strom Pipeline'!I48),'MiT Strom Pipeline'!I48,0),"")</f>
        <v/>
      </c>
      <c r="G53" s="20" t="str">
        <f aca="false">IF('MiT Strom Pipeline'!R48="WON",IF(ISNUMBER('MiT Strom Pipeline'!Q48),'MiT Strom Pipeline'!Q48,0),"")</f>
        <v/>
      </c>
      <c r="H53" s="20" t="str">
        <f aca="false">IF('MiT Strom Pipeline'!R48="WON",IF(ISNUMBER('MiT Strom Pipeline'!O48),'MiT Strom Pipeline'!O48,0),"")</f>
        <v/>
      </c>
      <c r="I53" s="18" t="str">
        <f aca="false">IF('MiT Strom Pipeline'!R48="WON",'MiT Strom Pipeline'!R48,"")</f>
        <v/>
      </c>
      <c r="J53" s="18" t="str">
        <f aca="false">IF('MiT Strom Pipeline'!R48="WON",'MiT Strom Pipeline'!S48,"")</f>
        <v/>
      </c>
      <c r="K53" s="19" t="str">
        <f aca="false">IF('MiT Strom Pipeline'!R48="WON",IF(LEN('MiT Strom Pipeline'!V48)&gt;0,LEFT('MiT Strom Pipeline'!V48,55),""),"")</f>
        <v/>
      </c>
    </row>
    <row r="54" customFormat="false" ht="15.75" hidden="false" customHeight="true" outlineLevel="0" collapsed="false">
      <c r="A54" s="21" t="str">
        <f aca="false">IF('MiT Strom Pipeline'!R49="WON",IF(ISNUMBER('MiT Strom Pipeline'!A49),'MiT Strom Pipeline'!A49,""),"")</f>
        <v/>
      </c>
      <c r="B54" s="22" t="str">
        <f aca="false">IF('MiT Strom Pipeline'!R49="WON",'MiT Strom Pipeline'!B49,"")</f>
        <v/>
      </c>
      <c r="C54" s="21" t="str">
        <f aca="false">IF('MiT Strom Pipeline'!R49="WON",'MiT Strom Pipeline'!C49,"")</f>
        <v/>
      </c>
      <c r="D54" s="22" t="str">
        <f aca="false">IF('MiT Strom Pipeline'!R49="WON",'MiT Strom Pipeline'!D49,"")</f>
        <v/>
      </c>
      <c r="E54" s="22" t="str">
        <f aca="false">IF('MiT Strom Pipeline'!R49="WON",'MiT Strom Pipeline'!E49,"")</f>
        <v/>
      </c>
      <c r="F54" s="23" t="str">
        <f aca="false">IF('MiT Strom Pipeline'!R49="WON",IF(ISNUMBER('MiT Strom Pipeline'!I49),'MiT Strom Pipeline'!I49,0),"")</f>
        <v/>
      </c>
      <c r="G54" s="23" t="str">
        <f aca="false">IF('MiT Strom Pipeline'!R49="WON",IF(ISNUMBER('MiT Strom Pipeline'!Q49),'MiT Strom Pipeline'!Q49,0),"")</f>
        <v/>
      </c>
      <c r="H54" s="23" t="str">
        <f aca="false">IF('MiT Strom Pipeline'!R49="WON",IF(ISNUMBER('MiT Strom Pipeline'!O49),'MiT Strom Pipeline'!O49,0),"")</f>
        <v/>
      </c>
      <c r="I54" s="21" t="str">
        <f aca="false">IF('MiT Strom Pipeline'!R49="WON",'MiT Strom Pipeline'!R49,"")</f>
        <v/>
      </c>
      <c r="J54" s="21" t="str">
        <f aca="false">IF('MiT Strom Pipeline'!R49="WON",'MiT Strom Pipeline'!S49,"")</f>
        <v/>
      </c>
      <c r="K54" s="22" t="str">
        <f aca="false">IF('MiT Strom Pipeline'!R49="WON",IF(LEN('MiT Strom Pipeline'!V49)&gt;0,LEFT('MiT Strom Pipeline'!V49,55),""),"")</f>
        <v/>
      </c>
    </row>
    <row r="55" customFormat="false" ht="15.75" hidden="false" customHeight="true" outlineLevel="0" collapsed="false">
      <c r="A55" s="18" t="str">
        <f aca="false">IF('MiT Strom Pipeline'!R50="WON",IF(ISNUMBER('MiT Strom Pipeline'!A50),'MiT Strom Pipeline'!A50,""),"")</f>
        <v/>
      </c>
      <c r="B55" s="19" t="str">
        <f aca="false">IF('MiT Strom Pipeline'!R50="WON",'MiT Strom Pipeline'!B50,"")</f>
        <v/>
      </c>
      <c r="C55" s="18" t="str">
        <f aca="false">IF('MiT Strom Pipeline'!R50="WON",'MiT Strom Pipeline'!C50,"")</f>
        <v/>
      </c>
      <c r="D55" s="19" t="str">
        <f aca="false">IF('MiT Strom Pipeline'!R50="WON",'MiT Strom Pipeline'!D50,"")</f>
        <v/>
      </c>
      <c r="E55" s="19" t="str">
        <f aca="false">IF('MiT Strom Pipeline'!R50="WON",'MiT Strom Pipeline'!E50,"")</f>
        <v/>
      </c>
      <c r="F55" s="20" t="str">
        <f aca="false">IF('MiT Strom Pipeline'!R50="WON",IF(ISNUMBER('MiT Strom Pipeline'!I50),'MiT Strom Pipeline'!I50,0),"")</f>
        <v/>
      </c>
      <c r="G55" s="20" t="str">
        <f aca="false">IF('MiT Strom Pipeline'!R50="WON",IF(ISNUMBER('MiT Strom Pipeline'!Q50),'MiT Strom Pipeline'!Q50,0),"")</f>
        <v/>
      </c>
      <c r="H55" s="20" t="str">
        <f aca="false">IF('MiT Strom Pipeline'!R50="WON",IF(ISNUMBER('MiT Strom Pipeline'!O50),'MiT Strom Pipeline'!O50,0),"")</f>
        <v/>
      </c>
      <c r="I55" s="18" t="str">
        <f aca="false">IF('MiT Strom Pipeline'!R50="WON",'MiT Strom Pipeline'!R50,"")</f>
        <v/>
      </c>
      <c r="J55" s="18" t="str">
        <f aca="false">IF('MiT Strom Pipeline'!R50="WON",'MiT Strom Pipeline'!S50,"")</f>
        <v/>
      </c>
      <c r="K55" s="19" t="str">
        <f aca="false">IF('MiT Strom Pipeline'!R50="WON",IF(LEN('MiT Strom Pipeline'!V50)&gt;0,LEFT('MiT Strom Pipeline'!V50,55),""),"")</f>
        <v/>
      </c>
    </row>
    <row r="56" customFormat="false" ht="15.75" hidden="false" customHeight="true" outlineLevel="0" collapsed="false">
      <c r="A56" s="21" t="str">
        <f aca="false">IF('MiT Strom Pipeline'!R51="WON",IF(ISNUMBER('MiT Strom Pipeline'!A51),'MiT Strom Pipeline'!A51,""),"")</f>
        <v/>
      </c>
      <c r="B56" s="22" t="str">
        <f aca="false">IF('MiT Strom Pipeline'!R51="WON",'MiT Strom Pipeline'!B51,"")</f>
        <v/>
      </c>
      <c r="C56" s="21" t="str">
        <f aca="false">IF('MiT Strom Pipeline'!R51="WON",'MiT Strom Pipeline'!C51,"")</f>
        <v/>
      </c>
      <c r="D56" s="22" t="str">
        <f aca="false">IF('MiT Strom Pipeline'!R51="WON",'MiT Strom Pipeline'!D51,"")</f>
        <v/>
      </c>
      <c r="E56" s="22" t="str">
        <f aca="false">IF('MiT Strom Pipeline'!R51="WON",'MiT Strom Pipeline'!E51,"")</f>
        <v/>
      </c>
      <c r="F56" s="23" t="str">
        <f aca="false">IF('MiT Strom Pipeline'!R51="WON",IF(ISNUMBER('MiT Strom Pipeline'!I51),'MiT Strom Pipeline'!I51,0),"")</f>
        <v/>
      </c>
      <c r="G56" s="23" t="str">
        <f aca="false">IF('MiT Strom Pipeline'!R51="WON",IF(ISNUMBER('MiT Strom Pipeline'!Q51),'MiT Strom Pipeline'!Q51,0),"")</f>
        <v/>
      </c>
      <c r="H56" s="23" t="str">
        <f aca="false">IF('MiT Strom Pipeline'!R51="WON",IF(ISNUMBER('MiT Strom Pipeline'!O51),'MiT Strom Pipeline'!O51,0),"")</f>
        <v/>
      </c>
      <c r="I56" s="21" t="str">
        <f aca="false">IF('MiT Strom Pipeline'!R51="WON",'MiT Strom Pipeline'!R51,"")</f>
        <v/>
      </c>
      <c r="J56" s="21" t="str">
        <f aca="false">IF('MiT Strom Pipeline'!R51="WON",'MiT Strom Pipeline'!S51,"")</f>
        <v/>
      </c>
      <c r="K56" s="22" t="str">
        <f aca="false">IF('MiT Strom Pipeline'!R51="WON",IF(LEN('MiT Strom Pipeline'!V51)&gt;0,LEFT('MiT Strom Pipeline'!V51,55),""),"")</f>
        <v/>
      </c>
    </row>
    <row r="57" customFormat="false" ht="15.75" hidden="false" customHeight="true" outlineLevel="0" collapsed="false">
      <c r="A57" s="18" t="str">
        <f aca="false">IF('MiT Strom Pipeline'!R52="WON",IF(ISNUMBER('MiT Strom Pipeline'!A52),'MiT Strom Pipeline'!A52,""),"")</f>
        <v/>
      </c>
      <c r="B57" s="19" t="str">
        <f aca="false">IF('MiT Strom Pipeline'!R52="WON",'MiT Strom Pipeline'!B52,"")</f>
        <v/>
      </c>
      <c r="C57" s="18" t="str">
        <f aca="false">IF('MiT Strom Pipeline'!R52="WON",'MiT Strom Pipeline'!C52,"")</f>
        <v/>
      </c>
      <c r="D57" s="19" t="str">
        <f aca="false">IF('MiT Strom Pipeline'!R52="WON",'MiT Strom Pipeline'!D52,"")</f>
        <v/>
      </c>
      <c r="E57" s="19" t="str">
        <f aca="false">IF('MiT Strom Pipeline'!R52="WON",'MiT Strom Pipeline'!E52,"")</f>
        <v/>
      </c>
      <c r="F57" s="20" t="str">
        <f aca="false">IF('MiT Strom Pipeline'!R52="WON",IF(ISNUMBER('MiT Strom Pipeline'!I52),'MiT Strom Pipeline'!I52,0),"")</f>
        <v/>
      </c>
      <c r="G57" s="20" t="str">
        <f aca="false">IF('MiT Strom Pipeline'!R52="WON",IF(ISNUMBER('MiT Strom Pipeline'!Q52),'MiT Strom Pipeline'!Q52,0),"")</f>
        <v/>
      </c>
      <c r="H57" s="20" t="str">
        <f aca="false">IF('MiT Strom Pipeline'!R52="WON",IF(ISNUMBER('MiT Strom Pipeline'!O52),'MiT Strom Pipeline'!O52,0),"")</f>
        <v/>
      </c>
      <c r="I57" s="18" t="str">
        <f aca="false">IF('MiT Strom Pipeline'!R52="WON",'MiT Strom Pipeline'!R52,"")</f>
        <v/>
      </c>
      <c r="J57" s="18" t="str">
        <f aca="false">IF('MiT Strom Pipeline'!R52="WON",'MiT Strom Pipeline'!S52,"")</f>
        <v/>
      </c>
      <c r="K57" s="19" t="str">
        <f aca="false">IF('MiT Strom Pipeline'!R52="WON",IF(LEN('MiT Strom Pipeline'!V52)&gt;0,LEFT('MiT Strom Pipeline'!V52,55),""),"")</f>
        <v/>
      </c>
    </row>
    <row r="58" customFormat="false" ht="15.75" hidden="false" customHeight="true" outlineLevel="0" collapsed="false">
      <c r="A58" s="21" t="str">
        <f aca="false">IF('MiT Strom Pipeline'!R53="WON",IF(ISNUMBER('MiT Strom Pipeline'!A53),'MiT Strom Pipeline'!A53,""),"")</f>
        <v/>
      </c>
      <c r="B58" s="22" t="str">
        <f aca="false">IF('MiT Strom Pipeline'!R53="WON",'MiT Strom Pipeline'!B53,"")</f>
        <v/>
      </c>
      <c r="C58" s="21" t="str">
        <f aca="false">IF('MiT Strom Pipeline'!R53="WON",'MiT Strom Pipeline'!C53,"")</f>
        <v/>
      </c>
      <c r="D58" s="22" t="str">
        <f aca="false">IF('MiT Strom Pipeline'!R53="WON",'MiT Strom Pipeline'!D53,"")</f>
        <v/>
      </c>
      <c r="E58" s="22" t="str">
        <f aca="false">IF('MiT Strom Pipeline'!R53="WON",'MiT Strom Pipeline'!E53,"")</f>
        <v/>
      </c>
      <c r="F58" s="23" t="str">
        <f aca="false">IF('MiT Strom Pipeline'!R53="WON",IF(ISNUMBER('MiT Strom Pipeline'!I53),'MiT Strom Pipeline'!I53,0),"")</f>
        <v/>
      </c>
      <c r="G58" s="23" t="str">
        <f aca="false">IF('MiT Strom Pipeline'!R53="WON",IF(ISNUMBER('MiT Strom Pipeline'!Q53),'MiT Strom Pipeline'!Q53,0),"")</f>
        <v/>
      </c>
      <c r="H58" s="23" t="str">
        <f aca="false">IF('MiT Strom Pipeline'!R53="WON",IF(ISNUMBER('MiT Strom Pipeline'!O53),'MiT Strom Pipeline'!O53,0),"")</f>
        <v/>
      </c>
      <c r="I58" s="21" t="str">
        <f aca="false">IF('MiT Strom Pipeline'!R53="WON",'MiT Strom Pipeline'!R53,"")</f>
        <v/>
      </c>
      <c r="J58" s="21" t="str">
        <f aca="false">IF('MiT Strom Pipeline'!R53="WON",'MiT Strom Pipeline'!S53,"")</f>
        <v/>
      </c>
      <c r="K58" s="22" t="str">
        <f aca="false">IF('MiT Strom Pipeline'!R53="WON",IF(LEN('MiT Strom Pipeline'!V53)&gt;0,LEFT('MiT Strom Pipeline'!V53,55),""),"")</f>
        <v/>
      </c>
    </row>
    <row r="59" customFormat="false" ht="15.75" hidden="false" customHeight="true" outlineLevel="0" collapsed="false">
      <c r="A59" s="18" t="str">
        <f aca="false">IF('MiT Strom Pipeline'!R54="WON",IF(ISNUMBER('MiT Strom Pipeline'!A54),'MiT Strom Pipeline'!A54,""),"")</f>
        <v/>
      </c>
      <c r="B59" s="19" t="str">
        <f aca="false">IF('MiT Strom Pipeline'!R54="WON",'MiT Strom Pipeline'!B54,"")</f>
        <v/>
      </c>
      <c r="C59" s="18" t="str">
        <f aca="false">IF('MiT Strom Pipeline'!R54="WON",'MiT Strom Pipeline'!C54,"")</f>
        <v/>
      </c>
      <c r="D59" s="19" t="str">
        <f aca="false">IF('MiT Strom Pipeline'!R54="WON",'MiT Strom Pipeline'!D54,"")</f>
        <v/>
      </c>
      <c r="E59" s="19" t="str">
        <f aca="false">IF('MiT Strom Pipeline'!R54="WON",'MiT Strom Pipeline'!E54,"")</f>
        <v/>
      </c>
      <c r="F59" s="20" t="str">
        <f aca="false">IF('MiT Strom Pipeline'!R54="WON",IF(ISNUMBER('MiT Strom Pipeline'!I54),'MiT Strom Pipeline'!I54,0),"")</f>
        <v/>
      </c>
      <c r="G59" s="20" t="str">
        <f aca="false">IF('MiT Strom Pipeline'!R54="WON",IF(ISNUMBER('MiT Strom Pipeline'!Q54),'MiT Strom Pipeline'!Q54,0),"")</f>
        <v/>
      </c>
      <c r="H59" s="20" t="str">
        <f aca="false">IF('MiT Strom Pipeline'!R54="WON",IF(ISNUMBER('MiT Strom Pipeline'!O54),'MiT Strom Pipeline'!O54,0),"")</f>
        <v/>
      </c>
      <c r="I59" s="18" t="str">
        <f aca="false">IF('MiT Strom Pipeline'!R54="WON",'MiT Strom Pipeline'!R54,"")</f>
        <v/>
      </c>
      <c r="J59" s="18" t="str">
        <f aca="false">IF('MiT Strom Pipeline'!R54="WON",'MiT Strom Pipeline'!S54,"")</f>
        <v/>
      </c>
      <c r="K59" s="19" t="str">
        <f aca="false">IF('MiT Strom Pipeline'!R54="WON",IF(LEN('MiT Strom Pipeline'!V54)&gt;0,LEFT('MiT Strom Pipeline'!V54,55),""),"")</f>
        <v/>
      </c>
    </row>
    <row r="60" customFormat="false" ht="15.75" hidden="false" customHeight="true" outlineLevel="0" collapsed="false">
      <c r="A60" s="21" t="str">
        <f aca="false">IF('MiT Strom Pipeline'!R55="WON",IF(ISNUMBER('MiT Strom Pipeline'!A55),'MiT Strom Pipeline'!A55,""),"")</f>
        <v/>
      </c>
      <c r="B60" s="22" t="str">
        <f aca="false">IF('MiT Strom Pipeline'!R55="WON",'MiT Strom Pipeline'!B55,"")</f>
        <v/>
      </c>
      <c r="C60" s="21" t="str">
        <f aca="false">IF('MiT Strom Pipeline'!R55="WON",'MiT Strom Pipeline'!C55,"")</f>
        <v/>
      </c>
      <c r="D60" s="22" t="str">
        <f aca="false">IF('MiT Strom Pipeline'!R55="WON",'MiT Strom Pipeline'!D55,"")</f>
        <v/>
      </c>
      <c r="E60" s="22" t="str">
        <f aca="false">IF('MiT Strom Pipeline'!R55="WON",'MiT Strom Pipeline'!E55,"")</f>
        <v/>
      </c>
      <c r="F60" s="23" t="str">
        <f aca="false">IF('MiT Strom Pipeline'!R55="WON",IF(ISNUMBER('MiT Strom Pipeline'!I55),'MiT Strom Pipeline'!I55,0),"")</f>
        <v/>
      </c>
      <c r="G60" s="23" t="str">
        <f aca="false">IF('MiT Strom Pipeline'!R55="WON",IF(ISNUMBER('MiT Strom Pipeline'!Q55),'MiT Strom Pipeline'!Q55,0),"")</f>
        <v/>
      </c>
      <c r="H60" s="23" t="str">
        <f aca="false">IF('MiT Strom Pipeline'!R55="WON",IF(ISNUMBER('MiT Strom Pipeline'!O55),'MiT Strom Pipeline'!O55,0),"")</f>
        <v/>
      </c>
      <c r="I60" s="21" t="str">
        <f aca="false">IF('MiT Strom Pipeline'!R55="WON",'MiT Strom Pipeline'!R55,"")</f>
        <v/>
      </c>
      <c r="J60" s="21" t="str">
        <f aca="false">IF('MiT Strom Pipeline'!R55="WON",'MiT Strom Pipeline'!S55,"")</f>
        <v/>
      </c>
      <c r="K60" s="22" t="str">
        <f aca="false">IF('MiT Strom Pipeline'!R55="WON",IF(LEN('MiT Strom Pipeline'!V55)&gt;0,LEFT('MiT Strom Pipeline'!V55,55),""),"")</f>
        <v/>
      </c>
    </row>
    <row r="61" customFormat="false" ht="15.75" hidden="false" customHeight="true" outlineLevel="0" collapsed="false">
      <c r="A61" s="18" t="str">
        <f aca="false">IF('MiT Strom Pipeline'!R56="WON",IF(ISNUMBER('MiT Strom Pipeline'!A56),'MiT Strom Pipeline'!A56,""),"")</f>
        <v/>
      </c>
      <c r="B61" s="19" t="str">
        <f aca="false">IF('MiT Strom Pipeline'!R56="WON",'MiT Strom Pipeline'!B56,"")</f>
        <v/>
      </c>
      <c r="C61" s="18" t="str">
        <f aca="false">IF('MiT Strom Pipeline'!R56="WON",'MiT Strom Pipeline'!C56,"")</f>
        <v/>
      </c>
      <c r="D61" s="19" t="str">
        <f aca="false">IF('MiT Strom Pipeline'!R56="WON",'MiT Strom Pipeline'!D56,"")</f>
        <v/>
      </c>
      <c r="E61" s="19" t="str">
        <f aca="false">IF('MiT Strom Pipeline'!R56="WON",'MiT Strom Pipeline'!E56,"")</f>
        <v/>
      </c>
      <c r="F61" s="20" t="str">
        <f aca="false">IF('MiT Strom Pipeline'!R56="WON",IF(ISNUMBER('MiT Strom Pipeline'!I56),'MiT Strom Pipeline'!I56,0),"")</f>
        <v/>
      </c>
      <c r="G61" s="20" t="str">
        <f aca="false">IF('MiT Strom Pipeline'!R56="WON",IF(ISNUMBER('MiT Strom Pipeline'!Q56),'MiT Strom Pipeline'!Q56,0),"")</f>
        <v/>
      </c>
      <c r="H61" s="20" t="str">
        <f aca="false">IF('MiT Strom Pipeline'!R56="WON",IF(ISNUMBER('MiT Strom Pipeline'!O56),'MiT Strom Pipeline'!O56,0),"")</f>
        <v/>
      </c>
      <c r="I61" s="18" t="str">
        <f aca="false">IF('MiT Strom Pipeline'!R56="WON",'MiT Strom Pipeline'!R56,"")</f>
        <v/>
      </c>
      <c r="J61" s="18" t="str">
        <f aca="false">IF('MiT Strom Pipeline'!R56="WON",'MiT Strom Pipeline'!S56,"")</f>
        <v/>
      </c>
      <c r="K61" s="19" t="str">
        <f aca="false">IF('MiT Strom Pipeline'!R56="WON",IF(LEN('MiT Strom Pipeline'!V56)&gt;0,LEFT('MiT Strom Pipeline'!V56,55),""),"")</f>
        <v/>
      </c>
    </row>
    <row r="62" customFormat="false" ht="15.75" hidden="false" customHeight="true" outlineLevel="0" collapsed="false">
      <c r="A62" s="21" t="str">
        <f aca="false">IF('MiT Strom Pipeline'!R57="WON",IF(ISNUMBER('MiT Strom Pipeline'!A57),'MiT Strom Pipeline'!A57,""),"")</f>
        <v/>
      </c>
      <c r="B62" s="22" t="str">
        <f aca="false">IF('MiT Strom Pipeline'!R57="WON",'MiT Strom Pipeline'!B57,"")</f>
        <v/>
      </c>
      <c r="C62" s="21" t="str">
        <f aca="false">IF('MiT Strom Pipeline'!R57="WON",'MiT Strom Pipeline'!C57,"")</f>
        <v/>
      </c>
      <c r="D62" s="22" t="str">
        <f aca="false">IF('MiT Strom Pipeline'!R57="WON",'MiT Strom Pipeline'!D57,"")</f>
        <v/>
      </c>
      <c r="E62" s="22" t="str">
        <f aca="false">IF('MiT Strom Pipeline'!R57="WON",'MiT Strom Pipeline'!E57,"")</f>
        <v/>
      </c>
      <c r="F62" s="23" t="str">
        <f aca="false">IF('MiT Strom Pipeline'!R57="WON",IF(ISNUMBER('MiT Strom Pipeline'!I57),'MiT Strom Pipeline'!I57,0),"")</f>
        <v/>
      </c>
      <c r="G62" s="23" t="str">
        <f aca="false">IF('MiT Strom Pipeline'!R57="WON",IF(ISNUMBER('MiT Strom Pipeline'!Q57),'MiT Strom Pipeline'!Q57,0),"")</f>
        <v/>
      </c>
      <c r="H62" s="23" t="str">
        <f aca="false">IF('MiT Strom Pipeline'!R57="WON",IF(ISNUMBER('MiT Strom Pipeline'!O57),'MiT Strom Pipeline'!O57,0),"")</f>
        <v/>
      </c>
      <c r="I62" s="21" t="str">
        <f aca="false">IF('MiT Strom Pipeline'!R57="WON",'MiT Strom Pipeline'!R57,"")</f>
        <v/>
      </c>
      <c r="J62" s="21" t="str">
        <f aca="false">IF('MiT Strom Pipeline'!R57="WON",'MiT Strom Pipeline'!S57,"")</f>
        <v/>
      </c>
      <c r="K62" s="22" t="str">
        <f aca="false">IF('MiT Strom Pipeline'!R57="WON",IF(LEN('MiT Strom Pipeline'!V57)&gt;0,LEFT('MiT Strom Pipeline'!V57,55),""),"")</f>
        <v/>
      </c>
    </row>
    <row r="63" customFormat="false" ht="15.75" hidden="false" customHeight="true" outlineLevel="0" collapsed="false">
      <c r="A63" s="18" t="str">
        <f aca="false">IF('MiT Strom Pipeline'!R58="WON",IF(ISNUMBER('MiT Strom Pipeline'!A58),'MiT Strom Pipeline'!A58,""),"")</f>
        <v/>
      </c>
      <c r="B63" s="19" t="str">
        <f aca="false">IF('MiT Strom Pipeline'!R58="WON",'MiT Strom Pipeline'!B58,"")</f>
        <v/>
      </c>
      <c r="C63" s="18" t="str">
        <f aca="false">IF('MiT Strom Pipeline'!R58="WON",'MiT Strom Pipeline'!C58,"")</f>
        <v/>
      </c>
      <c r="D63" s="19" t="str">
        <f aca="false">IF('MiT Strom Pipeline'!R58="WON",'MiT Strom Pipeline'!D58,"")</f>
        <v/>
      </c>
      <c r="E63" s="19" t="str">
        <f aca="false">IF('MiT Strom Pipeline'!R58="WON",'MiT Strom Pipeline'!E58,"")</f>
        <v/>
      </c>
      <c r="F63" s="20" t="str">
        <f aca="false">IF('MiT Strom Pipeline'!R58="WON",IF(ISNUMBER('MiT Strom Pipeline'!I58),'MiT Strom Pipeline'!I58,0),"")</f>
        <v/>
      </c>
      <c r="G63" s="20" t="str">
        <f aca="false">IF('MiT Strom Pipeline'!R58="WON",IF(ISNUMBER('MiT Strom Pipeline'!Q58),'MiT Strom Pipeline'!Q58,0),"")</f>
        <v/>
      </c>
      <c r="H63" s="20" t="str">
        <f aca="false">IF('MiT Strom Pipeline'!R58="WON",IF(ISNUMBER('MiT Strom Pipeline'!O58),'MiT Strom Pipeline'!O58,0),"")</f>
        <v/>
      </c>
      <c r="I63" s="18" t="str">
        <f aca="false">IF('MiT Strom Pipeline'!R58="WON",'MiT Strom Pipeline'!R58,"")</f>
        <v/>
      </c>
      <c r="J63" s="18" t="str">
        <f aca="false">IF('MiT Strom Pipeline'!R58="WON",'MiT Strom Pipeline'!S58,"")</f>
        <v/>
      </c>
      <c r="K63" s="19" t="str">
        <f aca="false">IF('MiT Strom Pipeline'!R58="WON",IF(LEN('MiT Strom Pipeline'!V58)&gt;0,LEFT('MiT Strom Pipeline'!V58,55),""),"")</f>
        <v/>
      </c>
    </row>
    <row r="64" customFormat="false" ht="15.75" hidden="false" customHeight="true" outlineLevel="0" collapsed="false">
      <c r="A64" s="21" t="str">
        <f aca="false">IF('MiT Strom Pipeline'!R59="WON",IF(ISNUMBER('MiT Strom Pipeline'!A59),'MiT Strom Pipeline'!A59,""),"")</f>
        <v/>
      </c>
      <c r="B64" s="22" t="str">
        <f aca="false">IF('MiT Strom Pipeline'!R59="WON",'MiT Strom Pipeline'!B59,"")</f>
        <v/>
      </c>
      <c r="C64" s="21" t="str">
        <f aca="false">IF('MiT Strom Pipeline'!R59="WON",'MiT Strom Pipeline'!C59,"")</f>
        <v/>
      </c>
      <c r="D64" s="22" t="str">
        <f aca="false">IF('MiT Strom Pipeline'!R59="WON",'MiT Strom Pipeline'!D59,"")</f>
        <v/>
      </c>
      <c r="E64" s="22" t="str">
        <f aca="false">IF('MiT Strom Pipeline'!R59="WON",'MiT Strom Pipeline'!E59,"")</f>
        <v/>
      </c>
      <c r="F64" s="23" t="str">
        <f aca="false">IF('MiT Strom Pipeline'!R59="WON",IF(ISNUMBER('MiT Strom Pipeline'!I59),'MiT Strom Pipeline'!I59,0),"")</f>
        <v/>
      </c>
      <c r="G64" s="23" t="str">
        <f aca="false">IF('MiT Strom Pipeline'!R59="WON",IF(ISNUMBER('MiT Strom Pipeline'!Q59),'MiT Strom Pipeline'!Q59,0),"")</f>
        <v/>
      </c>
      <c r="H64" s="23" t="str">
        <f aca="false">IF('MiT Strom Pipeline'!R59="WON",IF(ISNUMBER('MiT Strom Pipeline'!O59),'MiT Strom Pipeline'!O59,0),"")</f>
        <v/>
      </c>
      <c r="I64" s="21" t="str">
        <f aca="false">IF('MiT Strom Pipeline'!R59="WON",'MiT Strom Pipeline'!R59,"")</f>
        <v/>
      </c>
      <c r="J64" s="21" t="str">
        <f aca="false">IF('MiT Strom Pipeline'!R59="WON",'MiT Strom Pipeline'!S59,"")</f>
        <v/>
      </c>
      <c r="K64" s="22" t="str">
        <f aca="false">IF('MiT Strom Pipeline'!R59="WON",IF(LEN('MiT Strom Pipeline'!V59)&gt;0,LEFT('MiT Strom Pipeline'!V59,55),""),"")</f>
        <v/>
      </c>
    </row>
    <row r="65" customFormat="false" ht="15.75" hidden="false" customHeight="true" outlineLevel="0" collapsed="false">
      <c r="A65" s="18" t="str">
        <f aca="false">IF('MiT Strom Pipeline'!R60="WON",IF(ISNUMBER('MiT Strom Pipeline'!A60),'MiT Strom Pipeline'!A60,""),"")</f>
        <v/>
      </c>
      <c r="B65" s="19" t="str">
        <f aca="false">IF('MiT Strom Pipeline'!R60="WON",'MiT Strom Pipeline'!B60,"")</f>
        <v/>
      </c>
      <c r="C65" s="18" t="str">
        <f aca="false">IF('MiT Strom Pipeline'!R60="WON",'MiT Strom Pipeline'!C60,"")</f>
        <v/>
      </c>
      <c r="D65" s="19" t="str">
        <f aca="false">IF('MiT Strom Pipeline'!R60="WON",'MiT Strom Pipeline'!D60,"")</f>
        <v/>
      </c>
      <c r="E65" s="19" t="str">
        <f aca="false">IF('MiT Strom Pipeline'!R60="WON",'MiT Strom Pipeline'!E60,"")</f>
        <v/>
      </c>
      <c r="F65" s="20" t="str">
        <f aca="false">IF('MiT Strom Pipeline'!R60="WON",IF(ISNUMBER('MiT Strom Pipeline'!I60),'MiT Strom Pipeline'!I60,0),"")</f>
        <v/>
      </c>
      <c r="G65" s="20" t="str">
        <f aca="false">IF('MiT Strom Pipeline'!R60="WON",IF(ISNUMBER('MiT Strom Pipeline'!Q60),'MiT Strom Pipeline'!Q60,0),"")</f>
        <v/>
      </c>
      <c r="H65" s="20" t="str">
        <f aca="false">IF('MiT Strom Pipeline'!R60="WON",IF(ISNUMBER('MiT Strom Pipeline'!O60),'MiT Strom Pipeline'!O60,0),"")</f>
        <v/>
      </c>
      <c r="I65" s="18" t="str">
        <f aca="false">IF('MiT Strom Pipeline'!R60="WON",'MiT Strom Pipeline'!R60,"")</f>
        <v/>
      </c>
      <c r="J65" s="18" t="str">
        <f aca="false">IF('MiT Strom Pipeline'!R60="WON",'MiT Strom Pipeline'!S60,"")</f>
        <v/>
      </c>
      <c r="K65" s="19" t="str">
        <f aca="false">IF('MiT Strom Pipeline'!R60="WON",IF(LEN('MiT Strom Pipeline'!V60)&gt;0,LEFT('MiT Strom Pipeline'!V60,55),""),"")</f>
        <v/>
      </c>
    </row>
    <row r="66" customFormat="false" ht="15.75" hidden="false" customHeight="true" outlineLevel="0" collapsed="false">
      <c r="A66" s="21" t="str">
        <f aca="false">IF('MiT Strom Pipeline'!R61="WON",IF(ISNUMBER('MiT Strom Pipeline'!A61),'MiT Strom Pipeline'!A61,""),"")</f>
        <v/>
      </c>
      <c r="B66" s="22" t="str">
        <f aca="false">IF('MiT Strom Pipeline'!R61="WON",'MiT Strom Pipeline'!B61,"")</f>
        <v/>
      </c>
      <c r="C66" s="21" t="str">
        <f aca="false">IF('MiT Strom Pipeline'!R61="WON",'MiT Strom Pipeline'!C61,"")</f>
        <v/>
      </c>
      <c r="D66" s="22" t="str">
        <f aca="false">IF('MiT Strom Pipeline'!R61="WON",'MiT Strom Pipeline'!D61,"")</f>
        <v/>
      </c>
      <c r="E66" s="22" t="str">
        <f aca="false">IF('MiT Strom Pipeline'!R61="WON",'MiT Strom Pipeline'!E61,"")</f>
        <v/>
      </c>
      <c r="F66" s="23" t="str">
        <f aca="false">IF('MiT Strom Pipeline'!R61="WON",IF(ISNUMBER('MiT Strom Pipeline'!I61),'MiT Strom Pipeline'!I61,0),"")</f>
        <v/>
      </c>
      <c r="G66" s="23" t="str">
        <f aca="false">IF('MiT Strom Pipeline'!R61="WON",IF(ISNUMBER('MiT Strom Pipeline'!Q61),'MiT Strom Pipeline'!Q61,0),"")</f>
        <v/>
      </c>
      <c r="H66" s="23" t="str">
        <f aca="false">IF('MiT Strom Pipeline'!R61="WON",IF(ISNUMBER('MiT Strom Pipeline'!O61),'MiT Strom Pipeline'!O61,0),"")</f>
        <v/>
      </c>
      <c r="I66" s="21" t="str">
        <f aca="false">IF('MiT Strom Pipeline'!R61="WON",'MiT Strom Pipeline'!R61,"")</f>
        <v/>
      </c>
      <c r="J66" s="21" t="str">
        <f aca="false">IF('MiT Strom Pipeline'!R61="WON",'MiT Strom Pipeline'!S61,"")</f>
        <v/>
      </c>
      <c r="K66" s="22" t="str">
        <f aca="false">IF('MiT Strom Pipeline'!R61="WON",IF(LEN('MiT Strom Pipeline'!V61)&gt;0,LEFT('MiT Strom Pipeline'!V61,55),""),"")</f>
        <v/>
      </c>
    </row>
    <row r="67" customFormat="false" ht="15.75" hidden="false" customHeight="true" outlineLevel="0" collapsed="false">
      <c r="A67" s="18" t="str">
        <f aca="false">IF('MiT Strom Pipeline'!R62="WON",IF(ISNUMBER('MiT Strom Pipeline'!A62),'MiT Strom Pipeline'!A62,""),"")</f>
        <v/>
      </c>
      <c r="B67" s="19" t="str">
        <f aca="false">IF('MiT Strom Pipeline'!R62="WON",'MiT Strom Pipeline'!B62,"")</f>
        <v/>
      </c>
      <c r="C67" s="18" t="str">
        <f aca="false">IF('MiT Strom Pipeline'!R62="WON",'MiT Strom Pipeline'!C62,"")</f>
        <v/>
      </c>
      <c r="D67" s="19" t="str">
        <f aca="false">IF('MiT Strom Pipeline'!R62="WON",'MiT Strom Pipeline'!D62,"")</f>
        <v/>
      </c>
      <c r="E67" s="19" t="str">
        <f aca="false">IF('MiT Strom Pipeline'!R62="WON",'MiT Strom Pipeline'!E62,"")</f>
        <v/>
      </c>
      <c r="F67" s="20" t="str">
        <f aca="false">IF('MiT Strom Pipeline'!R62="WON",IF(ISNUMBER('MiT Strom Pipeline'!I62),'MiT Strom Pipeline'!I62,0),"")</f>
        <v/>
      </c>
      <c r="G67" s="20" t="str">
        <f aca="false">IF('MiT Strom Pipeline'!R62="WON",IF(ISNUMBER('MiT Strom Pipeline'!Q62),'MiT Strom Pipeline'!Q62,0),"")</f>
        <v/>
      </c>
      <c r="H67" s="20" t="str">
        <f aca="false">IF('MiT Strom Pipeline'!R62="WON",IF(ISNUMBER('MiT Strom Pipeline'!O62),'MiT Strom Pipeline'!O62,0),"")</f>
        <v/>
      </c>
      <c r="I67" s="18" t="str">
        <f aca="false">IF('MiT Strom Pipeline'!R62="WON",'MiT Strom Pipeline'!R62,"")</f>
        <v/>
      </c>
      <c r="J67" s="18" t="str">
        <f aca="false">IF('MiT Strom Pipeline'!R62="WON",'MiT Strom Pipeline'!S62,"")</f>
        <v/>
      </c>
      <c r="K67" s="19" t="str">
        <f aca="false">IF('MiT Strom Pipeline'!R62="WON",IF(LEN('MiT Strom Pipeline'!V62)&gt;0,LEFT('MiT Strom Pipeline'!V62,55),""),"")</f>
        <v/>
      </c>
    </row>
    <row r="68" customFormat="false" ht="15.75" hidden="false" customHeight="true" outlineLevel="0" collapsed="false">
      <c r="A68" s="21" t="str">
        <f aca="false">IF('MiT Strom Pipeline'!R63="WON",IF(ISNUMBER('MiT Strom Pipeline'!A63),'MiT Strom Pipeline'!A63,""),"")</f>
        <v/>
      </c>
      <c r="B68" s="22" t="str">
        <f aca="false">IF('MiT Strom Pipeline'!R63="WON",'MiT Strom Pipeline'!B63,"")</f>
        <v/>
      </c>
      <c r="C68" s="21" t="str">
        <f aca="false">IF('MiT Strom Pipeline'!R63="WON",'MiT Strom Pipeline'!C63,"")</f>
        <v/>
      </c>
      <c r="D68" s="22" t="str">
        <f aca="false">IF('MiT Strom Pipeline'!R63="WON",'MiT Strom Pipeline'!D63,"")</f>
        <v/>
      </c>
      <c r="E68" s="22" t="str">
        <f aca="false">IF('MiT Strom Pipeline'!R63="WON",'MiT Strom Pipeline'!E63,"")</f>
        <v/>
      </c>
      <c r="F68" s="23" t="str">
        <f aca="false">IF('MiT Strom Pipeline'!R63="WON",IF(ISNUMBER('MiT Strom Pipeline'!I63),'MiT Strom Pipeline'!I63,0),"")</f>
        <v/>
      </c>
      <c r="G68" s="23" t="str">
        <f aca="false">IF('MiT Strom Pipeline'!R63="WON",IF(ISNUMBER('MiT Strom Pipeline'!Q63),'MiT Strom Pipeline'!Q63,0),"")</f>
        <v/>
      </c>
      <c r="H68" s="23" t="str">
        <f aca="false">IF('MiT Strom Pipeline'!R63="WON",IF(ISNUMBER('MiT Strom Pipeline'!O63),'MiT Strom Pipeline'!O63,0),"")</f>
        <v/>
      </c>
      <c r="I68" s="21" t="str">
        <f aca="false">IF('MiT Strom Pipeline'!R63="WON",'MiT Strom Pipeline'!R63,"")</f>
        <v/>
      </c>
      <c r="J68" s="21" t="str">
        <f aca="false">IF('MiT Strom Pipeline'!R63="WON",'MiT Strom Pipeline'!S63,"")</f>
        <v/>
      </c>
      <c r="K68" s="22" t="str">
        <f aca="false">IF('MiT Strom Pipeline'!R63="WON",IF(LEN('MiT Strom Pipeline'!V63)&gt;0,LEFT('MiT Strom Pipeline'!V63,55),""),"")</f>
        <v/>
      </c>
    </row>
    <row r="69" customFormat="false" ht="15.75" hidden="false" customHeight="true" outlineLevel="0" collapsed="false">
      <c r="A69" s="18" t="str">
        <f aca="false">IF('MiT Strom Pipeline'!R64="WON",IF(ISNUMBER('MiT Strom Pipeline'!A64),'MiT Strom Pipeline'!A64,""),"")</f>
        <v/>
      </c>
      <c r="B69" s="19" t="str">
        <f aca="false">IF('MiT Strom Pipeline'!R64="WON",'MiT Strom Pipeline'!B64,"")</f>
        <v/>
      </c>
      <c r="C69" s="18" t="str">
        <f aca="false">IF('MiT Strom Pipeline'!R64="WON",'MiT Strom Pipeline'!C64,"")</f>
        <v/>
      </c>
      <c r="D69" s="19" t="str">
        <f aca="false">IF('MiT Strom Pipeline'!R64="WON",'MiT Strom Pipeline'!D64,"")</f>
        <v/>
      </c>
      <c r="E69" s="19" t="str">
        <f aca="false">IF('MiT Strom Pipeline'!R64="WON",'MiT Strom Pipeline'!E64,"")</f>
        <v/>
      </c>
      <c r="F69" s="20" t="str">
        <f aca="false">IF('MiT Strom Pipeline'!R64="WON",IF(ISNUMBER('MiT Strom Pipeline'!I64),'MiT Strom Pipeline'!I64,0),"")</f>
        <v/>
      </c>
      <c r="G69" s="20" t="str">
        <f aca="false">IF('MiT Strom Pipeline'!R64="WON",IF(ISNUMBER('MiT Strom Pipeline'!Q64),'MiT Strom Pipeline'!Q64,0),"")</f>
        <v/>
      </c>
      <c r="H69" s="20" t="str">
        <f aca="false">IF('MiT Strom Pipeline'!R64="WON",IF(ISNUMBER('MiT Strom Pipeline'!O64),'MiT Strom Pipeline'!O64,0),"")</f>
        <v/>
      </c>
      <c r="I69" s="18" t="str">
        <f aca="false">IF('MiT Strom Pipeline'!R64="WON",'MiT Strom Pipeline'!R64,"")</f>
        <v/>
      </c>
      <c r="J69" s="18" t="str">
        <f aca="false">IF('MiT Strom Pipeline'!R64="WON",'MiT Strom Pipeline'!S64,"")</f>
        <v/>
      </c>
      <c r="K69" s="19" t="str">
        <f aca="false">IF('MiT Strom Pipeline'!R64="WON",IF(LEN('MiT Strom Pipeline'!V64)&gt;0,LEFT('MiT Strom Pipeline'!V64,55),""),"")</f>
        <v/>
      </c>
    </row>
    <row r="70" customFormat="false" ht="15.75" hidden="false" customHeight="true" outlineLevel="0" collapsed="false">
      <c r="A70" s="21" t="str">
        <f aca="false">IF('MiT Strom Pipeline'!R65="WON",IF(ISNUMBER('MiT Strom Pipeline'!A65),'MiT Strom Pipeline'!A65,""),"")</f>
        <v/>
      </c>
      <c r="B70" s="22" t="str">
        <f aca="false">IF('MiT Strom Pipeline'!R65="WON",'MiT Strom Pipeline'!B65,"")</f>
        <v/>
      </c>
      <c r="C70" s="21" t="str">
        <f aca="false">IF('MiT Strom Pipeline'!R65="WON",'MiT Strom Pipeline'!C65,"")</f>
        <v/>
      </c>
      <c r="D70" s="22" t="str">
        <f aca="false">IF('MiT Strom Pipeline'!R65="WON",'MiT Strom Pipeline'!D65,"")</f>
        <v/>
      </c>
      <c r="E70" s="22" t="str">
        <f aca="false">IF('MiT Strom Pipeline'!R65="WON",'MiT Strom Pipeline'!E65,"")</f>
        <v/>
      </c>
      <c r="F70" s="23" t="str">
        <f aca="false">IF('MiT Strom Pipeline'!R65="WON",IF(ISNUMBER('MiT Strom Pipeline'!I65),'MiT Strom Pipeline'!I65,0),"")</f>
        <v/>
      </c>
      <c r="G70" s="23" t="str">
        <f aca="false">IF('MiT Strom Pipeline'!R65="WON",IF(ISNUMBER('MiT Strom Pipeline'!Q65),'MiT Strom Pipeline'!Q65,0),"")</f>
        <v/>
      </c>
      <c r="H70" s="23" t="str">
        <f aca="false">IF('MiT Strom Pipeline'!R65="WON",IF(ISNUMBER('MiT Strom Pipeline'!O65),'MiT Strom Pipeline'!O65,0),"")</f>
        <v/>
      </c>
      <c r="I70" s="21" t="str">
        <f aca="false">IF('MiT Strom Pipeline'!R65="WON",'MiT Strom Pipeline'!R65,"")</f>
        <v/>
      </c>
      <c r="J70" s="21" t="str">
        <f aca="false">IF('MiT Strom Pipeline'!R65="WON",'MiT Strom Pipeline'!S65,"")</f>
        <v/>
      </c>
      <c r="K70" s="22" t="str">
        <f aca="false">IF('MiT Strom Pipeline'!R65="WON",IF(LEN('MiT Strom Pipeline'!V65)&gt;0,LEFT('MiT Strom Pipeline'!V65,55),""),"")</f>
        <v/>
      </c>
    </row>
    <row r="71" customFormat="false" ht="21.75" hidden="false" customHeight="true" outlineLevel="0" collapsed="false">
      <c r="A71" s="25" t="str">
        <f aca="false">IF('MiT Strom Pipeline'!R66="WON",IF(ISNUMBER('MiT Strom Pipeline'!A66),'MiT Strom Pipeline'!A66,""),"")</f>
        <v/>
      </c>
      <c r="B71" s="26" t="str">
        <f aca="false">IF('MiT Strom Pipeline'!R66="WON",'MiT Strom Pipeline'!B66,"")</f>
        <v/>
      </c>
      <c r="C71" s="26"/>
      <c r="D71" s="26"/>
      <c r="E71" s="26"/>
      <c r="F71" s="27" t="str">
        <f aca="false">IF('MiT Strom Pipeline'!R66="WON",IF(ISNUMBER('MiT Strom Pipeline'!I66),'MiT Strom Pipeline'!I66,0),"")</f>
        <v/>
      </c>
      <c r="G71" s="25" t="str">
        <f aca="false">IF('MiT Strom Pipeline'!R66="WON",IF(ISNUMBER('MiT Strom Pipeline'!Q66),'MiT Strom Pipeline'!Q66,0),"")</f>
        <v/>
      </c>
      <c r="H71" s="25" t="str">
        <f aca="false">IF('MiT Strom Pipeline'!R66="WON",IF(ISNUMBER('MiT Strom Pipeline'!O66),'MiT Strom Pipeline'!O66,0),"")</f>
        <v/>
      </c>
      <c r="I71" s="25" t="str">
        <f aca="false">IF('MiT Strom Pipeline'!R66="WON",'MiT Strom Pipeline'!R66,"")</f>
        <v/>
      </c>
      <c r="J71" s="25" t="str">
        <f aca="false">IF('MiT Strom Pipeline'!R66="WON",'MiT Strom Pipeline'!S66,"")</f>
        <v/>
      </c>
      <c r="K71" s="25" t="str">
        <f aca="false">IF('MiT Strom Pipeline'!R66="WON",IF(LEN('MiT Strom Pipeline'!V66)&gt;0,LEFT('MiT Strom Pipeline'!V66,55),""),"")</f>
        <v/>
      </c>
    </row>
    <row r="72" customFormat="false" ht="3.75" hidden="false" customHeight="true" outlineLevel="0" collapsed="false">
      <c r="A72" s="0" t="str">
        <f aca="false">IF('MiT Strom Pipeline'!R67="WON",IF(ISNUMBER('MiT Strom Pipeline'!A67),'MiT Strom Pipeline'!A67,""),"")</f>
        <v/>
      </c>
      <c r="B72" s="0" t="str">
        <f aca="false">IF('MiT Strom Pipeline'!R67="WON",'MiT Strom Pipeline'!B67,"")</f>
        <v/>
      </c>
      <c r="C72" s="0" t="str">
        <f aca="false">IF('MiT Strom Pipeline'!R67="WON",'MiT Strom Pipeline'!C67,"")</f>
        <v/>
      </c>
      <c r="D72" s="0" t="str">
        <f aca="false">IF('MiT Strom Pipeline'!R67="WON",'MiT Strom Pipeline'!D67,"")</f>
        <v/>
      </c>
      <c r="E72" s="0" t="str">
        <f aca="false">IF('MiT Strom Pipeline'!R67="WON",'MiT Strom Pipeline'!E67,"")</f>
        <v/>
      </c>
      <c r="F72" s="0" t="str">
        <f aca="false">IF('MiT Strom Pipeline'!R67="WON",IF(ISNUMBER('MiT Strom Pipeline'!I67),'MiT Strom Pipeline'!I67,0),"")</f>
        <v/>
      </c>
      <c r="G72" s="0" t="str">
        <f aca="false">IF('MiT Strom Pipeline'!R67="WON",IF(ISNUMBER('MiT Strom Pipeline'!Q67),'MiT Strom Pipeline'!Q67,0),"")</f>
        <v/>
      </c>
      <c r="H72" s="0" t="str">
        <f aca="false">IF('MiT Strom Pipeline'!R67="WON",IF(ISNUMBER('MiT Strom Pipeline'!O67),'MiT Strom Pipeline'!O67,0),"")</f>
        <v/>
      </c>
      <c r="I72" s="0" t="str">
        <f aca="false">IF('MiT Strom Pipeline'!R67="WON",'MiT Strom Pipeline'!R67,"")</f>
        <v/>
      </c>
      <c r="J72" s="0" t="str">
        <f aca="false">IF('MiT Strom Pipeline'!R67="WON",'MiT Strom Pipeline'!S67,"")</f>
        <v/>
      </c>
      <c r="K72" s="0" t="str">
        <f aca="false">IF('MiT Strom Pipeline'!R67="WON",IF(LEN('MiT Strom Pipeline'!V67)&gt;0,LEFT('MiT Strom Pipeline'!V67,55),""),"")</f>
        <v/>
      </c>
    </row>
    <row r="73" customFormat="false" ht="24" hidden="false" customHeight="true" outlineLevel="0" collapsed="false">
      <c r="A73" s="28" t="s">
        <v>17</v>
      </c>
      <c r="B73" s="28"/>
      <c r="C73" s="28"/>
      <c r="D73" s="28"/>
      <c r="E73" s="28"/>
      <c r="F73" s="28"/>
      <c r="G73" s="28"/>
      <c r="H73" s="28"/>
      <c r="I73" s="28"/>
      <c r="J73" s="28"/>
      <c r="K73" s="28"/>
    </row>
    <row r="74" customFormat="false" ht="19.5" hidden="false" customHeight="true" outlineLevel="0" collapsed="false">
      <c r="A74" s="15" t="s">
        <v>6</v>
      </c>
      <c r="B74" s="16" t="s">
        <v>7</v>
      </c>
      <c r="C74" s="15" t="s">
        <v>8</v>
      </c>
      <c r="D74" s="16" t="s">
        <v>9</v>
      </c>
      <c r="E74" s="16" t="s">
        <v>10</v>
      </c>
      <c r="F74" s="17" t="s">
        <v>11</v>
      </c>
      <c r="G74" s="17" t="s">
        <v>12</v>
      </c>
      <c r="H74" s="17" t="s">
        <v>13</v>
      </c>
      <c r="I74" s="15" t="s">
        <v>14</v>
      </c>
      <c r="J74" s="15" t="s">
        <v>15</v>
      </c>
      <c r="K74" s="16" t="s">
        <v>16</v>
      </c>
    </row>
    <row r="75" customFormat="false" ht="15.75" hidden="false" customHeight="true" outlineLevel="0" collapsed="false">
      <c r="A75" s="29" t="str">
        <f aca="false">IF(('MiT Strom Pipeline'!R6="offered")+('MiT Strom Pipeline'!R6="to be offered")+('MiT Strom Pipeline'!R6="on hold")&gt;0,IF(ISNUMBER('MiT Strom Pipeline'!A6),'MiT Strom Pipeline'!A6,""),"")</f>
        <v/>
      </c>
      <c r="B75" s="30" t="str">
        <f aca="false">IF(('MiT Strom Pipeline'!R6="offered")+('MiT Strom Pipeline'!R6="to be offered")+('MiT Strom Pipeline'!R6="on hold")&gt;0,'MiT Strom Pipeline'!B6,"")</f>
        <v/>
      </c>
      <c r="C75" s="29" t="str">
        <f aca="false">IF(('MiT Strom Pipeline'!R6="offered")+('MiT Strom Pipeline'!R6="to be offered")+('MiT Strom Pipeline'!R6="on hold")&gt;0,'MiT Strom Pipeline'!C6,"")</f>
        <v/>
      </c>
      <c r="D75" s="30" t="str">
        <f aca="false">IF(('MiT Strom Pipeline'!R6="offered")+('MiT Strom Pipeline'!R6="to be offered")+('MiT Strom Pipeline'!R6="on hold")&gt;0,'MiT Strom Pipeline'!D6,"")</f>
        <v/>
      </c>
      <c r="E75" s="30" t="str">
        <f aca="false">IF(('MiT Strom Pipeline'!R6="offered")+('MiT Strom Pipeline'!R6="to be offered")+('MiT Strom Pipeline'!R6="on hold")&gt;0,'MiT Strom Pipeline'!E6,"")</f>
        <v/>
      </c>
      <c r="F75" s="31" t="str">
        <f aca="false">IF(('MiT Strom Pipeline'!R6="offered")+('MiT Strom Pipeline'!R6="to be offered")+('MiT Strom Pipeline'!R6="on hold")&gt;0,IF(ISNUMBER('MiT Strom Pipeline'!I6),'MiT Strom Pipeline'!I6,0),"")</f>
        <v/>
      </c>
      <c r="G75" s="31" t="str">
        <f aca="false">IF(('MiT Strom Pipeline'!R6="offered")+('MiT Strom Pipeline'!R6="to be offered")+('MiT Strom Pipeline'!R6="on hold")&gt;0,IF(ISNUMBER('MiT Strom Pipeline'!Q6),'MiT Strom Pipeline'!Q6,0),"")</f>
        <v/>
      </c>
      <c r="H75" s="31" t="str">
        <f aca="false">IF(('MiT Strom Pipeline'!R6="offered")+('MiT Strom Pipeline'!R6="to be offered")+('MiT Strom Pipeline'!R6="on hold")&gt;0,IF(ISNUMBER('MiT Strom Pipeline'!O6),'MiT Strom Pipeline'!O6,0),"")</f>
        <v/>
      </c>
      <c r="I75" s="29" t="str">
        <f aca="false">IF(('MiT Strom Pipeline'!R6="offered")+('MiT Strom Pipeline'!R6="to be offered")+('MiT Strom Pipeline'!R6="on hold")&gt;0,'MiT Strom Pipeline'!R6,"")</f>
        <v/>
      </c>
      <c r="J75" s="29" t="str">
        <f aca="false">IF(('MiT Strom Pipeline'!R6="offered")+('MiT Strom Pipeline'!R6="to be offered")+('MiT Strom Pipeline'!R6="on hold")&gt;0,'MiT Strom Pipeline'!S6,"")</f>
        <v/>
      </c>
      <c r="K75" s="30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false" customHeight="true" outlineLevel="0" collapsed="false">
      <c r="A76" s="21" t="str">
        <f aca="false">IF(('MiT Strom Pipeline'!R7="offered")+('MiT Strom Pipeline'!R7="to be offered")+('MiT Strom Pipeline'!R7="on hold")&gt;0,IF(ISNUMBER('MiT Strom Pipeline'!A7),'MiT Strom Pipeline'!A7,""),"")</f>
        <v/>
      </c>
      <c r="B76" s="22" t="str">
        <f aca="false">IF(('MiT Strom Pipeline'!R7="offered")+('MiT Strom Pipeline'!R7="to be offered")+('MiT Strom Pipeline'!R7="on hold")&gt;0,'MiT Strom Pipeline'!B7,"")</f>
        <v/>
      </c>
      <c r="C76" s="21" t="str">
        <f aca="false">IF(('MiT Strom Pipeline'!R7="offered")+('MiT Strom Pipeline'!R7="to be offered")+('MiT Strom Pipeline'!R7="on hold")&gt;0,'MiT Strom Pipeline'!C7,"")</f>
        <v/>
      </c>
      <c r="D76" s="22" t="str">
        <f aca="false">IF(('MiT Strom Pipeline'!R7="offered")+('MiT Strom Pipeline'!R7="to be offered")+('MiT Strom Pipeline'!R7="on hold")&gt;0,'MiT Strom Pipeline'!D7,"")</f>
        <v/>
      </c>
      <c r="E76" s="22" t="str">
        <f aca="false">IF(('MiT Strom Pipeline'!R7="offered")+('MiT Strom Pipeline'!R7="to be offered")+('MiT Strom Pipeline'!R7="on hold")&gt;0,'MiT Strom Pipeline'!E7,"")</f>
        <v/>
      </c>
      <c r="F76" s="23" t="str">
        <f aca="false">IF(('MiT Strom Pipeline'!R7="offered")+('MiT Strom Pipeline'!R7="to be offered")+('MiT Strom Pipeline'!R7="on hold")&gt;0,IF(ISNUMBER('MiT Strom Pipeline'!I7),'MiT Strom Pipeline'!I7,0),"")</f>
        <v/>
      </c>
      <c r="G76" s="23" t="str">
        <f aca="false">IF(('MiT Strom Pipeline'!R7="offered")+('MiT Strom Pipeline'!R7="to be offered")+('MiT Strom Pipeline'!R7="on hold")&gt;0,IF(ISNUMBER('MiT Strom Pipeline'!Q7),'MiT Strom Pipeline'!Q7,0),"")</f>
        <v/>
      </c>
      <c r="H76" s="23" t="str">
        <f aca="false">IF(('MiT Strom Pipeline'!R7="offered")+('MiT Strom Pipeline'!R7="to be offered")+('MiT Strom Pipeline'!R7="on hold")&gt;0,IF(ISNUMBER('MiT Strom Pipeline'!O7),'MiT Strom Pipeline'!O7,0),"")</f>
        <v/>
      </c>
      <c r="I76" s="21" t="str">
        <f aca="false">IF(('MiT Strom Pipeline'!R7="offered")+('MiT Strom Pipeline'!R7="to be offered")+('MiT Strom Pipeline'!R7="on hold")&gt;0,'MiT Strom Pipeline'!R7,"")</f>
        <v/>
      </c>
      <c r="J76" s="21" t="str">
        <f aca="false">IF(('MiT Strom Pipeline'!R7="offered")+('MiT Strom Pipeline'!R7="to be offered")+('MiT Strom Pipeline'!R7="on hold")&gt;0,'MiT Strom Pipeline'!S7,"")</f>
        <v/>
      </c>
      <c r="K76" s="22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false" customHeight="true" outlineLevel="0" collapsed="false">
      <c r="A77" s="29" t="str">
        <f aca="false">IF(('MiT Strom Pipeline'!R8="offered")+('MiT Strom Pipeline'!R8="to be offered")+('MiT Strom Pipeline'!R8="on hold")&gt;0,IF(ISNUMBER('MiT Strom Pipeline'!A8),'MiT Strom Pipeline'!A8,""),"")</f>
        <v/>
      </c>
      <c r="B77" s="30" t="str">
        <f aca="false">IF(('MiT Strom Pipeline'!R8="offered")+('MiT Strom Pipeline'!R8="to be offered")+('MiT Strom Pipeline'!R8="on hold")&gt;0,'MiT Strom Pipeline'!B8,"")</f>
        <v/>
      </c>
      <c r="C77" s="29" t="str">
        <f aca="false">IF(('MiT Strom Pipeline'!R8="offered")+('MiT Strom Pipeline'!R8="to be offered")+('MiT Strom Pipeline'!R8="on hold")&gt;0,'MiT Strom Pipeline'!C8,"")</f>
        <v/>
      </c>
      <c r="D77" s="30" t="str">
        <f aca="false">IF(('MiT Strom Pipeline'!R8="offered")+('MiT Strom Pipeline'!R8="to be offered")+('MiT Strom Pipeline'!R8="on hold")&gt;0,'MiT Strom Pipeline'!D8,"")</f>
        <v/>
      </c>
      <c r="E77" s="30" t="str">
        <f aca="false">IF(('MiT Strom Pipeline'!R8="offered")+('MiT Strom Pipeline'!R8="to be offered")+('MiT Strom Pipeline'!R8="on hold")&gt;0,'MiT Strom Pipeline'!E8,"")</f>
        <v/>
      </c>
      <c r="F77" s="31" t="str">
        <f aca="false">IF(('MiT Strom Pipeline'!R8="offered")+('MiT Strom Pipeline'!R8="to be offered")+('MiT Strom Pipeline'!R8="on hold")&gt;0,IF(ISNUMBER('MiT Strom Pipeline'!I8),'MiT Strom Pipeline'!I8,0),"")</f>
        <v/>
      </c>
      <c r="G77" s="31" t="str">
        <f aca="false">IF(('MiT Strom Pipeline'!R8="offered")+('MiT Strom Pipeline'!R8="to be offered")+('MiT Strom Pipeline'!R8="on hold")&gt;0,IF(ISNUMBER('MiT Strom Pipeline'!Q8),'MiT Strom Pipeline'!Q8,0),"")</f>
        <v/>
      </c>
      <c r="H77" s="31" t="str">
        <f aca="false">IF(('MiT Strom Pipeline'!R8="offered")+('MiT Strom Pipeline'!R8="to be offered")+('MiT Strom Pipeline'!R8="on hold")&gt;0,IF(ISNUMBER('MiT Strom Pipeline'!O8),'MiT Strom Pipeline'!O8,0),"")</f>
        <v/>
      </c>
      <c r="I77" s="29" t="str">
        <f aca="false">IF(('MiT Strom Pipeline'!R8="offered")+('MiT Strom Pipeline'!R8="to be offered")+('MiT Strom Pipeline'!R8="on hold")&gt;0,'MiT Strom Pipeline'!R8,"")</f>
        <v/>
      </c>
      <c r="J77" s="29" t="str">
        <f aca="false">IF(('MiT Strom Pipeline'!R8="offered")+('MiT Strom Pipeline'!R8="to be offered")+('MiT Strom Pipeline'!R8="on hold")&gt;0,'MiT Strom Pipeline'!S8,"")</f>
        <v/>
      </c>
      <c r="K77" s="30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false" customHeight="true" outlineLevel="0" collapsed="false">
      <c r="A78" s="21" t="n">
        <f aca="false">IF(('MiT Strom Pipeline'!R9="offered")+('MiT Strom Pipeline'!R9="to be offered")+('MiT Strom Pipeline'!R9="on hold")&gt;0,IF(ISNUMBER('MiT Strom Pipeline'!A9),'MiT Strom Pipeline'!A9,""),"")</f>
        <v>4</v>
      </c>
      <c r="B78" s="22" t="str">
        <f aca="false">IF(('MiT Strom Pipeline'!R9="offered")+('MiT Strom Pipeline'!R9="to be offered")+('MiT Strom Pipeline'!R9="on hold")&gt;0,'MiT Strom Pipeline'!B9,"")</f>
        <v>Stagelight – OpenAir Frauenfeld</v>
      </c>
      <c r="C78" s="21" t="str">
        <f aca="false">IF(('MiT Strom Pipeline'!R9="offered")+('MiT Strom Pipeline'!R9="to be offered")+('MiT Strom Pipeline'!R9="on hold")&gt;0,'MiT Strom Pipeline'!C9,"")</f>
        <v>TG</v>
      </c>
      <c r="D78" s="22" t="str">
        <f aca="false">IF(('MiT Strom Pipeline'!R9="offered")+('MiT Strom Pipeline'!R9="to be offered")+('MiT Strom Pipeline'!R9="on hold")&gt;0,'MiT Strom Pipeline'!D9,"")</f>
        <v>Events &amp; Kultur</v>
      </c>
      <c r="E78" s="22" t="str">
        <f aca="false">IF(('MiT Strom Pipeline'!R9="offered")+('MiT Strom Pipeline'!R9="to be offered")+('MiT Strom Pipeline'!R9="on hold")&gt;0,'MiT Strom Pipeline'!E9,"")</f>
        <v>~500 kVA Generator</v>
      </c>
      <c r="F78" s="23" t="n">
        <f aca="false">IF(('MiT Strom Pipeline'!R9="offered")+('MiT Strom Pipeline'!R9="to be offered")+('MiT Strom Pipeline'!R9="on hold")&gt;0,IF(ISNUMBER('MiT Strom Pipeline'!I9),'MiT Strom Pipeline'!I9,0),"")</f>
        <v>150000</v>
      </c>
      <c r="G78" s="23" t="n">
        <f aca="false">IF(('MiT Strom Pipeline'!R9="offered")+('MiT Strom Pipeline'!R9="to be offered")+('MiT Strom Pipeline'!R9="on hold")&gt;0,IF(ISNUMBER('MiT Strom Pipeline'!Q9),'MiT Strom Pipeline'!Q9,0),"")</f>
        <v>1350</v>
      </c>
      <c r="H78" s="23" t="n">
        <f aca="false">IF(('MiT Strom Pipeline'!R9="offered")+('MiT Strom Pipeline'!R9="to be offered")+('MiT Strom Pipeline'!R9="on hold")&gt;0,IF(ISNUMBER('MiT Strom Pipeline'!O9),'MiT Strom Pipeline'!O9,0),"")</f>
        <v>39500</v>
      </c>
      <c r="I78" s="21" t="str">
        <f aca="false">IF(('MiT Strom Pipeline'!R9="offered")+('MiT Strom Pipeline'!R9="to be offered")+('MiT Strom Pipeline'!R9="on hold")&gt;0,'MiT Strom Pipeline'!R9,"")</f>
        <v>offered</v>
      </c>
      <c r="J78" s="21" t="str">
        <f aca="false">IF(('MiT Strom Pipeline'!R9="offered")+('MiT Strom Pipeline'!R9="to be offered")+('MiT Strom Pipeline'!R9="on hold")&gt;0,'MiT Strom Pipeline'!S9,"")</f>
        <v>90%</v>
      </c>
      <c r="K78" s="22" t="str">
        <f aca="false">IF(('MiT Strom Pipeline'!R9="offered")+('MiT Strom Pipeline'!R9="to be offered")+('MiT Strom Pipeline'!R9="on hold")&gt;0,IF(LEN('MiT Strom Pipeline'!V9)&gt;0,LEFT('MiT Strom Pipeline'!V9,55),""),"")</f>
        <v>Follow-up + Vertragsverhandlung initiieren</v>
      </c>
    </row>
    <row r="79" customFormat="false" ht="15.75" hidden="false" customHeight="true" outlineLevel="0" collapsed="false">
      <c r="A79" s="29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30" t="str">
        <f aca="false">IF(('MiT Strom Pipeline'!R10="offered")+('MiT Strom Pipeline'!R10="to be offered")+('MiT Strom Pipeline'!R10="on hold")&gt;0,'MiT Strom Pipeline'!B10,"")</f>
        <v>Wincasa Solothurn</v>
      </c>
      <c r="C79" s="29" t="str">
        <f aca="false">IF(('MiT Strom Pipeline'!R10="offered")+('MiT Strom Pipeline'!R10="to be offered")+('MiT Strom Pipeline'!R10="on hold")&gt;0,'MiT Strom Pipeline'!C10,"")</f>
        <v>SO</v>
      </c>
      <c r="D79" s="30" t="str">
        <f aca="false">IF(('MiT Strom Pipeline'!R10="offered")+('MiT Strom Pipeline'!R10="to be offered")+('MiT Strom Pipeline'!R10="on hold")&gt;0,'MiT Strom Pipeline'!D10,"")</f>
        <v>Immobilien / FM</v>
      </c>
      <c r="E79" s="30" t="str">
        <f aca="false">IF(('MiT Strom Pipeline'!R10="offered")+('MiT Strom Pipeline'!R10="to be offered")+('MiT Strom Pipeline'!R10="on hold")&gt;0,'MiT Strom Pipeline'!E10,"")</f>
        <v>BESS 1 MWh</v>
      </c>
      <c r="F79" s="31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31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31" t="n">
        <f aca="false">IF(('MiT Strom Pipeline'!R10="offered")+('MiT Strom Pipeline'!R10="to be offered")+('MiT Strom Pipeline'!R10="on hold")&gt;0,IF(ISNUMBER('MiT Strom Pipeline'!O10),'MiT Strom Pipeline'!O10,0),"")</f>
        <v>118000</v>
      </c>
      <c r="I79" s="29" t="str">
        <f aca="false">IF(('MiT Strom Pipeline'!R10="offered")+('MiT Strom Pipeline'!R10="to be offered")+('MiT Strom Pipeline'!R10="on hold")&gt;0,'MiT Strom Pipeline'!R10,"")</f>
        <v>on hold</v>
      </c>
      <c r="J79" s="29" t="str">
        <f aca="false">IF(('MiT Strom Pipeline'!R10="offered")+('MiT Strom Pipeline'!R10="to be offered")+('MiT Strom Pipeline'!R10="on hold")&gt;0,'MiT Strom Pipeline'!S10,"")</f>
        <v>50%</v>
      </c>
      <c r="K79" s="30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false" customHeight="true" outlineLevel="0" collapsed="false">
      <c r="A80" s="21" t="str">
        <f aca="false">IF(('MiT Strom Pipeline'!R11="offered")+('MiT Strom Pipeline'!R11="to be offered")+('MiT Strom Pipeline'!R11="on hold")&gt;0,IF(ISNUMBER('MiT Strom Pipeline'!A11),'MiT Strom Pipeline'!A11,""),"")</f>
        <v/>
      </c>
      <c r="B80" s="22" t="str">
        <f aca="false">IF(('MiT Strom Pipeline'!R11="offered")+('MiT Strom Pipeline'!R11="to be offered")+('MiT Strom Pipeline'!R11="on hold")&gt;0,'MiT Strom Pipeline'!B11,"")</f>
        <v/>
      </c>
      <c r="C80" s="21" t="str">
        <f aca="false">IF(('MiT Strom Pipeline'!R11="offered")+('MiT Strom Pipeline'!R11="to be offered")+('MiT Strom Pipeline'!R11="on hold")&gt;0,'MiT Strom Pipeline'!C11,"")</f>
        <v/>
      </c>
      <c r="D80" s="22" t="str">
        <f aca="false">IF(('MiT Strom Pipeline'!R11="offered")+('MiT Strom Pipeline'!R11="to be offered")+('MiT Strom Pipeline'!R11="on hold")&gt;0,'MiT Strom Pipeline'!D11,"")</f>
        <v/>
      </c>
      <c r="E80" s="22" t="str">
        <f aca="false">IF(('MiT Strom Pipeline'!R11="offered")+('MiT Strom Pipeline'!R11="to be offered")+('MiT Strom Pipeline'!R11="on hold")&gt;0,'MiT Strom Pipeline'!E11,"")</f>
        <v/>
      </c>
      <c r="F80" s="23" t="str">
        <f aca="false">IF(('MiT Strom Pipeline'!R11="offered")+('MiT Strom Pipeline'!R11="to be offered")+('MiT Strom Pipeline'!R11="on hold")&gt;0,IF(ISNUMBER('MiT Strom Pipeline'!I11),'MiT Strom Pipeline'!I11,0),"")</f>
        <v/>
      </c>
      <c r="G80" s="23" t="str">
        <f aca="false">IF(('MiT Strom Pipeline'!R11="offered")+('MiT Strom Pipeline'!R11="to be offered")+('MiT Strom Pipeline'!R11="on hold")&gt;0,IF(ISNUMBER('MiT Strom Pipeline'!Q11),'MiT Strom Pipeline'!Q11,0),"")</f>
        <v/>
      </c>
      <c r="H80" s="23" t="str">
        <f aca="false">IF(('MiT Strom Pipeline'!R11="offered")+('MiT Strom Pipeline'!R11="to be offered")+('MiT Strom Pipeline'!R11="on hold")&gt;0,IF(ISNUMBER('MiT Strom Pipeline'!O11),'MiT Strom Pipeline'!O11,0),"")</f>
        <v/>
      </c>
      <c r="I80" s="21" t="str">
        <f aca="false">IF(('MiT Strom Pipeline'!R11="offered")+('MiT Strom Pipeline'!R11="to be offered")+('MiT Strom Pipeline'!R11="on hold")&gt;0,'MiT Strom Pipeline'!R11,"")</f>
        <v/>
      </c>
      <c r="J80" s="21" t="str">
        <f aca="false">IF(('MiT Strom Pipeline'!R11="offered")+('MiT Strom Pipeline'!R11="to be offered")+('MiT Strom Pipeline'!R11="on hold")&gt;0,'MiT Strom Pipeline'!S11,"")</f>
        <v/>
      </c>
      <c r="K80" s="22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false" customHeight="true" outlineLevel="0" collapsed="false">
      <c r="A81" s="29" t="str">
        <f aca="false">IF(('MiT Strom Pipeline'!R12="offered")+('MiT Strom Pipeline'!R12="to be offered")+('MiT Strom Pipeline'!R12="on hold")&gt;0,IF(ISNUMBER('MiT Strom Pipeline'!A12),'MiT Strom Pipeline'!A12,""),"")</f>
        <v/>
      </c>
      <c r="B81" s="30" t="str">
        <f aca="false">IF(('MiT Strom Pipeline'!R12="offered")+('MiT Strom Pipeline'!R12="to be offered")+('MiT Strom Pipeline'!R12="on hold")&gt;0,'MiT Strom Pipeline'!B12,"")</f>
        <v/>
      </c>
      <c r="C81" s="29" t="str">
        <f aca="false">IF(('MiT Strom Pipeline'!R12="offered")+('MiT Strom Pipeline'!R12="to be offered")+('MiT Strom Pipeline'!R12="on hold")&gt;0,'MiT Strom Pipeline'!C12,"")</f>
        <v/>
      </c>
      <c r="D81" s="30" t="str">
        <f aca="false">IF(('MiT Strom Pipeline'!R12="offered")+('MiT Strom Pipeline'!R12="to be offered")+('MiT Strom Pipeline'!R12="on hold")&gt;0,'MiT Strom Pipeline'!D12,"")</f>
        <v/>
      </c>
      <c r="E81" s="30" t="str">
        <f aca="false">IF(('MiT Strom Pipeline'!R12="offered")+('MiT Strom Pipeline'!R12="to be offered")+('MiT Strom Pipeline'!R12="on hold")&gt;0,'MiT Strom Pipeline'!E12,"")</f>
        <v/>
      </c>
      <c r="F81" s="31" t="str">
        <f aca="false">IF(('MiT Strom Pipeline'!R12="offered")+('MiT Strom Pipeline'!R12="to be offered")+('MiT Strom Pipeline'!R12="on hold")&gt;0,IF(ISNUMBER('MiT Strom Pipeline'!I12),'MiT Strom Pipeline'!I12,0),"")</f>
        <v/>
      </c>
      <c r="G81" s="31" t="str">
        <f aca="false">IF(('MiT Strom Pipeline'!R12="offered")+('MiT Strom Pipeline'!R12="to be offered")+('MiT Strom Pipeline'!R12="on hold")&gt;0,IF(ISNUMBER('MiT Strom Pipeline'!Q12),'MiT Strom Pipeline'!Q12,0),"")</f>
        <v/>
      </c>
      <c r="H81" s="31" t="str">
        <f aca="false">IF(('MiT Strom Pipeline'!R12="offered")+('MiT Strom Pipeline'!R12="to be offered")+('MiT Strom Pipeline'!R12="on hold")&gt;0,IF(ISNUMBER('MiT Strom Pipeline'!O12),'MiT Strom Pipeline'!O12,0),"")</f>
        <v/>
      </c>
      <c r="I81" s="29" t="str">
        <f aca="false">IF(('MiT Strom Pipeline'!R12="offered")+('MiT Strom Pipeline'!R12="to be offered")+('MiT Strom Pipeline'!R12="on hold")&gt;0,'MiT Strom Pipeline'!R12,"")</f>
        <v/>
      </c>
      <c r="J81" s="29" t="str">
        <f aca="false">IF(('MiT Strom Pipeline'!R12="offered")+('MiT Strom Pipeline'!R12="to be offered")+('MiT Strom Pipeline'!R12="on hold")&gt;0,'MiT Strom Pipeline'!S12,"")</f>
        <v/>
      </c>
      <c r="K81" s="30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false" customHeight="true" outlineLevel="0" collapsed="false">
      <c r="A82" s="21" t="str">
        <f aca="false">IF(('MiT Strom Pipeline'!R13="offered")+('MiT Strom Pipeline'!R13="to be offered")+('MiT Strom Pipeline'!R13="on hold")&gt;0,IF(ISNUMBER('MiT Strom Pipeline'!A13),'MiT Strom Pipeline'!A13,""),"")</f>
        <v/>
      </c>
      <c r="B82" s="22" t="str">
        <f aca="false">IF(('MiT Strom Pipeline'!R13="offered")+('MiT Strom Pipeline'!R13="to be offered")+('MiT Strom Pipeline'!R13="on hold")&gt;0,'MiT Strom Pipeline'!B13,"")</f>
        <v/>
      </c>
      <c r="C82" s="21" t="str">
        <f aca="false">IF(('MiT Strom Pipeline'!R13="offered")+('MiT Strom Pipeline'!R13="to be offered")+('MiT Strom Pipeline'!R13="on hold")&gt;0,'MiT Strom Pipeline'!C13,"")</f>
        <v/>
      </c>
      <c r="D82" s="22" t="str">
        <f aca="false">IF(('MiT Strom Pipeline'!R13="offered")+('MiT Strom Pipeline'!R13="to be offered")+('MiT Strom Pipeline'!R13="on hold")&gt;0,'MiT Strom Pipeline'!D13,"")</f>
        <v/>
      </c>
      <c r="E82" s="22" t="str">
        <f aca="false">IF(('MiT Strom Pipeline'!R13="offered")+('MiT Strom Pipeline'!R13="to be offered")+('MiT Strom Pipeline'!R13="on hold")&gt;0,'MiT Strom Pipeline'!E13,"")</f>
        <v/>
      </c>
      <c r="F82" s="23" t="str">
        <f aca="false">IF(('MiT Strom Pipeline'!R13="offered")+('MiT Strom Pipeline'!R13="to be offered")+('MiT Strom Pipeline'!R13="on hold")&gt;0,IF(ISNUMBER('MiT Strom Pipeline'!I13),'MiT Strom Pipeline'!I13,0),"")</f>
        <v/>
      </c>
      <c r="G82" s="23" t="str">
        <f aca="false">IF(('MiT Strom Pipeline'!R13="offered")+('MiT Strom Pipeline'!R13="to be offered")+('MiT Strom Pipeline'!R13="on hold")&gt;0,IF(ISNUMBER('MiT Strom Pipeline'!Q13),'MiT Strom Pipeline'!Q13,0),"")</f>
        <v/>
      </c>
      <c r="H82" s="23" t="str">
        <f aca="false">IF(('MiT Strom Pipeline'!R13="offered")+('MiT Strom Pipeline'!R13="to be offered")+('MiT Strom Pipeline'!R13="on hold")&gt;0,IF(ISNUMBER('MiT Strom Pipeline'!O13),'MiT Strom Pipeline'!O13,0),"")</f>
        <v/>
      </c>
      <c r="I82" s="21" t="str">
        <f aca="false">IF(('MiT Strom Pipeline'!R13="offered")+('MiT Strom Pipeline'!R13="to be offered")+('MiT Strom Pipeline'!R13="on hold")&gt;0,'MiT Strom Pipeline'!R13,"")</f>
        <v/>
      </c>
      <c r="J82" s="21" t="str">
        <f aca="false">IF(('MiT Strom Pipeline'!R13="offered")+('MiT Strom Pipeline'!R13="to be offered")+('MiT Strom Pipeline'!R13="on hold")&gt;0,'MiT Strom Pipeline'!S13,"")</f>
        <v/>
      </c>
      <c r="K82" s="22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false" customHeight="true" outlineLevel="0" collapsed="false">
      <c r="A83" s="29" t="str">
        <f aca="false">IF(('MiT Strom Pipeline'!R14="offered")+('MiT Strom Pipeline'!R14="to be offered")+('MiT Strom Pipeline'!R14="on hold")&gt;0,IF(ISNUMBER('MiT Strom Pipeline'!A14),'MiT Strom Pipeline'!A14,""),"")</f>
        <v/>
      </c>
      <c r="B83" s="30" t="str">
        <f aca="false">IF(('MiT Strom Pipeline'!R14="offered")+('MiT Strom Pipeline'!R14="to be offered")+('MiT Strom Pipeline'!R14="on hold")&gt;0,'MiT Strom Pipeline'!B14,"")</f>
        <v/>
      </c>
      <c r="C83" s="29" t="str">
        <f aca="false">IF(('MiT Strom Pipeline'!R14="offered")+('MiT Strom Pipeline'!R14="to be offered")+('MiT Strom Pipeline'!R14="on hold")&gt;0,'MiT Strom Pipeline'!C14,"")</f>
        <v/>
      </c>
      <c r="D83" s="30" t="str">
        <f aca="false">IF(('MiT Strom Pipeline'!R14="offered")+('MiT Strom Pipeline'!R14="to be offered")+('MiT Strom Pipeline'!R14="on hold")&gt;0,'MiT Strom Pipeline'!D14,"")</f>
        <v/>
      </c>
      <c r="E83" s="30" t="str">
        <f aca="false">IF(('MiT Strom Pipeline'!R14="offered")+('MiT Strom Pipeline'!R14="to be offered")+('MiT Strom Pipeline'!R14="on hold")&gt;0,'MiT Strom Pipeline'!E14,"")</f>
        <v/>
      </c>
      <c r="F83" s="31" t="str">
        <f aca="false">IF(('MiT Strom Pipeline'!R14="offered")+('MiT Strom Pipeline'!R14="to be offered")+('MiT Strom Pipeline'!R14="on hold")&gt;0,IF(ISNUMBER('MiT Strom Pipeline'!I14),'MiT Strom Pipeline'!I14,0),"")</f>
        <v/>
      </c>
      <c r="G83" s="31" t="str">
        <f aca="false">IF(('MiT Strom Pipeline'!R14="offered")+('MiT Strom Pipeline'!R14="to be offered")+('MiT Strom Pipeline'!R14="on hold")&gt;0,IF(ISNUMBER('MiT Strom Pipeline'!Q14),'MiT Strom Pipeline'!Q14,0),"")</f>
        <v/>
      </c>
      <c r="H83" s="31" t="str">
        <f aca="false">IF(('MiT Strom Pipeline'!R14="offered")+('MiT Strom Pipeline'!R14="to be offered")+('MiT Strom Pipeline'!R14="on hold")&gt;0,IF(ISNUMBER('MiT Strom Pipeline'!O14),'MiT Strom Pipeline'!O14,0),"")</f>
        <v/>
      </c>
      <c r="I83" s="29" t="str">
        <f aca="false">IF(('MiT Strom Pipeline'!R14="offered")+('MiT Strom Pipeline'!R14="to be offered")+('MiT Strom Pipeline'!R14="on hold")&gt;0,'MiT Strom Pipeline'!R14,"")</f>
        <v/>
      </c>
      <c r="J83" s="29" t="str">
        <f aca="false">IF(('MiT Strom Pipeline'!R14="offered")+('MiT Strom Pipeline'!R14="to be offered")+('MiT Strom Pipeline'!R14="on hold")&gt;0,'MiT Strom Pipeline'!S14,"")</f>
        <v/>
      </c>
      <c r="K83" s="30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21" t="str">
        <f aca="false">IF(('MiT Strom Pipeline'!R15="offered")+('MiT Strom Pipeline'!R15="to be offered")+('MiT Strom Pipeline'!R15="on hold")&gt;0,IF(ISNUMBER('MiT Strom Pipeline'!A15),'MiT Strom Pipeline'!A15,""),"")</f>
        <v/>
      </c>
      <c r="B84" s="22" t="str">
        <f aca="false">IF(('MiT Strom Pipeline'!R15="offered")+('MiT Strom Pipeline'!R15="to be offered")+('MiT Strom Pipeline'!R15="on hold")&gt;0,'MiT Strom Pipeline'!B15,"")</f>
        <v/>
      </c>
      <c r="C84" s="21" t="str">
        <f aca="false">IF(('MiT Strom Pipeline'!R15="offered")+('MiT Strom Pipeline'!R15="to be offered")+('MiT Strom Pipeline'!R15="on hold")&gt;0,'MiT Strom Pipeline'!C15,"")</f>
        <v/>
      </c>
      <c r="D84" s="22" t="str">
        <f aca="false">IF(('MiT Strom Pipeline'!R15="offered")+('MiT Strom Pipeline'!R15="to be offered")+('MiT Strom Pipeline'!R15="on hold")&gt;0,'MiT Strom Pipeline'!D15,"")</f>
        <v/>
      </c>
      <c r="E84" s="22" t="str">
        <f aca="false">IF(('MiT Strom Pipeline'!R15="offered")+('MiT Strom Pipeline'!R15="to be offered")+('MiT Strom Pipeline'!R15="on hold")&gt;0,'MiT Strom Pipeline'!E15,"")</f>
        <v/>
      </c>
      <c r="F84" s="23" t="str">
        <f aca="false">IF(('MiT Strom Pipeline'!R15="offered")+('MiT Strom Pipeline'!R15="to be offered")+('MiT Strom Pipeline'!R15="on hold")&gt;0,IF(ISNUMBER('MiT Strom Pipeline'!I15),'MiT Strom Pipeline'!I15,0),"")</f>
        <v/>
      </c>
      <c r="G84" s="23" t="str">
        <f aca="false">IF(('MiT Strom Pipeline'!R15="offered")+('MiT Strom Pipeline'!R15="to be offered")+('MiT Strom Pipeline'!R15="on hold")&gt;0,IF(ISNUMBER('MiT Strom Pipeline'!Q15),'MiT Strom Pipeline'!Q15,0),"")</f>
        <v/>
      </c>
      <c r="H84" s="23" t="str">
        <f aca="false">IF(('MiT Strom Pipeline'!R15="offered")+('MiT Strom Pipeline'!R15="to be offered")+('MiT Strom Pipeline'!R15="on hold")&gt;0,IF(ISNUMBER('MiT Strom Pipeline'!O15),'MiT Strom Pipeline'!O15,0),"")</f>
        <v/>
      </c>
      <c r="I84" s="21" t="str">
        <f aca="false">IF(('MiT Strom Pipeline'!R15="offered")+('MiT Strom Pipeline'!R15="to be offered")+('MiT Strom Pipeline'!R15="on hold")&gt;0,'MiT Strom Pipeline'!R15,"")</f>
        <v/>
      </c>
      <c r="J84" s="21" t="str">
        <f aca="false">IF(('MiT Strom Pipeline'!R15="offered")+('MiT Strom Pipeline'!R15="to be offered")+('MiT Strom Pipeline'!R15="on hold")&gt;0,'MiT Strom Pipeline'!S15,"")</f>
        <v/>
      </c>
      <c r="K84" s="22" t="str">
        <f aca="false">IF(('MiT Strom Pipeline'!R15="offered")+('MiT Strom Pipeline'!R15="to be offered")+('MiT Strom Pipeline'!R15="on hold")&gt;0,IF(LEN('MiT Strom Pipeline'!V15)&gt;0,LEFT('MiT Strom Pipeline'!V15,55),""),"")</f>
        <v/>
      </c>
    </row>
    <row r="85" customFormat="false" ht="15.75" hidden="false" customHeight="true" outlineLevel="0" collapsed="false">
      <c r="A85" s="29" t="str">
        <f aca="false">IF(('MiT Strom Pipeline'!R16="offered")+('MiT Strom Pipeline'!R16="to be offered")+('MiT Strom Pipeline'!R16="on hold")&gt;0,IF(ISNUMBER('MiT Strom Pipeline'!A16),'MiT Strom Pipeline'!A16,""),"")</f>
        <v/>
      </c>
      <c r="B85" s="30" t="str">
        <f aca="false">IF(('MiT Strom Pipeline'!R16="offered")+('MiT Strom Pipeline'!R16="to be offered")+('MiT Strom Pipeline'!R16="on hold")&gt;0,'MiT Strom Pipeline'!B16,"")</f>
        <v/>
      </c>
      <c r="C85" s="29" t="str">
        <f aca="false">IF(('MiT Strom Pipeline'!R16="offered")+('MiT Strom Pipeline'!R16="to be offered")+('MiT Strom Pipeline'!R16="on hold")&gt;0,'MiT Strom Pipeline'!C16,"")</f>
        <v/>
      </c>
      <c r="D85" s="30" t="str">
        <f aca="false">IF(('MiT Strom Pipeline'!R16="offered")+('MiT Strom Pipeline'!R16="to be offered")+('MiT Strom Pipeline'!R16="on hold")&gt;0,'MiT Strom Pipeline'!D16,"")</f>
        <v/>
      </c>
      <c r="E85" s="30" t="str">
        <f aca="false">IF(('MiT Strom Pipeline'!R16="offered")+('MiT Strom Pipeline'!R16="to be offered")+('MiT Strom Pipeline'!R16="on hold")&gt;0,'MiT Strom Pipeline'!E16,"")</f>
        <v/>
      </c>
      <c r="F85" s="31" t="str">
        <f aca="false">IF(('MiT Strom Pipeline'!R16="offered")+('MiT Strom Pipeline'!R16="to be offered")+('MiT Strom Pipeline'!R16="on hold")&gt;0,IF(ISNUMBER('MiT Strom Pipeline'!I16),'MiT Strom Pipeline'!I16,0),"")</f>
        <v/>
      </c>
      <c r="G85" s="31" t="str">
        <f aca="false">IF(('MiT Strom Pipeline'!R16="offered")+('MiT Strom Pipeline'!R16="to be offered")+('MiT Strom Pipeline'!R16="on hold")&gt;0,IF(ISNUMBER('MiT Strom Pipeline'!Q16),'MiT Strom Pipeline'!Q16,0),"")</f>
        <v/>
      </c>
      <c r="H85" s="31" t="str">
        <f aca="false">IF(('MiT Strom Pipeline'!R16="offered")+('MiT Strom Pipeline'!R16="to be offered")+('MiT Strom Pipeline'!R16="on hold")&gt;0,IF(ISNUMBER('MiT Strom Pipeline'!O16),'MiT Strom Pipeline'!O16,0),"")</f>
        <v/>
      </c>
      <c r="I85" s="29" t="str">
        <f aca="false">IF(('MiT Strom Pipeline'!R16="offered")+('MiT Strom Pipeline'!R16="to be offered")+('MiT Strom Pipeline'!R16="on hold")&gt;0,'MiT Strom Pipeline'!R16,"")</f>
        <v/>
      </c>
      <c r="J85" s="29" t="str">
        <f aca="false">IF(('MiT Strom Pipeline'!R16="offered")+('MiT Strom Pipeline'!R16="to be offered")+('MiT Strom Pipeline'!R16="on hold")&gt;0,'MiT Strom Pipeline'!S16,"")</f>
        <v/>
      </c>
      <c r="K85" s="30" t="str">
        <f aca="false">IF(('MiT Strom Pipeline'!R16="offered")+('MiT Strom Pipeline'!R16="to be offered")+('MiT Strom Pipeline'!R16="on hold")&gt;0,IF(LEN('MiT Strom Pipeline'!V16)&gt;0,LEFT('MiT Strom Pipeline'!V16,55),""),"")</f>
        <v/>
      </c>
    </row>
    <row r="86" customFormat="false" ht="15.75" hidden="false" customHeight="true" outlineLevel="0" collapsed="false">
      <c r="A86" s="21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22" t="str">
        <f aca="false">IF(('MiT Strom Pipeline'!R17="offered")+('MiT Strom Pipeline'!R17="to be offered")+('MiT Strom Pipeline'!R17="on hold")&gt;0,'MiT Strom Pipeline'!B17,"")</f>
        <v>Proxima Fusion AG</v>
      </c>
      <c r="C86" s="21" t="str">
        <f aca="false">IF(('MiT Strom Pipeline'!R17="offered")+('MiT Strom Pipeline'!R17="to be offered")+('MiT Strom Pipeline'!R17="on hold")&gt;0,'MiT Strom Pipeline'!C17,"")</f>
        <v>ZH</v>
      </c>
      <c r="D86" s="22" t="str">
        <f aca="false">IF(('MiT Strom Pipeline'!R17="offered")+('MiT Strom Pipeline'!R17="to be offered")+('MiT Strom Pipeline'!R17="on hold")&gt;0,'MiT Strom Pipeline'!D17,"")</f>
        <v>Forschung / Hightech</v>
      </c>
      <c r="E86" s="22" t="str">
        <f aca="false">IF(('MiT Strom Pipeline'!R17="offered")+('MiT Strom Pipeline'!R17="to be offered")+('MiT Strom Pipeline'!R17="on hold")&gt;0,'MiT Strom Pipeline'!E17,"")</f>
        <v>BESS 1 MWh</v>
      </c>
      <c r="F86" s="23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23" t="n">
        <f aca="false">IF(('MiT Strom Pipeline'!R17="offered")+('MiT Strom Pipeline'!R17="to be offered")+('MiT Strom Pipeline'!R17="on hold")&gt;0,IF(ISNUMBER('MiT Strom Pipeline'!Q17),'MiT Strom Pipeline'!Q17,0),"")</f>
        <v>182501.5</v>
      </c>
      <c r="H86" s="23" t="n">
        <f aca="false">IF(('MiT Strom Pipeline'!R17="offered")+('MiT Strom Pipeline'!R17="to be offered")+('MiT Strom Pipeline'!R17="on hold")&gt;0,IF(ISNUMBER('MiT Strom Pipeline'!O17),'MiT Strom Pipeline'!O17,0),"")</f>
        <v>0</v>
      </c>
      <c r="I86" s="21" t="str">
        <f aca="false">IF(('MiT Strom Pipeline'!R17="offered")+('MiT Strom Pipeline'!R17="to be offered")+('MiT Strom Pipeline'!R17="on hold")&gt;0,'MiT Strom Pipeline'!R17,"")</f>
        <v>offered</v>
      </c>
      <c r="J86" s="21" t="n">
        <f aca="false">IF(('MiT Strom Pipeline'!R17="offered")+('MiT Strom Pipeline'!R17="to be offered")+('MiT Strom Pipeline'!R17="on hold")&gt;0,'MiT Strom Pipeline'!S17,"")</f>
        <v>50</v>
      </c>
      <c r="K86" s="22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29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30" t="str">
        <f aca="false">IF(('MiT Strom Pipeline'!R18="offered")+('MiT Strom Pipeline'!R18="to be offered")+('MiT Strom Pipeline'!R18="on hold")&gt;0,'MiT Strom Pipeline'!B18,"")</f>
        <v>Trafag AG</v>
      </c>
      <c r="C87" s="29" t="str">
        <f aca="false">IF(('MiT Strom Pipeline'!R18="offered")+('MiT Strom Pipeline'!R18="to be offered")+('MiT Strom Pipeline'!R18="on hold")&gt;0,'MiT Strom Pipeline'!C18,"")</f>
        <v>ZH</v>
      </c>
      <c r="D87" s="30" t="str">
        <f aca="false">IF(('MiT Strom Pipeline'!R18="offered")+('MiT Strom Pipeline'!R18="to be offered")+('MiT Strom Pipeline'!R18="on hold")&gt;0,'MiT Strom Pipeline'!D18,"")</f>
        <v>Industrie / Messtechnik</v>
      </c>
      <c r="E87" s="30" t="str">
        <f aca="false">IF(('MiT Strom Pipeline'!R18="offered")+('MiT Strom Pipeline'!R18="to be offered")+('MiT Strom Pipeline'!R18="on hold")&gt;0,'MiT Strom Pipeline'!E18,"")</f>
        <v>450 kVA Generator</v>
      </c>
      <c r="F87" s="31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31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31" t="n">
        <f aca="false">IF(('MiT Strom Pipeline'!R18="offered")+('MiT Strom Pipeline'!R18="to be offered")+('MiT Strom Pipeline'!R18="on hold")&gt;0,IF(ISNUMBER('MiT Strom Pipeline'!O18),'MiT Strom Pipeline'!O18,0),"")</f>
        <v>17300</v>
      </c>
      <c r="I87" s="29" t="str">
        <f aca="false">IF(('MiT Strom Pipeline'!R18="offered")+('MiT Strom Pipeline'!R18="to be offered")+('MiT Strom Pipeline'!R18="on hold")&gt;0,'MiT Strom Pipeline'!R18,"")</f>
        <v>offered</v>
      </c>
      <c r="J87" s="29" t="n">
        <f aca="false">IF(('MiT Strom Pipeline'!R18="offered")+('MiT Strom Pipeline'!R18="to be offered")+('MiT Strom Pipeline'!R18="on hold")&gt;0,'MiT Strom Pipeline'!S18,"")</f>
        <v>0.5</v>
      </c>
      <c r="K87" s="30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21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22" t="str">
        <f aca="false">IF(('MiT Strom Pipeline'!R19="offered")+('MiT Strom Pipeline'!R19="to be offered")+('MiT Strom Pipeline'!R19="on hold")&gt;0,'MiT Strom Pipeline'!B19,"")</f>
        <v>Trafag AG</v>
      </c>
      <c r="C88" s="21" t="str">
        <f aca="false">IF(('MiT Strom Pipeline'!R19="offered")+('MiT Strom Pipeline'!R19="to be offered")+('MiT Strom Pipeline'!R19="on hold")&gt;0,'MiT Strom Pipeline'!C19,"")</f>
        <v>ZH</v>
      </c>
      <c r="D88" s="22" t="str">
        <f aca="false">IF(('MiT Strom Pipeline'!R19="offered")+('MiT Strom Pipeline'!R19="to be offered")+('MiT Strom Pipeline'!R19="on hold")&gt;0,'MiT Strom Pipeline'!D19,"")</f>
        <v>Industrie / Messtechnik</v>
      </c>
      <c r="E88" s="22" t="str">
        <f aca="false">IF(('MiT Strom Pipeline'!R19="offered")+('MiT Strom Pipeline'!R19="to be offered")+('MiT Strom Pipeline'!R19="on hold")&gt;0,'MiT Strom Pipeline'!E19,"")</f>
        <v>BESS 500 kVA</v>
      </c>
      <c r="F88" s="23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23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23" t="n">
        <f aca="false">IF(('MiT Strom Pipeline'!R19="offered")+('MiT Strom Pipeline'!R19="to be offered")+('MiT Strom Pipeline'!R19="on hold")&gt;0,IF(ISNUMBER('MiT Strom Pipeline'!O19),'MiT Strom Pipeline'!O19,0),"")</f>
        <v>21025</v>
      </c>
      <c r="I88" s="21" t="str">
        <f aca="false">IF(('MiT Strom Pipeline'!R19="offered")+('MiT Strom Pipeline'!R19="to be offered")+('MiT Strom Pipeline'!R19="on hold")&gt;0,'MiT Strom Pipeline'!R19,"")</f>
        <v>offered</v>
      </c>
      <c r="J88" s="21" t="n">
        <f aca="false">IF(('MiT Strom Pipeline'!R19="offered")+('MiT Strom Pipeline'!R19="to be offered")+('MiT Strom Pipeline'!R19="on hold")&gt;0,'MiT Strom Pipeline'!S19,"")</f>
        <v>0.5</v>
      </c>
      <c r="K88" s="22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29" t="str">
        <f aca="false">IF(('MiT Strom Pipeline'!R20="offered")+('MiT Strom Pipeline'!R20="to be offered")+('MiT Strom Pipeline'!R20="on hold")&gt;0,IF(ISNUMBER('MiT Strom Pipeline'!A20),'MiT Strom Pipeline'!A20,""),"")</f>
        <v/>
      </c>
      <c r="B89" s="30" t="str">
        <f aca="false">IF(('MiT Strom Pipeline'!R20="offered")+('MiT Strom Pipeline'!R20="to be offered")+('MiT Strom Pipeline'!R20="on hold")&gt;0,'MiT Strom Pipeline'!B20,"")</f>
        <v/>
      </c>
      <c r="C89" s="29" t="str">
        <f aca="false">IF(('MiT Strom Pipeline'!R20="offered")+('MiT Strom Pipeline'!R20="to be offered")+('MiT Strom Pipeline'!R20="on hold")&gt;0,'MiT Strom Pipeline'!C20,"")</f>
        <v/>
      </c>
      <c r="D89" s="30" t="str">
        <f aca="false">IF(('MiT Strom Pipeline'!R20="offered")+('MiT Strom Pipeline'!R20="to be offered")+('MiT Strom Pipeline'!R20="on hold")&gt;0,'MiT Strom Pipeline'!D20,"")</f>
        <v/>
      </c>
      <c r="E89" s="30" t="str">
        <f aca="false">IF(('MiT Strom Pipeline'!R20="offered")+('MiT Strom Pipeline'!R20="to be offered")+('MiT Strom Pipeline'!R20="on hold")&gt;0,'MiT Strom Pipeline'!E20,"")</f>
        <v/>
      </c>
      <c r="F89" s="31" t="str">
        <f aca="false">IF(('MiT Strom Pipeline'!R20="offered")+('MiT Strom Pipeline'!R20="to be offered")+('MiT Strom Pipeline'!R20="on hold")&gt;0,IF(ISNUMBER('MiT Strom Pipeline'!I20),'MiT Strom Pipeline'!I20,0),"")</f>
        <v/>
      </c>
      <c r="G89" s="31" t="str">
        <f aca="false">IF(('MiT Strom Pipeline'!R20="offered")+('MiT Strom Pipeline'!R20="to be offered")+('MiT Strom Pipeline'!R20="on hold")&gt;0,IF(ISNUMBER('MiT Strom Pipeline'!Q20),'MiT Strom Pipeline'!Q20,0),"")</f>
        <v/>
      </c>
      <c r="H89" s="31" t="str">
        <f aca="false">IF(('MiT Strom Pipeline'!R20="offered")+('MiT Strom Pipeline'!R20="to be offered")+('MiT Strom Pipeline'!R20="on hold")&gt;0,IF(ISNUMBER('MiT Strom Pipeline'!O20),'MiT Strom Pipeline'!O20,0),"")</f>
        <v/>
      </c>
      <c r="I89" s="29" t="str">
        <f aca="false">IF(('MiT Strom Pipeline'!R20="offered")+('MiT Strom Pipeline'!R20="to be offered")+('MiT Strom Pipeline'!R20="on hold")&gt;0,'MiT Strom Pipeline'!R20,"")</f>
        <v/>
      </c>
      <c r="J89" s="29" t="str">
        <f aca="false">IF(('MiT Strom Pipeline'!R20="offered")+('MiT Strom Pipeline'!R20="to be offered")+('MiT Strom Pipeline'!R20="on hold")&gt;0,'MiT Strom Pipeline'!S20,"")</f>
        <v/>
      </c>
      <c r="K89" s="30" t="str">
        <f aca="false">IF(('MiT Strom Pipeline'!R20="offered")+('MiT Strom Pipeline'!R20="to be offered")+('MiT Strom Pipeline'!R20="on hold")&gt;0,IF(LEN('MiT Strom Pipeline'!V20)&gt;0,LEFT('MiT Strom Pipeline'!V20,55),""),"")</f>
        <v/>
      </c>
    </row>
    <row r="90" customFormat="false" ht="15.75" hidden="false" customHeight="true" outlineLevel="0" collapsed="false">
      <c r="A90" s="21" t="str">
        <f aca="false">IF(('MiT Strom Pipeline'!R21="offered")+('MiT Strom Pipeline'!R21="to be offered")+('MiT Strom Pipeline'!R21="on hold")&gt;0,IF(ISNUMBER('MiT Strom Pipeline'!A21),'MiT Strom Pipeline'!A21,""),"")</f>
        <v/>
      </c>
      <c r="B90" s="22" t="str">
        <f aca="false">IF(('MiT Strom Pipeline'!R21="offered")+('MiT Strom Pipeline'!R21="to be offered")+('MiT Strom Pipeline'!R21="on hold")&gt;0,'MiT Strom Pipeline'!B21,"")</f>
        <v/>
      </c>
      <c r="C90" s="21" t="str">
        <f aca="false">IF(('MiT Strom Pipeline'!R21="offered")+('MiT Strom Pipeline'!R21="to be offered")+('MiT Strom Pipeline'!R21="on hold")&gt;0,'MiT Strom Pipeline'!C21,"")</f>
        <v/>
      </c>
      <c r="D90" s="22" t="str">
        <f aca="false">IF(('MiT Strom Pipeline'!R21="offered")+('MiT Strom Pipeline'!R21="to be offered")+('MiT Strom Pipeline'!R21="on hold")&gt;0,'MiT Strom Pipeline'!D21,"")</f>
        <v/>
      </c>
      <c r="E90" s="22" t="str">
        <f aca="false">IF(('MiT Strom Pipeline'!R21="offered")+('MiT Strom Pipeline'!R21="to be offered")+('MiT Strom Pipeline'!R21="on hold")&gt;0,'MiT Strom Pipeline'!E21,"")</f>
        <v/>
      </c>
      <c r="F90" s="23" t="str">
        <f aca="false">IF(('MiT Strom Pipeline'!R21="offered")+('MiT Strom Pipeline'!R21="to be offered")+('MiT Strom Pipeline'!R21="on hold")&gt;0,IF(ISNUMBER('MiT Strom Pipeline'!I21),'MiT Strom Pipeline'!I21,0),"")</f>
        <v/>
      </c>
      <c r="G90" s="23" t="str">
        <f aca="false">IF(('MiT Strom Pipeline'!R21="offered")+('MiT Strom Pipeline'!R21="to be offered")+('MiT Strom Pipeline'!R21="on hold")&gt;0,IF(ISNUMBER('MiT Strom Pipeline'!Q21),'MiT Strom Pipeline'!Q21,0),"")</f>
        <v/>
      </c>
      <c r="H90" s="23" t="str">
        <f aca="false">IF(('MiT Strom Pipeline'!R21="offered")+('MiT Strom Pipeline'!R21="to be offered")+('MiT Strom Pipeline'!R21="on hold")&gt;0,IF(ISNUMBER('MiT Strom Pipeline'!O21),'MiT Strom Pipeline'!O21,0),"")</f>
        <v/>
      </c>
      <c r="I90" s="21" t="str">
        <f aca="false">IF(('MiT Strom Pipeline'!R21="offered")+('MiT Strom Pipeline'!R21="to be offered")+('MiT Strom Pipeline'!R21="on hold")&gt;0,'MiT Strom Pipeline'!R21,"")</f>
        <v/>
      </c>
      <c r="J90" s="21" t="str">
        <f aca="false">IF(('MiT Strom Pipeline'!R21="offered")+('MiT Strom Pipeline'!R21="to be offered")+('MiT Strom Pipeline'!R21="on hold")&gt;0,'MiT Strom Pipeline'!S21,"")</f>
        <v/>
      </c>
      <c r="K90" s="22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false" customHeight="true" outlineLevel="0" collapsed="false">
      <c r="A91" s="29" t="str">
        <f aca="false">IF(('MiT Strom Pipeline'!R22="offered")+('MiT Strom Pipeline'!R22="to be offered")+('MiT Strom Pipeline'!R22="on hold")&gt;0,IF(ISNUMBER('MiT Strom Pipeline'!A22),'MiT Strom Pipeline'!A22,""),"")</f>
        <v/>
      </c>
      <c r="B91" s="30" t="str">
        <f aca="false">IF(('MiT Strom Pipeline'!R22="offered")+('MiT Strom Pipeline'!R22="to be offered")+('MiT Strom Pipeline'!R22="on hold")&gt;0,'MiT Strom Pipeline'!B22,"")</f>
        <v/>
      </c>
      <c r="C91" s="29" t="str">
        <f aca="false">IF(('MiT Strom Pipeline'!R22="offered")+('MiT Strom Pipeline'!R22="to be offered")+('MiT Strom Pipeline'!R22="on hold")&gt;0,'MiT Strom Pipeline'!C22,"")</f>
        <v/>
      </c>
      <c r="D91" s="30" t="str">
        <f aca="false">IF(('MiT Strom Pipeline'!R22="offered")+('MiT Strom Pipeline'!R22="to be offered")+('MiT Strom Pipeline'!R22="on hold")&gt;0,'MiT Strom Pipeline'!D22,"")</f>
        <v/>
      </c>
      <c r="E91" s="30" t="str">
        <f aca="false">IF(('MiT Strom Pipeline'!R22="offered")+('MiT Strom Pipeline'!R22="to be offered")+('MiT Strom Pipeline'!R22="on hold")&gt;0,'MiT Strom Pipeline'!E22,"")</f>
        <v/>
      </c>
      <c r="F91" s="31" t="str">
        <f aca="false">IF(('MiT Strom Pipeline'!R22="offered")+('MiT Strom Pipeline'!R22="to be offered")+('MiT Strom Pipeline'!R22="on hold")&gt;0,IF(ISNUMBER('MiT Strom Pipeline'!I22),'MiT Strom Pipeline'!I22,0),"")</f>
        <v/>
      </c>
      <c r="G91" s="31" t="str">
        <f aca="false">IF(('MiT Strom Pipeline'!R22="offered")+('MiT Strom Pipeline'!R22="to be offered")+('MiT Strom Pipeline'!R22="on hold")&gt;0,IF(ISNUMBER('MiT Strom Pipeline'!Q22),'MiT Strom Pipeline'!Q22,0),"")</f>
        <v/>
      </c>
      <c r="H91" s="31" t="str">
        <f aca="false">IF(('MiT Strom Pipeline'!R22="offered")+('MiT Strom Pipeline'!R22="to be offered")+('MiT Strom Pipeline'!R22="on hold")&gt;0,IF(ISNUMBER('MiT Strom Pipeline'!O22),'MiT Strom Pipeline'!O22,0),"")</f>
        <v/>
      </c>
      <c r="I91" s="29" t="str">
        <f aca="false">IF(('MiT Strom Pipeline'!R22="offered")+('MiT Strom Pipeline'!R22="to be offered")+('MiT Strom Pipeline'!R22="on hold")&gt;0,'MiT Strom Pipeline'!R22,"")</f>
        <v/>
      </c>
      <c r="J91" s="29" t="str">
        <f aca="false">IF(('MiT Strom Pipeline'!R22="offered")+('MiT Strom Pipeline'!R22="to be offered")+('MiT Strom Pipeline'!R22="on hold")&gt;0,'MiT Strom Pipeline'!S22,"")</f>
        <v/>
      </c>
      <c r="K91" s="30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false" customHeight="true" outlineLevel="0" collapsed="false">
      <c r="A92" s="21" t="str">
        <f aca="false">IF(('MiT Strom Pipeline'!R23="offered")+('MiT Strom Pipeline'!R23="to be offered")+('MiT Strom Pipeline'!R23="on hold")&gt;0,IF(ISNUMBER('MiT Strom Pipeline'!A23),'MiT Strom Pipeline'!A23,""),"")</f>
        <v/>
      </c>
      <c r="B92" s="22" t="str">
        <f aca="false">IF(('MiT Strom Pipeline'!R23="offered")+('MiT Strom Pipeline'!R23="to be offered")+('MiT Strom Pipeline'!R23="on hold")&gt;0,'MiT Strom Pipeline'!B23,"")</f>
        <v/>
      </c>
      <c r="C92" s="21" t="str">
        <f aca="false">IF(('MiT Strom Pipeline'!R23="offered")+('MiT Strom Pipeline'!R23="to be offered")+('MiT Strom Pipeline'!R23="on hold")&gt;0,'MiT Strom Pipeline'!C23,"")</f>
        <v/>
      </c>
      <c r="D92" s="22" t="str">
        <f aca="false">IF(('MiT Strom Pipeline'!R23="offered")+('MiT Strom Pipeline'!R23="to be offered")+('MiT Strom Pipeline'!R23="on hold")&gt;0,'MiT Strom Pipeline'!D23,"")</f>
        <v/>
      </c>
      <c r="E92" s="22" t="str">
        <f aca="false">IF(('MiT Strom Pipeline'!R23="offered")+('MiT Strom Pipeline'!R23="to be offered")+('MiT Strom Pipeline'!R23="on hold")&gt;0,'MiT Strom Pipeline'!E23,"")</f>
        <v/>
      </c>
      <c r="F92" s="23" t="str">
        <f aca="false">IF(('MiT Strom Pipeline'!R23="offered")+('MiT Strom Pipeline'!R23="to be offered")+('MiT Strom Pipeline'!R23="on hold")&gt;0,IF(ISNUMBER('MiT Strom Pipeline'!I23),'MiT Strom Pipeline'!I23,0),"")</f>
        <v/>
      </c>
      <c r="G92" s="23" t="str">
        <f aca="false">IF(('MiT Strom Pipeline'!R23="offered")+('MiT Strom Pipeline'!R23="to be offered")+('MiT Strom Pipeline'!R23="on hold")&gt;0,IF(ISNUMBER('MiT Strom Pipeline'!Q23),'MiT Strom Pipeline'!Q23,0),"")</f>
        <v/>
      </c>
      <c r="H92" s="23" t="str">
        <f aca="false">IF(('MiT Strom Pipeline'!R23="offered")+('MiT Strom Pipeline'!R23="to be offered")+('MiT Strom Pipeline'!R23="on hold")&gt;0,IF(ISNUMBER('MiT Strom Pipeline'!O23),'MiT Strom Pipeline'!O23,0),"")</f>
        <v/>
      </c>
      <c r="I92" s="21" t="str">
        <f aca="false">IF(('MiT Strom Pipeline'!R23="offered")+('MiT Strom Pipeline'!R23="to be offered")+('MiT Strom Pipeline'!R23="on hold")&gt;0,'MiT Strom Pipeline'!R23,"")</f>
        <v/>
      </c>
      <c r="J92" s="21" t="str">
        <f aca="false">IF(('MiT Strom Pipeline'!R23="offered")+('MiT Strom Pipeline'!R23="to be offered")+('MiT Strom Pipeline'!R23="on hold")&gt;0,'MiT Strom Pipeline'!S23,"")</f>
        <v/>
      </c>
      <c r="K92" s="22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false" customHeight="true" outlineLevel="0" collapsed="false">
      <c r="A93" s="29" t="str">
        <f aca="false">IF(('MiT Strom Pipeline'!R24="offered")+('MiT Strom Pipeline'!R24="to be offered")+('MiT Strom Pipeline'!R24="on hold")&gt;0,IF(ISNUMBER('MiT Strom Pipeline'!A24),'MiT Strom Pipeline'!A24,""),"")</f>
        <v/>
      </c>
      <c r="B93" s="30" t="str">
        <f aca="false">IF(('MiT Strom Pipeline'!R24="offered")+('MiT Strom Pipeline'!R24="to be offered")+('MiT Strom Pipeline'!R24="on hold")&gt;0,'MiT Strom Pipeline'!B24,"")</f>
        <v/>
      </c>
      <c r="C93" s="29" t="str">
        <f aca="false">IF(('MiT Strom Pipeline'!R24="offered")+('MiT Strom Pipeline'!R24="to be offered")+('MiT Strom Pipeline'!R24="on hold")&gt;0,'MiT Strom Pipeline'!C24,"")</f>
        <v/>
      </c>
      <c r="D93" s="30" t="str">
        <f aca="false">IF(('MiT Strom Pipeline'!R24="offered")+('MiT Strom Pipeline'!R24="to be offered")+('MiT Strom Pipeline'!R24="on hold")&gt;0,'MiT Strom Pipeline'!D24,"")</f>
        <v/>
      </c>
      <c r="E93" s="30" t="str">
        <f aca="false">IF(('MiT Strom Pipeline'!R24="offered")+('MiT Strom Pipeline'!R24="to be offered")+('MiT Strom Pipeline'!R24="on hold")&gt;0,'MiT Strom Pipeline'!E24,"")</f>
        <v/>
      </c>
      <c r="F93" s="31" t="str">
        <f aca="false">IF(('MiT Strom Pipeline'!R24="offered")+('MiT Strom Pipeline'!R24="to be offered")+('MiT Strom Pipeline'!R24="on hold")&gt;0,IF(ISNUMBER('MiT Strom Pipeline'!I24),'MiT Strom Pipeline'!I24,0),"")</f>
        <v/>
      </c>
      <c r="G93" s="31" t="str">
        <f aca="false">IF(('MiT Strom Pipeline'!R24="offered")+('MiT Strom Pipeline'!R24="to be offered")+('MiT Strom Pipeline'!R24="on hold")&gt;0,IF(ISNUMBER('MiT Strom Pipeline'!Q24),'MiT Strom Pipeline'!Q24,0),"")</f>
        <v/>
      </c>
      <c r="H93" s="31" t="str">
        <f aca="false">IF(('MiT Strom Pipeline'!R24="offered")+('MiT Strom Pipeline'!R24="to be offered")+('MiT Strom Pipeline'!R24="on hold")&gt;0,IF(ISNUMBER('MiT Strom Pipeline'!O24),'MiT Strom Pipeline'!O24,0),"")</f>
        <v/>
      </c>
      <c r="I93" s="29" t="str">
        <f aca="false">IF(('MiT Strom Pipeline'!R24="offered")+('MiT Strom Pipeline'!R24="to be offered")+('MiT Strom Pipeline'!R24="on hold")&gt;0,'MiT Strom Pipeline'!R24,"")</f>
        <v/>
      </c>
      <c r="J93" s="29" t="str">
        <f aca="false">IF(('MiT Strom Pipeline'!R24="offered")+('MiT Strom Pipeline'!R24="to be offered")+('MiT Strom Pipeline'!R24="on hold")&gt;0,'MiT Strom Pipeline'!S24,"")</f>
        <v/>
      </c>
      <c r="K93" s="30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false" customHeight="true" outlineLevel="0" collapsed="false">
      <c r="A94" s="21" t="str">
        <f aca="false">IF(('MiT Strom Pipeline'!R25="offered")+('MiT Strom Pipeline'!R25="to be offered")+('MiT Strom Pipeline'!R25="on hold")&gt;0,IF(ISNUMBER('MiT Strom Pipeline'!A25),'MiT Strom Pipeline'!A25,""),"")</f>
        <v/>
      </c>
      <c r="B94" s="22" t="str">
        <f aca="false">IF(('MiT Strom Pipeline'!R25="offered")+('MiT Strom Pipeline'!R25="to be offered")+('MiT Strom Pipeline'!R25="on hold")&gt;0,'MiT Strom Pipeline'!B25,"")</f>
        <v/>
      </c>
      <c r="C94" s="21" t="str">
        <f aca="false">IF(('MiT Strom Pipeline'!R25="offered")+('MiT Strom Pipeline'!R25="to be offered")+('MiT Strom Pipeline'!R25="on hold")&gt;0,'MiT Strom Pipeline'!C25,"")</f>
        <v/>
      </c>
      <c r="D94" s="22" t="str">
        <f aca="false">IF(('MiT Strom Pipeline'!R25="offered")+('MiT Strom Pipeline'!R25="to be offered")+('MiT Strom Pipeline'!R25="on hold")&gt;0,'MiT Strom Pipeline'!D25,"")</f>
        <v/>
      </c>
      <c r="E94" s="22" t="str">
        <f aca="false">IF(('MiT Strom Pipeline'!R25="offered")+('MiT Strom Pipeline'!R25="to be offered")+('MiT Strom Pipeline'!R25="on hold")&gt;0,'MiT Strom Pipeline'!E25,"")</f>
        <v/>
      </c>
      <c r="F94" s="23" t="str">
        <f aca="false">IF(('MiT Strom Pipeline'!R25="offered")+('MiT Strom Pipeline'!R25="to be offered")+('MiT Strom Pipeline'!R25="on hold")&gt;0,IF(ISNUMBER('MiT Strom Pipeline'!I25),'MiT Strom Pipeline'!I25,0),"")</f>
        <v/>
      </c>
      <c r="G94" s="23" t="str">
        <f aca="false">IF(('MiT Strom Pipeline'!R25="offered")+('MiT Strom Pipeline'!R25="to be offered")+('MiT Strom Pipeline'!R25="on hold")&gt;0,IF(ISNUMBER('MiT Strom Pipeline'!Q25),'MiT Strom Pipeline'!Q25,0),"")</f>
        <v/>
      </c>
      <c r="H94" s="23" t="str">
        <f aca="false">IF(('MiT Strom Pipeline'!R25="offered")+('MiT Strom Pipeline'!R25="to be offered")+('MiT Strom Pipeline'!R25="on hold")&gt;0,IF(ISNUMBER('MiT Strom Pipeline'!O25),'MiT Strom Pipeline'!O25,0),"")</f>
        <v/>
      </c>
      <c r="I94" s="21" t="str">
        <f aca="false">IF(('MiT Strom Pipeline'!R25="offered")+('MiT Strom Pipeline'!R25="to be offered")+('MiT Strom Pipeline'!R25="on hold")&gt;0,'MiT Strom Pipeline'!R25,"")</f>
        <v/>
      </c>
      <c r="J94" s="21" t="str">
        <f aca="false">IF(('MiT Strom Pipeline'!R25="offered")+('MiT Strom Pipeline'!R25="to be offered")+('MiT Strom Pipeline'!R25="on hold")&gt;0,'MiT Strom Pipeline'!S25,"")</f>
        <v/>
      </c>
      <c r="K94" s="22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false" customHeight="true" outlineLevel="0" collapsed="false">
      <c r="A95" s="29" t="str">
        <f aca="false">IF(('MiT Strom Pipeline'!R26="offered")+('MiT Strom Pipeline'!R26="to be offered")+('MiT Strom Pipeline'!R26="on hold")&gt;0,IF(ISNUMBER('MiT Strom Pipeline'!A26),'MiT Strom Pipeline'!A26,""),"")</f>
        <v/>
      </c>
      <c r="B95" s="30" t="str">
        <f aca="false">IF(('MiT Strom Pipeline'!R26="offered")+('MiT Strom Pipeline'!R26="to be offered")+('MiT Strom Pipeline'!R26="on hold")&gt;0,'MiT Strom Pipeline'!B26,"")</f>
        <v/>
      </c>
      <c r="C95" s="29" t="str">
        <f aca="false">IF(('MiT Strom Pipeline'!R26="offered")+('MiT Strom Pipeline'!R26="to be offered")+('MiT Strom Pipeline'!R26="on hold")&gt;0,'MiT Strom Pipeline'!C26,"")</f>
        <v/>
      </c>
      <c r="D95" s="30" t="str">
        <f aca="false">IF(('MiT Strom Pipeline'!R26="offered")+('MiT Strom Pipeline'!R26="to be offered")+('MiT Strom Pipeline'!R26="on hold")&gt;0,'MiT Strom Pipeline'!D26,"")</f>
        <v/>
      </c>
      <c r="E95" s="30" t="str">
        <f aca="false">IF(('MiT Strom Pipeline'!R26="offered")+('MiT Strom Pipeline'!R26="to be offered")+('MiT Strom Pipeline'!R26="on hold")&gt;0,'MiT Strom Pipeline'!E26,"")</f>
        <v/>
      </c>
      <c r="F95" s="31" t="str">
        <f aca="false">IF(('MiT Strom Pipeline'!R26="offered")+('MiT Strom Pipeline'!R26="to be offered")+('MiT Strom Pipeline'!R26="on hold")&gt;0,IF(ISNUMBER('MiT Strom Pipeline'!I26),'MiT Strom Pipeline'!I26,0),"")</f>
        <v/>
      </c>
      <c r="G95" s="31" t="str">
        <f aca="false">IF(('MiT Strom Pipeline'!R26="offered")+('MiT Strom Pipeline'!R26="to be offered")+('MiT Strom Pipeline'!R26="on hold")&gt;0,IF(ISNUMBER('MiT Strom Pipeline'!Q26),'MiT Strom Pipeline'!Q26,0),"")</f>
        <v/>
      </c>
      <c r="H95" s="31" t="str">
        <f aca="false">IF(('MiT Strom Pipeline'!R26="offered")+('MiT Strom Pipeline'!R26="to be offered")+('MiT Strom Pipeline'!R26="on hold")&gt;0,IF(ISNUMBER('MiT Strom Pipeline'!O26),'MiT Strom Pipeline'!O26,0),"")</f>
        <v/>
      </c>
      <c r="I95" s="29" t="str">
        <f aca="false">IF(('MiT Strom Pipeline'!R26="offered")+('MiT Strom Pipeline'!R26="to be offered")+('MiT Strom Pipeline'!R26="on hold")&gt;0,'MiT Strom Pipeline'!R26,"")</f>
        <v/>
      </c>
      <c r="J95" s="29" t="str">
        <f aca="false">IF(('MiT Strom Pipeline'!R26="offered")+('MiT Strom Pipeline'!R26="to be offered")+('MiT Strom Pipeline'!R26="on hold")&gt;0,'MiT Strom Pipeline'!S26,"")</f>
        <v/>
      </c>
      <c r="K95" s="30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false" customHeight="true" outlineLevel="0" collapsed="false">
      <c r="A96" s="21" t="str">
        <f aca="false">IF(('MiT Strom Pipeline'!R27="offered")+('MiT Strom Pipeline'!R27="to be offered")+('MiT Strom Pipeline'!R27="on hold")&gt;0,IF(ISNUMBER('MiT Strom Pipeline'!A27),'MiT Strom Pipeline'!A27,""),"")</f>
        <v/>
      </c>
      <c r="B96" s="22" t="str">
        <f aca="false">IF(('MiT Strom Pipeline'!R27="offered")+('MiT Strom Pipeline'!R27="to be offered")+('MiT Strom Pipeline'!R27="on hold")&gt;0,'MiT Strom Pipeline'!B27,"")</f>
        <v/>
      </c>
      <c r="C96" s="21" t="str">
        <f aca="false">IF(('MiT Strom Pipeline'!R27="offered")+('MiT Strom Pipeline'!R27="to be offered")+('MiT Strom Pipeline'!R27="on hold")&gt;0,'MiT Strom Pipeline'!C27,"")</f>
        <v/>
      </c>
      <c r="D96" s="22" t="str">
        <f aca="false">IF(('MiT Strom Pipeline'!R27="offered")+('MiT Strom Pipeline'!R27="to be offered")+('MiT Strom Pipeline'!R27="on hold")&gt;0,'MiT Strom Pipeline'!D27,"")</f>
        <v/>
      </c>
      <c r="E96" s="22" t="str">
        <f aca="false">IF(('MiT Strom Pipeline'!R27="offered")+('MiT Strom Pipeline'!R27="to be offered")+('MiT Strom Pipeline'!R27="on hold")&gt;0,'MiT Strom Pipeline'!E27,"")</f>
        <v/>
      </c>
      <c r="F96" s="23" t="str">
        <f aca="false">IF(('MiT Strom Pipeline'!R27="offered")+('MiT Strom Pipeline'!R27="to be offered")+('MiT Strom Pipeline'!R27="on hold")&gt;0,IF(ISNUMBER('MiT Strom Pipeline'!I27),'MiT Strom Pipeline'!I27,0),"")</f>
        <v/>
      </c>
      <c r="G96" s="23" t="str">
        <f aca="false">IF(('MiT Strom Pipeline'!R27="offered")+('MiT Strom Pipeline'!R27="to be offered")+('MiT Strom Pipeline'!R27="on hold")&gt;0,IF(ISNUMBER('MiT Strom Pipeline'!Q27),'MiT Strom Pipeline'!Q27,0),"")</f>
        <v/>
      </c>
      <c r="H96" s="23" t="str">
        <f aca="false">IF(('MiT Strom Pipeline'!R27="offered")+('MiT Strom Pipeline'!R27="to be offered")+('MiT Strom Pipeline'!R27="on hold")&gt;0,IF(ISNUMBER('MiT Strom Pipeline'!O27),'MiT Strom Pipeline'!O27,0),"")</f>
        <v/>
      </c>
      <c r="I96" s="21" t="str">
        <f aca="false">IF(('MiT Strom Pipeline'!R27="offered")+('MiT Strom Pipeline'!R27="to be offered")+('MiT Strom Pipeline'!R27="on hold")&gt;0,'MiT Strom Pipeline'!R27,"")</f>
        <v/>
      </c>
      <c r="J96" s="21" t="str">
        <f aca="false">IF(('MiT Strom Pipeline'!R27="offered")+('MiT Strom Pipeline'!R27="to be offered")+('MiT Strom Pipeline'!R27="on hold")&gt;0,'MiT Strom Pipeline'!S27,"")</f>
        <v/>
      </c>
      <c r="K96" s="22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29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30" t="str">
        <f aca="false">IF(('MiT Strom Pipeline'!R28="offered")+('MiT Strom Pipeline'!R28="to be offered")+('MiT Strom Pipeline'!R28="on hold")&gt;0,'MiT Strom Pipeline'!B28,"")</f>
        <v>Coolworld Rentals</v>
      </c>
      <c r="C97" s="29" t="str">
        <f aca="false">IF(('MiT Strom Pipeline'!R28="offered")+('MiT Strom Pipeline'!R28="to be offered")+('MiT Strom Pipeline'!R28="on hold")&gt;0,'MiT Strom Pipeline'!C28,"")</f>
        <v>SH</v>
      </c>
      <c r="D97" s="30" t="str">
        <f aca="false">IF(('MiT Strom Pipeline'!R28="offered")+('MiT Strom Pipeline'!R28="to be offered")+('MiT Strom Pipeline'!R28="on hold")&gt;0,'MiT Strom Pipeline'!D28,"")</f>
        <v>Kühlung / Konkurrenz</v>
      </c>
      <c r="E97" s="30" t="str">
        <f aca="false">IF(('MiT Strom Pipeline'!R28="offered")+('MiT Strom Pipeline'!R28="to be offered")+('MiT Strom Pipeline'!R28="on hold")&gt;0,'MiT Strom Pipeline'!E28,"")</f>
        <v>400 kVA Generator</v>
      </c>
      <c r="F97" s="31" t="n">
        <f aca="false">IF(('MiT Strom Pipeline'!R28="offered")+('MiT Strom Pipeline'!R28="to be offered")+('MiT Strom Pipeline'!R28="on hold")&gt;0,IF(ISNUMBER('MiT Strom Pipeline'!I28),'MiT Strom Pipeline'!I28,0),"")</f>
        <v>0</v>
      </c>
      <c r="G97" s="31" t="n">
        <f aca="false">IF(('MiT Strom Pipeline'!R28="offered")+('MiT Strom Pipeline'!R28="to be offered")+('MiT Strom Pipeline'!R28="on hold")&gt;0,IF(ISNUMBER('MiT Strom Pipeline'!Q28),'MiT Strom Pipeline'!Q28,0),"")</f>
        <v>0</v>
      </c>
      <c r="H97" s="31" t="n">
        <f aca="false">IF(('MiT Strom Pipeline'!R28="offered")+('MiT Strom Pipeline'!R28="to be offered")+('MiT Strom Pipeline'!R28="on hold")&gt;0,IF(ISNUMBER('MiT Strom Pipeline'!O28),'MiT Strom Pipeline'!O28,0),"")</f>
        <v>0</v>
      </c>
      <c r="I97" s="29" t="str">
        <f aca="false">IF(('MiT Strom Pipeline'!R28="offered")+('MiT Strom Pipeline'!R28="to be offered")+('MiT Strom Pipeline'!R28="on hold")&gt;0,'MiT Strom Pipeline'!R28,"")</f>
        <v>offered</v>
      </c>
      <c r="J97" s="29" t="n">
        <f aca="false">IF(('MiT Strom Pipeline'!R28="offered")+('MiT Strom Pipeline'!R28="to be offered")+('MiT Strom Pipeline'!R28="on hold")&gt;0,'MiT Strom Pipeline'!S28,"")</f>
        <v>0.5</v>
      </c>
      <c r="K97" s="30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</v>
      </c>
    </row>
    <row r="98" customFormat="false" ht="15.75" hidden="false" customHeight="true" outlineLevel="0" collapsed="false">
      <c r="A98" s="21" t="str">
        <f aca="false">IF(('MiT Strom Pipeline'!R29="offered")+('MiT Strom Pipeline'!R29="to be offered")+('MiT Strom Pipeline'!R29="on hold")&gt;0,IF(ISNUMBER('MiT Strom Pipeline'!A29),'MiT Strom Pipeline'!A29,""),"")</f>
        <v/>
      </c>
      <c r="B98" s="22" t="str">
        <f aca="false">IF(('MiT Strom Pipeline'!R29="offered")+('MiT Strom Pipeline'!R29="to be offered")+('MiT Strom Pipeline'!R29="on hold")&gt;0,'MiT Strom Pipeline'!B29,"")</f>
        <v/>
      </c>
      <c r="C98" s="21" t="str">
        <f aca="false">IF(('MiT Strom Pipeline'!R29="offered")+('MiT Strom Pipeline'!R29="to be offered")+('MiT Strom Pipeline'!R29="on hold")&gt;0,'MiT Strom Pipeline'!C29,"")</f>
        <v/>
      </c>
      <c r="D98" s="22" t="str">
        <f aca="false">IF(('MiT Strom Pipeline'!R29="offered")+('MiT Strom Pipeline'!R29="to be offered")+('MiT Strom Pipeline'!R29="on hold")&gt;0,'MiT Strom Pipeline'!D29,"")</f>
        <v/>
      </c>
      <c r="E98" s="22" t="str">
        <f aca="false">IF(('MiT Strom Pipeline'!R29="offered")+('MiT Strom Pipeline'!R29="to be offered")+('MiT Strom Pipeline'!R29="on hold")&gt;0,'MiT Strom Pipeline'!E29,"")</f>
        <v/>
      </c>
      <c r="F98" s="23" t="str">
        <f aca="false">IF(('MiT Strom Pipeline'!R29="offered")+('MiT Strom Pipeline'!R29="to be offered")+('MiT Strom Pipeline'!R29="on hold")&gt;0,IF(ISNUMBER('MiT Strom Pipeline'!I29),'MiT Strom Pipeline'!I29,0),"")</f>
        <v/>
      </c>
      <c r="G98" s="23" t="str">
        <f aca="false">IF(('MiT Strom Pipeline'!R29="offered")+('MiT Strom Pipeline'!R29="to be offered")+('MiT Strom Pipeline'!R29="on hold")&gt;0,IF(ISNUMBER('MiT Strom Pipeline'!Q29),'MiT Strom Pipeline'!Q29,0),"")</f>
        <v/>
      </c>
      <c r="H98" s="23" t="str">
        <f aca="false">IF(('MiT Strom Pipeline'!R29="offered")+('MiT Strom Pipeline'!R29="to be offered")+('MiT Strom Pipeline'!R29="on hold")&gt;0,IF(ISNUMBER('MiT Strom Pipeline'!O29),'MiT Strom Pipeline'!O29,0),"")</f>
        <v/>
      </c>
      <c r="I98" s="21" t="str">
        <f aca="false">IF(('MiT Strom Pipeline'!R29="offered")+('MiT Strom Pipeline'!R29="to be offered")+('MiT Strom Pipeline'!R29="on hold")&gt;0,'MiT Strom Pipeline'!R29,"")</f>
        <v/>
      </c>
      <c r="J98" s="21" t="str">
        <f aca="false">IF(('MiT Strom Pipeline'!R29="offered")+('MiT Strom Pipeline'!R29="to be offered")+('MiT Strom Pipeline'!R29="on hold")&gt;0,'MiT Strom Pipeline'!S29,"")</f>
        <v/>
      </c>
      <c r="K98" s="22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.75" hidden="false" customHeight="true" outlineLevel="0" collapsed="false">
      <c r="A99" s="29" t="str">
        <f aca="false">IF(('MiT Strom Pipeline'!R30="offered")+('MiT Strom Pipeline'!R30="to be offered")+('MiT Strom Pipeline'!R30="on hold")&gt;0,IF(ISNUMBER('MiT Strom Pipeline'!A30),'MiT Strom Pipeline'!A30,""),"")</f>
        <v/>
      </c>
      <c r="B99" s="30" t="str">
        <f aca="false">IF(('MiT Strom Pipeline'!R30="offered")+('MiT Strom Pipeline'!R30="to be offered")+('MiT Strom Pipeline'!R30="on hold")&gt;0,'MiT Strom Pipeline'!B30,"")</f>
        <v/>
      </c>
      <c r="C99" s="29" t="str">
        <f aca="false">IF(('MiT Strom Pipeline'!R30="offered")+('MiT Strom Pipeline'!R30="to be offered")+('MiT Strom Pipeline'!R30="on hold")&gt;0,'MiT Strom Pipeline'!C30,"")</f>
        <v/>
      </c>
      <c r="D99" s="30" t="str">
        <f aca="false">IF(('MiT Strom Pipeline'!R30="offered")+('MiT Strom Pipeline'!R30="to be offered")+('MiT Strom Pipeline'!R30="on hold")&gt;0,'MiT Strom Pipeline'!D30,"")</f>
        <v/>
      </c>
      <c r="E99" s="30" t="str">
        <f aca="false">IF(('MiT Strom Pipeline'!R30="offered")+('MiT Strom Pipeline'!R30="to be offered")+('MiT Strom Pipeline'!R30="on hold")&gt;0,'MiT Strom Pipeline'!E30,"")</f>
        <v/>
      </c>
      <c r="F99" s="31" t="str">
        <f aca="false">IF(('MiT Strom Pipeline'!R30="offered")+('MiT Strom Pipeline'!R30="to be offered")+('MiT Strom Pipeline'!R30="on hold")&gt;0,IF(ISNUMBER('MiT Strom Pipeline'!I30),'MiT Strom Pipeline'!I30,0),"")</f>
        <v/>
      </c>
      <c r="G99" s="31" t="str">
        <f aca="false">IF(('MiT Strom Pipeline'!R30="offered")+('MiT Strom Pipeline'!R30="to be offered")+('MiT Strom Pipeline'!R30="on hold")&gt;0,IF(ISNUMBER('MiT Strom Pipeline'!Q30),'MiT Strom Pipeline'!Q30,0),"")</f>
        <v/>
      </c>
      <c r="H99" s="31" t="str">
        <f aca="false">IF(('MiT Strom Pipeline'!R30="offered")+('MiT Strom Pipeline'!R30="to be offered")+('MiT Strom Pipeline'!R30="on hold")&gt;0,IF(ISNUMBER('MiT Strom Pipeline'!O30),'MiT Strom Pipeline'!O30,0),"")</f>
        <v/>
      </c>
      <c r="I99" s="29" t="str">
        <f aca="false">IF(('MiT Strom Pipeline'!R30="offered")+('MiT Strom Pipeline'!R30="to be offered")+('MiT Strom Pipeline'!R30="on hold")&gt;0,'MiT Strom Pipeline'!R30,"")</f>
        <v/>
      </c>
      <c r="J99" s="29" t="str">
        <f aca="false">IF(('MiT Strom Pipeline'!R30="offered")+('MiT Strom Pipeline'!R30="to be offered")+('MiT Strom Pipeline'!R30="on hold")&gt;0,'MiT Strom Pipeline'!S30,"")</f>
        <v/>
      </c>
      <c r="K99" s="30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15.75" hidden="false" customHeight="true" outlineLevel="0" collapsed="false">
      <c r="A100" s="21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22" t="str">
        <f aca="false">IF(('MiT Strom Pipeline'!R31="offered")+('MiT Strom Pipeline'!R31="to be offered")+('MiT Strom Pipeline'!R31="on hold")&gt;0,'MiT Strom Pipeline'!B31,"")</f>
        <v>Reto EKAG</v>
      </c>
      <c r="C100" s="21" t="str">
        <f aca="false">IF(('MiT Strom Pipeline'!R31="offered")+('MiT Strom Pipeline'!R31="to be offered")+('MiT Strom Pipeline'!R31="on hold")&gt;0,'MiT Strom Pipeline'!C31,"")</f>
        <v>AG</v>
      </c>
      <c r="D100" s="22" t="str">
        <f aca="false">IF(('MiT Strom Pipeline'!R31="offered")+('MiT Strom Pipeline'!R31="to be offered")+('MiT Strom Pipeline'!R31="on hold")&gt;0,'MiT Strom Pipeline'!D31,"")</f>
        <v>Elektroinstallation</v>
      </c>
      <c r="E100" s="22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23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23" t="n">
        <f aca="false">IF(('MiT Strom Pipeline'!R31="offered")+('MiT Strom Pipeline'!R31="to be offered")+('MiT Strom Pipeline'!R31="on hold")&gt;0,IF(ISNUMBER('MiT Strom Pipeline'!Q31),'MiT Strom Pipeline'!Q31,0),"")</f>
        <v>58930</v>
      </c>
      <c r="H100" s="23" t="n">
        <f aca="false">IF(('MiT Strom Pipeline'!R31="offered")+('MiT Strom Pipeline'!R31="to be offered")+('MiT Strom Pipeline'!R31="on hold")&gt;0,IF(ISNUMBER('MiT Strom Pipeline'!O31),'MiT Strom Pipeline'!O31,0),"")</f>
        <v>0</v>
      </c>
      <c r="I100" s="21" t="str">
        <f aca="false">IF(('MiT Strom Pipeline'!R31="offered")+('MiT Strom Pipeline'!R31="to be offered")+('MiT Strom Pipeline'!R31="on hold")&gt;0,'MiT Strom Pipeline'!R31,"")</f>
        <v>offered</v>
      </c>
      <c r="J100" s="21" t="n">
        <f aca="false">IF(('MiT Strom Pipeline'!R31="offered")+('MiT Strom Pipeline'!R31="to be offered")+('MiT Strom Pipeline'!R31="on hold")&gt;0,'MiT Strom Pipeline'!S31,"")</f>
        <v>0.5</v>
      </c>
      <c r="K100" s="24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15.75" hidden="false" customHeight="true" outlineLevel="0" collapsed="false">
      <c r="A101" s="29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30" t="str">
        <f aca="false">IF(('MiT Strom Pipeline'!R32="offered")+('MiT Strom Pipeline'!R32="to be offered")+('MiT Strom Pipeline'!R32="on hold")&gt;0,'MiT Strom Pipeline'!B32,"")</f>
        <v>Reto EKAG</v>
      </c>
      <c r="C101" s="29" t="str">
        <f aca="false">IF(('MiT Strom Pipeline'!R32="offered")+('MiT Strom Pipeline'!R32="to be offered")+('MiT Strom Pipeline'!R32="on hold")&gt;0,'MiT Strom Pipeline'!C32,"")</f>
        <v>AG</v>
      </c>
      <c r="D101" s="30" t="str">
        <f aca="false">IF(('MiT Strom Pipeline'!R32="offered")+('MiT Strom Pipeline'!R32="to be offered")+('MiT Strom Pipeline'!R32="on hold")&gt;0,'MiT Strom Pipeline'!D32,"")</f>
        <v>Elektroinstallation</v>
      </c>
      <c r="E101" s="30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31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31" t="n">
        <f aca="false">IF(('MiT Strom Pipeline'!R32="offered")+('MiT Strom Pipeline'!R32="to be offered")+('MiT Strom Pipeline'!R32="on hold")&gt;0,IF(ISNUMBER('MiT Strom Pipeline'!Q32),'MiT Strom Pipeline'!Q32,0),"")</f>
        <v>51400</v>
      </c>
      <c r="H101" s="31" t="n">
        <f aca="false">IF(('MiT Strom Pipeline'!R32="offered")+('MiT Strom Pipeline'!R32="to be offered")+('MiT Strom Pipeline'!R32="on hold")&gt;0,IF(ISNUMBER('MiT Strom Pipeline'!O32),'MiT Strom Pipeline'!O32,0),"")</f>
        <v>0</v>
      </c>
      <c r="I101" s="29" t="str">
        <f aca="false">IF(('MiT Strom Pipeline'!R32="offered")+('MiT Strom Pipeline'!R32="to be offered")+('MiT Strom Pipeline'!R32="on hold")&gt;0,'MiT Strom Pipeline'!R32,"")</f>
        <v>offered</v>
      </c>
      <c r="J101" s="29" t="n">
        <f aca="false">IF(('MiT Strom Pipeline'!R32="offered")+('MiT Strom Pipeline'!R32="to be offered")+('MiT Strom Pipeline'!R32="on hold")&gt;0,'MiT Strom Pipeline'!S32,"")</f>
        <v>0.5</v>
      </c>
      <c r="K101" s="32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.75" hidden="false" customHeight="true" outlineLevel="0" collapsed="false">
      <c r="A102" s="21" t="str">
        <f aca="false">IF(('MiT Strom Pipeline'!R33="offered")+('MiT Strom Pipeline'!R33="to be offered")+('MiT Strom Pipeline'!R33="on hold")&gt;0,IF(ISNUMBER('MiT Strom Pipeline'!A33),'MiT Strom Pipeline'!A33,""),"")</f>
        <v/>
      </c>
      <c r="B102" s="22" t="str">
        <f aca="false">IF(('MiT Strom Pipeline'!R33="offered")+('MiT Strom Pipeline'!R33="to be offered")+('MiT Strom Pipeline'!R33="on hold")&gt;0,'MiT Strom Pipeline'!B33,"")</f>
        <v/>
      </c>
      <c r="C102" s="21" t="str">
        <f aca="false">IF(('MiT Strom Pipeline'!R33="offered")+('MiT Strom Pipeline'!R33="to be offered")+('MiT Strom Pipeline'!R33="on hold")&gt;0,'MiT Strom Pipeline'!C33,"")</f>
        <v/>
      </c>
      <c r="D102" s="22" t="str">
        <f aca="false">IF(('MiT Strom Pipeline'!R33="offered")+('MiT Strom Pipeline'!R33="to be offered")+('MiT Strom Pipeline'!R33="on hold")&gt;0,'MiT Strom Pipeline'!D33,"")</f>
        <v/>
      </c>
      <c r="E102" s="22" t="str">
        <f aca="false">IF(('MiT Strom Pipeline'!R33="offered")+('MiT Strom Pipeline'!R33="to be offered")+('MiT Strom Pipeline'!R33="on hold")&gt;0,'MiT Strom Pipeline'!E33,"")</f>
        <v/>
      </c>
      <c r="F102" s="23" t="str">
        <f aca="false">IF(('MiT Strom Pipeline'!R33="offered")+('MiT Strom Pipeline'!R33="to be offered")+('MiT Strom Pipeline'!R33="on hold")&gt;0,IF(ISNUMBER('MiT Strom Pipeline'!I33),'MiT Strom Pipeline'!I33,0),"")</f>
        <v/>
      </c>
      <c r="G102" s="23" t="str">
        <f aca="false">IF(('MiT Strom Pipeline'!R33="offered")+('MiT Strom Pipeline'!R33="to be offered")+('MiT Strom Pipeline'!R33="on hold")&gt;0,IF(ISNUMBER('MiT Strom Pipeline'!Q33),'MiT Strom Pipeline'!Q33,0),"")</f>
        <v/>
      </c>
      <c r="H102" s="23" t="str">
        <f aca="false">IF(('MiT Strom Pipeline'!R33="offered")+('MiT Strom Pipeline'!R33="to be offered")+('MiT Strom Pipeline'!R33="on hold")&gt;0,IF(ISNUMBER('MiT Strom Pipeline'!O33),'MiT Strom Pipeline'!O33,0),"")</f>
        <v/>
      </c>
      <c r="I102" s="21" t="str">
        <f aca="false">IF(('MiT Strom Pipeline'!R33="offered")+('MiT Strom Pipeline'!R33="to be offered")+('MiT Strom Pipeline'!R33="on hold")&gt;0,'MiT Strom Pipeline'!R33,"")</f>
        <v/>
      </c>
      <c r="J102" s="21" t="str">
        <f aca="false">IF(('MiT Strom Pipeline'!R33="offered")+('MiT Strom Pipeline'!R33="to be offered")+('MiT Strom Pipeline'!R33="on hold")&gt;0,'MiT Strom Pipeline'!S33,"")</f>
        <v/>
      </c>
      <c r="K102" s="22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15.75" hidden="false" customHeight="true" outlineLevel="0" collapsed="false">
      <c r="A103" s="29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30" t="str">
        <f aca="false">IF(('MiT Strom Pipeline'!R34="offered")+('MiT Strom Pipeline'!R34="to be offered")+('MiT Strom Pipeline'!R34="on hold")&gt;0,'MiT Strom Pipeline'!B34,"")</f>
        <v>Rimus &amp; Sstrada</v>
      </c>
      <c r="C103" s="29" t="str">
        <f aca="false">IF(('MiT Strom Pipeline'!R34="offered")+('MiT Strom Pipeline'!R34="to be offered")+('MiT Strom Pipeline'!R34="on hold")&gt;0,'MiT Strom Pipeline'!C34,"")</f>
        <v>SH</v>
      </c>
      <c r="D103" s="30" t="str">
        <f aca="false">IF(('MiT Strom Pipeline'!R34="offered")+('MiT Strom Pipeline'!R34="to be offered")+('MiT Strom Pipeline'!R34="on hold")&gt;0,'MiT Strom Pipeline'!D34,"")</f>
        <v>Industrie</v>
      </c>
      <c r="E103" s="30" t="str">
        <f aca="false">IF(('MiT Strom Pipeline'!R34="offered")+('MiT Strom Pipeline'!R34="to be offered")+('MiT Strom Pipeline'!R34="on hold")&gt;0,'MiT Strom Pipeline'!E34,"")</f>
        <v>500 kWh Small BESS</v>
      </c>
      <c r="F103" s="31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31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31" t="n">
        <f aca="false">IF(('MiT Strom Pipeline'!R34="offered")+('MiT Strom Pipeline'!R34="to be offered")+('MiT Strom Pipeline'!R34="on hold")&gt;0,IF(ISNUMBER('MiT Strom Pipeline'!O34),'MiT Strom Pipeline'!O34,0),"")</f>
        <v>0</v>
      </c>
      <c r="I103" s="29" t="str">
        <f aca="false">IF(('MiT Strom Pipeline'!R34="offered")+('MiT Strom Pipeline'!R34="to be offered")+('MiT Strom Pipeline'!R34="on hold")&gt;0,'MiT Strom Pipeline'!R34,"")</f>
        <v>offered</v>
      </c>
      <c r="J103" s="29" t="n">
        <f aca="false">IF(('MiT Strom Pipeline'!R34="offered")+('MiT Strom Pipeline'!R34="to be offered")+('MiT Strom Pipeline'!R34="on hold")&gt;0,'MiT Strom Pipeline'!S34,"")</f>
        <v>0.5</v>
      </c>
      <c r="K103" s="32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15.75" hidden="false" customHeight="true" outlineLevel="0" collapsed="false">
      <c r="A104" s="21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22" t="str">
        <f aca="false">IF(('MiT Strom Pipeline'!R35="offered")+('MiT Strom Pipeline'!R35="to be offered")+('MiT Strom Pipeline'!R35="on hold")&gt;0,'MiT Strom Pipeline'!B35,"")</f>
        <v>Rimus &amp; Sstrada</v>
      </c>
      <c r="C104" s="21" t="str">
        <f aca="false">IF(('MiT Strom Pipeline'!R35="offered")+('MiT Strom Pipeline'!R35="to be offered")+('MiT Strom Pipeline'!R35="on hold")&gt;0,'MiT Strom Pipeline'!C35,"")</f>
        <v>SH</v>
      </c>
      <c r="D104" s="22" t="str">
        <f aca="false">IF(('MiT Strom Pipeline'!R35="offered")+('MiT Strom Pipeline'!R35="to be offered")+('MiT Strom Pipeline'!R35="on hold")&gt;0,'MiT Strom Pipeline'!D35,"")</f>
        <v>Industrie</v>
      </c>
      <c r="E104" s="22" t="str">
        <f aca="false">IF(('MiT Strom Pipeline'!R35="offered")+('MiT Strom Pipeline'!R35="to be offered")+('MiT Strom Pipeline'!R35="on hold")&gt;0,'MiT Strom Pipeline'!E35,"")</f>
        <v>1 MWh Medium BESS</v>
      </c>
      <c r="F104" s="23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23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23" t="n">
        <f aca="false">IF(('MiT Strom Pipeline'!R35="offered")+('MiT Strom Pipeline'!R35="to be offered")+('MiT Strom Pipeline'!R35="on hold")&gt;0,IF(ISNUMBER('MiT Strom Pipeline'!O35),'MiT Strom Pipeline'!O35,0),"")</f>
        <v>0</v>
      </c>
      <c r="I104" s="21" t="str">
        <f aca="false">IF(('MiT Strom Pipeline'!R35="offered")+('MiT Strom Pipeline'!R35="to be offered")+('MiT Strom Pipeline'!R35="on hold")&gt;0,'MiT Strom Pipeline'!R35,"")</f>
        <v>offered</v>
      </c>
      <c r="J104" s="21" t="n">
        <f aca="false">IF(('MiT Strom Pipeline'!R35="offered")+('MiT Strom Pipeline'!R35="to be offered")+('MiT Strom Pipeline'!R35="on hold")&gt;0,'MiT Strom Pipeline'!S35,"")</f>
        <v>0.5</v>
      </c>
      <c r="K104" s="24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15.75" hidden="false" customHeight="true" outlineLevel="0" collapsed="false">
      <c r="A105" s="29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30" t="str">
        <f aca="false">IF(('MiT Strom Pipeline'!R36="offered")+('MiT Strom Pipeline'!R36="to be offered")+('MiT Strom Pipeline'!R36="on hold")&gt;0,'MiT Strom Pipeline'!B36,"")</f>
        <v>Rimus &amp; Sstrada</v>
      </c>
      <c r="C105" s="29" t="str">
        <f aca="false">IF(('MiT Strom Pipeline'!R36="offered")+('MiT Strom Pipeline'!R36="to be offered")+('MiT Strom Pipeline'!R36="on hold")&gt;0,'MiT Strom Pipeline'!C36,"")</f>
        <v>SH</v>
      </c>
      <c r="D105" s="30" t="str">
        <f aca="false">IF(('MiT Strom Pipeline'!R36="offered")+('MiT Strom Pipeline'!R36="to be offered")+('MiT Strom Pipeline'!R36="on hold")&gt;0,'MiT Strom Pipeline'!D36,"")</f>
        <v>Industrie</v>
      </c>
      <c r="E105" s="30" t="str">
        <f aca="false">IF(('MiT Strom Pipeline'!R36="offered")+('MiT Strom Pipeline'!R36="to be offered")+('MiT Strom Pipeline'!R36="on hold")&gt;0,'MiT Strom Pipeline'!E36,"")</f>
        <v>1,5 MWh Large BESS</v>
      </c>
      <c r="F105" s="31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31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31" t="n">
        <f aca="false">IF(('MiT Strom Pipeline'!R36="offered")+('MiT Strom Pipeline'!R36="to be offered")+('MiT Strom Pipeline'!R36="on hold")&gt;0,IF(ISNUMBER('MiT Strom Pipeline'!O36),'MiT Strom Pipeline'!O36,0),"")</f>
        <v>0</v>
      </c>
      <c r="I105" s="29" t="str">
        <f aca="false">IF(('MiT Strom Pipeline'!R36="offered")+('MiT Strom Pipeline'!R36="to be offered")+('MiT Strom Pipeline'!R36="on hold")&gt;0,'MiT Strom Pipeline'!R36,"")</f>
        <v>offered</v>
      </c>
      <c r="J105" s="29" t="n">
        <f aca="false">IF(('MiT Strom Pipeline'!R36="offered")+('MiT Strom Pipeline'!R36="to be offered")+('MiT Strom Pipeline'!R36="on hold")&gt;0,'MiT Strom Pipeline'!S36,"")</f>
        <v>0.5</v>
      </c>
      <c r="K105" s="32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.75" hidden="false" customHeight="true" outlineLevel="0" collapsed="false">
      <c r="A106" s="21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22" t="str">
        <f aca="false">IF(('MiT Strom Pipeline'!R37="offered")+('MiT Strom Pipeline'!R37="to be offered")+('MiT Strom Pipeline'!R37="on hold")&gt;0,'MiT Strom Pipeline'!B37,"")</f>
        <v>WEF</v>
      </c>
      <c r="C106" s="21" t="str">
        <f aca="false">IF(('MiT Strom Pipeline'!R37="offered")+('MiT Strom Pipeline'!R37="to be offered")+('MiT Strom Pipeline'!R37="on hold")&gt;0,'MiT Strom Pipeline'!C37,"")</f>
        <v>GR</v>
      </c>
      <c r="D106" s="22" t="str">
        <f aca="false">IF(('MiT Strom Pipeline'!R37="offered")+('MiT Strom Pipeline'!R37="to be offered")+('MiT Strom Pipeline'!R37="on hold")&gt;0,'MiT Strom Pipeline'!D37,"")</f>
        <v>Event</v>
      </c>
      <c r="E106" s="22" t="str">
        <f aca="false">IF(('MiT Strom Pipeline'!R37="offered")+('MiT Strom Pipeline'!R37="to be offered")+('MiT Strom Pipeline'!R37="on hold")&gt;0,'MiT Strom Pipeline'!E37,"")</f>
        <v>1500 kVA, 600 kVA, 450 kVA, 450 kVA</v>
      </c>
      <c r="F106" s="23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23" t="n">
        <f aca="false">IF(('MiT Strom Pipeline'!R37="offered")+('MiT Strom Pipeline'!R37="to be offered")+('MiT Strom Pipeline'!R37="on hold")&gt;0,IF(ISNUMBER('MiT Strom Pipeline'!Q37),'MiT Strom Pipeline'!Q37,0),"")</f>
        <v>38662.81</v>
      </c>
      <c r="H106" s="23" t="n">
        <f aca="false">IF(('MiT Strom Pipeline'!R37="offered")+('MiT Strom Pipeline'!R37="to be offered")+('MiT Strom Pipeline'!R37="on hold")&gt;0,IF(ISNUMBER('MiT Strom Pipeline'!O37),'MiT Strom Pipeline'!O37,0),"")</f>
        <v>0</v>
      </c>
      <c r="I106" s="21" t="str">
        <f aca="false">IF(('MiT Strom Pipeline'!R37="offered")+('MiT Strom Pipeline'!R37="to be offered")+('MiT Strom Pipeline'!R37="on hold")&gt;0,'MiT Strom Pipeline'!R37,"")</f>
        <v>offered</v>
      </c>
      <c r="J106" s="21" t="n">
        <f aca="false">IF(('MiT Strom Pipeline'!R37="offered")+('MiT Strom Pipeline'!R37="to be offered")+('MiT Strom Pipeline'!R37="on hold")&gt;0,'MiT Strom Pipeline'!S37,"")</f>
        <v>0.5</v>
      </c>
      <c r="K106" s="22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</v>
      </c>
    </row>
    <row r="107" customFormat="false" ht="15.75" hidden="false" customHeight="true" outlineLevel="0" collapsed="false">
      <c r="A107" s="29" t="str">
        <f aca="false">IF(('MiT Strom Pipeline'!R38="offered")+('MiT Strom Pipeline'!R38="to be offered")+('MiT Strom Pipeline'!R38="on hold")&gt;0,IF(ISNUMBER('MiT Strom Pipeline'!A38),'MiT Strom Pipeline'!A38,""),"")</f>
        <v/>
      </c>
      <c r="B107" s="30" t="str">
        <f aca="false">IF(('MiT Strom Pipeline'!R38="offered")+('MiT Strom Pipeline'!R38="to be offered")+('MiT Strom Pipeline'!R38="on hold")&gt;0,'MiT Strom Pipeline'!B38,"")</f>
        <v/>
      </c>
      <c r="C107" s="29" t="str">
        <f aca="false">IF(('MiT Strom Pipeline'!R38="offered")+('MiT Strom Pipeline'!R38="to be offered")+('MiT Strom Pipeline'!R38="on hold")&gt;0,'MiT Strom Pipeline'!C38,"")</f>
        <v/>
      </c>
      <c r="D107" s="30" t="str">
        <f aca="false">IF(('MiT Strom Pipeline'!R38="offered")+('MiT Strom Pipeline'!R38="to be offered")+('MiT Strom Pipeline'!R38="on hold")&gt;0,'MiT Strom Pipeline'!D38,"")</f>
        <v/>
      </c>
      <c r="E107" s="30" t="str">
        <f aca="false">IF(('MiT Strom Pipeline'!R38="offered")+('MiT Strom Pipeline'!R38="to be offered")+('MiT Strom Pipeline'!R38="on hold")&gt;0,'MiT Strom Pipeline'!E38,"")</f>
        <v/>
      </c>
      <c r="F107" s="31" t="str">
        <f aca="false">IF(('MiT Strom Pipeline'!R38="offered")+('MiT Strom Pipeline'!R38="to be offered")+('MiT Strom Pipeline'!R38="on hold")&gt;0,IF(ISNUMBER('MiT Strom Pipeline'!I38),'MiT Strom Pipeline'!I38,0),"")</f>
        <v/>
      </c>
      <c r="G107" s="31" t="str">
        <f aca="false">IF(('MiT Strom Pipeline'!R38="offered")+('MiT Strom Pipeline'!R38="to be offered")+('MiT Strom Pipeline'!R38="on hold")&gt;0,IF(ISNUMBER('MiT Strom Pipeline'!Q38),'MiT Strom Pipeline'!Q38,0),"")</f>
        <v/>
      </c>
      <c r="H107" s="31" t="str">
        <f aca="false">IF(('MiT Strom Pipeline'!R38="offered")+('MiT Strom Pipeline'!R38="to be offered")+('MiT Strom Pipeline'!R38="on hold")&gt;0,IF(ISNUMBER('MiT Strom Pipeline'!O38),'MiT Strom Pipeline'!O38,0),"")</f>
        <v/>
      </c>
      <c r="I107" s="29" t="str">
        <f aca="false">IF(('MiT Strom Pipeline'!R38="offered")+('MiT Strom Pipeline'!R38="to be offered")+('MiT Strom Pipeline'!R38="on hold")&gt;0,'MiT Strom Pipeline'!R38,"")</f>
        <v/>
      </c>
      <c r="J107" s="29" t="str">
        <f aca="false">IF(('MiT Strom Pipeline'!R38="offered")+('MiT Strom Pipeline'!R38="to be offered")+('MiT Strom Pipeline'!R38="on hold")&gt;0,'MiT Strom Pipeline'!S38,"")</f>
        <v/>
      </c>
      <c r="K107" s="30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false" customHeight="true" outlineLevel="0" collapsed="false">
      <c r="A108" s="21" t="str">
        <f aca="false">IF(('MiT Strom Pipeline'!R39="offered")+('MiT Strom Pipeline'!R39="to be offered")+('MiT Strom Pipeline'!R39="on hold")&gt;0,IF(ISNUMBER('MiT Strom Pipeline'!A39),'MiT Strom Pipeline'!A39,""),"")</f>
        <v/>
      </c>
      <c r="B108" s="22" t="str">
        <f aca="false">IF(('MiT Strom Pipeline'!R39="offered")+('MiT Strom Pipeline'!R39="to be offered")+('MiT Strom Pipeline'!R39="on hold")&gt;0,'MiT Strom Pipeline'!B39,"")</f>
        <v/>
      </c>
      <c r="C108" s="21" t="str">
        <f aca="false">IF(('MiT Strom Pipeline'!R39="offered")+('MiT Strom Pipeline'!R39="to be offered")+('MiT Strom Pipeline'!R39="on hold")&gt;0,'MiT Strom Pipeline'!C39,"")</f>
        <v/>
      </c>
      <c r="D108" s="22" t="str">
        <f aca="false">IF(('MiT Strom Pipeline'!R39="offered")+('MiT Strom Pipeline'!R39="to be offered")+('MiT Strom Pipeline'!R39="on hold")&gt;0,'MiT Strom Pipeline'!D39,"")</f>
        <v/>
      </c>
      <c r="E108" s="22" t="str">
        <f aca="false">IF(('MiT Strom Pipeline'!R39="offered")+('MiT Strom Pipeline'!R39="to be offered")+('MiT Strom Pipeline'!R39="on hold")&gt;0,'MiT Strom Pipeline'!E39,"")</f>
        <v/>
      </c>
      <c r="F108" s="23" t="str">
        <f aca="false">IF(('MiT Strom Pipeline'!R39="offered")+('MiT Strom Pipeline'!R39="to be offered")+('MiT Strom Pipeline'!R39="on hold")&gt;0,IF(ISNUMBER('MiT Strom Pipeline'!I39),'MiT Strom Pipeline'!I39,0),"")</f>
        <v/>
      </c>
      <c r="G108" s="23" t="str">
        <f aca="false">IF(('MiT Strom Pipeline'!R39="offered")+('MiT Strom Pipeline'!R39="to be offered")+('MiT Strom Pipeline'!R39="on hold")&gt;0,IF(ISNUMBER('MiT Strom Pipeline'!Q39),'MiT Strom Pipeline'!Q39,0),"")</f>
        <v/>
      </c>
      <c r="H108" s="23" t="str">
        <f aca="false">IF(('MiT Strom Pipeline'!R39="offered")+('MiT Strom Pipeline'!R39="to be offered")+('MiT Strom Pipeline'!R39="on hold")&gt;0,IF(ISNUMBER('MiT Strom Pipeline'!O39),'MiT Strom Pipeline'!O39,0),"")</f>
        <v/>
      </c>
      <c r="I108" s="21" t="str">
        <f aca="false">IF(('MiT Strom Pipeline'!R39="offered")+('MiT Strom Pipeline'!R39="to be offered")+('MiT Strom Pipeline'!R39="on hold")&gt;0,'MiT Strom Pipeline'!R39,"")</f>
        <v/>
      </c>
      <c r="J108" s="21" t="str">
        <f aca="false">IF(('MiT Strom Pipeline'!R39="offered")+('MiT Strom Pipeline'!R39="to be offered")+('MiT Strom Pipeline'!R39="on hold")&gt;0,'MiT Strom Pipeline'!S39,"")</f>
        <v/>
      </c>
      <c r="K108" s="22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false" customHeight="true" outlineLevel="0" collapsed="false">
      <c r="A109" s="29" t="str">
        <f aca="false">IF(('MiT Strom Pipeline'!R40="offered")+('MiT Strom Pipeline'!R40="to be offered")+('MiT Strom Pipeline'!R40="on hold")&gt;0,IF(ISNUMBER('MiT Strom Pipeline'!A40),'MiT Strom Pipeline'!A40,""),"")</f>
        <v/>
      </c>
      <c r="B109" s="30" t="str">
        <f aca="false">IF(('MiT Strom Pipeline'!R40="offered")+('MiT Strom Pipeline'!R40="to be offered")+('MiT Strom Pipeline'!R40="on hold")&gt;0,'MiT Strom Pipeline'!B40,"")</f>
        <v/>
      </c>
      <c r="C109" s="29" t="str">
        <f aca="false">IF(('MiT Strom Pipeline'!R40="offered")+('MiT Strom Pipeline'!R40="to be offered")+('MiT Strom Pipeline'!R40="on hold")&gt;0,'MiT Strom Pipeline'!C40,"")</f>
        <v/>
      </c>
      <c r="D109" s="30" t="str">
        <f aca="false">IF(('MiT Strom Pipeline'!R40="offered")+('MiT Strom Pipeline'!R40="to be offered")+('MiT Strom Pipeline'!R40="on hold")&gt;0,'MiT Strom Pipeline'!D40,"")</f>
        <v/>
      </c>
      <c r="E109" s="30" t="str">
        <f aca="false">IF(('MiT Strom Pipeline'!R40="offered")+('MiT Strom Pipeline'!R40="to be offered")+('MiT Strom Pipeline'!R40="on hold")&gt;0,'MiT Strom Pipeline'!E40,"")</f>
        <v/>
      </c>
      <c r="F109" s="31" t="str">
        <f aca="false">IF(('MiT Strom Pipeline'!R40="offered")+('MiT Strom Pipeline'!R40="to be offered")+('MiT Strom Pipeline'!R40="on hold")&gt;0,IF(ISNUMBER('MiT Strom Pipeline'!I40),'MiT Strom Pipeline'!I40,0),"")</f>
        <v/>
      </c>
      <c r="G109" s="31" t="str">
        <f aca="false">IF(('MiT Strom Pipeline'!R40="offered")+('MiT Strom Pipeline'!R40="to be offered")+('MiT Strom Pipeline'!R40="on hold")&gt;0,IF(ISNUMBER('MiT Strom Pipeline'!Q40),'MiT Strom Pipeline'!Q40,0),"")</f>
        <v/>
      </c>
      <c r="H109" s="31" t="str">
        <f aca="false">IF(('MiT Strom Pipeline'!R40="offered")+('MiT Strom Pipeline'!R40="to be offered")+('MiT Strom Pipeline'!R40="on hold")&gt;0,IF(ISNUMBER('MiT Strom Pipeline'!O40),'MiT Strom Pipeline'!O40,0),"")</f>
        <v/>
      </c>
      <c r="I109" s="29" t="str">
        <f aca="false">IF(('MiT Strom Pipeline'!R40="offered")+('MiT Strom Pipeline'!R40="to be offered")+('MiT Strom Pipeline'!R40="on hold")&gt;0,'MiT Strom Pipeline'!R40,"")</f>
        <v/>
      </c>
      <c r="J109" s="29" t="str">
        <f aca="false">IF(('MiT Strom Pipeline'!R40="offered")+('MiT Strom Pipeline'!R40="to be offered")+('MiT Strom Pipeline'!R40="on hold")&gt;0,'MiT Strom Pipeline'!S40,"")</f>
        <v/>
      </c>
      <c r="K109" s="30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false" customHeight="true" outlineLevel="0" collapsed="false">
      <c r="A110" s="21" t="str">
        <f aca="false">IF(('MiT Strom Pipeline'!R41="offered")+('MiT Strom Pipeline'!R41="to be offered")+('MiT Strom Pipeline'!R41="on hold")&gt;0,IF(ISNUMBER('MiT Strom Pipeline'!A41),'MiT Strom Pipeline'!A41,""),"")</f>
        <v/>
      </c>
      <c r="B110" s="22" t="str">
        <f aca="false">IF(('MiT Strom Pipeline'!R41="offered")+('MiT Strom Pipeline'!R41="to be offered")+('MiT Strom Pipeline'!R41="on hold")&gt;0,'MiT Strom Pipeline'!B41,"")</f>
        <v/>
      </c>
      <c r="C110" s="21" t="str">
        <f aca="false">IF(('MiT Strom Pipeline'!R41="offered")+('MiT Strom Pipeline'!R41="to be offered")+('MiT Strom Pipeline'!R41="on hold")&gt;0,'MiT Strom Pipeline'!C41,"")</f>
        <v/>
      </c>
      <c r="D110" s="22" t="str">
        <f aca="false">IF(('MiT Strom Pipeline'!R41="offered")+('MiT Strom Pipeline'!R41="to be offered")+('MiT Strom Pipeline'!R41="on hold")&gt;0,'MiT Strom Pipeline'!D41,"")</f>
        <v/>
      </c>
      <c r="E110" s="22" t="str">
        <f aca="false">IF(('MiT Strom Pipeline'!R41="offered")+('MiT Strom Pipeline'!R41="to be offered")+('MiT Strom Pipeline'!R41="on hold")&gt;0,'MiT Strom Pipeline'!E41,"")</f>
        <v/>
      </c>
      <c r="F110" s="23" t="str">
        <f aca="false">IF(('MiT Strom Pipeline'!R41="offered")+('MiT Strom Pipeline'!R41="to be offered")+('MiT Strom Pipeline'!R41="on hold")&gt;0,IF(ISNUMBER('MiT Strom Pipeline'!I41),'MiT Strom Pipeline'!I41,0),"")</f>
        <v/>
      </c>
      <c r="G110" s="23" t="str">
        <f aca="false">IF(('MiT Strom Pipeline'!R41="offered")+('MiT Strom Pipeline'!R41="to be offered")+('MiT Strom Pipeline'!R41="on hold")&gt;0,IF(ISNUMBER('MiT Strom Pipeline'!Q41),'MiT Strom Pipeline'!Q41,0),"")</f>
        <v/>
      </c>
      <c r="H110" s="23" t="str">
        <f aca="false">IF(('MiT Strom Pipeline'!R41="offered")+('MiT Strom Pipeline'!R41="to be offered")+('MiT Strom Pipeline'!R41="on hold")&gt;0,IF(ISNUMBER('MiT Strom Pipeline'!O41),'MiT Strom Pipeline'!O41,0),"")</f>
        <v/>
      </c>
      <c r="I110" s="21" t="str">
        <f aca="false">IF(('MiT Strom Pipeline'!R41="offered")+('MiT Strom Pipeline'!R41="to be offered")+('MiT Strom Pipeline'!R41="on hold")&gt;0,'MiT Strom Pipeline'!R41,"")</f>
        <v/>
      </c>
      <c r="J110" s="21" t="str">
        <f aca="false">IF(('MiT Strom Pipeline'!R41="offered")+('MiT Strom Pipeline'!R41="to be offered")+('MiT Strom Pipeline'!R41="on hold")&gt;0,'MiT Strom Pipeline'!S41,"")</f>
        <v/>
      </c>
      <c r="K110" s="22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29" t="str">
        <f aca="false">IF(('MiT Strom Pipeline'!R42="offered")+('MiT Strom Pipeline'!R42="to be offered")+('MiT Strom Pipeline'!R42="on hold")&gt;0,IF(ISNUMBER('MiT Strom Pipeline'!A42),'MiT Strom Pipeline'!A42,""),"")</f>
        <v/>
      </c>
      <c r="B111" s="30" t="str">
        <f aca="false">IF(('MiT Strom Pipeline'!R42="offered")+('MiT Strom Pipeline'!R42="to be offered")+('MiT Strom Pipeline'!R42="on hold")&gt;0,'MiT Strom Pipeline'!B42,"")</f>
        <v/>
      </c>
      <c r="C111" s="29" t="str">
        <f aca="false">IF(('MiT Strom Pipeline'!R42="offered")+('MiT Strom Pipeline'!R42="to be offered")+('MiT Strom Pipeline'!R42="on hold")&gt;0,'MiT Strom Pipeline'!C42,"")</f>
        <v/>
      </c>
      <c r="D111" s="30" t="str">
        <f aca="false">IF(('MiT Strom Pipeline'!R42="offered")+('MiT Strom Pipeline'!R42="to be offered")+('MiT Strom Pipeline'!R42="on hold")&gt;0,'MiT Strom Pipeline'!D42,"")</f>
        <v/>
      </c>
      <c r="E111" s="30" t="str">
        <f aca="false">IF(('MiT Strom Pipeline'!R42="offered")+('MiT Strom Pipeline'!R42="to be offered")+('MiT Strom Pipeline'!R42="on hold")&gt;0,'MiT Strom Pipeline'!E42,"")</f>
        <v/>
      </c>
      <c r="F111" s="31" t="str">
        <f aca="false">IF(('MiT Strom Pipeline'!R42="offered")+('MiT Strom Pipeline'!R42="to be offered")+('MiT Strom Pipeline'!R42="on hold")&gt;0,IF(ISNUMBER('MiT Strom Pipeline'!I42),'MiT Strom Pipeline'!I42,0),"")</f>
        <v/>
      </c>
      <c r="G111" s="31" t="str">
        <f aca="false">IF(('MiT Strom Pipeline'!R42="offered")+('MiT Strom Pipeline'!R42="to be offered")+('MiT Strom Pipeline'!R42="on hold")&gt;0,IF(ISNUMBER('MiT Strom Pipeline'!Q42),'MiT Strom Pipeline'!Q42,0),"")</f>
        <v/>
      </c>
      <c r="H111" s="31" t="str">
        <f aca="false">IF(('MiT Strom Pipeline'!R42="offered")+('MiT Strom Pipeline'!R42="to be offered")+('MiT Strom Pipeline'!R42="on hold")&gt;0,IF(ISNUMBER('MiT Strom Pipeline'!O42),'MiT Strom Pipeline'!O42,0),"")</f>
        <v/>
      </c>
      <c r="I111" s="29" t="str">
        <f aca="false">IF(('MiT Strom Pipeline'!R42="offered")+('MiT Strom Pipeline'!R42="to be offered")+('MiT Strom Pipeline'!R42="on hold")&gt;0,'MiT Strom Pipeline'!R42,"")</f>
        <v/>
      </c>
      <c r="J111" s="29" t="str">
        <f aca="false">IF(('MiT Strom Pipeline'!R42="offered")+('MiT Strom Pipeline'!R42="to be offered")+('MiT Strom Pipeline'!R42="on hold")&gt;0,'MiT Strom Pipeline'!S42,"")</f>
        <v/>
      </c>
      <c r="K111" s="30" t="str">
        <f aca="false">IF(('MiT Strom Pipeline'!R42="offered")+('MiT Strom Pipeline'!R42="to be offered")+('MiT Strom Pipeline'!R42="on hold")&gt;0,IF(LEN('MiT Strom Pipeline'!V42)&gt;0,LEFT('MiT Strom Pipeline'!V42,55),""),"")</f>
        <v/>
      </c>
    </row>
    <row r="112" customFormat="false" ht="15.75" hidden="false" customHeight="true" outlineLevel="0" collapsed="false">
      <c r="A112" s="21" t="str">
        <f aca="false">IF(('MiT Strom Pipeline'!R43="offered")+('MiT Strom Pipeline'!R43="to be offered")+('MiT Strom Pipeline'!R43="on hold")&gt;0,IF(ISNUMBER('MiT Strom Pipeline'!A43),'MiT Strom Pipeline'!A43,""),"")</f>
        <v/>
      </c>
      <c r="B112" s="22" t="str">
        <f aca="false">IF(('MiT Strom Pipeline'!R43="offered")+('MiT Strom Pipeline'!R43="to be offered")+('MiT Strom Pipeline'!R43="on hold")&gt;0,'MiT Strom Pipeline'!B43,"")</f>
        <v/>
      </c>
      <c r="C112" s="21" t="str">
        <f aca="false">IF(('MiT Strom Pipeline'!R43="offered")+('MiT Strom Pipeline'!R43="to be offered")+('MiT Strom Pipeline'!R43="on hold")&gt;0,'MiT Strom Pipeline'!C43,"")</f>
        <v/>
      </c>
      <c r="D112" s="22" t="str">
        <f aca="false">IF(('MiT Strom Pipeline'!R43="offered")+('MiT Strom Pipeline'!R43="to be offered")+('MiT Strom Pipeline'!R43="on hold")&gt;0,'MiT Strom Pipeline'!D43,"")</f>
        <v/>
      </c>
      <c r="E112" s="22" t="str">
        <f aca="false">IF(('MiT Strom Pipeline'!R43="offered")+('MiT Strom Pipeline'!R43="to be offered")+('MiT Strom Pipeline'!R43="on hold")&gt;0,'MiT Strom Pipeline'!E43,"")</f>
        <v/>
      </c>
      <c r="F112" s="23" t="str">
        <f aca="false">IF(('MiT Strom Pipeline'!R43="offered")+('MiT Strom Pipeline'!R43="to be offered")+('MiT Strom Pipeline'!R43="on hold")&gt;0,IF(ISNUMBER('MiT Strom Pipeline'!I43),'MiT Strom Pipeline'!I43,0),"")</f>
        <v/>
      </c>
      <c r="G112" s="23" t="str">
        <f aca="false">IF(('MiT Strom Pipeline'!R43="offered")+('MiT Strom Pipeline'!R43="to be offered")+('MiT Strom Pipeline'!R43="on hold")&gt;0,IF(ISNUMBER('MiT Strom Pipeline'!Q43),'MiT Strom Pipeline'!Q43,0),"")</f>
        <v/>
      </c>
      <c r="H112" s="23" t="str">
        <f aca="false">IF(('MiT Strom Pipeline'!R43="offered")+('MiT Strom Pipeline'!R43="to be offered")+('MiT Strom Pipeline'!R43="on hold")&gt;0,IF(ISNUMBER('MiT Strom Pipeline'!O43),'MiT Strom Pipeline'!O43,0),"")</f>
        <v/>
      </c>
      <c r="I112" s="21" t="str">
        <f aca="false">IF(('MiT Strom Pipeline'!R43="offered")+('MiT Strom Pipeline'!R43="to be offered")+('MiT Strom Pipeline'!R43="on hold")&gt;0,'MiT Strom Pipeline'!R43,"")</f>
        <v/>
      </c>
      <c r="J112" s="21" t="str">
        <f aca="false">IF(('MiT Strom Pipeline'!R43="offered")+('MiT Strom Pipeline'!R43="to be offered")+('MiT Strom Pipeline'!R43="on hold")&gt;0,'MiT Strom Pipeline'!S43,"")</f>
        <v/>
      </c>
      <c r="K112" s="22" t="str">
        <f aca="false">IF(('MiT Strom Pipeline'!R43="offered")+('MiT Strom Pipeline'!R43="to be offered")+('MiT Strom Pipeline'!R43="on hold")&gt;0,IF(LEN('MiT Strom Pipeline'!V43)&gt;0,LEFT('MiT Strom Pipeline'!V43,55),""),"")</f>
        <v/>
      </c>
    </row>
    <row r="113" customFormat="false" ht="15.75" hidden="false" customHeight="true" outlineLevel="0" collapsed="false">
      <c r="A113" s="29" t="str">
        <f aca="false">IF(('MiT Strom Pipeline'!R44="offered")+('MiT Strom Pipeline'!R44="to be offered")+('MiT Strom Pipeline'!R44="on hold")&gt;0,IF(ISNUMBER('MiT Strom Pipeline'!A44),'MiT Strom Pipeline'!A44,""),"")</f>
        <v/>
      </c>
      <c r="B113" s="30" t="str">
        <f aca="false">IF(('MiT Strom Pipeline'!R44="offered")+('MiT Strom Pipeline'!R44="to be offered")+('MiT Strom Pipeline'!R44="on hold")&gt;0,'MiT Strom Pipeline'!B44,"")</f>
        <v/>
      </c>
      <c r="C113" s="29" t="str">
        <f aca="false">IF(('MiT Strom Pipeline'!R44="offered")+('MiT Strom Pipeline'!R44="to be offered")+('MiT Strom Pipeline'!R44="on hold")&gt;0,'MiT Strom Pipeline'!C44,"")</f>
        <v/>
      </c>
      <c r="D113" s="30" t="str">
        <f aca="false">IF(('MiT Strom Pipeline'!R44="offered")+('MiT Strom Pipeline'!R44="to be offered")+('MiT Strom Pipeline'!R44="on hold")&gt;0,'MiT Strom Pipeline'!D44,"")</f>
        <v/>
      </c>
      <c r="E113" s="30" t="str">
        <f aca="false">IF(('MiT Strom Pipeline'!R44="offered")+('MiT Strom Pipeline'!R44="to be offered")+('MiT Strom Pipeline'!R44="on hold")&gt;0,'MiT Strom Pipeline'!E44,"")</f>
        <v/>
      </c>
      <c r="F113" s="31" t="str">
        <f aca="false">IF(('MiT Strom Pipeline'!R44="offered")+('MiT Strom Pipeline'!R44="to be offered")+('MiT Strom Pipeline'!R44="on hold")&gt;0,IF(ISNUMBER('MiT Strom Pipeline'!I44),'MiT Strom Pipeline'!I44,0),"")</f>
        <v/>
      </c>
      <c r="G113" s="31" t="str">
        <f aca="false">IF(('MiT Strom Pipeline'!R44="offered")+('MiT Strom Pipeline'!R44="to be offered")+('MiT Strom Pipeline'!R44="on hold")&gt;0,IF(ISNUMBER('MiT Strom Pipeline'!Q44),'MiT Strom Pipeline'!Q44,0),"")</f>
        <v/>
      </c>
      <c r="H113" s="31" t="str">
        <f aca="false">IF(('MiT Strom Pipeline'!R44="offered")+('MiT Strom Pipeline'!R44="to be offered")+('MiT Strom Pipeline'!R44="on hold")&gt;0,IF(ISNUMBER('MiT Strom Pipeline'!O44),'MiT Strom Pipeline'!O44,0),"")</f>
        <v/>
      </c>
      <c r="I113" s="29" t="str">
        <f aca="false">IF(('MiT Strom Pipeline'!R44="offered")+('MiT Strom Pipeline'!R44="to be offered")+('MiT Strom Pipeline'!R44="on hold")&gt;0,'MiT Strom Pipeline'!R44,"")</f>
        <v/>
      </c>
      <c r="J113" s="29" t="str">
        <f aca="false">IF(('MiT Strom Pipeline'!R44="offered")+('MiT Strom Pipeline'!R44="to be offered")+('MiT Strom Pipeline'!R44="on hold")&gt;0,'MiT Strom Pipeline'!S44,"")</f>
        <v/>
      </c>
      <c r="K113" s="30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21" t="str">
        <f aca="false">IF(('MiT Strom Pipeline'!R45="offered")+('MiT Strom Pipeline'!R45="to be offered")+('MiT Strom Pipeline'!R45="on hold")&gt;0,IF(ISNUMBER('MiT Strom Pipeline'!A45),'MiT Strom Pipeline'!A45,""),"")</f>
        <v/>
      </c>
      <c r="B114" s="22" t="str">
        <f aca="false">IF(('MiT Strom Pipeline'!R45="offered")+('MiT Strom Pipeline'!R45="to be offered")+('MiT Strom Pipeline'!R45="on hold")&gt;0,'MiT Strom Pipeline'!B45,"")</f>
        <v/>
      </c>
      <c r="C114" s="21" t="str">
        <f aca="false">IF(('MiT Strom Pipeline'!R45="offered")+('MiT Strom Pipeline'!R45="to be offered")+('MiT Strom Pipeline'!R45="on hold")&gt;0,'MiT Strom Pipeline'!C45,"")</f>
        <v/>
      </c>
      <c r="D114" s="22" t="str">
        <f aca="false">IF(('MiT Strom Pipeline'!R45="offered")+('MiT Strom Pipeline'!R45="to be offered")+('MiT Strom Pipeline'!R45="on hold")&gt;0,'MiT Strom Pipeline'!D45,"")</f>
        <v/>
      </c>
      <c r="E114" s="22" t="str">
        <f aca="false">IF(('MiT Strom Pipeline'!R45="offered")+('MiT Strom Pipeline'!R45="to be offered")+('MiT Strom Pipeline'!R45="on hold")&gt;0,'MiT Strom Pipeline'!E45,"")</f>
        <v/>
      </c>
      <c r="F114" s="23" t="str">
        <f aca="false">IF(('MiT Strom Pipeline'!R45="offered")+('MiT Strom Pipeline'!R45="to be offered")+('MiT Strom Pipeline'!R45="on hold")&gt;0,IF(ISNUMBER('MiT Strom Pipeline'!I45),'MiT Strom Pipeline'!I45,0),"")</f>
        <v/>
      </c>
      <c r="G114" s="23" t="str">
        <f aca="false">IF(('MiT Strom Pipeline'!R45="offered")+('MiT Strom Pipeline'!R45="to be offered")+('MiT Strom Pipeline'!R45="on hold")&gt;0,IF(ISNUMBER('MiT Strom Pipeline'!Q45),'MiT Strom Pipeline'!Q45,0),"")</f>
        <v/>
      </c>
      <c r="H114" s="23" t="str">
        <f aca="false">IF(('MiT Strom Pipeline'!R45="offered")+('MiT Strom Pipeline'!R45="to be offered")+('MiT Strom Pipeline'!R45="on hold")&gt;0,IF(ISNUMBER('MiT Strom Pipeline'!O45),'MiT Strom Pipeline'!O45,0),"")</f>
        <v/>
      </c>
      <c r="I114" s="21" t="str">
        <f aca="false">IF(('MiT Strom Pipeline'!R45="offered")+('MiT Strom Pipeline'!R45="to be offered")+('MiT Strom Pipeline'!R45="on hold")&gt;0,'MiT Strom Pipeline'!R45,"")</f>
        <v/>
      </c>
      <c r="J114" s="21" t="str">
        <f aca="false">IF(('MiT Strom Pipeline'!R45="offered")+('MiT Strom Pipeline'!R45="to be offered")+('MiT Strom Pipeline'!R45="on hold")&gt;0,'MiT Strom Pipeline'!S45,"")</f>
        <v/>
      </c>
      <c r="K114" s="22" t="str">
        <f aca="false">IF(('MiT Strom Pipeline'!R45="offered")+('MiT Strom Pipeline'!R45="to be offered")+('MiT Strom Pipeline'!R45="on hold")&gt;0,IF(LEN('MiT Strom Pipeline'!V45)&gt;0,LEFT('MiT Strom Pipeline'!V45,55),""),"")</f>
        <v/>
      </c>
    </row>
    <row r="115" customFormat="false" ht="15.75" hidden="false" customHeight="true" outlineLevel="0" collapsed="false">
      <c r="A115" s="29" t="str">
        <f aca="false">IF(('MiT Strom Pipeline'!R46="offered")+('MiT Strom Pipeline'!R46="to be offered")+('MiT Strom Pipeline'!R46="on hold")&gt;0,IF(ISNUMBER('MiT Strom Pipeline'!A46),'MiT Strom Pipeline'!A46,""),"")</f>
        <v/>
      </c>
      <c r="B115" s="30" t="str">
        <f aca="false">IF(('MiT Strom Pipeline'!R46="offered")+('MiT Strom Pipeline'!R46="to be offered")+('MiT Strom Pipeline'!R46="on hold")&gt;0,'MiT Strom Pipeline'!B46,"")</f>
        <v/>
      </c>
      <c r="C115" s="29" t="str">
        <f aca="false">IF(('MiT Strom Pipeline'!R46="offered")+('MiT Strom Pipeline'!R46="to be offered")+('MiT Strom Pipeline'!R46="on hold")&gt;0,'MiT Strom Pipeline'!C46,"")</f>
        <v/>
      </c>
      <c r="D115" s="30" t="str">
        <f aca="false">IF(('MiT Strom Pipeline'!R46="offered")+('MiT Strom Pipeline'!R46="to be offered")+('MiT Strom Pipeline'!R46="on hold")&gt;0,'MiT Strom Pipeline'!D46,"")</f>
        <v/>
      </c>
      <c r="E115" s="30" t="str">
        <f aca="false">IF(('MiT Strom Pipeline'!R46="offered")+('MiT Strom Pipeline'!R46="to be offered")+('MiT Strom Pipeline'!R46="on hold")&gt;0,'MiT Strom Pipeline'!E46,"")</f>
        <v/>
      </c>
      <c r="F115" s="31" t="str">
        <f aca="false">IF(('MiT Strom Pipeline'!R46="offered")+('MiT Strom Pipeline'!R46="to be offered")+('MiT Strom Pipeline'!R46="on hold")&gt;0,IF(ISNUMBER('MiT Strom Pipeline'!I46),'MiT Strom Pipeline'!I46,0),"")</f>
        <v/>
      </c>
      <c r="G115" s="31" t="str">
        <f aca="false">IF(('MiT Strom Pipeline'!R46="offered")+('MiT Strom Pipeline'!R46="to be offered")+('MiT Strom Pipeline'!R46="on hold")&gt;0,IF(ISNUMBER('MiT Strom Pipeline'!Q46),'MiT Strom Pipeline'!Q46,0),"")</f>
        <v/>
      </c>
      <c r="H115" s="31" t="str">
        <f aca="false">IF(('MiT Strom Pipeline'!R46="offered")+('MiT Strom Pipeline'!R46="to be offered")+('MiT Strom Pipeline'!R46="on hold")&gt;0,IF(ISNUMBER('MiT Strom Pipeline'!O46),'MiT Strom Pipeline'!O46,0),"")</f>
        <v/>
      </c>
      <c r="I115" s="29" t="str">
        <f aca="false">IF(('MiT Strom Pipeline'!R46="offered")+('MiT Strom Pipeline'!R46="to be offered")+('MiT Strom Pipeline'!R46="on hold")&gt;0,'MiT Strom Pipeline'!R46,"")</f>
        <v/>
      </c>
      <c r="J115" s="29" t="str">
        <f aca="false">IF(('MiT Strom Pipeline'!R46="offered")+('MiT Strom Pipeline'!R46="to be offered")+('MiT Strom Pipeline'!R46="on hold")&gt;0,'MiT Strom Pipeline'!S46,"")</f>
        <v/>
      </c>
      <c r="K115" s="30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21" t="str">
        <f aca="false">IF(('MiT Strom Pipeline'!R47="offered")+('MiT Strom Pipeline'!R47="to be offered")+('MiT Strom Pipeline'!R47="on hold")&gt;0,IF(ISNUMBER('MiT Strom Pipeline'!A47),'MiT Strom Pipeline'!A47,""),"")</f>
        <v/>
      </c>
      <c r="B116" s="22" t="str">
        <f aca="false">IF(('MiT Strom Pipeline'!R47="offered")+('MiT Strom Pipeline'!R47="to be offered")+('MiT Strom Pipeline'!R47="on hold")&gt;0,'MiT Strom Pipeline'!B47,"")</f>
        <v/>
      </c>
      <c r="C116" s="21" t="str">
        <f aca="false">IF(('MiT Strom Pipeline'!R47="offered")+('MiT Strom Pipeline'!R47="to be offered")+('MiT Strom Pipeline'!R47="on hold")&gt;0,'MiT Strom Pipeline'!C47,"")</f>
        <v/>
      </c>
      <c r="D116" s="22" t="str">
        <f aca="false">IF(('MiT Strom Pipeline'!R47="offered")+('MiT Strom Pipeline'!R47="to be offered")+('MiT Strom Pipeline'!R47="on hold")&gt;0,'MiT Strom Pipeline'!D47,"")</f>
        <v/>
      </c>
      <c r="E116" s="22" t="str">
        <f aca="false">IF(('MiT Strom Pipeline'!R47="offered")+('MiT Strom Pipeline'!R47="to be offered")+('MiT Strom Pipeline'!R47="on hold")&gt;0,'MiT Strom Pipeline'!E47,"")</f>
        <v/>
      </c>
      <c r="F116" s="23" t="str">
        <f aca="false">IF(('MiT Strom Pipeline'!R47="offered")+('MiT Strom Pipeline'!R47="to be offered")+('MiT Strom Pipeline'!R47="on hold")&gt;0,IF(ISNUMBER('MiT Strom Pipeline'!I47),'MiT Strom Pipeline'!I47,0),"")</f>
        <v/>
      </c>
      <c r="G116" s="23" t="str">
        <f aca="false">IF(('MiT Strom Pipeline'!R47="offered")+('MiT Strom Pipeline'!R47="to be offered")+('MiT Strom Pipeline'!R47="on hold")&gt;0,IF(ISNUMBER('MiT Strom Pipeline'!Q47),'MiT Strom Pipeline'!Q47,0),"")</f>
        <v/>
      </c>
      <c r="H116" s="23" t="str">
        <f aca="false">IF(('MiT Strom Pipeline'!R47="offered")+('MiT Strom Pipeline'!R47="to be offered")+('MiT Strom Pipeline'!R47="on hold")&gt;0,IF(ISNUMBER('MiT Strom Pipeline'!O47),'MiT Strom Pipeline'!O47,0),"")</f>
        <v/>
      </c>
      <c r="I116" s="21" t="str">
        <f aca="false">IF(('MiT Strom Pipeline'!R47="offered")+('MiT Strom Pipeline'!R47="to be offered")+('MiT Strom Pipeline'!R47="on hold")&gt;0,'MiT Strom Pipeline'!R47,"")</f>
        <v/>
      </c>
      <c r="J116" s="21" t="str">
        <f aca="false">IF(('MiT Strom Pipeline'!R47="offered")+('MiT Strom Pipeline'!R47="to be offered")+('MiT Strom Pipeline'!R47="on hold")&gt;0,'MiT Strom Pipeline'!S47,"")</f>
        <v/>
      </c>
      <c r="K116" s="22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false" customHeight="true" outlineLevel="0" collapsed="false">
      <c r="A117" s="29" t="str">
        <f aca="false">IF(('MiT Strom Pipeline'!R48="offered")+('MiT Strom Pipeline'!R48="to be offered")+('MiT Strom Pipeline'!R48="on hold")&gt;0,IF(ISNUMBER('MiT Strom Pipeline'!A48),'MiT Strom Pipeline'!A48,""),"")</f>
        <v/>
      </c>
      <c r="B117" s="30" t="str">
        <f aca="false">IF(('MiT Strom Pipeline'!R48="offered")+('MiT Strom Pipeline'!R48="to be offered")+('MiT Strom Pipeline'!R48="on hold")&gt;0,'MiT Strom Pipeline'!B48,"")</f>
        <v/>
      </c>
      <c r="C117" s="29" t="str">
        <f aca="false">IF(('MiT Strom Pipeline'!R48="offered")+('MiT Strom Pipeline'!R48="to be offered")+('MiT Strom Pipeline'!R48="on hold")&gt;0,'MiT Strom Pipeline'!C48,"")</f>
        <v/>
      </c>
      <c r="D117" s="30" t="str">
        <f aca="false">IF(('MiT Strom Pipeline'!R48="offered")+('MiT Strom Pipeline'!R48="to be offered")+('MiT Strom Pipeline'!R48="on hold")&gt;0,'MiT Strom Pipeline'!D48,"")</f>
        <v/>
      </c>
      <c r="E117" s="30" t="str">
        <f aca="false">IF(('MiT Strom Pipeline'!R48="offered")+('MiT Strom Pipeline'!R48="to be offered")+('MiT Strom Pipeline'!R48="on hold")&gt;0,'MiT Strom Pipeline'!E48,"")</f>
        <v/>
      </c>
      <c r="F117" s="31" t="str">
        <f aca="false">IF(('MiT Strom Pipeline'!R48="offered")+('MiT Strom Pipeline'!R48="to be offered")+('MiT Strom Pipeline'!R48="on hold")&gt;0,IF(ISNUMBER('MiT Strom Pipeline'!I48),'MiT Strom Pipeline'!I48,0),"")</f>
        <v/>
      </c>
      <c r="G117" s="31" t="str">
        <f aca="false">IF(('MiT Strom Pipeline'!R48="offered")+('MiT Strom Pipeline'!R48="to be offered")+('MiT Strom Pipeline'!R48="on hold")&gt;0,IF(ISNUMBER('MiT Strom Pipeline'!Q48),'MiT Strom Pipeline'!Q48,0),"")</f>
        <v/>
      </c>
      <c r="H117" s="31" t="str">
        <f aca="false">IF(('MiT Strom Pipeline'!R48="offered")+('MiT Strom Pipeline'!R48="to be offered")+('MiT Strom Pipeline'!R48="on hold")&gt;0,IF(ISNUMBER('MiT Strom Pipeline'!O48),'MiT Strom Pipeline'!O48,0),"")</f>
        <v/>
      </c>
      <c r="I117" s="29" t="str">
        <f aca="false">IF(('MiT Strom Pipeline'!R48="offered")+('MiT Strom Pipeline'!R48="to be offered")+('MiT Strom Pipeline'!R48="on hold")&gt;0,'MiT Strom Pipeline'!R48,"")</f>
        <v/>
      </c>
      <c r="J117" s="29" t="str">
        <f aca="false">IF(('MiT Strom Pipeline'!R48="offered")+('MiT Strom Pipeline'!R48="to be offered")+('MiT Strom Pipeline'!R48="on hold")&gt;0,'MiT Strom Pipeline'!S48,"")</f>
        <v/>
      </c>
      <c r="K117" s="30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false" customHeight="true" outlineLevel="0" collapsed="false">
      <c r="A118" s="21" t="str">
        <f aca="false">IF(('MiT Strom Pipeline'!R49="offered")+('MiT Strom Pipeline'!R49="to be offered")+('MiT Strom Pipeline'!R49="on hold")&gt;0,IF(ISNUMBER('MiT Strom Pipeline'!A49),'MiT Strom Pipeline'!A49,""),"")</f>
        <v/>
      </c>
      <c r="B118" s="22" t="str">
        <f aca="false">IF(('MiT Strom Pipeline'!R49="offered")+('MiT Strom Pipeline'!R49="to be offered")+('MiT Strom Pipeline'!R49="on hold")&gt;0,'MiT Strom Pipeline'!B49,"")</f>
        <v/>
      </c>
      <c r="C118" s="21" t="str">
        <f aca="false">IF(('MiT Strom Pipeline'!R49="offered")+('MiT Strom Pipeline'!R49="to be offered")+('MiT Strom Pipeline'!R49="on hold")&gt;0,'MiT Strom Pipeline'!C49,"")</f>
        <v/>
      </c>
      <c r="D118" s="22" t="str">
        <f aca="false">IF(('MiT Strom Pipeline'!R49="offered")+('MiT Strom Pipeline'!R49="to be offered")+('MiT Strom Pipeline'!R49="on hold")&gt;0,'MiT Strom Pipeline'!D49,"")</f>
        <v/>
      </c>
      <c r="E118" s="22" t="str">
        <f aca="false">IF(('MiT Strom Pipeline'!R49="offered")+('MiT Strom Pipeline'!R49="to be offered")+('MiT Strom Pipeline'!R49="on hold")&gt;0,'MiT Strom Pipeline'!E49,"")</f>
        <v/>
      </c>
      <c r="F118" s="23" t="str">
        <f aca="false">IF(('MiT Strom Pipeline'!R49="offered")+('MiT Strom Pipeline'!R49="to be offered")+('MiT Strom Pipeline'!R49="on hold")&gt;0,IF(ISNUMBER('MiT Strom Pipeline'!I49),'MiT Strom Pipeline'!I49,0),"")</f>
        <v/>
      </c>
      <c r="G118" s="23" t="str">
        <f aca="false">IF(('MiT Strom Pipeline'!R49="offered")+('MiT Strom Pipeline'!R49="to be offered")+('MiT Strom Pipeline'!R49="on hold")&gt;0,IF(ISNUMBER('MiT Strom Pipeline'!Q49),'MiT Strom Pipeline'!Q49,0),"")</f>
        <v/>
      </c>
      <c r="H118" s="23" t="str">
        <f aca="false">IF(('MiT Strom Pipeline'!R49="offered")+('MiT Strom Pipeline'!R49="to be offered")+('MiT Strom Pipeline'!R49="on hold")&gt;0,IF(ISNUMBER('MiT Strom Pipeline'!O49),'MiT Strom Pipeline'!O49,0),"")</f>
        <v/>
      </c>
      <c r="I118" s="21" t="str">
        <f aca="false">IF(('MiT Strom Pipeline'!R49="offered")+('MiT Strom Pipeline'!R49="to be offered")+('MiT Strom Pipeline'!R49="on hold")&gt;0,'MiT Strom Pipeline'!R49,"")</f>
        <v/>
      </c>
      <c r="J118" s="21" t="str">
        <f aca="false">IF(('MiT Strom Pipeline'!R49="offered")+('MiT Strom Pipeline'!R49="to be offered")+('MiT Strom Pipeline'!R49="on hold")&gt;0,'MiT Strom Pipeline'!S49,"")</f>
        <v/>
      </c>
      <c r="K118" s="22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false" customHeight="true" outlineLevel="0" collapsed="false">
      <c r="A119" s="29" t="str">
        <f aca="false">IF(('MiT Strom Pipeline'!R50="offered")+('MiT Strom Pipeline'!R50="to be offered")+('MiT Strom Pipeline'!R50="on hold")&gt;0,IF(ISNUMBER('MiT Strom Pipeline'!A50),'MiT Strom Pipeline'!A50,""),"")</f>
        <v/>
      </c>
      <c r="B119" s="30" t="str">
        <f aca="false">IF(('MiT Strom Pipeline'!R50="offered")+('MiT Strom Pipeline'!R50="to be offered")+('MiT Strom Pipeline'!R50="on hold")&gt;0,'MiT Strom Pipeline'!B50,"")</f>
        <v/>
      </c>
      <c r="C119" s="29" t="str">
        <f aca="false">IF(('MiT Strom Pipeline'!R50="offered")+('MiT Strom Pipeline'!R50="to be offered")+('MiT Strom Pipeline'!R50="on hold")&gt;0,'MiT Strom Pipeline'!C50,"")</f>
        <v/>
      </c>
      <c r="D119" s="30" t="str">
        <f aca="false">IF(('MiT Strom Pipeline'!R50="offered")+('MiT Strom Pipeline'!R50="to be offered")+('MiT Strom Pipeline'!R50="on hold")&gt;0,'MiT Strom Pipeline'!D50,"")</f>
        <v/>
      </c>
      <c r="E119" s="30" t="str">
        <f aca="false">IF(('MiT Strom Pipeline'!R50="offered")+('MiT Strom Pipeline'!R50="to be offered")+('MiT Strom Pipeline'!R50="on hold")&gt;0,'MiT Strom Pipeline'!E50,"")</f>
        <v/>
      </c>
      <c r="F119" s="31" t="str">
        <f aca="false">IF(('MiT Strom Pipeline'!R50="offered")+('MiT Strom Pipeline'!R50="to be offered")+('MiT Strom Pipeline'!R50="on hold")&gt;0,IF(ISNUMBER('MiT Strom Pipeline'!I50),'MiT Strom Pipeline'!I50,0),"")</f>
        <v/>
      </c>
      <c r="G119" s="31" t="str">
        <f aca="false">IF(('MiT Strom Pipeline'!R50="offered")+('MiT Strom Pipeline'!R50="to be offered")+('MiT Strom Pipeline'!R50="on hold")&gt;0,IF(ISNUMBER('MiT Strom Pipeline'!Q50),'MiT Strom Pipeline'!Q50,0),"")</f>
        <v/>
      </c>
      <c r="H119" s="31" t="str">
        <f aca="false">IF(('MiT Strom Pipeline'!R50="offered")+('MiT Strom Pipeline'!R50="to be offered")+('MiT Strom Pipeline'!R50="on hold")&gt;0,IF(ISNUMBER('MiT Strom Pipeline'!O50),'MiT Strom Pipeline'!O50,0),"")</f>
        <v/>
      </c>
      <c r="I119" s="29" t="str">
        <f aca="false">IF(('MiT Strom Pipeline'!R50="offered")+('MiT Strom Pipeline'!R50="to be offered")+('MiT Strom Pipeline'!R50="on hold")&gt;0,'MiT Strom Pipeline'!R50,"")</f>
        <v/>
      </c>
      <c r="J119" s="29" t="str">
        <f aca="false">IF(('MiT Strom Pipeline'!R50="offered")+('MiT Strom Pipeline'!R50="to be offered")+('MiT Strom Pipeline'!R50="on hold")&gt;0,'MiT Strom Pipeline'!S50,"")</f>
        <v/>
      </c>
      <c r="K119" s="30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false" customHeight="true" outlineLevel="0" collapsed="false">
      <c r="A120" s="21" t="str">
        <f aca="false">IF(('MiT Strom Pipeline'!R51="offered")+('MiT Strom Pipeline'!R51="to be offered")+('MiT Strom Pipeline'!R51="on hold")&gt;0,IF(ISNUMBER('MiT Strom Pipeline'!A51),'MiT Strom Pipeline'!A51,""),"")</f>
        <v/>
      </c>
      <c r="B120" s="22" t="str">
        <f aca="false">IF(('MiT Strom Pipeline'!R51="offered")+('MiT Strom Pipeline'!R51="to be offered")+('MiT Strom Pipeline'!R51="on hold")&gt;0,'MiT Strom Pipeline'!B51,"")</f>
        <v/>
      </c>
      <c r="C120" s="21" t="str">
        <f aca="false">IF(('MiT Strom Pipeline'!R51="offered")+('MiT Strom Pipeline'!R51="to be offered")+('MiT Strom Pipeline'!R51="on hold")&gt;0,'MiT Strom Pipeline'!C51,"")</f>
        <v/>
      </c>
      <c r="D120" s="22" t="str">
        <f aca="false">IF(('MiT Strom Pipeline'!R51="offered")+('MiT Strom Pipeline'!R51="to be offered")+('MiT Strom Pipeline'!R51="on hold")&gt;0,'MiT Strom Pipeline'!D51,"")</f>
        <v/>
      </c>
      <c r="E120" s="22" t="str">
        <f aca="false">IF(('MiT Strom Pipeline'!R51="offered")+('MiT Strom Pipeline'!R51="to be offered")+('MiT Strom Pipeline'!R51="on hold")&gt;0,'MiT Strom Pipeline'!E51,"")</f>
        <v/>
      </c>
      <c r="F120" s="23" t="str">
        <f aca="false">IF(('MiT Strom Pipeline'!R51="offered")+('MiT Strom Pipeline'!R51="to be offered")+('MiT Strom Pipeline'!R51="on hold")&gt;0,IF(ISNUMBER('MiT Strom Pipeline'!I51),'MiT Strom Pipeline'!I51,0),"")</f>
        <v/>
      </c>
      <c r="G120" s="23" t="str">
        <f aca="false">IF(('MiT Strom Pipeline'!R51="offered")+('MiT Strom Pipeline'!R51="to be offered")+('MiT Strom Pipeline'!R51="on hold")&gt;0,IF(ISNUMBER('MiT Strom Pipeline'!Q51),'MiT Strom Pipeline'!Q51,0),"")</f>
        <v/>
      </c>
      <c r="H120" s="23" t="str">
        <f aca="false">IF(('MiT Strom Pipeline'!R51="offered")+('MiT Strom Pipeline'!R51="to be offered")+('MiT Strom Pipeline'!R51="on hold")&gt;0,IF(ISNUMBER('MiT Strom Pipeline'!O51),'MiT Strom Pipeline'!O51,0),"")</f>
        <v/>
      </c>
      <c r="I120" s="21" t="str">
        <f aca="false">IF(('MiT Strom Pipeline'!R51="offered")+('MiT Strom Pipeline'!R51="to be offered")+('MiT Strom Pipeline'!R51="on hold")&gt;0,'MiT Strom Pipeline'!R51,"")</f>
        <v/>
      </c>
      <c r="J120" s="21" t="str">
        <f aca="false">IF(('MiT Strom Pipeline'!R51="offered")+('MiT Strom Pipeline'!R51="to be offered")+('MiT Strom Pipeline'!R51="on hold")&gt;0,'MiT Strom Pipeline'!S51,"")</f>
        <v/>
      </c>
      <c r="K120" s="22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false" customHeight="true" outlineLevel="0" collapsed="false">
      <c r="A121" s="29" t="str">
        <f aca="false">IF(('MiT Strom Pipeline'!R52="offered")+('MiT Strom Pipeline'!R52="to be offered")+('MiT Strom Pipeline'!R52="on hold")&gt;0,IF(ISNUMBER('MiT Strom Pipeline'!A52),'MiT Strom Pipeline'!A52,""),"")</f>
        <v/>
      </c>
      <c r="B121" s="30" t="str">
        <f aca="false">IF(('MiT Strom Pipeline'!R52="offered")+('MiT Strom Pipeline'!R52="to be offered")+('MiT Strom Pipeline'!R52="on hold")&gt;0,'MiT Strom Pipeline'!B52,"")</f>
        <v/>
      </c>
      <c r="C121" s="29" t="str">
        <f aca="false">IF(('MiT Strom Pipeline'!R52="offered")+('MiT Strom Pipeline'!R52="to be offered")+('MiT Strom Pipeline'!R52="on hold")&gt;0,'MiT Strom Pipeline'!C52,"")</f>
        <v/>
      </c>
      <c r="D121" s="30" t="str">
        <f aca="false">IF(('MiT Strom Pipeline'!R52="offered")+('MiT Strom Pipeline'!R52="to be offered")+('MiT Strom Pipeline'!R52="on hold")&gt;0,'MiT Strom Pipeline'!D52,"")</f>
        <v/>
      </c>
      <c r="E121" s="30" t="str">
        <f aca="false">IF(('MiT Strom Pipeline'!R52="offered")+('MiT Strom Pipeline'!R52="to be offered")+('MiT Strom Pipeline'!R52="on hold")&gt;0,'MiT Strom Pipeline'!E52,"")</f>
        <v/>
      </c>
      <c r="F121" s="31" t="str">
        <f aca="false">IF(('MiT Strom Pipeline'!R52="offered")+('MiT Strom Pipeline'!R52="to be offered")+('MiT Strom Pipeline'!R52="on hold")&gt;0,IF(ISNUMBER('MiT Strom Pipeline'!I52),'MiT Strom Pipeline'!I52,0),"")</f>
        <v/>
      </c>
      <c r="G121" s="31" t="str">
        <f aca="false">IF(('MiT Strom Pipeline'!R52="offered")+('MiT Strom Pipeline'!R52="to be offered")+('MiT Strom Pipeline'!R52="on hold")&gt;0,IF(ISNUMBER('MiT Strom Pipeline'!Q52),'MiT Strom Pipeline'!Q52,0),"")</f>
        <v/>
      </c>
      <c r="H121" s="31" t="str">
        <f aca="false">IF(('MiT Strom Pipeline'!R52="offered")+('MiT Strom Pipeline'!R52="to be offered")+('MiT Strom Pipeline'!R52="on hold")&gt;0,IF(ISNUMBER('MiT Strom Pipeline'!O52),'MiT Strom Pipeline'!O52,0),"")</f>
        <v/>
      </c>
      <c r="I121" s="29" t="str">
        <f aca="false">IF(('MiT Strom Pipeline'!R52="offered")+('MiT Strom Pipeline'!R52="to be offered")+('MiT Strom Pipeline'!R52="on hold")&gt;0,'MiT Strom Pipeline'!R52,"")</f>
        <v/>
      </c>
      <c r="J121" s="29" t="str">
        <f aca="false">IF(('MiT Strom Pipeline'!R52="offered")+('MiT Strom Pipeline'!R52="to be offered")+('MiT Strom Pipeline'!R52="on hold")&gt;0,'MiT Strom Pipeline'!S52,"")</f>
        <v/>
      </c>
      <c r="K121" s="30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false" customHeight="true" outlineLevel="0" collapsed="false">
      <c r="A122" s="21" t="str">
        <f aca="false">IF(('MiT Strom Pipeline'!R53="offered")+('MiT Strom Pipeline'!R53="to be offered")+('MiT Strom Pipeline'!R53="on hold")&gt;0,IF(ISNUMBER('MiT Strom Pipeline'!A53),'MiT Strom Pipeline'!A53,""),"")</f>
        <v/>
      </c>
      <c r="B122" s="22" t="str">
        <f aca="false">IF(('MiT Strom Pipeline'!R53="offered")+('MiT Strom Pipeline'!R53="to be offered")+('MiT Strom Pipeline'!R53="on hold")&gt;0,'MiT Strom Pipeline'!B53,"")</f>
        <v/>
      </c>
      <c r="C122" s="21" t="str">
        <f aca="false">IF(('MiT Strom Pipeline'!R53="offered")+('MiT Strom Pipeline'!R53="to be offered")+('MiT Strom Pipeline'!R53="on hold")&gt;0,'MiT Strom Pipeline'!C53,"")</f>
        <v/>
      </c>
      <c r="D122" s="22" t="str">
        <f aca="false">IF(('MiT Strom Pipeline'!R53="offered")+('MiT Strom Pipeline'!R53="to be offered")+('MiT Strom Pipeline'!R53="on hold")&gt;0,'MiT Strom Pipeline'!D53,"")</f>
        <v/>
      </c>
      <c r="E122" s="22" t="str">
        <f aca="false">IF(('MiT Strom Pipeline'!R53="offered")+('MiT Strom Pipeline'!R53="to be offered")+('MiT Strom Pipeline'!R53="on hold")&gt;0,'MiT Strom Pipeline'!E53,"")</f>
        <v/>
      </c>
      <c r="F122" s="23" t="str">
        <f aca="false">IF(('MiT Strom Pipeline'!R53="offered")+('MiT Strom Pipeline'!R53="to be offered")+('MiT Strom Pipeline'!R53="on hold")&gt;0,IF(ISNUMBER('MiT Strom Pipeline'!I53),'MiT Strom Pipeline'!I53,0),"")</f>
        <v/>
      </c>
      <c r="G122" s="23" t="str">
        <f aca="false">IF(('MiT Strom Pipeline'!R53="offered")+('MiT Strom Pipeline'!R53="to be offered")+('MiT Strom Pipeline'!R53="on hold")&gt;0,IF(ISNUMBER('MiT Strom Pipeline'!Q53),'MiT Strom Pipeline'!Q53,0),"")</f>
        <v/>
      </c>
      <c r="H122" s="23" t="str">
        <f aca="false">IF(('MiT Strom Pipeline'!R53="offered")+('MiT Strom Pipeline'!R53="to be offered")+('MiT Strom Pipeline'!R53="on hold")&gt;0,IF(ISNUMBER('MiT Strom Pipeline'!O53),'MiT Strom Pipeline'!O53,0),"")</f>
        <v/>
      </c>
      <c r="I122" s="21" t="str">
        <f aca="false">IF(('MiT Strom Pipeline'!R53="offered")+('MiT Strom Pipeline'!R53="to be offered")+('MiT Strom Pipeline'!R53="on hold")&gt;0,'MiT Strom Pipeline'!R53,"")</f>
        <v/>
      </c>
      <c r="J122" s="21" t="str">
        <f aca="false">IF(('MiT Strom Pipeline'!R53="offered")+('MiT Strom Pipeline'!R53="to be offered")+('MiT Strom Pipeline'!R53="on hold")&gt;0,'MiT Strom Pipeline'!S53,"")</f>
        <v/>
      </c>
      <c r="K122" s="22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false" customHeight="true" outlineLevel="0" collapsed="false">
      <c r="A123" s="29" t="str">
        <f aca="false">IF(('MiT Strom Pipeline'!R54="offered")+('MiT Strom Pipeline'!R54="to be offered")+('MiT Strom Pipeline'!R54="on hold")&gt;0,IF(ISNUMBER('MiT Strom Pipeline'!A54),'MiT Strom Pipeline'!A54,""),"")</f>
        <v/>
      </c>
      <c r="B123" s="30" t="str">
        <f aca="false">IF(('MiT Strom Pipeline'!R54="offered")+('MiT Strom Pipeline'!R54="to be offered")+('MiT Strom Pipeline'!R54="on hold")&gt;0,'MiT Strom Pipeline'!B54,"")</f>
        <v/>
      </c>
      <c r="C123" s="29" t="str">
        <f aca="false">IF(('MiT Strom Pipeline'!R54="offered")+('MiT Strom Pipeline'!R54="to be offered")+('MiT Strom Pipeline'!R54="on hold")&gt;0,'MiT Strom Pipeline'!C54,"")</f>
        <v/>
      </c>
      <c r="D123" s="30" t="str">
        <f aca="false">IF(('MiT Strom Pipeline'!R54="offered")+('MiT Strom Pipeline'!R54="to be offered")+('MiT Strom Pipeline'!R54="on hold")&gt;0,'MiT Strom Pipeline'!D54,"")</f>
        <v/>
      </c>
      <c r="E123" s="30" t="str">
        <f aca="false">IF(('MiT Strom Pipeline'!R54="offered")+('MiT Strom Pipeline'!R54="to be offered")+('MiT Strom Pipeline'!R54="on hold")&gt;0,'MiT Strom Pipeline'!E54,"")</f>
        <v/>
      </c>
      <c r="F123" s="31" t="str">
        <f aca="false">IF(('MiT Strom Pipeline'!R54="offered")+('MiT Strom Pipeline'!R54="to be offered")+('MiT Strom Pipeline'!R54="on hold")&gt;0,IF(ISNUMBER('MiT Strom Pipeline'!I54),'MiT Strom Pipeline'!I54,0),"")</f>
        <v/>
      </c>
      <c r="G123" s="31" t="str">
        <f aca="false">IF(('MiT Strom Pipeline'!R54="offered")+('MiT Strom Pipeline'!R54="to be offered")+('MiT Strom Pipeline'!R54="on hold")&gt;0,IF(ISNUMBER('MiT Strom Pipeline'!Q54),'MiT Strom Pipeline'!Q54,0),"")</f>
        <v/>
      </c>
      <c r="H123" s="31" t="str">
        <f aca="false">IF(('MiT Strom Pipeline'!R54="offered")+('MiT Strom Pipeline'!R54="to be offered")+('MiT Strom Pipeline'!R54="on hold")&gt;0,IF(ISNUMBER('MiT Strom Pipeline'!O54),'MiT Strom Pipeline'!O54,0),"")</f>
        <v/>
      </c>
      <c r="I123" s="29" t="str">
        <f aca="false">IF(('MiT Strom Pipeline'!R54="offered")+('MiT Strom Pipeline'!R54="to be offered")+('MiT Strom Pipeline'!R54="on hold")&gt;0,'MiT Strom Pipeline'!R54,"")</f>
        <v/>
      </c>
      <c r="J123" s="29" t="str">
        <f aca="false">IF(('MiT Strom Pipeline'!R54="offered")+('MiT Strom Pipeline'!R54="to be offered")+('MiT Strom Pipeline'!R54="on hold")&gt;0,'MiT Strom Pipeline'!S54,"")</f>
        <v/>
      </c>
      <c r="K123" s="30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false" customHeight="true" outlineLevel="0" collapsed="false">
      <c r="A124" s="21" t="str">
        <f aca="false">IF(('MiT Strom Pipeline'!R55="offered")+('MiT Strom Pipeline'!R55="to be offered")+('MiT Strom Pipeline'!R55="on hold")&gt;0,IF(ISNUMBER('MiT Strom Pipeline'!A55),'MiT Strom Pipeline'!A55,""),"")</f>
        <v/>
      </c>
      <c r="B124" s="22" t="str">
        <f aca="false">IF(('MiT Strom Pipeline'!R55="offered")+('MiT Strom Pipeline'!R55="to be offered")+('MiT Strom Pipeline'!R55="on hold")&gt;0,'MiT Strom Pipeline'!B55,"")</f>
        <v/>
      </c>
      <c r="C124" s="21" t="str">
        <f aca="false">IF(('MiT Strom Pipeline'!R55="offered")+('MiT Strom Pipeline'!R55="to be offered")+('MiT Strom Pipeline'!R55="on hold")&gt;0,'MiT Strom Pipeline'!C55,"")</f>
        <v/>
      </c>
      <c r="D124" s="22" t="str">
        <f aca="false">IF(('MiT Strom Pipeline'!R55="offered")+('MiT Strom Pipeline'!R55="to be offered")+('MiT Strom Pipeline'!R55="on hold")&gt;0,'MiT Strom Pipeline'!D55,"")</f>
        <v/>
      </c>
      <c r="E124" s="22" t="str">
        <f aca="false">IF(('MiT Strom Pipeline'!R55="offered")+('MiT Strom Pipeline'!R55="to be offered")+('MiT Strom Pipeline'!R55="on hold")&gt;0,'MiT Strom Pipeline'!E55,"")</f>
        <v/>
      </c>
      <c r="F124" s="23" t="str">
        <f aca="false">IF(('MiT Strom Pipeline'!R55="offered")+('MiT Strom Pipeline'!R55="to be offered")+('MiT Strom Pipeline'!R55="on hold")&gt;0,IF(ISNUMBER('MiT Strom Pipeline'!I55),'MiT Strom Pipeline'!I55,0),"")</f>
        <v/>
      </c>
      <c r="G124" s="23" t="str">
        <f aca="false">IF(('MiT Strom Pipeline'!R55="offered")+('MiT Strom Pipeline'!R55="to be offered")+('MiT Strom Pipeline'!R55="on hold")&gt;0,IF(ISNUMBER('MiT Strom Pipeline'!Q55),'MiT Strom Pipeline'!Q55,0),"")</f>
        <v/>
      </c>
      <c r="H124" s="23" t="str">
        <f aca="false">IF(('MiT Strom Pipeline'!R55="offered")+('MiT Strom Pipeline'!R55="to be offered")+('MiT Strom Pipeline'!R55="on hold")&gt;0,IF(ISNUMBER('MiT Strom Pipeline'!O55),'MiT Strom Pipeline'!O55,0),"")</f>
        <v/>
      </c>
      <c r="I124" s="21" t="str">
        <f aca="false">IF(('MiT Strom Pipeline'!R55="offered")+('MiT Strom Pipeline'!R55="to be offered")+('MiT Strom Pipeline'!R55="on hold")&gt;0,'MiT Strom Pipeline'!R55,"")</f>
        <v/>
      </c>
      <c r="J124" s="21" t="str">
        <f aca="false">IF(('MiT Strom Pipeline'!R55="offered")+('MiT Strom Pipeline'!R55="to be offered")+('MiT Strom Pipeline'!R55="on hold")&gt;0,'MiT Strom Pipeline'!S55,"")</f>
        <v/>
      </c>
      <c r="K124" s="22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false" customHeight="true" outlineLevel="0" collapsed="false">
      <c r="A125" s="29" t="str">
        <f aca="false">IF(('MiT Strom Pipeline'!R56="offered")+('MiT Strom Pipeline'!R56="to be offered")+('MiT Strom Pipeline'!R56="on hold")&gt;0,IF(ISNUMBER('MiT Strom Pipeline'!A56),'MiT Strom Pipeline'!A56,""),"")</f>
        <v/>
      </c>
      <c r="B125" s="30" t="str">
        <f aca="false">IF(('MiT Strom Pipeline'!R56="offered")+('MiT Strom Pipeline'!R56="to be offered")+('MiT Strom Pipeline'!R56="on hold")&gt;0,'MiT Strom Pipeline'!B56,"")</f>
        <v/>
      </c>
      <c r="C125" s="29" t="str">
        <f aca="false">IF(('MiT Strom Pipeline'!R56="offered")+('MiT Strom Pipeline'!R56="to be offered")+('MiT Strom Pipeline'!R56="on hold")&gt;0,'MiT Strom Pipeline'!C56,"")</f>
        <v/>
      </c>
      <c r="D125" s="30" t="str">
        <f aca="false">IF(('MiT Strom Pipeline'!R56="offered")+('MiT Strom Pipeline'!R56="to be offered")+('MiT Strom Pipeline'!R56="on hold")&gt;0,'MiT Strom Pipeline'!D56,"")</f>
        <v/>
      </c>
      <c r="E125" s="30" t="str">
        <f aca="false">IF(('MiT Strom Pipeline'!R56="offered")+('MiT Strom Pipeline'!R56="to be offered")+('MiT Strom Pipeline'!R56="on hold")&gt;0,'MiT Strom Pipeline'!E56,"")</f>
        <v/>
      </c>
      <c r="F125" s="31" t="str">
        <f aca="false">IF(('MiT Strom Pipeline'!R56="offered")+('MiT Strom Pipeline'!R56="to be offered")+('MiT Strom Pipeline'!R56="on hold")&gt;0,IF(ISNUMBER('MiT Strom Pipeline'!I56),'MiT Strom Pipeline'!I56,0),"")</f>
        <v/>
      </c>
      <c r="G125" s="31" t="str">
        <f aca="false">IF(('MiT Strom Pipeline'!R56="offered")+('MiT Strom Pipeline'!R56="to be offered")+('MiT Strom Pipeline'!R56="on hold")&gt;0,IF(ISNUMBER('MiT Strom Pipeline'!Q56),'MiT Strom Pipeline'!Q56,0),"")</f>
        <v/>
      </c>
      <c r="H125" s="31" t="str">
        <f aca="false">IF(('MiT Strom Pipeline'!R56="offered")+('MiT Strom Pipeline'!R56="to be offered")+('MiT Strom Pipeline'!R56="on hold")&gt;0,IF(ISNUMBER('MiT Strom Pipeline'!O56),'MiT Strom Pipeline'!O56,0),"")</f>
        <v/>
      </c>
      <c r="I125" s="29" t="str">
        <f aca="false">IF(('MiT Strom Pipeline'!R56="offered")+('MiT Strom Pipeline'!R56="to be offered")+('MiT Strom Pipeline'!R56="on hold")&gt;0,'MiT Strom Pipeline'!R56,"")</f>
        <v/>
      </c>
      <c r="J125" s="29" t="str">
        <f aca="false">IF(('MiT Strom Pipeline'!R56="offered")+('MiT Strom Pipeline'!R56="to be offered")+('MiT Strom Pipeline'!R56="on hold")&gt;0,'MiT Strom Pipeline'!S56,"")</f>
        <v/>
      </c>
      <c r="K125" s="30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false" customHeight="true" outlineLevel="0" collapsed="false">
      <c r="A126" s="21" t="str">
        <f aca="false">IF(('MiT Strom Pipeline'!R57="offered")+('MiT Strom Pipeline'!R57="to be offered")+('MiT Strom Pipeline'!R57="on hold")&gt;0,IF(ISNUMBER('MiT Strom Pipeline'!A57),'MiT Strom Pipeline'!A57,""),"")</f>
        <v/>
      </c>
      <c r="B126" s="22" t="str">
        <f aca="false">IF(('MiT Strom Pipeline'!R57="offered")+('MiT Strom Pipeline'!R57="to be offered")+('MiT Strom Pipeline'!R57="on hold")&gt;0,'MiT Strom Pipeline'!B57,"")</f>
        <v/>
      </c>
      <c r="C126" s="21" t="str">
        <f aca="false">IF(('MiT Strom Pipeline'!R57="offered")+('MiT Strom Pipeline'!R57="to be offered")+('MiT Strom Pipeline'!R57="on hold")&gt;0,'MiT Strom Pipeline'!C57,"")</f>
        <v/>
      </c>
      <c r="D126" s="22" t="str">
        <f aca="false">IF(('MiT Strom Pipeline'!R57="offered")+('MiT Strom Pipeline'!R57="to be offered")+('MiT Strom Pipeline'!R57="on hold")&gt;0,'MiT Strom Pipeline'!D57,"")</f>
        <v/>
      </c>
      <c r="E126" s="22" t="str">
        <f aca="false">IF(('MiT Strom Pipeline'!R57="offered")+('MiT Strom Pipeline'!R57="to be offered")+('MiT Strom Pipeline'!R57="on hold")&gt;0,'MiT Strom Pipeline'!E57,"")</f>
        <v/>
      </c>
      <c r="F126" s="23" t="str">
        <f aca="false">IF(('MiT Strom Pipeline'!R57="offered")+('MiT Strom Pipeline'!R57="to be offered")+('MiT Strom Pipeline'!R57="on hold")&gt;0,IF(ISNUMBER('MiT Strom Pipeline'!I57),'MiT Strom Pipeline'!I57,0),"")</f>
        <v/>
      </c>
      <c r="G126" s="23" t="str">
        <f aca="false">IF(('MiT Strom Pipeline'!R57="offered")+('MiT Strom Pipeline'!R57="to be offered")+('MiT Strom Pipeline'!R57="on hold")&gt;0,IF(ISNUMBER('MiT Strom Pipeline'!Q57),'MiT Strom Pipeline'!Q57,0),"")</f>
        <v/>
      </c>
      <c r="H126" s="23" t="str">
        <f aca="false">IF(('MiT Strom Pipeline'!R57="offered")+('MiT Strom Pipeline'!R57="to be offered")+('MiT Strom Pipeline'!R57="on hold")&gt;0,IF(ISNUMBER('MiT Strom Pipeline'!O57),'MiT Strom Pipeline'!O57,0),"")</f>
        <v/>
      </c>
      <c r="I126" s="21" t="str">
        <f aca="false">IF(('MiT Strom Pipeline'!R57="offered")+('MiT Strom Pipeline'!R57="to be offered")+('MiT Strom Pipeline'!R57="on hold")&gt;0,'MiT Strom Pipeline'!R57,"")</f>
        <v/>
      </c>
      <c r="J126" s="21" t="str">
        <f aca="false">IF(('MiT Strom Pipeline'!R57="offered")+('MiT Strom Pipeline'!R57="to be offered")+('MiT Strom Pipeline'!R57="on hold")&gt;0,'MiT Strom Pipeline'!S57,"")</f>
        <v/>
      </c>
      <c r="K126" s="22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false" customHeight="true" outlineLevel="0" collapsed="false">
      <c r="A127" s="29" t="str">
        <f aca="false">IF(('MiT Strom Pipeline'!R58="offered")+('MiT Strom Pipeline'!R58="to be offered")+('MiT Strom Pipeline'!R58="on hold")&gt;0,IF(ISNUMBER('MiT Strom Pipeline'!A58),'MiT Strom Pipeline'!A58,""),"")</f>
        <v/>
      </c>
      <c r="B127" s="30" t="str">
        <f aca="false">IF(('MiT Strom Pipeline'!R58="offered")+('MiT Strom Pipeline'!R58="to be offered")+('MiT Strom Pipeline'!R58="on hold")&gt;0,'MiT Strom Pipeline'!B58,"")</f>
        <v/>
      </c>
      <c r="C127" s="29" t="str">
        <f aca="false">IF(('MiT Strom Pipeline'!R58="offered")+('MiT Strom Pipeline'!R58="to be offered")+('MiT Strom Pipeline'!R58="on hold")&gt;0,'MiT Strom Pipeline'!C58,"")</f>
        <v/>
      </c>
      <c r="D127" s="30" t="str">
        <f aca="false">IF(('MiT Strom Pipeline'!R58="offered")+('MiT Strom Pipeline'!R58="to be offered")+('MiT Strom Pipeline'!R58="on hold")&gt;0,'MiT Strom Pipeline'!D58,"")</f>
        <v/>
      </c>
      <c r="E127" s="30" t="str">
        <f aca="false">IF(('MiT Strom Pipeline'!R58="offered")+('MiT Strom Pipeline'!R58="to be offered")+('MiT Strom Pipeline'!R58="on hold")&gt;0,'MiT Strom Pipeline'!E58,"")</f>
        <v/>
      </c>
      <c r="F127" s="31" t="str">
        <f aca="false">IF(('MiT Strom Pipeline'!R58="offered")+('MiT Strom Pipeline'!R58="to be offered")+('MiT Strom Pipeline'!R58="on hold")&gt;0,IF(ISNUMBER('MiT Strom Pipeline'!I58),'MiT Strom Pipeline'!I58,0),"")</f>
        <v/>
      </c>
      <c r="G127" s="31" t="str">
        <f aca="false">IF(('MiT Strom Pipeline'!R58="offered")+('MiT Strom Pipeline'!R58="to be offered")+('MiT Strom Pipeline'!R58="on hold")&gt;0,IF(ISNUMBER('MiT Strom Pipeline'!Q58),'MiT Strom Pipeline'!Q58,0),"")</f>
        <v/>
      </c>
      <c r="H127" s="31" t="str">
        <f aca="false">IF(('MiT Strom Pipeline'!R58="offered")+('MiT Strom Pipeline'!R58="to be offered")+('MiT Strom Pipeline'!R58="on hold")&gt;0,IF(ISNUMBER('MiT Strom Pipeline'!O58),'MiT Strom Pipeline'!O58,0),"")</f>
        <v/>
      </c>
      <c r="I127" s="29" t="str">
        <f aca="false">IF(('MiT Strom Pipeline'!R58="offered")+('MiT Strom Pipeline'!R58="to be offered")+('MiT Strom Pipeline'!R58="on hold")&gt;0,'MiT Strom Pipeline'!R58,"")</f>
        <v/>
      </c>
      <c r="J127" s="29" t="str">
        <f aca="false">IF(('MiT Strom Pipeline'!R58="offered")+('MiT Strom Pipeline'!R58="to be offered")+('MiT Strom Pipeline'!R58="on hold")&gt;0,'MiT Strom Pipeline'!S58,"")</f>
        <v/>
      </c>
      <c r="K127" s="30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false" customHeight="true" outlineLevel="0" collapsed="false">
      <c r="A128" s="21" t="str">
        <f aca="false">IF(('MiT Strom Pipeline'!R59="offered")+('MiT Strom Pipeline'!R59="to be offered")+('MiT Strom Pipeline'!R59="on hold")&gt;0,IF(ISNUMBER('MiT Strom Pipeline'!A59),'MiT Strom Pipeline'!A59,""),"")</f>
        <v/>
      </c>
      <c r="B128" s="22" t="str">
        <f aca="false">IF(('MiT Strom Pipeline'!R59="offered")+('MiT Strom Pipeline'!R59="to be offered")+('MiT Strom Pipeline'!R59="on hold")&gt;0,'MiT Strom Pipeline'!B59,"")</f>
        <v/>
      </c>
      <c r="C128" s="21" t="str">
        <f aca="false">IF(('MiT Strom Pipeline'!R59="offered")+('MiT Strom Pipeline'!R59="to be offered")+('MiT Strom Pipeline'!R59="on hold")&gt;0,'MiT Strom Pipeline'!C59,"")</f>
        <v/>
      </c>
      <c r="D128" s="22" t="str">
        <f aca="false">IF(('MiT Strom Pipeline'!R59="offered")+('MiT Strom Pipeline'!R59="to be offered")+('MiT Strom Pipeline'!R59="on hold")&gt;0,'MiT Strom Pipeline'!D59,"")</f>
        <v/>
      </c>
      <c r="E128" s="22" t="str">
        <f aca="false">IF(('MiT Strom Pipeline'!R59="offered")+('MiT Strom Pipeline'!R59="to be offered")+('MiT Strom Pipeline'!R59="on hold")&gt;0,'MiT Strom Pipeline'!E59,"")</f>
        <v/>
      </c>
      <c r="F128" s="23" t="str">
        <f aca="false">IF(('MiT Strom Pipeline'!R59="offered")+('MiT Strom Pipeline'!R59="to be offered")+('MiT Strom Pipeline'!R59="on hold")&gt;0,IF(ISNUMBER('MiT Strom Pipeline'!I59),'MiT Strom Pipeline'!I59,0),"")</f>
        <v/>
      </c>
      <c r="G128" s="23" t="str">
        <f aca="false">IF(('MiT Strom Pipeline'!R59="offered")+('MiT Strom Pipeline'!R59="to be offered")+('MiT Strom Pipeline'!R59="on hold")&gt;0,IF(ISNUMBER('MiT Strom Pipeline'!Q59),'MiT Strom Pipeline'!Q59,0),"")</f>
        <v/>
      </c>
      <c r="H128" s="23" t="str">
        <f aca="false">IF(('MiT Strom Pipeline'!R59="offered")+('MiT Strom Pipeline'!R59="to be offered")+('MiT Strom Pipeline'!R59="on hold")&gt;0,IF(ISNUMBER('MiT Strom Pipeline'!O59),'MiT Strom Pipeline'!O59,0),"")</f>
        <v/>
      </c>
      <c r="I128" s="21" t="str">
        <f aca="false">IF(('MiT Strom Pipeline'!R59="offered")+('MiT Strom Pipeline'!R59="to be offered")+('MiT Strom Pipeline'!R59="on hold")&gt;0,'MiT Strom Pipeline'!R59,"")</f>
        <v/>
      </c>
      <c r="J128" s="21" t="str">
        <f aca="false">IF(('MiT Strom Pipeline'!R59="offered")+('MiT Strom Pipeline'!R59="to be offered")+('MiT Strom Pipeline'!R59="on hold")&gt;0,'MiT Strom Pipeline'!S59,"")</f>
        <v/>
      </c>
      <c r="K128" s="22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false" customHeight="true" outlineLevel="0" collapsed="false">
      <c r="A129" s="29" t="str">
        <f aca="false">IF(('MiT Strom Pipeline'!R60="offered")+('MiT Strom Pipeline'!R60="to be offered")+('MiT Strom Pipeline'!R60="on hold")&gt;0,IF(ISNUMBER('MiT Strom Pipeline'!A60),'MiT Strom Pipeline'!A60,""),"")</f>
        <v/>
      </c>
      <c r="B129" s="30" t="str">
        <f aca="false">IF(('MiT Strom Pipeline'!R60="offered")+('MiT Strom Pipeline'!R60="to be offered")+('MiT Strom Pipeline'!R60="on hold")&gt;0,'MiT Strom Pipeline'!B60,"")</f>
        <v/>
      </c>
      <c r="C129" s="29" t="str">
        <f aca="false">IF(('MiT Strom Pipeline'!R60="offered")+('MiT Strom Pipeline'!R60="to be offered")+('MiT Strom Pipeline'!R60="on hold")&gt;0,'MiT Strom Pipeline'!C60,"")</f>
        <v/>
      </c>
      <c r="D129" s="30" t="str">
        <f aca="false">IF(('MiT Strom Pipeline'!R60="offered")+('MiT Strom Pipeline'!R60="to be offered")+('MiT Strom Pipeline'!R60="on hold")&gt;0,'MiT Strom Pipeline'!D60,"")</f>
        <v/>
      </c>
      <c r="E129" s="30" t="str">
        <f aca="false">IF(('MiT Strom Pipeline'!R60="offered")+('MiT Strom Pipeline'!R60="to be offered")+('MiT Strom Pipeline'!R60="on hold")&gt;0,'MiT Strom Pipeline'!E60,"")</f>
        <v/>
      </c>
      <c r="F129" s="31" t="str">
        <f aca="false">IF(('MiT Strom Pipeline'!R60="offered")+('MiT Strom Pipeline'!R60="to be offered")+('MiT Strom Pipeline'!R60="on hold")&gt;0,IF(ISNUMBER('MiT Strom Pipeline'!I60),'MiT Strom Pipeline'!I60,0),"")</f>
        <v/>
      </c>
      <c r="G129" s="31" t="str">
        <f aca="false">IF(('MiT Strom Pipeline'!R60="offered")+('MiT Strom Pipeline'!R60="to be offered")+('MiT Strom Pipeline'!R60="on hold")&gt;0,IF(ISNUMBER('MiT Strom Pipeline'!Q60),'MiT Strom Pipeline'!Q60,0),"")</f>
        <v/>
      </c>
      <c r="H129" s="31" t="str">
        <f aca="false">IF(('MiT Strom Pipeline'!R60="offered")+('MiT Strom Pipeline'!R60="to be offered")+('MiT Strom Pipeline'!R60="on hold")&gt;0,IF(ISNUMBER('MiT Strom Pipeline'!O60),'MiT Strom Pipeline'!O60,0),"")</f>
        <v/>
      </c>
      <c r="I129" s="29" t="str">
        <f aca="false">IF(('MiT Strom Pipeline'!R60="offered")+('MiT Strom Pipeline'!R60="to be offered")+('MiT Strom Pipeline'!R60="on hold")&gt;0,'MiT Strom Pipeline'!R60,"")</f>
        <v/>
      </c>
      <c r="J129" s="29" t="str">
        <f aca="false">IF(('MiT Strom Pipeline'!R60="offered")+('MiT Strom Pipeline'!R60="to be offered")+('MiT Strom Pipeline'!R60="on hold")&gt;0,'MiT Strom Pipeline'!S60,"")</f>
        <v/>
      </c>
      <c r="K129" s="30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false" customHeight="true" outlineLevel="0" collapsed="false">
      <c r="A130" s="21" t="str">
        <f aca="false">IF(('MiT Strom Pipeline'!R61="offered")+('MiT Strom Pipeline'!R61="to be offered")+('MiT Strom Pipeline'!R61="on hold")&gt;0,IF(ISNUMBER('MiT Strom Pipeline'!A61),'MiT Strom Pipeline'!A61,""),"")</f>
        <v/>
      </c>
      <c r="B130" s="22" t="str">
        <f aca="false">IF(('MiT Strom Pipeline'!R61="offered")+('MiT Strom Pipeline'!R61="to be offered")+('MiT Strom Pipeline'!R61="on hold")&gt;0,'MiT Strom Pipeline'!B61,"")</f>
        <v/>
      </c>
      <c r="C130" s="21" t="str">
        <f aca="false">IF(('MiT Strom Pipeline'!R61="offered")+('MiT Strom Pipeline'!R61="to be offered")+('MiT Strom Pipeline'!R61="on hold")&gt;0,'MiT Strom Pipeline'!C61,"")</f>
        <v/>
      </c>
      <c r="D130" s="22" t="str">
        <f aca="false">IF(('MiT Strom Pipeline'!R61="offered")+('MiT Strom Pipeline'!R61="to be offered")+('MiT Strom Pipeline'!R61="on hold")&gt;0,'MiT Strom Pipeline'!D61,"")</f>
        <v/>
      </c>
      <c r="E130" s="22" t="str">
        <f aca="false">IF(('MiT Strom Pipeline'!R61="offered")+('MiT Strom Pipeline'!R61="to be offered")+('MiT Strom Pipeline'!R61="on hold")&gt;0,'MiT Strom Pipeline'!E61,"")</f>
        <v/>
      </c>
      <c r="F130" s="23" t="str">
        <f aca="false">IF(('MiT Strom Pipeline'!R61="offered")+('MiT Strom Pipeline'!R61="to be offered")+('MiT Strom Pipeline'!R61="on hold")&gt;0,IF(ISNUMBER('MiT Strom Pipeline'!I61),'MiT Strom Pipeline'!I61,0),"")</f>
        <v/>
      </c>
      <c r="G130" s="23" t="str">
        <f aca="false">IF(('MiT Strom Pipeline'!R61="offered")+('MiT Strom Pipeline'!R61="to be offered")+('MiT Strom Pipeline'!R61="on hold")&gt;0,IF(ISNUMBER('MiT Strom Pipeline'!Q61),'MiT Strom Pipeline'!Q61,0),"")</f>
        <v/>
      </c>
      <c r="H130" s="23" t="str">
        <f aca="false">IF(('MiT Strom Pipeline'!R61="offered")+('MiT Strom Pipeline'!R61="to be offered")+('MiT Strom Pipeline'!R61="on hold")&gt;0,IF(ISNUMBER('MiT Strom Pipeline'!O61),'MiT Strom Pipeline'!O61,0),"")</f>
        <v/>
      </c>
      <c r="I130" s="21" t="str">
        <f aca="false">IF(('MiT Strom Pipeline'!R61="offered")+('MiT Strom Pipeline'!R61="to be offered")+('MiT Strom Pipeline'!R61="on hold")&gt;0,'MiT Strom Pipeline'!R61,"")</f>
        <v/>
      </c>
      <c r="J130" s="21" t="str">
        <f aca="false">IF(('MiT Strom Pipeline'!R61="offered")+('MiT Strom Pipeline'!R61="to be offered")+('MiT Strom Pipeline'!R61="on hold")&gt;0,'MiT Strom Pipeline'!S61,"")</f>
        <v/>
      </c>
      <c r="K130" s="22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false" customHeight="true" outlineLevel="0" collapsed="false">
      <c r="A131" s="29" t="str">
        <f aca="false">IF(('MiT Strom Pipeline'!R62="offered")+('MiT Strom Pipeline'!R62="to be offered")+('MiT Strom Pipeline'!R62="on hold")&gt;0,IF(ISNUMBER('MiT Strom Pipeline'!A62),'MiT Strom Pipeline'!A62,""),"")</f>
        <v/>
      </c>
      <c r="B131" s="30" t="str">
        <f aca="false">IF(('MiT Strom Pipeline'!R62="offered")+('MiT Strom Pipeline'!R62="to be offered")+('MiT Strom Pipeline'!R62="on hold")&gt;0,'MiT Strom Pipeline'!B62,"")</f>
        <v/>
      </c>
      <c r="C131" s="29" t="str">
        <f aca="false">IF(('MiT Strom Pipeline'!R62="offered")+('MiT Strom Pipeline'!R62="to be offered")+('MiT Strom Pipeline'!R62="on hold")&gt;0,'MiT Strom Pipeline'!C62,"")</f>
        <v/>
      </c>
      <c r="D131" s="30" t="str">
        <f aca="false">IF(('MiT Strom Pipeline'!R62="offered")+('MiT Strom Pipeline'!R62="to be offered")+('MiT Strom Pipeline'!R62="on hold")&gt;0,'MiT Strom Pipeline'!D62,"")</f>
        <v/>
      </c>
      <c r="E131" s="30" t="str">
        <f aca="false">IF(('MiT Strom Pipeline'!R62="offered")+('MiT Strom Pipeline'!R62="to be offered")+('MiT Strom Pipeline'!R62="on hold")&gt;0,'MiT Strom Pipeline'!E62,"")</f>
        <v/>
      </c>
      <c r="F131" s="31" t="str">
        <f aca="false">IF(('MiT Strom Pipeline'!R62="offered")+('MiT Strom Pipeline'!R62="to be offered")+('MiT Strom Pipeline'!R62="on hold")&gt;0,IF(ISNUMBER('MiT Strom Pipeline'!I62),'MiT Strom Pipeline'!I62,0),"")</f>
        <v/>
      </c>
      <c r="G131" s="31" t="str">
        <f aca="false">IF(('MiT Strom Pipeline'!R62="offered")+('MiT Strom Pipeline'!R62="to be offered")+('MiT Strom Pipeline'!R62="on hold")&gt;0,IF(ISNUMBER('MiT Strom Pipeline'!Q62),'MiT Strom Pipeline'!Q62,0),"")</f>
        <v/>
      </c>
      <c r="H131" s="31" t="str">
        <f aca="false">IF(('MiT Strom Pipeline'!R62="offered")+('MiT Strom Pipeline'!R62="to be offered")+('MiT Strom Pipeline'!R62="on hold")&gt;0,IF(ISNUMBER('MiT Strom Pipeline'!O62),'MiT Strom Pipeline'!O62,0),"")</f>
        <v/>
      </c>
      <c r="I131" s="29" t="str">
        <f aca="false">IF(('MiT Strom Pipeline'!R62="offered")+('MiT Strom Pipeline'!R62="to be offered")+('MiT Strom Pipeline'!R62="on hold")&gt;0,'MiT Strom Pipeline'!R62,"")</f>
        <v/>
      </c>
      <c r="J131" s="29" t="str">
        <f aca="false">IF(('MiT Strom Pipeline'!R62="offered")+('MiT Strom Pipeline'!R62="to be offered")+('MiT Strom Pipeline'!R62="on hold")&gt;0,'MiT Strom Pipeline'!S62,"")</f>
        <v/>
      </c>
      <c r="K131" s="30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false" customHeight="true" outlineLevel="0" collapsed="false">
      <c r="A132" s="21" t="str">
        <f aca="false">IF(('MiT Strom Pipeline'!R63="offered")+('MiT Strom Pipeline'!R63="to be offered")+('MiT Strom Pipeline'!R63="on hold")&gt;0,IF(ISNUMBER('MiT Strom Pipeline'!A63),'MiT Strom Pipeline'!A63,""),"")</f>
        <v/>
      </c>
      <c r="B132" s="22" t="str">
        <f aca="false">IF(('MiT Strom Pipeline'!R63="offered")+('MiT Strom Pipeline'!R63="to be offered")+('MiT Strom Pipeline'!R63="on hold")&gt;0,'MiT Strom Pipeline'!B63,"")</f>
        <v/>
      </c>
      <c r="C132" s="21" t="str">
        <f aca="false">IF(('MiT Strom Pipeline'!R63="offered")+('MiT Strom Pipeline'!R63="to be offered")+('MiT Strom Pipeline'!R63="on hold")&gt;0,'MiT Strom Pipeline'!C63,"")</f>
        <v/>
      </c>
      <c r="D132" s="22" t="str">
        <f aca="false">IF(('MiT Strom Pipeline'!R63="offered")+('MiT Strom Pipeline'!R63="to be offered")+('MiT Strom Pipeline'!R63="on hold")&gt;0,'MiT Strom Pipeline'!D63,"")</f>
        <v/>
      </c>
      <c r="E132" s="22" t="str">
        <f aca="false">IF(('MiT Strom Pipeline'!R63="offered")+('MiT Strom Pipeline'!R63="to be offered")+('MiT Strom Pipeline'!R63="on hold")&gt;0,'MiT Strom Pipeline'!E63,"")</f>
        <v/>
      </c>
      <c r="F132" s="23" t="str">
        <f aca="false">IF(('MiT Strom Pipeline'!R63="offered")+('MiT Strom Pipeline'!R63="to be offered")+('MiT Strom Pipeline'!R63="on hold")&gt;0,IF(ISNUMBER('MiT Strom Pipeline'!I63),'MiT Strom Pipeline'!I63,0),"")</f>
        <v/>
      </c>
      <c r="G132" s="23" t="str">
        <f aca="false">IF(('MiT Strom Pipeline'!R63="offered")+('MiT Strom Pipeline'!R63="to be offered")+('MiT Strom Pipeline'!R63="on hold")&gt;0,IF(ISNUMBER('MiT Strom Pipeline'!Q63),'MiT Strom Pipeline'!Q63,0),"")</f>
        <v/>
      </c>
      <c r="H132" s="23" t="str">
        <f aca="false">IF(('MiT Strom Pipeline'!R63="offered")+('MiT Strom Pipeline'!R63="to be offered")+('MiT Strom Pipeline'!R63="on hold")&gt;0,IF(ISNUMBER('MiT Strom Pipeline'!O63),'MiT Strom Pipeline'!O63,0),"")</f>
        <v/>
      </c>
      <c r="I132" s="21" t="str">
        <f aca="false">IF(('MiT Strom Pipeline'!R63="offered")+('MiT Strom Pipeline'!R63="to be offered")+('MiT Strom Pipeline'!R63="on hold")&gt;0,'MiT Strom Pipeline'!R63,"")</f>
        <v/>
      </c>
      <c r="J132" s="21" t="str">
        <f aca="false">IF(('MiT Strom Pipeline'!R63="offered")+('MiT Strom Pipeline'!R63="to be offered")+('MiT Strom Pipeline'!R63="on hold")&gt;0,'MiT Strom Pipeline'!S63,"")</f>
        <v/>
      </c>
      <c r="K132" s="22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false" customHeight="true" outlineLevel="0" collapsed="false">
      <c r="A133" s="29" t="str">
        <f aca="false">IF(('MiT Strom Pipeline'!R64="offered")+('MiT Strom Pipeline'!R64="to be offered")+('MiT Strom Pipeline'!R64="on hold")&gt;0,IF(ISNUMBER('MiT Strom Pipeline'!A64),'MiT Strom Pipeline'!A64,""),"")</f>
        <v/>
      </c>
      <c r="B133" s="30" t="str">
        <f aca="false">IF(('MiT Strom Pipeline'!R64="offered")+('MiT Strom Pipeline'!R64="to be offered")+('MiT Strom Pipeline'!R64="on hold")&gt;0,'MiT Strom Pipeline'!B64,"")</f>
        <v/>
      </c>
      <c r="C133" s="29" t="str">
        <f aca="false">IF(('MiT Strom Pipeline'!R64="offered")+('MiT Strom Pipeline'!R64="to be offered")+('MiT Strom Pipeline'!R64="on hold")&gt;0,'MiT Strom Pipeline'!C64,"")</f>
        <v/>
      </c>
      <c r="D133" s="30" t="str">
        <f aca="false">IF(('MiT Strom Pipeline'!R64="offered")+('MiT Strom Pipeline'!R64="to be offered")+('MiT Strom Pipeline'!R64="on hold")&gt;0,'MiT Strom Pipeline'!D64,"")</f>
        <v/>
      </c>
      <c r="E133" s="30" t="str">
        <f aca="false">IF(('MiT Strom Pipeline'!R64="offered")+('MiT Strom Pipeline'!R64="to be offered")+('MiT Strom Pipeline'!R64="on hold")&gt;0,'MiT Strom Pipeline'!E64,"")</f>
        <v/>
      </c>
      <c r="F133" s="31" t="str">
        <f aca="false">IF(('MiT Strom Pipeline'!R64="offered")+('MiT Strom Pipeline'!R64="to be offered")+('MiT Strom Pipeline'!R64="on hold")&gt;0,IF(ISNUMBER('MiT Strom Pipeline'!I64),'MiT Strom Pipeline'!I64,0),"")</f>
        <v/>
      </c>
      <c r="G133" s="31" t="str">
        <f aca="false">IF(('MiT Strom Pipeline'!R64="offered")+('MiT Strom Pipeline'!R64="to be offered")+('MiT Strom Pipeline'!R64="on hold")&gt;0,IF(ISNUMBER('MiT Strom Pipeline'!Q64),'MiT Strom Pipeline'!Q64,0),"")</f>
        <v/>
      </c>
      <c r="H133" s="31" t="str">
        <f aca="false">IF(('MiT Strom Pipeline'!R64="offered")+('MiT Strom Pipeline'!R64="to be offered")+('MiT Strom Pipeline'!R64="on hold")&gt;0,IF(ISNUMBER('MiT Strom Pipeline'!O64),'MiT Strom Pipeline'!O64,0),"")</f>
        <v/>
      </c>
      <c r="I133" s="29" t="str">
        <f aca="false">IF(('MiT Strom Pipeline'!R64="offered")+('MiT Strom Pipeline'!R64="to be offered")+('MiT Strom Pipeline'!R64="on hold")&gt;0,'MiT Strom Pipeline'!R64,"")</f>
        <v/>
      </c>
      <c r="J133" s="29" t="str">
        <f aca="false">IF(('MiT Strom Pipeline'!R64="offered")+('MiT Strom Pipeline'!R64="to be offered")+('MiT Strom Pipeline'!R64="on hold")&gt;0,'MiT Strom Pipeline'!S64,"")</f>
        <v/>
      </c>
      <c r="K133" s="30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false" customHeight="true" outlineLevel="0" collapsed="false">
      <c r="A134" s="21" t="str">
        <f aca="false">IF(('MiT Strom Pipeline'!R65="offered")+('MiT Strom Pipeline'!R65="to be offered")+('MiT Strom Pipeline'!R65="on hold")&gt;0,IF(ISNUMBER('MiT Strom Pipeline'!A65),'MiT Strom Pipeline'!A65,""),"")</f>
        <v/>
      </c>
      <c r="B134" s="22" t="str">
        <f aca="false">IF(('MiT Strom Pipeline'!R65="offered")+('MiT Strom Pipeline'!R65="to be offered")+('MiT Strom Pipeline'!R65="on hold")&gt;0,'MiT Strom Pipeline'!B65,"")</f>
        <v/>
      </c>
      <c r="C134" s="21" t="str">
        <f aca="false">IF(('MiT Strom Pipeline'!R65="offered")+('MiT Strom Pipeline'!R65="to be offered")+('MiT Strom Pipeline'!R65="on hold")&gt;0,'MiT Strom Pipeline'!C65,"")</f>
        <v/>
      </c>
      <c r="D134" s="22" t="str">
        <f aca="false">IF(('MiT Strom Pipeline'!R65="offered")+('MiT Strom Pipeline'!R65="to be offered")+('MiT Strom Pipeline'!R65="on hold")&gt;0,'MiT Strom Pipeline'!D65,"")</f>
        <v/>
      </c>
      <c r="E134" s="22" t="str">
        <f aca="false">IF(('MiT Strom Pipeline'!R65="offered")+('MiT Strom Pipeline'!R65="to be offered")+('MiT Strom Pipeline'!R65="on hold")&gt;0,'MiT Strom Pipeline'!E65,"")</f>
        <v/>
      </c>
      <c r="F134" s="23" t="str">
        <f aca="false">IF(('MiT Strom Pipeline'!R65="offered")+('MiT Strom Pipeline'!R65="to be offered")+('MiT Strom Pipeline'!R65="on hold")&gt;0,IF(ISNUMBER('MiT Strom Pipeline'!I65),'MiT Strom Pipeline'!I65,0),"")</f>
        <v/>
      </c>
      <c r="G134" s="23" t="str">
        <f aca="false">IF(('MiT Strom Pipeline'!R65="offered")+('MiT Strom Pipeline'!R65="to be offered")+('MiT Strom Pipeline'!R65="on hold")&gt;0,IF(ISNUMBER('MiT Strom Pipeline'!Q65),'MiT Strom Pipeline'!Q65,0),"")</f>
        <v/>
      </c>
      <c r="H134" s="23" t="str">
        <f aca="false">IF(('MiT Strom Pipeline'!R65="offered")+('MiT Strom Pipeline'!R65="to be offered")+('MiT Strom Pipeline'!R65="on hold")&gt;0,IF(ISNUMBER('MiT Strom Pipeline'!O65),'MiT Strom Pipeline'!O65,0),"")</f>
        <v/>
      </c>
      <c r="I134" s="21" t="str">
        <f aca="false">IF(('MiT Strom Pipeline'!R65="offered")+('MiT Strom Pipeline'!R65="to be offered")+('MiT Strom Pipeline'!R65="on hold")&gt;0,'MiT Strom Pipeline'!R65,"")</f>
        <v/>
      </c>
      <c r="J134" s="21" t="str">
        <f aca="false">IF(('MiT Strom Pipeline'!R65="offered")+('MiT Strom Pipeline'!R65="to be offered")+('MiT Strom Pipeline'!R65="on hold")&gt;0,'MiT Strom Pipeline'!S65,"")</f>
        <v/>
      </c>
      <c r="K134" s="22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false" customHeight="true" outlineLevel="0" collapsed="false">
      <c r="A135" s="33" t="str">
        <f aca="false">IF(('MiT Strom Pipeline'!R66="offered")+('MiT Strom Pipeline'!R66="to be offered")+('MiT Strom Pipeline'!R66="on hold")&gt;0,IF(ISNUMBER('MiT Strom Pipeline'!A66),'MiT Strom Pipeline'!A66,""),"")</f>
        <v/>
      </c>
      <c r="B135" s="34" t="str">
        <f aca="false">IF(('MiT Strom Pipeline'!R66="offered")+('MiT Strom Pipeline'!R66="to be offered")+('MiT Strom Pipeline'!R66="on hold")&gt;0,'MiT Strom Pipeline'!B66,"")</f>
        <v/>
      </c>
      <c r="C135" s="34"/>
      <c r="D135" s="34"/>
      <c r="E135" s="34"/>
      <c r="F135" s="35" t="str">
        <f aca="false">IF(('MiT Strom Pipeline'!R66="offered")+('MiT Strom Pipeline'!R66="to be offered")+('MiT Strom Pipeline'!R66="on hold")&gt;0,IF(ISNUMBER('MiT Strom Pipeline'!I66),'MiT Strom Pipeline'!I66,0),"")</f>
        <v/>
      </c>
      <c r="G135" s="33" t="str">
        <f aca="false">IF(('MiT Strom Pipeline'!R66="offered")+('MiT Strom Pipeline'!R66="to be offered")+('MiT Strom Pipeline'!R66="on hold")&gt;0,IF(ISNUMBER('MiT Strom Pipeline'!Q66),'MiT Strom Pipeline'!Q66,0),"")</f>
        <v/>
      </c>
      <c r="H135" s="33" t="str">
        <f aca="false">IF(('MiT Strom Pipeline'!R66="offered")+('MiT Strom Pipeline'!R66="to be offered")+('MiT Strom Pipeline'!R66="on hold")&gt;0,IF(ISNUMBER('MiT Strom Pipeline'!O66),'MiT Strom Pipeline'!O66,0),"")</f>
        <v/>
      </c>
      <c r="I135" s="33" t="str">
        <f aca="false">IF(('MiT Strom Pipeline'!R66="offered")+('MiT Strom Pipeline'!R66="to be offered")+('MiT Strom Pipeline'!R66="on hold")&gt;0,'MiT Strom Pipeline'!R66,"")</f>
        <v/>
      </c>
      <c r="J135" s="33" t="str">
        <f aca="false">IF(('MiT Strom Pipeline'!R66="offered")+('MiT Strom Pipeline'!R66="to be offered")+('MiT Strom Pipeline'!R66="on hold")&gt;0,'MiT Strom Pipeline'!S66,"")</f>
        <v/>
      </c>
      <c r="K135" s="33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false" customHeight="true" outlineLevel="0" collapsed="false">
      <c r="A136" s="0" t="str">
        <f aca="false">IF(('MiT Strom Pipeline'!R67="offered")+('MiT Strom Pipeline'!R67="to be offered")+('MiT Strom Pipeline'!R67="on hold")&gt;0,IF(ISNUMBER('MiT Strom Pipeline'!A67),'MiT Strom Pipeline'!A67,""),"")</f>
        <v/>
      </c>
      <c r="B136" s="0" t="str">
        <f aca="false">IF(('MiT Strom Pipeline'!R67="offered")+('MiT Strom Pipeline'!R67="to be offered")+('MiT Strom Pipeline'!R67="on hold")&gt;0,'MiT Strom Pipeline'!B67,"")</f>
        <v/>
      </c>
      <c r="C136" s="0" t="str">
        <f aca="false">IF(('MiT Strom Pipeline'!R67="offered")+('MiT Strom Pipeline'!R67="to be offered")+('MiT Strom Pipeline'!R67="on hold")&gt;0,'MiT Strom Pipeline'!C67,"")</f>
        <v/>
      </c>
      <c r="D136" s="0" t="str">
        <f aca="false">IF(('MiT Strom Pipeline'!R67="offered")+('MiT Strom Pipeline'!R67="to be offered")+('MiT Strom Pipeline'!R67="on hold")&gt;0,'MiT Strom Pipeline'!D67,"")</f>
        <v/>
      </c>
      <c r="E136" s="0" t="str">
        <f aca="false">IF(('MiT Strom Pipeline'!R67="offered")+('MiT Strom Pipeline'!R67="to be offered")+('MiT Strom Pipeline'!R67="on hold")&gt;0,'MiT Strom Pipeline'!E67,"")</f>
        <v/>
      </c>
      <c r="F136" s="0" t="str">
        <f aca="false">IF(('MiT Strom Pipeline'!R67="offered")+('MiT Strom Pipeline'!R67="to be offered")+('MiT Strom Pipeline'!R67="on hold")&gt;0,IF(ISNUMBER('MiT Strom Pipeline'!I67),'MiT Strom Pipeline'!I67,0),"")</f>
        <v/>
      </c>
      <c r="G136" s="0" t="str">
        <f aca="false">IF(('MiT Strom Pipeline'!R67="offered")+('MiT Strom Pipeline'!R67="to be offered")+('MiT Strom Pipeline'!R67="on hold")&gt;0,IF(ISNUMBER('MiT Strom Pipeline'!Q67),'MiT Strom Pipeline'!Q67,0),"")</f>
        <v/>
      </c>
      <c r="H136" s="0" t="str">
        <f aca="false">IF(('MiT Strom Pipeline'!R67="offered")+('MiT Strom Pipeline'!R67="to be offered")+('MiT Strom Pipeline'!R67="on hold")&gt;0,IF(ISNUMBER('MiT Strom Pipeline'!O67),'MiT Strom Pipeline'!O67,0),"")</f>
        <v/>
      </c>
      <c r="I136" s="0" t="str">
        <f aca="false">IF(('MiT Strom Pipeline'!R67="offered")+('MiT Strom Pipeline'!R67="to be offered")+('MiT Strom Pipeline'!R67="on hold")&gt;0,'MiT Strom Pipeline'!R67,"")</f>
        <v/>
      </c>
      <c r="J136" s="0" t="str">
        <f aca="false">IF(('MiT Strom Pipeline'!R67="offered")+('MiT Strom Pipeline'!R67="to be offered")+('MiT Strom Pipeline'!R67="on hold")&gt;0,'MiT Strom Pipeline'!S67,"")</f>
        <v/>
      </c>
      <c r="K136" s="0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false" customHeight="true" outlineLevel="0" collapsed="false">
      <c r="A137" s="36" t="s">
        <v>18</v>
      </c>
      <c r="B137" s="36"/>
      <c r="C137" s="36"/>
      <c r="D137" s="36"/>
      <c r="E137" s="36"/>
      <c r="F137" s="36"/>
      <c r="G137" s="36"/>
      <c r="H137" s="36"/>
      <c r="I137" s="36"/>
      <c r="J137" s="36"/>
      <c r="K137" s="36"/>
    </row>
    <row r="138" customFormat="false" ht="19.5" hidden="false" customHeight="true" outlineLevel="0" collapsed="false">
      <c r="A138" s="15" t="s">
        <v>6</v>
      </c>
      <c r="B138" s="16" t="s">
        <v>7</v>
      </c>
      <c r="C138" s="15" t="s">
        <v>8</v>
      </c>
      <c r="D138" s="16" t="s">
        <v>9</v>
      </c>
      <c r="E138" s="16" t="s">
        <v>10</v>
      </c>
      <c r="F138" s="17" t="s">
        <v>11</v>
      </c>
      <c r="G138" s="17" t="s">
        <v>12</v>
      </c>
      <c r="H138" s="17" t="s">
        <v>13</v>
      </c>
      <c r="I138" s="15" t="s">
        <v>14</v>
      </c>
      <c r="J138" s="15" t="s">
        <v>15</v>
      </c>
      <c r="K138" s="16" t="s">
        <v>16</v>
      </c>
    </row>
    <row r="139" customFormat="false" ht="15.75" hidden="false" customHeight="true" outlineLevel="0" collapsed="false">
      <c r="A139" s="37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38" t="str">
        <f aca="false">IF(('MiT Strom Pipeline'!R6="follow-up")+('MiT Strom Pipeline'!R6="Evaluation")+('MiT Strom Pipeline'!R6="tbd")+('MiT Strom Pipeline'!R6="In evaluation")&gt;0,'MiT Strom Pipeline'!B6,"")</f>
        <v/>
      </c>
      <c r="C139" s="37" t="str">
        <f aca="false">IF(('MiT Strom Pipeline'!R6="follow-up")+('MiT Strom Pipeline'!R6="Evaluation")+('MiT Strom Pipeline'!R6="tbd")+('MiT Strom Pipeline'!R6="In evaluation")&gt;0,'MiT Strom Pipeline'!C6,"")</f>
        <v/>
      </c>
      <c r="D139" s="38" t="str">
        <f aca="false">IF(('MiT Strom Pipeline'!R6="follow-up")+('MiT Strom Pipeline'!R6="Evaluation")+('MiT Strom Pipeline'!R6="tbd")+('MiT Strom Pipeline'!R6="In evaluation")&gt;0,'MiT Strom Pipeline'!D6,"")</f>
        <v/>
      </c>
      <c r="E139" s="38" t="str">
        <f aca="false">IF(('MiT Strom Pipeline'!R6="follow-up")+('MiT Strom Pipeline'!R6="Evaluation")+('MiT Strom Pipeline'!R6="tbd")+('MiT Strom Pipeline'!R6="In evaluation")&gt;0,'MiT Strom Pipeline'!E6,"")</f>
        <v/>
      </c>
      <c r="F139" s="39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39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39" t="str">
        <f aca="false">IF(('MiT Strom Pipeline'!R6="follow-up")+('MiT Strom Pipeline'!R6="Evaluation")+('MiT Strom Pipeline'!R6="tbd")+('MiT Strom Pipeline'!R6="In evaluation")&gt;0,IF(ISNUMBER('MiT Strom Pipeline'!O6),'MiT Strom Pipeline'!O6,0),"")</f>
        <v/>
      </c>
      <c r="I139" s="37" t="str">
        <f aca="false">IF(('MiT Strom Pipeline'!R6="follow-up")+('MiT Strom Pipeline'!R6="Evaluation")+('MiT Strom Pipeline'!R6="tbd")+('MiT Strom Pipeline'!R6="In evaluation")&gt;0,'MiT Strom Pipeline'!R6,"")</f>
        <v/>
      </c>
      <c r="J139" s="37" t="str">
        <f aca="false">IF(('MiT Strom Pipeline'!R6="follow-up")+('MiT Strom Pipeline'!R6="Evaluation")+('MiT Strom Pipeline'!R6="tbd")+('MiT Strom Pipeline'!R6="In evaluation")&gt;0,'MiT Strom Pipeline'!S6,"")</f>
        <v/>
      </c>
      <c r="K139" s="38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false" customHeight="true" outlineLevel="0" collapsed="false">
      <c r="A140" s="21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22" t="str">
        <f aca="false">IF(('MiT Strom Pipeline'!R7="follow-up")+('MiT Strom Pipeline'!R7="Evaluation")+('MiT Strom Pipeline'!R7="tbd")+('MiT Strom Pipeline'!R7="In evaluation")&gt;0,'MiT Strom Pipeline'!B7,"")</f>
        <v/>
      </c>
      <c r="C140" s="21" t="str">
        <f aca="false">IF(('MiT Strom Pipeline'!R7="follow-up")+('MiT Strom Pipeline'!R7="Evaluation")+('MiT Strom Pipeline'!R7="tbd")+('MiT Strom Pipeline'!R7="In evaluation")&gt;0,'MiT Strom Pipeline'!C7,"")</f>
        <v/>
      </c>
      <c r="D140" s="22" t="str">
        <f aca="false">IF(('MiT Strom Pipeline'!R7="follow-up")+('MiT Strom Pipeline'!R7="Evaluation")+('MiT Strom Pipeline'!R7="tbd")+('MiT Strom Pipeline'!R7="In evaluation")&gt;0,'MiT Strom Pipeline'!D7,"")</f>
        <v/>
      </c>
      <c r="E140" s="22" t="str">
        <f aca="false">IF(('MiT Strom Pipeline'!R7="follow-up")+('MiT Strom Pipeline'!R7="Evaluation")+('MiT Strom Pipeline'!R7="tbd")+('MiT Strom Pipeline'!R7="In evaluation")&gt;0,'MiT Strom Pipeline'!E7,"")</f>
        <v/>
      </c>
      <c r="F140" s="23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23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23" t="str">
        <f aca="false">IF(('MiT Strom Pipeline'!R7="follow-up")+('MiT Strom Pipeline'!R7="Evaluation")+('MiT Strom Pipeline'!R7="tbd")+('MiT Strom Pipeline'!R7="In evaluation")&gt;0,IF(ISNUMBER('MiT Strom Pipeline'!O7),'MiT Strom Pipeline'!O7,0),"")</f>
        <v/>
      </c>
      <c r="I140" s="21" t="str">
        <f aca="false">IF(('MiT Strom Pipeline'!R7="follow-up")+('MiT Strom Pipeline'!R7="Evaluation")+('MiT Strom Pipeline'!R7="tbd")+('MiT Strom Pipeline'!R7="In evaluation")&gt;0,'MiT Strom Pipeline'!R7,"")</f>
        <v/>
      </c>
      <c r="J140" s="21" t="str">
        <f aca="false">IF(('MiT Strom Pipeline'!R7="follow-up")+('MiT Strom Pipeline'!R7="Evaluation")+('MiT Strom Pipeline'!R7="tbd")+('MiT Strom Pipeline'!R7="In evaluation")&gt;0,'MiT Strom Pipeline'!S7,"")</f>
        <v/>
      </c>
      <c r="K140" s="22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false" customHeight="true" outlineLevel="0" collapsed="false">
      <c r="A141" s="37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38" t="str">
        <f aca="false">IF(('MiT Strom Pipeline'!R8="follow-up")+('MiT Strom Pipeline'!R8="Evaluation")+('MiT Strom Pipeline'!R8="tbd")+('MiT Strom Pipeline'!R8="In evaluation")&gt;0,'MiT Strom Pipeline'!B8,"")</f>
        <v/>
      </c>
      <c r="C141" s="37" t="str">
        <f aca="false">IF(('MiT Strom Pipeline'!R8="follow-up")+('MiT Strom Pipeline'!R8="Evaluation")+('MiT Strom Pipeline'!R8="tbd")+('MiT Strom Pipeline'!R8="In evaluation")&gt;0,'MiT Strom Pipeline'!C8,"")</f>
        <v/>
      </c>
      <c r="D141" s="38" t="str">
        <f aca="false">IF(('MiT Strom Pipeline'!R8="follow-up")+('MiT Strom Pipeline'!R8="Evaluation")+('MiT Strom Pipeline'!R8="tbd")+('MiT Strom Pipeline'!R8="In evaluation")&gt;0,'MiT Strom Pipeline'!D8,"")</f>
        <v/>
      </c>
      <c r="E141" s="38" t="str">
        <f aca="false">IF(('MiT Strom Pipeline'!R8="follow-up")+('MiT Strom Pipeline'!R8="Evaluation")+('MiT Strom Pipeline'!R8="tbd")+('MiT Strom Pipeline'!R8="In evaluation")&gt;0,'MiT Strom Pipeline'!E8,"")</f>
        <v/>
      </c>
      <c r="F141" s="39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39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39" t="str">
        <f aca="false">IF(('MiT Strom Pipeline'!R8="follow-up")+('MiT Strom Pipeline'!R8="Evaluation")+('MiT Strom Pipeline'!R8="tbd")+('MiT Strom Pipeline'!R8="In evaluation")&gt;0,IF(ISNUMBER('MiT Strom Pipeline'!O8),'MiT Strom Pipeline'!O8,0),"")</f>
        <v/>
      </c>
      <c r="I141" s="37" t="str">
        <f aca="false">IF(('MiT Strom Pipeline'!R8="follow-up")+('MiT Strom Pipeline'!R8="Evaluation")+('MiT Strom Pipeline'!R8="tbd")+('MiT Strom Pipeline'!R8="In evaluation")&gt;0,'MiT Strom Pipeline'!R8,"")</f>
        <v/>
      </c>
      <c r="J141" s="37" t="str">
        <f aca="false">IF(('MiT Strom Pipeline'!R8="follow-up")+('MiT Strom Pipeline'!R8="Evaluation")+('MiT Strom Pipeline'!R8="tbd")+('MiT Strom Pipeline'!R8="In evaluation")&gt;0,'MiT Strom Pipeline'!S8,"")</f>
        <v/>
      </c>
      <c r="K141" s="38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false" customHeight="true" outlineLevel="0" collapsed="false">
      <c r="A142" s="21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22" t="str">
        <f aca="false">IF(('MiT Strom Pipeline'!R9="follow-up")+('MiT Strom Pipeline'!R9="Evaluation")+('MiT Strom Pipeline'!R9="tbd")+('MiT Strom Pipeline'!R9="In evaluation")&gt;0,'MiT Strom Pipeline'!B9,"")</f>
        <v/>
      </c>
      <c r="C142" s="21" t="str">
        <f aca="false">IF(('MiT Strom Pipeline'!R9="follow-up")+('MiT Strom Pipeline'!R9="Evaluation")+('MiT Strom Pipeline'!R9="tbd")+('MiT Strom Pipeline'!R9="In evaluation")&gt;0,'MiT Strom Pipeline'!C9,"")</f>
        <v/>
      </c>
      <c r="D142" s="22" t="str">
        <f aca="false">IF(('MiT Strom Pipeline'!R9="follow-up")+('MiT Strom Pipeline'!R9="Evaluation")+('MiT Strom Pipeline'!R9="tbd")+('MiT Strom Pipeline'!R9="In evaluation")&gt;0,'MiT Strom Pipeline'!D9,"")</f>
        <v/>
      </c>
      <c r="E142" s="22" t="str">
        <f aca="false">IF(('MiT Strom Pipeline'!R9="follow-up")+('MiT Strom Pipeline'!R9="Evaluation")+('MiT Strom Pipeline'!R9="tbd")+('MiT Strom Pipeline'!R9="In evaluation")&gt;0,'MiT Strom Pipeline'!E9,"")</f>
        <v/>
      </c>
      <c r="F142" s="23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23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23" t="str">
        <f aca="false">IF(('MiT Strom Pipeline'!R9="follow-up")+('MiT Strom Pipeline'!R9="Evaluation")+('MiT Strom Pipeline'!R9="tbd")+('MiT Strom Pipeline'!R9="In evaluation")&gt;0,IF(ISNUMBER('MiT Strom Pipeline'!O9),'MiT Strom Pipeline'!O9,0),"")</f>
        <v/>
      </c>
      <c r="I142" s="21" t="str">
        <f aca="false">IF(('MiT Strom Pipeline'!R9="follow-up")+('MiT Strom Pipeline'!R9="Evaluation")+('MiT Strom Pipeline'!R9="tbd")+('MiT Strom Pipeline'!R9="In evaluation")&gt;0,'MiT Strom Pipeline'!R9,"")</f>
        <v/>
      </c>
      <c r="J142" s="21" t="str">
        <f aca="false">IF(('MiT Strom Pipeline'!R9="follow-up")+('MiT Strom Pipeline'!R9="Evaluation")+('MiT Strom Pipeline'!R9="tbd")+('MiT Strom Pipeline'!R9="In evaluation")&gt;0,'MiT Strom Pipeline'!S9,"")</f>
        <v/>
      </c>
      <c r="K142" s="22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false" customHeight="true" outlineLevel="0" collapsed="false">
      <c r="A143" s="37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38" t="str">
        <f aca="false">IF(('MiT Strom Pipeline'!R10="follow-up")+('MiT Strom Pipeline'!R10="Evaluation")+('MiT Strom Pipeline'!R10="tbd")+('MiT Strom Pipeline'!R10="In evaluation")&gt;0,'MiT Strom Pipeline'!B10,"")</f>
        <v/>
      </c>
      <c r="C143" s="37" t="str">
        <f aca="false">IF(('MiT Strom Pipeline'!R10="follow-up")+('MiT Strom Pipeline'!R10="Evaluation")+('MiT Strom Pipeline'!R10="tbd")+('MiT Strom Pipeline'!R10="In evaluation")&gt;0,'MiT Strom Pipeline'!C10,"")</f>
        <v/>
      </c>
      <c r="D143" s="38" t="str">
        <f aca="false">IF(('MiT Strom Pipeline'!R10="follow-up")+('MiT Strom Pipeline'!R10="Evaluation")+('MiT Strom Pipeline'!R10="tbd")+('MiT Strom Pipeline'!R10="In evaluation")&gt;0,'MiT Strom Pipeline'!D10,"")</f>
        <v/>
      </c>
      <c r="E143" s="38" t="str">
        <f aca="false">IF(('MiT Strom Pipeline'!R10="follow-up")+('MiT Strom Pipeline'!R10="Evaluation")+('MiT Strom Pipeline'!R10="tbd")+('MiT Strom Pipeline'!R10="In evaluation")&gt;0,'MiT Strom Pipeline'!E10,"")</f>
        <v/>
      </c>
      <c r="F143" s="39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39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39" t="str">
        <f aca="false">IF(('MiT Strom Pipeline'!R10="follow-up")+('MiT Strom Pipeline'!R10="Evaluation")+('MiT Strom Pipeline'!R10="tbd")+('MiT Strom Pipeline'!R10="In evaluation")&gt;0,IF(ISNUMBER('MiT Strom Pipeline'!O10),'MiT Strom Pipeline'!O10,0),"")</f>
        <v/>
      </c>
      <c r="I143" s="37" t="str">
        <f aca="false">IF(('MiT Strom Pipeline'!R10="follow-up")+('MiT Strom Pipeline'!R10="Evaluation")+('MiT Strom Pipeline'!R10="tbd")+('MiT Strom Pipeline'!R10="In evaluation")&gt;0,'MiT Strom Pipeline'!R10,"")</f>
        <v/>
      </c>
      <c r="J143" s="37" t="str">
        <f aca="false">IF(('MiT Strom Pipeline'!R10="follow-up")+('MiT Strom Pipeline'!R10="Evaluation")+('MiT Strom Pipeline'!R10="tbd")+('MiT Strom Pipeline'!R10="In evaluation")&gt;0,'MiT Strom Pipeline'!S10,"")</f>
        <v/>
      </c>
      <c r="K143" s="38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false" customHeight="true" outlineLevel="0" collapsed="false">
      <c r="A144" s="21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22" t="str">
        <f aca="false">IF(('MiT Strom Pipeline'!R11="follow-up")+('MiT Strom Pipeline'!R11="Evaluation")+('MiT Strom Pipeline'!R11="tbd")+('MiT Strom Pipeline'!R11="In evaluation")&gt;0,'MiT Strom Pipeline'!B11,"")</f>
        <v/>
      </c>
      <c r="C144" s="21" t="str">
        <f aca="false">IF(('MiT Strom Pipeline'!R11="follow-up")+('MiT Strom Pipeline'!R11="Evaluation")+('MiT Strom Pipeline'!R11="tbd")+('MiT Strom Pipeline'!R11="In evaluation")&gt;0,'MiT Strom Pipeline'!C11,"")</f>
        <v/>
      </c>
      <c r="D144" s="22" t="str">
        <f aca="false">IF(('MiT Strom Pipeline'!R11="follow-up")+('MiT Strom Pipeline'!R11="Evaluation")+('MiT Strom Pipeline'!R11="tbd")+('MiT Strom Pipeline'!R11="In evaluation")&gt;0,'MiT Strom Pipeline'!D11,"")</f>
        <v/>
      </c>
      <c r="E144" s="22" t="str">
        <f aca="false">IF(('MiT Strom Pipeline'!R11="follow-up")+('MiT Strom Pipeline'!R11="Evaluation")+('MiT Strom Pipeline'!R11="tbd")+('MiT Strom Pipeline'!R11="In evaluation")&gt;0,'MiT Strom Pipeline'!E11,"")</f>
        <v/>
      </c>
      <c r="F144" s="23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23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23" t="str">
        <f aca="false">IF(('MiT Strom Pipeline'!R11="follow-up")+('MiT Strom Pipeline'!R11="Evaluation")+('MiT Strom Pipeline'!R11="tbd")+('MiT Strom Pipeline'!R11="In evaluation")&gt;0,IF(ISNUMBER('MiT Strom Pipeline'!O11),'MiT Strom Pipeline'!O11,0),"")</f>
        <v/>
      </c>
      <c r="I144" s="21" t="str">
        <f aca="false">IF(('MiT Strom Pipeline'!R11="follow-up")+('MiT Strom Pipeline'!R11="Evaluation")+('MiT Strom Pipeline'!R11="tbd")+('MiT Strom Pipeline'!R11="In evaluation")&gt;0,'MiT Strom Pipeline'!R11,"")</f>
        <v/>
      </c>
      <c r="J144" s="21" t="str">
        <f aca="false">IF(('MiT Strom Pipeline'!R11="follow-up")+('MiT Strom Pipeline'!R11="Evaluation")+('MiT Strom Pipeline'!R11="tbd")+('MiT Strom Pipeline'!R11="In evaluation")&gt;0,'MiT Strom Pipeline'!S11,"")</f>
        <v/>
      </c>
      <c r="K144" s="22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37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38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37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38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38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39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39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39" t="n">
        <f aca="false">IF(('MiT Strom Pipeline'!R12="follow-up")+('MiT Strom Pipeline'!R12="Evaluation")+('MiT Strom Pipeline'!R12="tbd")+('MiT Strom Pipeline'!R12="In evaluation")&gt;0,IF(ISNUMBER('MiT Strom Pipeline'!O12),'MiT Strom Pipeline'!O12,0),"")</f>
        <v>7085</v>
      </c>
      <c r="I145" s="37" t="str">
        <f aca="false">IF(('MiT Strom Pipeline'!R12="follow-up")+('MiT Strom Pipeline'!R12="Evaluation")+('MiT Strom Pipeline'!R12="tbd")+('MiT Strom Pipeline'!R12="In evaluation")&gt;0,'MiT Strom Pipeline'!R12,"")</f>
        <v>follow-up</v>
      </c>
      <c r="J145" s="37" t="n">
        <f aca="false">IF(('MiT Strom Pipeline'!R12="follow-up")+('MiT Strom Pipeline'!R12="Evaluation")+('MiT Strom Pipeline'!R12="tbd")+('MiT Strom Pipeline'!R12="In evaluation")&gt;0,'MiT Strom Pipeline'!S12,"")</f>
        <v>50</v>
      </c>
      <c r="K145" s="38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21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22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21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22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22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23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23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23" t="n">
        <f aca="false">IF(('MiT Strom Pipeline'!R13="follow-up")+('MiT Strom Pipeline'!R13="Evaluation")+('MiT Strom Pipeline'!R13="tbd")+('MiT Strom Pipeline'!R13="In evaluation")&gt;0,IF(ISNUMBER('MiT Strom Pipeline'!O13),'MiT Strom Pipeline'!O13,0),"")</f>
        <v>130000</v>
      </c>
      <c r="I146" s="21" t="str">
        <f aca="false">IF(('MiT Strom Pipeline'!R13="follow-up")+('MiT Strom Pipeline'!R13="Evaluation")+('MiT Strom Pipeline'!R13="tbd")+('MiT Strom Pipeline'!R13="In evaluation")&gt;0,'MiT Strom Pipeline'!R13,"")</f>
        <v>follow-up</v>
      </c>
      <c r="J146" s="21" t="n">
        <f aca="false">IF(('MiT Strom Pipeline'!R13="follow-up")+('MiT Strom Pipeline'!R13="Evaluation")+('MiT Strom Pipeline'!R13="tbd")+('MiT Strom Pipeline'!R13="In evaluation")&gt;0,'MiT Strom Pipeline'!S13,"")</f>
        <v>10</v>
      </c>
      <c r="K146" s="22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false" customHeight="true" outlineLevel="0" collapsed="false">
      <c r="A147" s="37" t="n">
        <f aca="false">IF(('MiT Strom Pipeline'!R14="follow-up")+('MiT Strom Pipeline'!R14="Evaluation")+('MiT Strom Pipeline'!R14="tbd")+('MiT Strom Pipeline'!R14="In evaluation")&gt;0,IF(ISNUMBER('MiT Strom Pipeline'!A14),'MiT Strom Pipeline'!A14,""),"")</f>
        <v>10</v>
      </c>
      <c r="B147" s="38" t="str">
        <f aca="false">IF(('MiT Strom Pipeline'!R14="follow-up")+('MiT Strom Pipeline'!R14="Evaluation")+('MiT Strom Pipeline'!R14="tbd")+('MiT Strom Pipeline'!R14="In evaluation")&gt;0,'MiT Strom Pipeline'!B14,"")</f>
        <v>Murg Flums Energie</v>
      </c>
      <c r="C147" s="37" t="str">
        <f aca="false">IF(('MiT Strom Pipeline'!R14="follow-up")+('MiT Strom Pipeline'!R14="Evaluation")+('MiT Strom Pipeline'!R14="tbd")+('MiT Strom Pipeline'!R14="In evaluation")&gt;0,'MiT Strom Pipeline'!C14,"")</f>
        <v>SG</v>
      </c>
      <c r="D147" s="38" t="str">
        <f aca="false">IF(('MiT Strom Pipeline'!R14="follow-up")+('MiT Strom Pipeline'!R14="Evaluation")+('MiT Strom Pipeline'!R14="tbd")+('MiT Strom Pipeline'!R14="In evaluation")&gt;0,'MiT Strom Pipeline'!D14,"")</f>
        <v>EVU / Energie</v>
      </c>
      <c r="E147" s="38" t="str">
        <f aca="false">IF(('MiT Strom Pipeline'!R14="follow-up")+('MiT Strom Pipeline'!R14="Evaluation")+('MiT Strom Pipeline'!R14="tbd")+('MiT Strom Pipeline'!R14="In evaluation")&gt;0,'MiT Strom Pipeline'!E14,"")</f>
        <v>250 kVA Generator</v>
      </c>
      <c r="F147" s="39" t="n">
        <f aca="false">IF(('MiT Strom Pipeline'!R14="follow-up")+('MiT Strom Pipeline'!R14="Evaluation")+('MiT Strom Pipeline'!R14="tbd")+('MiT Strom Pipeline'!R14="In evaluation")&gt;0,IF(ISNUMBER('MiT Strom Pipeline'!I14),'MiT Strom Pipeline'!I14,0),"")</f>
        <v>96658.69</v>
      </c>
      <c r="G147" s="39" t="n">
        <f aca="false">IF(('MiT Strom Pipeline'!R14="follow-up")+('MiT Strom Pipeline'!R14="Evaluation")+('MiT Strom Pipeline'!R14="tbd")+('MiT Strom Pipeline'!R14="In evaluation")&gt;0,IF(ISNUMBER('MiT Strom Pipeline'!Q14),'MiT Strom Pipeline'!Q14,0),"")</f>
        <v>48329.345</v>
      </c>
      <c r="H147" s="39" t="n">
        <f aca="false">IF(('MiT Strom Pipeline'!R14="follow-up")+('MiT Strom Pipeline'!R14="Evaluation")+('MiT Strom Pipeline'!R14="tbd")+('MiT Strom Pipeline'!R14="In evaluation")&gt;0,IF(ISNUMBER('MiT Strom Pipeline'!O14),'MiT Strom Pipeline'!O14,0),"")</f>
        <v>0</v>
      </c>
      <c r="I147" s="37" t="str">
        <f aca="false">IF(('MiT Strom Pipeline'!R14="follow-up")+('MiT Strom Pipeline'!R14="Evaluation")+('MiT Strom Pipeline'!R14="tbd")+('MiT Strom Pipeline'!R14="In evaluation")&gt;0,'MiT Strom Pipeline'!R14,"")</f>
        <v>follow-up</v>
      </c>
      <c r="J147" s="37" t="n">
        <f aca="false">IF(('MiT Strom Pipeline'!R14="follow-up")+('MiT Strom Pipeline'!R14="Evaluation")+('MiT Strom Pipeline'!R14="tbd")+('MiT Strom Pipeline'!R14="In evaluation")&gt;0,'MiT Strom Pipeline'!S14,"")</f>
        <v>0.5</v>
      </c>
      <c r="K147" s="38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>Bedarfsanalyse, NEA-Konzept vorschlagen, Termin vor Ort</v>
      </c>
    </row>
    <row r="148" customFormat="false" ht="15.75" hidden="false" customHeight="true" outlineLevel="0" collapsed="false">
      <c r="A148" s="21" t="n">
        <f aca="false">IF(('MiT Strom Pipeline'!R15="follow-up")+('MiT Strom Pipeline'!R15="Evaluation")+('MiT Strom Pipeline'!R15="tbd")+('MiT Strom Pipeline'!R15="In evaluation")&gt;0,IF(ISNUMBER('MiT Strom Pipeline'!A15),'MiT Strom Pipeline'!A15,""),"")</f>
        <v>11</v>
      </c>
      <c r="B148" s="22" t="str">
        <f aca="false">IF(('MiT Strom Pipeline'!R15="follow-up")+('MiT Strom Pipeline'!R15="Evaluation")+('MiT Strom Pipeline'!R15="tbd")+('MiT Strom Pipeline'!R15="In evaluation")&gt;0,'MiT Strom Pipeline'!B15,"")</f>
        <v>Burkhalter Technics AG</v>
      </c>
      <c r="C148" s="21" t="str">
        <f aca="false">IF(('MiT Strom Pipeline'!R15="follow-up")+('MiT Strom Pipeline'!R15="Evaluation")+('MiT Strom Pipeline'!R15="tbd")+('MiT Strom Pipeline'!R15="In evaluation")&gt;0,'MiT Strom Pipeline'!C15,"")</f>
        <v>ZH</v>
      </c>
      <c r="D148" s="22" t="str">
        <f aca="false">IF(('MiT Strom Pipeline'!R15="follow-up")+('MiT Strom Pipeline'!R15="Evaluation")+('MiT Strom Pipeline'!R15="tbd")+('MiT Strom Pipeline'!R15="In evaluation")&gt;0,'MiT Strom Pipeline'!D15,"")</f>
        <v>Elektroinstallation</v>
      </c>
      <c r="E148" s="22" t="str">
        <f aca="false">IF(('MiT Strom Pipeline'!R15="follow-up")+('MiT Strom Pipeline'!R15="Evaluation")+('MiT Strom Pipeline'!R15="tbd")+('MiT Strom Pipeline'!R15="In evaluation")&gt;0,'MiT Strom Pipeline'!E15,"")</f>
        <v>150 kVA Generator</v>
      </c>
      <c r="F148" s="23" t="n">
        <f aca="false">IF(('MiT Strom Pipeline'!R15="follow-up")+('MiT Strom Pipeline'!R15="Evaluation")+('MiT Strom Pipeline'!R15="tbd")+('MiT Strom Pipeline'!R15="In evaluation")&gt;0,IF(ISNUMBER('MiT Strom Pipeline'!I15),'MiT Strom Pipeline'!I15,0),"")</f>
        <v>0</v>
      </c>
      <c r="G148" s="23" t="n">
        <f aca="false">IF(('MiT Strom Pipeline'!R15="follow-up")+('MiT Strom Pipeline'!R15="Evaluation")+('MiT Strom Pipeline'!R15="tbd")+('MiT Strom Pipeline'!R15="In evaluation")&gt;0,IF(ISNUMBER('MiT Strom Pipeline'!Q15),'MiT Strom Pipeline'!Q15,0),"")</f>
        <v>0</v>
      </c>
      <c r="H148" s="23" t="n">
        <f aca="false">IF(('MiT Strom Pipeline'!R15="follow-up")+('MiT Strom Pipeline'!R15="Evaluation")+('MiT Strom Pipeline'!R15="tbd")+('MiT Strom Pipeline'!R15="In evaluation")&gt;0,IF(ISNUMBER('MiT Strom Pipeline'!O15),'MiT Strom Pipeline'!O15,0),"")</f>
        <v>0</v>
      </c>
      <c r="I148" s="21" t="str">
        <f aca="false">IF(('MiT Strom Pipeline'!R15="follow-up")+('MiT Strom Pipeline'!R15="Evaluation")+('MiT Strom Pipeline'!R15="tbd")+('MiT Strom Pipeline'!R15="In evaluation")&gt;0,'MiT Strom Pipeline'!R15,"")</f>
        <v>Evaluation</v>
      </c>
      <c r="J148" s="21" t="str">
        <f aca="false">IF(('MiT Strom Pipeline'!R15="follow-up")+('MiT Strom Pipeline'!R15="Evaluation")+('MiT Strom Pipeline'!R15="tbd")+('MiT Strom Pipeline'!R15="In evaluation")&gt;0,'MiT Strom Pipeline'!S15,"")</f>
        <v>40%</v>
      </c>
      <c r="K148" s="22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>Angebot finalisieren – CBM-Beziehung nutzen, Abrufberei</v>
      </c>
    </row>
    <row r="149" customFormat="false" ht="15.75" hidden="false" customHeight="true" outlineLevel="0" collapsed="false">
      <c r="A149" s="37" t="n">
        <f aca="false">IF(('MiT Strom Pipeline'!R16="follow-up")+('MiT Strom Pipeline'!R16="Evaluation")+('MiT Strom Pipeline'!R16="tbd")+('MiT Strom Pipeline'!R16="In evaluation")&gt;0,IF(ISNUMBER('MiT Strom Pipeline'!A16),'MiT Strom Pipeline'!A16,""),"")</f>
        <v>12</v>
      </c>
      <c r="B149" s="38" t="str">
        <f aca="false">IF(('MiT Strom Pipeline'!R16="follow-up")+('MiT Strom Pipeline'!R16="Evaluation")+('MiT Strom Pipeline'!R16="tbd")+('MiT Strom Pipeline'!R16="In evaluation")&gt;0,'MiT Strom Pipeline'!B16,"")</f>
        <v>Show-Concept.ch AG</v>
      </c>
      <c r="C149" s="37" t="str">
        <f aca="false">IF(('MiT Strom Pipeline'!R16="follow-up")+('MiT Strom Pipeline'!R16="Evaluation")+('MiT Strom Pipeline'!R16="tbd")+('MiT Strom Pipeline'!R16="In evaluation")&gt;0,'MiT Strom Pipeline'!C16,"")</f>
        <v>ZH</v>
      </c>
      <c r="D149" s="38" t="str">
        <f aca="false">IF(('MiT Strom Pipeline'!R16="follow-up")+('MiT Strom Pipeline'!R16="Evaluation")+('MiT Strom Pipeline'!R16="tbd")+('MiT Strom Pipeline'!R16="In evaluation")&gt;0,'MiT Strom Pipeline'!D16,"")</f>
        <v>Events / Medien</v>
      </c>
      <c r="E149" s="38" t="str">
        <f aca="false">IF(('MiT Strom Pipeline'!R16="follow-up")+('MiT Strom Pipeline'!R16="Evaluation")+('MiT Strom Pipeline'!R16="tbd")+('MiT Strom Pipeline'!R16="In evaluation")&gt;0,'MiT Strom Pipeline'!E16,"")</f>
        <v>200 kW Lastbank</v>
      </c>
      <c r="F149" s="39" t="n">
        <f aca="false">IF(('MiT Strom Pipeline'!R16="follow-up")+('MiT Strom Pipeline'!R16="Evaluation")+('MiT Strom Pipeline'!R16="tbd")+('MiT Strom Pipeline'!R16="In evaluation")&gt;0,IF(ISNUMBER('MiT Strom Pipeline'!I16),'MiT Strom Pipeline'!I16,0),"")</f>
        <v>0</v>
      </c>
      <c r="G149" s="39" t="n">
        <f aca="false">IF(('MiT Strom Pipeline'!R16="follow-up")+('MiT Strom Pipeline'!R16="Evaluation")+('MiT Strom Pipeline'!R16="tbd")+('MiT Strom Pipeline'!R16="In evaluation")&gt;0,IF(ISNUMBER('MiT Strom Pipeline'!Q16),'MiT Strom Pipeline'!Q16,0),"")</f>
        <v>0</v>
      </c>
      <c r="H149" s="39" t="n">
        <f aca="false">IF(('MiT Strom Pipeline'!R16="follow-up")+('MiT Strom Pipeline'!R16="Evaluation")+('MiT Strom Pipeline'!R16="tbd")+('MiT Strom Pipeline'!R16="In evaluation")&gt;0,IF(ISNUMBER('MiT Strom Pipeline'!O16),'MiT Strom Pipeline'!O16,0),"")</f>
        <v>0</v>
      </c>
      <c r="I149" s="37" t="str">
        <f aca="false">IF(('MiT Strom Pipeline'!R16="follow-up")+('MiT Strom Pipeline'!R16="Evaluation")+('MiT Strom Pipeline'!R16="tbd")+('MiT Strom Pipeline'!R16="In evaluation")&gt;0,'MiT Strom Pipeline'!R16,"")</f>
        <v>Evaluation</v>
      </c>
      <c r="J149" s="37" t="str">
        <f aca="false">IF(('MiT Strom Pipeline'!R16="follow-up")+('MiT Strom Pipeline'!R16="Evaluation")+('MiT Strom Pipeline'!R16="tbd")+('MiT Strom Pipeline'!R16="In evaluation")&gt;0,'MiT Strom Pipeline'!S16,"")</f>
        <v>35%</v>
      </c>
      <c r="K149" s="38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>Use-Case klären – Lastbank oder Generator?</v>
      </c>
    </row>
    <row r="150" customFormat="false" ht="15.75" hidden="false" customHeight="true" outlineLevel="0" collapsed="false">
      <c r="A150" s="21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22" t="str">
        <f aca="false">IF(('MiT Strom Pipeline'!R17="follow-up")+('MiT Strom Pipeline'!R17="Evaluation")+('MiT Strom Pipeline'!R17="tbd")+('MiT Strom Pipeline'!R17="In evaluation")&gt;0,'MiT Strom Pipeline'!B17,"")</f>
        <v/>
      </c>
      <c r="C150" s="21" t="str">
        <f aca="false">IF(('MiT Strom Pipeline'!R17="follow-up")+('MiT Strom Pipeline'!R17="Evaluation")+('MiT Strom Pipeline'!R17="tbd")+('MiT Strom Pipeline'!R17="In evaluation")&gt;0,'MiT Strom Pipeline'!C17,"")</f>
        <v/>
      </c>
      <c r="D150" s="22" t="str">
        <f aca="false">IF(('MiT Strom Pipeline'!R17="follow-up")+('MiT Strom Pipeline'!R17="Evaluation")+('MiT Strom Pipeline'!R17="tbd")+('MiT Strom Pipeline'!R17="In evaluation")&gt;0,'MiT Strom Pipeline'!D17,"")</f>
        <v/>
      </c>
      <c r="E150" s="22" t="str">
        <f aca="false">IF(('MiT Strom Pipeline'!R17="follow-up")+('MiT Strom Pipeline'!R17="Evaluation")+('MiT Strom Pipeline'!R17="tbd")+('MiT Strom Pipeline'!R17="In evaluation")&gt;0,'MiT Strom Pipeline'!E17,"")</f>
        <v/>
      </c>
      <c r="F150" s="23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23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23" t="str">
        <f aca="false">IF(('MiT Strom Pipeline'!R17="follow-up")+('MiT Strom Pipeline'!R17="Evaluation")+('MiT Strom Pipeline'!R17="tbd")+('MiT Strom Pipeline'!R17="In evaluation")&gt;0,IF(ISNUMBER('MiT Strom Pipeline'!O17),'MiT Strom Pipeline'!O17,0),"")</f>
        <v/>
      </c>
      <c r="I150" s="21" t="str">
        <f aca="false">IF(('MiT Strom Pipeline'!R17="follow-up")+('MiT Strom Pipeline'!R17="Evaluation")+('MiT Strom Pipeline'!R17="tbd")+('MiT Strom Pipeline'!R17="In evaluation")&gt;0,'MiT Strom Pipeline'!R17,"")</f>
        <v/>
      </c>
      <c r="J150" s="21" t="str">
        <f aca="false">IF(('MiT Strom Pipeline'!R17="follow-up")+('MiT Strom Pipeline'!R17="Evaluation")+('MiT Strom Pipeline'!R17="tbd")+('MiT Strom Pipeline'!R17="In evaluation")&gt;0,'MiT Strom Pipeline'!S17,"")</f>
        <v/>
      </c>
      <c r="K150" s="22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false" customHeight="true" outlineLevel="0" collapsed="false">
      <c r="A151" s="37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38" t="str">
        <f aca="false">IF(('MiT Strom Pipeline'!R18="follow-up")+('MiT Strom Pipeline'!R18="Evaluation")+('MiT Strom Pipeline'!R18="tbd")+('MiT Strom Pipeline'!R18="In evaluation")&gt;0,'MiT Strom Pipeline'!B18,"")</f>
        <v/>
      </c>
      <c r="C151" s="37" t="str">
        <f aca="false">IF(('MiT Strom Pipeline'!R18="follow-up")+('MiT Strom Pipeline'!R18="Evaluation")+('MiT Strom Pipeline'!R18="tbd")+('MiT Strom Pipeline'!R18="In evaluation")&gt;0,'MiT Strom Pipeline'!C18,"")</f>
        <v/>
      </c>
      <c r="D151" s="38" t="str">
        <f aca="false">IF(('MiT Strom Pipeline'!R18="follow-up")+('MiT Strom Pipeline'!R18="Evaluation")+('MiT Strom Pipeline'!R18="tbd")+('MiT Strom Pipeline'!R18="In evaluation")&gt;0,'MiT Strom Pipeline'!D18,"")</f>
        <v/>
      </c>
      <c r="E151" s="38" t="str">
        <f aca="false">IF(('MiT Strom Pipeline'!R18="follow-up")+('MiT Strom Pipeline'!R18="Evaluation")+('MiT Strom Pipeline'!R18="tbd")+('MiT Strom Pipeline'!R18="In evaluation")&gt;0,'MiT Strom Pipeline'!E18,"")</f>
        <v/>
      </c>
      <c r="F151" s="39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39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39" t="str">
        <f aca="false">IF(('MiT Strom Pipeline'!R18="follow-up")+('MiT Strom Pipeline'!R18="Evaluation")+('MiT Strom Pipeline'!R18="tbd")+('MiT Strom Pipeline'!R18="In evaluation")&gt;0,IF(ISNUMBER('MiT Strom Pipeline'!O18),'MiT Strom Pipeline'!O18,0),"")</f>
        <v/>
      </c>
      <c r="I151" s="37" t="str">
        <f aca="false">IF(('MiT Strom Pipeline'!R18="follow-up")+('MiT Strom Pipeline'!R18="Evaluation")+('MiT Strom Pipeline'!R18="tbd")+('MiT Strom Pipeline'!R18="In evaluation")&gt;0,'MiT Strom Pipeline'!R18,"")</f>
        <v/>
      </c>
      <c r="J151" s="37" t="str">
        <f aca="false">IF(('MiT Strom Pipeline'!R18="follow-up")+('MiT Strom Pipeline'!R18="Evaluation")+('MiT Strom Pipeline'!R18="tbd")+('MiT Strom Pipeline'!R18="In evaluation")&gt;0,'MiT Strom Pipeline'!S18,"")</f>
        <v/>
      </c>
      <c r="K151" s="38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false" customHeight="true" outlineLevel="0" collapsed="false">
      <c r="A152" s="21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22" t="str">
        <f aca="false">IF(('MiT Strom Pipeline'!R19="follow-up")+('MiT Strom Pipeline'!R19="Evaluation")+('MiT Strom Pipeline'!R19="tbd")+('MiT Strom Pipeline'!R19="In evaluation")&gt;0,'MiT Strom Pipeline'!B19,"")</f>
        <v/>
      </c>
      <c r="C152" s="21" t="str">
        <f aca="false">IF(('MiT Strom Pipeline'!R19="follow-up")+('MiT Strom Pipeline'!R19="Evaluation")+('MiT Strom Pipeline'!R19="tbd")+('MiT Strom Pipeline'!R19="In evaluation")&gt;0,'MiT Strom Pipeline'!C19,"")</f>
        <v/>
      </c>
      <c r="D152" s="22" t="str">
        <f aca="false">IF(('MiT Strom Pipeline'!R19="follow-up")+('MiT Strom Pipeline'!R19="Evaluation")+('MiT Strom Pipeline'!R19="tbd")+('MiT Strom Pipeline'!R19="In evaluation")&gt;0,'MiT Strom Pipeline'!D19,"")</f>
        <v/>
      </c>
      <c r="E152" s="22" t="str">
        <f aca="false">IF(('MiT Strom Pipeline'!R19="follow-up")+('MiT Strom Pipeline'!R19="Evaluation")+('MiT Strom Pipeline'!R19="tbd")+('MiT Strom Pipeline'!R19="In evaluation")&gt;0,'MiT Strom Pipeline'!E19,"")</f>
        <v/>
      </c>
      <c r="F152" s="23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23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23" t="str">
        <f aca="false">IF(('MiT Strom Pipeline'!R19="follow-up")+('MiT Strom Pipeline'!R19="Evaluation")+('MiT Strom Pipeline'!R19="tbd")+('MiT Strom Pipeline'!R19="In evaluation")&gt;0,IF(ISNUMBER('MiT Strom Pipeline'!O19),'MiT Strom Pipeline'!O19,0),"")</f>
        <v/>
      </c>
      <c r="I152" s="21" t="str">
        <f aca="false">IF(('MiT Strom Pipeline'!R19="follow-up")+('MiT Strom Pipeline'!R19="Evaluation")+('MiT Strom Pipeline'!R19="tbd")+('MiT Strom Pipeline'!R19="In evaluation")&gt;0,'MiT Strom Pipeline'!R19,"")</f>
        <v/>
      </c>
      <c r="J152" s="21" t="str">
        <f aca="false">IF(('MiT Strom Pipeline'!R19="follow-up")+('MiT Strom Pipeline'!R19="Evaluation")+('MiT Strom Pipeline'!R19="tbd")+('MiT Strom Pipeline'!R19="In evaluation")&gt;0,'MiT Strom Pipeline'!S19,"")</f>
        <v/>
      </c>
      <c r="K152" s="22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false" customHeight="true" outlineLevel="0" collapsed="false">
      <c r="A153" s="37" t="n">
        <f aca="false">IF(('MiT Strom Pipeline'!R20="follow-up")+('MiT Strom Pipeline'!R20="Evaluation")+('MiT Strom Pipeline'!R20="tbd")+('MiT Strom Pipeline'!R20="In evaluation")&gt;0,IF(ISNUMBER('MiT Strom Pipeline'!A20),'MiT Strom Pipeline'!A20,""),"")</f>
        <v>14</v>
      </c>
      <c r="B153" s="38" t="str">
        <f aca="false">IF(('MiT Strom Pipeline'!R20="follow-up")+('MiT Strom Pipeline'!R20="Evaluation")+('MiT Strom Pipeline'!R20="tbd")+('MiT Strom Pipeline'!R20="In evaluation")&gt;0,'MiT Strom Pipeline'!B20,"")</f>
        <v>Trafag AG</v>
      </c>
      <c r="C153" s="37" t="str">
        <f aca="false">IF(('MiT Strom Pipeline'!R20="follow-up")+('MiT Strom Pipeline'!R20="Evaluation")+('MiT Strom Pipeline'!R20="tbd")+('MiT Strom Pipeline'!R20="In evaluation")&gt;0,'MiT Strom Pipeline'!C20,"")</f>
        <v>ZH</v>
      </c>
      <c r="D153" s="38" t="str">
        <f aca="false">IF(('MiT Strom Pipeline'!R20="follow-up")+('MiT Strom Pipeline'!R20="Evaluation")+('MiT Strom Pipeline'!R20="tbd")+('MiT Strom Pipeline'!R20="In evaluation")&gt;0,'MiT Strom Pipeline'!D20,"")</f>
        <v>Industrie / Messtechnik</v>
      </c>
      <c r="E153" s="38" t="str">
        <f aca="false">IF(('MiT Strom Pipeline'!R20="follow-up")+('MiT Strom Pipeline'!R20="Evaluation")+('MiT Strom Pipeline'!R20="tbd")+('MiT Strom Pipeline'!R20="In evaluation")&gt;0,'MiT Strom Pipeline'!E20,"")</f>
        <v>Kombi 450 kVA Generator / BESS 500 kVA</v>
      </c>
      <c r="F153" s="39" t="n">
        <f aca="false">IF(('MiT Strom Pipeline'!R20="follow-up")+('MiT Strom Pipeline'!R20="Evaluation")+('MiT Strom Pipeline'!R20="tbd")+('MiT Strom Pipeline'!R20="In evaluation")&gt;0,IF(ISNUMBER('MiT Strom Pipeline'!I20),'MiT Strom Pipeline'!I20,0),"")</f>
        <v>37444</v>
      </c>
      <c r="G153" s="39" t="n">
        <f aca="false">IF(('MiT Strom Pipeline'!R20="follow-up")+('MiT Strom Pipeline'!R20="Evaluation")+('MiT Strom Pipeline'!R20="tbd")+('MiT Strom Pipeline'!R20="In evaluation")&gt;0,IF(ISNUMBER('MiT Strom Pipeline'!Q20),'MiT Strom Pipeline'!Q20,0),"")</f>
        <v>18722</v>
      </c>
      <c r="H153" s="39" t="n">
        <f aca="false">IF(('MiT Strom Pipeline'!R20="follow-up")+('MiT Strom Pipeline'!R20="Evaluation")+('MiT Strom Pipeline'!R20="tbd")+('MiT Strom Pipeline'!R20="In evaluation")&gt;0,IF(ISNUMBER('MiT Strom Pipeline'!O20),'MiT Strom Pipeline'!O20,0),"")</f>
        <v>37444</v>
      </c>
      <c r="I153" s="37" t="str">
        <f aca="false">IF(('MiT Strom Pipeline'!R20="follow-up")+('MiT Strom Pipeline'!R20="Evaluation")+('MiT Strom Pipeline'!R20="tbd")+('MiT Strom Pipeline'!R20="In evaluation")&gt;0,'MiT Strom Pipeline'!R20,"")</f>
        <v>Evaluation</v>
      </c>
      <c r="J153" s="37" t="n">
        <f aca="false">IF(('MiT Strom Pipeline'!R20="follow-up")+('MiT Strom Pipeline'!R20="Evaluation")+('MiT Strom Pipeline'!R20="tbd")+('MiT Strom Pipeline'!R20="In evaluation")&gt;0,'MiT Strom Pipeline'!S20,"")</f>
        <v>0.5</v>
      </c>
      <c r="K153" s="38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>Angebot vorbereiten – PQ-Argument für Messtechnik, Stef</v>
      </c>
    </row>
    <row r="154" customFormat="false" ht="15.75" hidden="false" customHeight="true" outlineLevel="0" collapsed="false">
      <c r="A154" s="21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22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21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22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22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23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23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23" t="n">
        <f aca="false">IF(('MiT Strom Pipeline'!R21="follow-up")+('MiT Strom Pipeline'!R21="Evaluation")+('MiT Strom Pipeline'!R21="tbd")+('MiT Strom Pipeline'!R21="In evaluation")&gt;0,IF(ISNUMBER('MiT Strom Pipeline'!O21),'MiT Strom Pipeline'!O21,0),"")</f>
        <v>0</v>
      </c>
      <c r="I154" s="21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J154" s="21" t="str">
        <f aca="false">IF(('MiT Strom Pipeline'!R21="follow-up")+('MiT Strom Pipeline'!R21="Evaluation")+('MiT Strom Pipeline'!R21="tbd")+('MiT Strom Pipeline'!R21="In evaluation")&gt;0,'MiT Strom Pipeline'!S21,"")</f>
        <v>20%</v>
      </c>
      <c r="K154" s="22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false" customHeight="true" outlineLevel="0" collapsed="false">
      <c r="A155" s="37" t="n">
        <f aca="false">IF(('MiT Strom Pipeline'!R22="follow-up")+('MiT Strom Pipeline'!R22="Evaluation")+('MiT Strom Pipeline'!R22="tbd")+('MiT Strom Pipeline'!R22="In evaluation")&gt;0,IF(ISNUMBER('MiT Strom Pipeline'!A22),'MiT Strom Pipeline'!A22,""),"")</f>
        <v>16</v>
      </c>
      <c r="B155" s="38" t="str">
        <f aca="false">IF(('MiT Strom Pipeline'!R22="follow-up")+('MiT Strom Pipeline'!R22="Evaluation")+('MiT Strom Pipeline'!R22="tbd")+('MiT Strom Pipeline'!R22="In evaluation")&gt;0,'MiT Strom Pipeline'!B22,"")</f>
        <v>Etavis Gossenbacher AG</v>
      </c>
      <c r="C155" s="37" t="str">
        <f aca="false">IF(('MiT Strom Pipeline'!R22="follow-up")+('MiT Strom Pipeline'!R22="Evaluation")+('MiT Strom Pipeline'!R22="tbd")+('MiT Strom Pipeline'!R22="In evaluation")&gt;0,'MiT Strom Pipeline'!C22,"")</f>
        <v>ZH</v>
      </c>
      <c r="D155" s="38" t="str">
        <f aca="false">IF(('MiT Strom Pipeline'!R22="follow-up")+('MiT Strom Pipeline'!R22="Evaluation")+('MiT Strom Pipeline'!R22="tbd")+('MiT Strom Pipeline'!R22="In evaluation")&gt;0,'MiT Strom Pipeline'!D22,"")</f>
        <v>Elektroinstallation</v>
      </c>
      <c r="E155" s="38" t="str">
        <f aca="false">IF(('MiT Strom Pipeline'!R22="follow-up")+('MiT Strom Pipeline'!R22="Evaluation")+('MiT Strom Pipeline'!R22="tbd")+('MiT Strom Pipeline'!R22="In evaluation")&gt;0,'MiT Strom Pipeline'!E22,"")</f>
        <v>30 kVA USV/Generator</v>
      </c>
      <c r="F155" s="39" t="n">
        <f aca="false">IF(('MiT Strom Pipeline'!R22="follow-up")+('MiT Strom Pipeline'!R22="Evaluation")+('MiT Strom Pipeline'!R22="tbd")+('MiT Strom Pipeline'!R22="In evaluation")&gt;0,IF(ISNUMBER('MiT Strom Pipeline'!I22),'MiT Strom Pipeline'!I22,0),"")</f>
        <v>0</v>
      </c>
      <c r="G155" s="39" t="n">
        <f aca="false">IF(('MiT Strom Pipeline'!R22="follow-up")+('MiT Strom Pipeline'!R22="Evaluation")+('MiT Strom Pipeline'!R22="tbd")+('MiT Strom Pipeline'!R22="In evaluation")&gt;0,IF(ISNUMBER('MiT Strom Pipeline'!Q22),'MiT Strom Pipeline'!Q22,0),"")</f>
        <v>0</v>
      </c>
      <c r="H155" s="39" t="n">
        <f aca="false">IF(('MiT Strom Pipeline'!R22="follow-up")+('MiT Strom Pipeline'!R22="Evaluation")+('MiT Strom Pipeline'!R22="tbd")+('MiT Strom Pipeline'!R22="In evaluation")&gt;0,IF(ISNUMBER('MiT Strom Pipeline'!O22),'MiT Strom Pipeline'!O22,0),"")</f>
        <v>0</v>
      </c>
      <c r="I155" s="37" t="str">
        <f aca="false">IF(('MiT Strom Pipeline'!R22="follow-up")+('MiT Strom Pipeline'!R22="Evaluation")+('MiT Strom Pipeline'!R22="tbd")+('MiT Strom Pipeline'!R22="In evaluation")&gt;0,'MiT Strom Pipeline'!R22,"")</f>
        <v>tbd</v>
      </c>
      <c r="J155" s="37" t="str">
        <f aca="false">IF(('MiT Strom Pipeline'!R22="follow-up")+('MiT Strom Pipeline'!R22="Evaluation")+('MiT Strom Pipeline'!R22="tbd")+('MiT Strom Pipeline'!R22="In evaluation")&gt;0,'MiT Strom Pipeline'!S22,"")</f>
        <v>30%</v>
      </c>
      <c r="K155" s="38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>Erstkontakt vertiefen – Bedarf qualifizieren</v>
      </c>
    </row>
    <row r="156" customFormat="false" ht="15.75" hidden="false" customHeight="true" outlineLevel="0" collapsed="false">
      <c r="A156" s="21" t="n">
        <f aca="false">IF(('MiT Strom Pipeline'!R23="follow-up")+('MiT Strom Pipeline'!R23="Evaluation")+('MiT Strom Pipeline'!R23="tbd")+('MiT Strom Pipeline'!R23="In evaluation")&gt;0,IF(ISNUMBER('MiT Strom Pipeline'!A23),'MiT Strom Pipeline'!A23,""),"")</f>
        <v>17</v>
      </c>
      <c r="B156" s="22" t="str">
        <f aca="false">IF(('MiT Strom Pipeline'!R23="follow-up")+('MiT Strom Pipeline'!R23="Evaluation")+('MiT Strom Pipeline'!R23="tbd")+('MiT Strom Pipeline'!R23="In evaluation")&gt;0,'MiT Strom Pipeline'!B23,"")</f>
        <v>MAS ETH Architektur</v>
      </c>
      <c r="C156" s="21" t="str">
        <f aca="false">IF(('MiT Strom Pipeline'!R23="follow-up")+('MiT Strom Pipeline'!R23="Evaluation")+('MiT Strom Pipeline'!R23="tbd")+('MiT Strom Pipeline'!R23="In evaluation")&gt;0,'MiT Strom Pipeline'!C23,"")</f>
        <v>ZH</v>
      </c>
      <c r="D156" s="22" t="str">
        <f aca="false">IF(('MiT Strom Pipeline'!R23="follow-up")+('MiT Strom Pipeline'!R23="Evaluation")+('MiT Strom Pipeline'!R23="tbd")+('MiT Strom Pipeline'!R23="In evaluation")&gt;0,'MiT Strom Pipeline'!D23,"")</f>
        <v>Bildung / Forschung</v>
      </c>
      <c r="E156" s="22" t="str">
        <f aca="false">IF(('MiT Strom Pipeline'!R23="follow-up")+('MiT Strom Pipeline'!R23="Evaluation")+('MiT Strom Pipeline'!R23="tbd")+('MiT Strom Pipeline'!R23="In evaluation")&gt;0,'MiT Strom Pipeline'!E23,"")</f>
        <v>tbd</v>
      </c>
      <c r="F156" s="23" t="n">
        <f aca="false">IF(('MiT Strom Pipeline'!R23="follow-up")+('MiT Strom Pipeline'!R23="Evaluation")+('MiT Strom Pipeline'!R23="tbd")+('MiT Strom Pipeline'!R23="In evaluation")&gt;0,IF(ISNUMBER('MiT Strom Pipeline'!I23),'MiT Strom Pipeline'!I23,0),"")</f>
        <v>0</v>
      </c>
      <c r="G156" s="23" t="n">
        <f aca="false">IF(('MiT Strom Pipeline'!R23="follow-up")+('MiT Strom Pipeline'!R23="Evaluation")+('MiT Strom Pipeline'!R23="tbd")+('MiT Strom Pipeline'!R23="In evaluation")&gt;0,IF(ISNUMBER('MiT Strom Pipeline'!Q23),'MiT Strom Pipeline'!Q23,0),"")</f>
        <v>0</v>
      </c>
      <c r="H156" s="23" t="n">
        <f aca="false">IF(('MiT Strom Pipeline'!R23="follow-up")+('MiT Strom Pipeline'!R23="Evaluation")+('MiT Strom Pipeline'!R23="tbd")+('MiT Strom Pipeline'!R23="In evaluation")&gt;0,IF(ISNUMBER('MiT Strom Pipeline'!O23),'MiT Strom Pipeline'!O23,0),"")</f>
        <v>0</v>
      </c>
      <c r="I156" s="21" t="str">
        <f aca="false">IF(('MiT Strom Pipeline'!R23="follow-up")+('MiT Strom Pipeline'!R23="Evaluation")+('MiT Strom Pipeline'!R23="tbd")+('MiT Strom Pipeline'!R23="In evaluation")&gt;0,'MiT Strom Pipeline'!R23,"")</f>
        <v>tbd</v>
      </c>
      <c r="J156" s="21" t="str">
        <f aca="false">IF(('MiT Strom Pipeline'!R23="follow-up")+('MiT Strom Pipeline'!R23="Evaluation")+('MiT Strom Pipeline'!R23="tbd")+('MiT Strom Pipeline'!R23="In evaluation")&gt;0,'MiT Strom Pipeline'!S23,"")</f>
        <v>20%</v>
      </c>
      <c r="K156" s="22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>Bedarf qualifizieren oder disqualifizieren</v>
      </c>
    </row>
    <row r="157" customFormat="false" ht="15.75" hidden="false" customHeight="true" outlineLevel="0" collapsed="false">
      <c r="A157" s="37" t="n">
        <f aca="false">IF(('MiT Strom Pipeline'!R24="follow-up")+('MiT Strom Pipeline'!R24="Evaluation")+('MiT Strom Pipeline'!R24="tbd")+('MiT Strom Pipeline'!R24="In evaluation")&gt;0,IF(ISNUMBER('MiT Strom Pipeline'!A24),'MiT Strom Pipeline'!A24,""),"")</f>
        <v>18</v>
      </c>
      <c r="B157" s="38" t="str">
        <f aca="false">IF(('MiT Strom Pipeline'!R24="follow-up")+('MiT Strom Pipeline'!R24="Evaluation")+('MiT Strom Pipeline'!R24="tbd")+('MiT Strom Pipeline'!R24="In evaluation")&gt;0,'MiT Strom Pipeline'!B24,"")</f>
        <v>FIP ISA</v>
      </c>
      <c r="C157" s="37" t="str">
        <f aca="false">IF(('MiT Strom Pipeline'!R24="follow-up")+('MiT Strom Pipeline'!R24="Evaluation")+('MiT Strom Pipeline'!R24="tbd")+('MiT Strom Pipeline'!R24="In evaluation")&gt;0,'MiT Strom Pipeline'!C24,"")</f>
        <v>tbd</v>
      </c>
      <c r="D157" s="38" t="str">
        <f aca="false">IF(('MiT Strom Pipeline'!R24="follow-up")+('MiT Strom Pipeline'!R24="Evaluation")+('MiT Strom Pipeline'!R24="tbd")+('MiT Strom Pipeline'!R24="In evaluation")&gt;0,'MiT Strom Pipeline'!D24,"")</f>
        <v>tbd</v>
      </c>
      <c r="E157" s="38" t="str">
        <f aca="false">IF(('MiT Strom Pipeline'!R24="follow-up")+('MiT Strom Pipeline'!R24="Evaluation")+('MiT Strom Pipeline'!R24="tbd")+('MiT Strom Pipeline'!R24="In evaluation")&gt;0,'MiT Strom Pipeline'!E24,"")</f>
        <v>tbd</v>
      </c>
      <c r="F157" s="39" t="n">
        <f aca="false">IF(('MiT Strom Pipeline'!R24="follow-up")+('MiT Strom Pipeline'!R24="Evaluation")+('MiT Strom Pipeline'!R24="tbd")+('MiT Strom Pipeline'!R24="In evaluation")&gt;0,IF(ISNUMBER('MiT Strom Pipeline'!I24),'MiT Strom Pipeline'!I24,0),"")</f>
        <v>0</v>
      </c>
      <c r="G157" s="39" t="n">
        <f aca="false">IF(('MiT Strom Pipeline'!R24="follow-up")+('MiT Strom Pipeline'!R24="Evaluation")+('MiT Strom Pipeline'!R24="tbd")+('MiT Strom Pipeline'!R24="In evaluation")&gt;0,IF(ISNUMBER('MiT Strom Pipeline'!Q24),'MiT Strom Pipeline'!Q24,0),"")</f>
        <v>0</v>
      </c>
      <c r="H157" s="39" t="n">
        <f aca="false">IF(('MiT Strom Pipeline'!R24="follow-up")+('MiT Strom Pipeline'!R24="Evaluation")+('MiT Strom Pipeline'!R24="tbd")+('MiT Strom Pipeline'!R24="In evaluation")&gt;0,IF(ISNUMBER('MiT Strom Pipeline'!O24),'MiT Strom Pipeline'!O24,0),"")</f>
        <v>0</v>
      </c>
      <c r="I157" s="37" t="str">
        <f aca="false">IF(('MiT Strom Pipeline'!R24="follow-up")+('MiT Strom Pipeline'!R24="Evaluation")+('MiT Strom Pipeline'!R24="tbd")+('MiT Strom Pipeline'!R24="In evaluation")&gt;0,'MiT Strom Pipeline'!R24,"")</f>
        <v>tbd</v>
      </c>
      <c r="J157" s="37" t="str">
        <f aca="false">IF(('MiT Strom Pipeline'!R24="follow-up")+('MiT Strom Pipeline'!R24="Evaluation")+('MiT Strom Pipeline'!R24="tbd")+('MiT Strom Pipeline'!R24="In evaluation")&gt;0,'MiT Strom Pipeline'!S24,"")</f>
        <v>20%</v>
      </c>
      <c r="K157" s="38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>Recherche + Erstkontakt – Firma und Bedarf verstehen</v>
      </c>
    </row>
    <row r="158" customFormat="false" ht="15.75" hidden="false" customHeight="true" outlineLevel="0" collapsed="false">
      <c r="A158" s="21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22" t="str">
        <f aca="false">IF(('MiT Strom Pipeline'!R25="follow-up")+('MiT Strom Pipeline'!R25="Evaluation")+('MiT Strom Pipeline'!R25="tbd")+('MiT Strom Pipeline'!R25="In evaluation")&gt;0,'MiT Strom Pipeline'!B25,"")</f>
        <v/>
      </c>
      <c r="C158" s="21" t="str">
        <f aca="false">IF(('MiT Strom Pipeline'!R25="follow-up")+('MiT Strom Pipeline'!R25="Evaluation")+('MiT Strom Pipeline'!R25="tbd")+('MiT Strom Pipeline'!R25="In evaluation")&gt;0,'MiT Strom Pipeline'!C25,"")</f>
        <v/>
      </c>
      <c r="D158" s="22" t="str">
        <f aca="false">IF(('MiT Strom Pipeline'!R25="follow-up")+('MiT Strom Pipeline'!R25="Evaluation")+('MiT Strom Pipeline'!R25="tbd")+('MiT Strom Pipeline'!R25="In evaluation")&gt;0,'MiT Strom Pipeline'!D25,"")</f>
        <v/>
      </c>
      <c r="E158" s="22" t="str">
        <f aca="false">IF(('MiT Strom Pipeline'!R25="follow-up")+('MiT Strom Pipeline'!R25="Evaluation")+('MiT Strom Pipeline'!R25="tbd")+('MiT Strom Pipeline'!R25="In evaluation")&gt;0,'MiT Strom Pipeline'!E25,"")</f>
        <v/>
      </c>
      <c r="F158" s="23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23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23" t="str">
        <f aca="false">IF(('MiT Strom Pipeline'!R25="follow-up")+('MiT Strom Pipeline'!R25="Evaluation")+('MiT Strom Pipeline'!R25="tbd")+('MiT Strom Pipeline'!R25="In evaluation")&gt;0,IF(ISNUMBER('MiT Strom Pipeline'!O25),'MiT Strom Pipeline'!O25,0),"")</f>
        <v/>
      </c>
      <c r="I158" s="21" t="str">
        <f aca="false">IF(('MiT Strom Pipeline'!R25="follow-up")+('MiT Strom Pipeline'!R25="Evaluation")+('MiT Strom Pipeline'!R25="tbd")+('MiT Strom Pipeline'!R25="In evaluation")&gt;0,'MiT Strom Pipeline'!R25,"")</f>
        <v/>
      </c>
      <c r="J158" s="21" t="str">
        <f aca="false">IF(('MiT Strom Pipeline'!R25="follow-up")+('MiT Strom Pipeline'!R25="Evaluation")+('MiT Strom Pipeline'!R25="tbd")+('MiT Strom Pipeline'!R25="In evaluation")&gt;0,'MiT Strom Pipeline'!S25,"")</f>
        <v/>
      </c>
      <c r="K158" s="22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false" customHeight="true" outlineLevel="0" collapsed="false">
      <c r="A159" s="37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38" t="str">
        <f aca="false">IF(('MiT Strom Pipeline'!R26="follow-up")+('MiT Strom Pipeline'!R26="Evaluation")+('MiT Strom Pipeline'!R26="tbd")+('MiT Strom Pipeline'!R26="In evaluation")&gt;0,'MiT Strom Pipeline'!B26,"")</f>
        <v/>
      </c>
      <c r="C159" s="37" t="str">
        <f aca="false">IF(('MiT Strom Pipeline'!R26="follow-up")+('MiT Strom Pipeline'!R26="Evaluation")+('MiT Strom Pipeline'!R26="tbd")+('MiT Strom Pipeline'!R26="In evaluation")&gt;0,'MiT Strom Pipeline'!C26,"")</f>
        <v/>
      </c>
      <c r="D159" s="38" t="str">
        <f aca="false">IF(('MiT Strom Pipeline'!R26="follow-up")+('MiT Strom Pipeline'!R26="Evaluation")+('MiT Strom Pipeline'!R26="tbd")+('MiT Strom Pipeline'!R26="In evaluation")&gt;0,'MiT Strom Pipeline'!D26,"")</f>
        <v/>
      </c>
      <c r="E159" s="38" t="str">
        <f aca="false">IF(('MiT Strom Pipeline'!R26="follow-up")+('MiT Strom Pipeline'!R26="Evaluation")+('MiT Strom Pipeline'!R26="tbd")+('MiT Strom Pipeline'!R26="In evaluation")&gt;0,'MiT Strom Pipeline'!E26,"")</f>
        <v/>
      </c>
      <c r="F159" s="39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39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39" t="str">
        <f aca="false">IF(('MiT Strom Pipeline'!R26="follow-up")+('MiT Strom Pipeline'!R26="Evaluation")+('MiT Strom Pipeline'!R26="tbd")+('MiT Strom Pipeline'!R26="In evaluation")&gt;0,IF(ISNUMBER('MiT Strom Pipeline'!O26),'MiT Strom Pipeline'!O26,0),"")</f>
        <v/>
      </c>
      <c r="I159" s="37" t="str">
        <f aca="false">IF(('MiT Strom Pipeline'!R26="follow-up")+('MiT Strom Pipeline'!R26="Evaluation")+('MiT Strom Pipeline'!R26="tbd")+('MiT Strom Pipeline'!R26="In evaluation")&gt;0,'MiT Strom Pipeline'!R26,"")</f>
        <v/>
      </c>
      <c r="J159" s="37" t="str">
        <f aca="false">IF(('MiT Strom Pipeline'!R26="follow-up")+('MiT Strom Pipeline'!R26="Evaluation")+('MiT Strom Pipeline'!R26="tbd")+('MiT Strom Pipeline'!R26="In evaluation")&gt;0,'MiT Strom Pipeline'!S26,"")</f>
        <v/>
      </c>
      <c r="K159" s="38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false" customHeight="true" outlineLevel="0" collapsed="false">
      <c r="A160" s="21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22" t="str">
        <f aca="false">IF(('MiT Strom Pipeline'!R27="follow-up")+('MiT Strom Pipeline'!R27="Evaluation")+('MiT Strom Pipeline'!R27="tbd")+('MiT Strom Pipeline'!R27="In evaluation")&gt;0,'MiT Strom Pipeline'!B27,"")</f>
        <v/>
      </c>
      <c r="C160" s="21" t="str">
        <f aca="false">IF(('MiT Strom Pipeline'!R27="follow-up")+('MiT Strom Pipeline'!R27="Evaluation")+('MiT Strom Pipeline'!R27="tbd")+('MiT Strom Pipeline'!R27="In evaluation")&gt;0,'MiT Strom Pipeline'!C27,"")</f>
        <v/>
      </c>
      <c r="D160" s="22" t="str">
        <f aca="false">IF(('MiT Strom Pipeline'!R27="follow-up")+('MiT Strom Pipeline'!R27="Evaluation")+('MiT Strom Pipeline'!R27="tbd")+('MiT Strom Pipeline'!R27="In evaluation")&gt;0,'MiT Strom Pipeline'!D27,"")</f>
        <v/>
      </c>
      <c r="E160" s="22" t="str">
        <f aca="false">IF(('MiT Strom Pipeline'!R27="follow-up")+('MiT Strom Pipeline'!R27="Evaluation")+('MiT Strom Pipeline'!R27="tbd")+('MiT Strom Pipeline'!R27="In evaluation")&gt;0,'MiT Strom Pipeline'!E27,"")</f>
        <v/>
      </c>
      <c r="F160" s="23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23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23" t="str">
        <f aca="false">IF(('MiT Strom Pipeline'!R27="follow-up")+('MiT Strom Pipeline'!R27="Evaluation")+('MiT Strom Pipeline'!R27="tbd")+('MiT Strom Pipeline'!R27="In evaluation")&gt;0,IF(ISNUMBER('MiT Strom Pipeline'!O27),'MiT Strom Pipeline'!O27,0),"")</f>
        <v/>
      </c>
      <c r="I160" s="21" t="str">
        <f aca="false">IF(('MiT Strom Pipeline'!R27="follow-up")+('MiT Strom Pipeline'!R27="Evaluation")+('MiT Strom Pipeline'!R27="tbd")+('MiT Strom Pipeline'!R27="In evaluation")&gt;0,'MiT Strom Pipeline'!R27,"")</f>
        <v/>
      </c>
      <c r="J160" s="21" t="str">
        <f aca="false">IF(('MiT Strom Pipeline'!R27="follow-up")+('MiT Strom Pipeline'!R27="Evaluation")+('MiT Strom Pipeline'!R27="tbd")+('MiT Strom Pipeline'!R27="In evaluation")&gt;0,'MiT Strom Pipeline'!S27,"")</f>
        <v/>
      </c>
      <c r="K160" s="22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false" customHeight="true" outlineLevel="0" collapsed="false">
      <c r="A161" s="37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38" t="str">
        <f aca="false">IF(('MiT Strom Pipeline'!R28="follow-up")+('MiT Strom Pipeline'!R28="Evaluation")+('MiT Strom Pipeline'!R28="tbd")+('MiT Strom Pipeline'!R28="In evaluation")&gt;0,'MiT Strom Pipeline'!B28,"")</f>
        <v/>
      </c>
      <c r="C161" s="37" t="str">
        <f aca="false">IF(('MiT Strom Pipeline'!R28="follow-up")+('MiT Strom Pipeline'!R28="Evaluation")+('MiT Strom Pipeline'!R28="tbd")+('MiT Strom Pipeline'!R28="In evaluation")&gt;0,'MiT Strom Pipeline'!C28,"")</f>
        <v/>
      </c>
      <c r="D161" s="38" t="str">
        <f aca="false">IF(('MiT Strom Pipeline'!R28="follow-up")+('MiT Strom Pipeline'!R28="Evaluation")+('MiT Strom Pipeline'!R28="tbd")+('MiT Strom Pipeline'!R28="In evaluation")&gt;0,'MiT Strom Pipeline'!D28,"")</f>
        <v/>
      </c>
      <c r="E161" s="38" t="str">
        <f aca="false">IF(('MiT Strom Pipeline'!R28="follow-up")+('MiT Strom Pipeline'!R28="Evaluation")+('MiT Strom Pipeline'!R28="tbd")+('MiT Strom Pipeline'!R28="In evaluation")&gt;0,'MiT Strom Pipeline'!E28,"")</f>
        <v/>
      </c>
      <c r="F161" s="39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39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39" t="str">
        <f aca="false">IF(('MiT Strom Pipeline'!R28="follow-up")+('MiT Strom Pipeline'!R28="Evaluation")+('MiT Strom Pipeline'!R28="tbd")+('MiT Strom Pipeline'!R28="In evaluation")&gt;0,IF(ISNUMBER('MiT Strom Pipeline'!O28),'MiT Strom Pipeline'!O28,0),"")</f>
        <v/>
      </c>
      <c r="I161" s="37" t="str">
        <f aca="false">IF(('MiT Strom Pipeline'!R28="follow-up")+('MiT Strom Pipeline'!R28="Evaluation")+('MiT Strom Pipeline'!R28="tbd")+('MiT Strom Pipeline'!R28="In evaluation")&gt;0,'MiT Strom Pipeline'!R28,"")</f>
        <v/>
      </c>
      <c r="J161" s="37" t="str">
        <f aca="false">IF(('MiT Strom Pipeline'!R28="follow-up")+('MiT Strom Pipeline'!R28="Evaluation")+('MiT Strom Pipeline'!R28="tbd")+('MiT Strom Pipeline'!R28="In evaluation")&gt;0,'MiT Strom Pipeline'!S28,"")</f>
        <v/>
      </c>
      <c r="K161" s="38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21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22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21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22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22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23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23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23" t="n">
        <f aca="false">IF(('MiT Strom Pipeline'!R29="follow-up")+('MiT Strom Pipeline'!R29="Evaluation")+('MiT Strom Pipeline'!R29="tbd")+('MiT Strom Pipeline'!R29="In evaluation")&gt;0,IF(ISNUMBER('MiT Strom Pipeline'!O29),'MiT Strom Pipeline'!O29,0),"")</f>
        <v>0</v>
      </c>
      <c r="I162" s="21" t="str">
        <f aca="false">IF(('MiT Strom Pipeline'!R29="follow-up")+('MiT Strom Pipeline'!R29="Evaluation")+('MiT Strom Pipeline'!R29="tbd")+('MiT Strom Pipeline'!R29="In evaluation")&gt;0,'MiT Strom Pipeline'!R29,"")</f>
        <v>Evaluation</v>
      </c>
      <c r="J162" s="21" t="n">
        <f aca="false">IF(('MiT Strom Pipeline'!R29="follow-up")+('MiT Strom Pipeline'!R29="Evaluation")+('MiT Strom Pipeline'!R29="tbd")+('MiT Strom Pipeline'!R29="In evaluation")&gt;0,'MiT Strom Pipeline'!S29,"")</f>
        <v>0.1</v>
      </c>
      <c r="K162" s="22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37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38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37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38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38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39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39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39" t="n">
        <f aca="false">IF(('MiT Strom Pipeline'!R30="follow-up")+('MiT Strom Pipeline'!R30="Evaluation")+('MiT Strom Pipeline'!R30="tbd")+('MiT Strom Pipeline'!R30="In evaluation")&gt;0,IF(ISNUMBER('MiT Strom Pipeline'!O30),'MiT Strom Pipeline'!O30,0),"")</f>
        <v>0</v>
      </c>
      <c r="I163" s="37" t="str">
        <f aca="false">IF(('MiT Strom Pipeline'!R30="follow-up")+('MiT Strom Pipeline'!R30="Evaluation")+('MiT Strom Pipeline'!R30="tbd")+('MiT Strom Pipeline'!R30="In evaluation")&gt;0,'MiT Strom Pipeline'!R30,"")</f>
        <v>Evaluation</v>
      </c>
      <c r="J163" s="37" t="str">
        <f aca="false">IF(('MiT Strom Pipeline'!R30="follow-up")+('MiT Strom Pipeline'!R30="Evaluation")+('MiT Strom Pipeline'!R30="tbd")+('MiT Strom Pipeline'!R30="In evaluation")&gt;0,'MiT Strom Pipeline'!S30,"")</f>
        <v>tbd</v>
      </c>
      <c r="K163" s="38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false" customHeight="true" outlineLevel="0" collapsed="false">
      <c r="A164" s="21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22" t="str">
        <f aca="false">IF(('MiT Strom Pipeline'!R31="follow-up")+('MiT Strom Pipeline'!R31="Evaluation")+('MiT Strom Pipeline'!R31="tbd")+('MiT Strom Pipeline'!R31="In evaluation")&gt;0,'MiT Strom Pipeline'!B31,"")</f>
        <v/>
      </c>
      <c r="C164" s="21" t="str">
        <f aca="false">IF(('MiT Strom Pipeline'!R31="follow-up")+('MiT Strom Pipeline'!R31="Evaluation")+('MiT Strom Pipeline'!R31="tbd")+('MiT Strom Pipeline'!R31="In evaluation")&gt;0,'MiT Strom Pipeline'!C31,"")</f>
        <v/>
      </c>
      <c r="D164" s="22" t="str">
        <f aca="false">IF(('MiT Strom Pipeline'!R31="follow-up")+('MiT Strom Pipeline'!R31="Evaluation")+('MiT Strom Pipeline'!R31="tbd")+('MiT Strom Pipeline'!R31="In evaluation")&gt;0,'MiT Strom Pipeline'!D31,"")</f>
        <v/>
      </c>
      <c r="E164" s="22" t="str">
        <f aca="false">IF(('MiT Strom Pipeline'!R31="follow-up")+('MiT Strom Pipeline'!R31="Evaluation")+('MiT Strom Pipeline'!R31="tbd")+('MiT Strom Pipeline'!R31="In evaluation")&gt;0,'MiT Strom Pipeline'!E31,"")</f>
        <v/>
      </c>
      <c r="F164" s="23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23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23" t="str">
        <f aca="false">IF(('MiT Strom Pipeline'!R31="follow-up")+('MiT Strom Pipeline'!R31="Evaluation")+('MiT Strom Pipeline'!R31="tbd")+('MiT Strom Pipeline'!R31="In evaluation")&gt;0,IF(ISNUMBER('MiT Strom Pipeline'!O31),'MiT Strom Pipeline'!O31,0),"")</f>
        <v/>
      </c>
      <c r="I164" s="21" t="str">
        <f aca="false">IF(('MiT Strom Pipeline'!R31="follow-up")+('MiT Strom Pipeline'!R31="Evaluation")+('MiT Strom Pipeline'!R31="tbd")+('MiT Strom Pipeline'!R31="In evaluation")&gt;0,'MiT Strom Pipeline'!R31,"")</f>
        <v/>
      </c>
      <c r="J164" s="21" t="str">
        <f aca="false">IF(('MiT Strom Pipeline'!R31="follow-up")+('MiT Strom Pipeline'!R31="Evaluation")+('MiT Strom Pipeline'!R31="tbd")+('MiT Strom Pipeline'!R31="In evaluation")&gt;0,'MiT Strom Pipeline'!S31,"")</f>
        <v/>
      </c>
      <c r="K164" s="22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false" customHeight="true" outlineLevel="0" collapsed="false">
      <c r="A165" s="37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38" t="str">
        <f aca="false">IF(('MiT Strom Pipeline'!R32="follow-up")+('MiT Strom Pipeline'!R32="Evaluation")+('MiT Strom Pipeline'!R32="tbd")+('MiT Strom Pipeline'!R32="In evaluation")&gt;0,'MiT Strom Pipeline'!B32,"")</f>
        <v/>
      </c>
      <c r="C165" s="37" t="str">
        <f aca="false">IF(('MiT Strom Pipeline'!R32="follow-up")+('MiT Strom Pipeline'!R32="Evaluation")+('MiT Strom Pipeline'!R32="tbd")+('MiT Strom Pipeline'!R32="In evaluation")&gt;0,'MiT Strom Pipeline'!C32,"")</f>
        <v/>
      </c>
      <c r="D165" s="38" t="str">
        <f aca="false">IF(('MiT Strom Pipeline'!R32="follow-up")+('MiT Strom Pipeline'!R32="Evaluation")+('MiT Strom Pipeline'!R32="tbd")+('MiT Strom Pipeline'!R32="In evaluation")&gt;0,'MiT Strom Pipeline'!D32,"")</f>
        <v/>
      </c>
      <c r="E165" s="38" t="str">
        <f aca="false">IF(('MiT Strom Pipeline'!R32="follow-up")+('MiT Strom Pipeline'!R32="Evaluation")+('MiT Strom Pipeline'!R32="tbd")+('MiT Strom Pipeline'!R32="In evaluation")&gt;0,'MiT Strom Pipeline'!E32,"")</f>
        <v/>
      </c>
      <c r="F165" s="39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39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39" t="str">
        <f aca="false">IF(('MiT Strom Pipeline'!R32="follow-up")+('MiT Strom Pipeline'!R32="Evaluation")+('MiT Strom Pipeline'!R32="tbd")+('MiT Strom Pipeline'!R32="In evaluation")&gt;0,IF(ISNUMBER('MiT Strom Pipeline'!O32),'MiT Strom Pipeline'!O32,0),"")</f>
        <v/>
      </c>
      <c r="I165" s="37" t="str">
        <f aca="false">IF(('MiT Strom Pipeline'!R32="follow-up")+('MiT Strom Pipeline'!R32="Evaluation")+('MiT Strom Pipeline'!R32="tbd")+('MiT Strom Pipeline'!R32="In evaluation")&gt;0,'MiT Strom Pipeline'!R32,"")</f>
        <v/>
      </c>
      <c r="J165" s="37" t="str">
        <f aca="false">IF(('MiT Strom Pipeline'!R32="follow-up")+('MiT Strom Pipeline'!R32="Evaluation")+('MiT Strom Pipeline'!R32="tbd")+('MiT Strom Pipeline'!R32="In evaluation")&gt;0,'MiT Strom Pipeline'!S32,"")</f>
        <v/>
      </c>
      <c r="K165" s="38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false" customHeight="true" outlineLevel="0" collapsed="false">
      <c r="A166" s="21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22" t="str">
        <f aca="false">IF(('MiT Strom Pipeline'!R33="follow-up")+('MiT Strom Pipeline'!R33="Evaluation")+('MiT Strom Pipeline'!R33="tbd")+('MiT Strom Pipeline'!R33="In evaluation")&gt;0,'MiT Strom Pipeline'!B33,"")</f>
        <v/>
      </c>
      <c r="C166" s="21" t="str">
        <f aca="false">IF(('MiT Strom Pipeline'!R33="follow-up")+('MiT Strom Pipeline'!R33="Evaluation")+('MiT Strom Pipeline'!R33="tbd")+('MiT Strom Pipeline'!R33="In evaluation")&gt;0,'MiT Strom Pipeline'!C33,"")</f>
        <v/>
      </c>
      <c r="D166" s="22" t="str">
        <f aca="false">IF(('MiT Strom Pipeline'!R33="follow-up")+('MiT Strom Pipeline'!R33="Evaluation")+('MiT Strom Pipeline'!R33="tbd")+('MiT Strom Pipeline'!R33="In evaluation")&gt;0,'MiT Strom Pipeline'!D33,"")</f>
        <v/>
      </c>
      <c r="E166" s="22" t="str">
        <f aca="false">IF(('MiT Strom Pipeline'!R33="follow-up")+('MiT Strom Pipeline'!R33="Evaluation")+('MiT Strom Pipeline'!R33="tbd")+('MiT Strom Pipeline'!R33="In evaluation")&gt;0,'MiT Strom Pipeline'!E33,"")</f>
        <v/>
      </c>
      <c r="F166" s="23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23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23" t="str">
        <f aca="false">IF(('MiT Strom Pipeline'!R33="follow-up")+('MiT Strom Pipeline'!R33="Evaluation")+('MiT Strom Pipeline'!R33="tbd")+('MiT Strom Pipeline'!R33="In evaluation")&gt;0,IF(ISNUMBER('MiT Strom Pipeline'!O33),'MiT Strom Pipeline'!O33,0),"")</f>
        <v/>
      </c>
      <c r="I166" s="21" t="str">
        <f aca="false">IF(('MiT Strom Pipeline'!R33="follow-up")+('MiT Strom Pipeline'!R33="Evaluation")+('MiT Strom Pipeline'!R33="tbd")+('MiT Strom Pipeline'!R33="In evaluation")&gt;0,'MiT Strom Pipeline'!R33,"")</f>
        <v/>
      </c>
      <c r="J166" s="21" t="str">
        <f aca="false">IF(('MiT Strom Pipeline'!R33="follow-up")+('MiT Strom Pipeline'!R33="Evaluation")+('MiT Strom Pipeline'!R33="tbd")+('MiT Strom Pipeline'!R33="In evaluation")&gt;0,'MiT Strom Pipeline'!S33,"")</f>
        <v/>
      </c>
      <c r="K166" s="22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false" customHeight="true" outlineLevel="0" collapsed="false">
      <c r="A167" s="37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38" t="str">
        <f aca="false">IF(('MiT Strom Pipeline'!R34="follow-up")+('MiT Strom Pipeline'!R34="Evaluation")+('MiT Strom Pipeline'!R34="tbd")+('MiT Strom Pipeline'!R34="In evaluation")&gt;0,'MiT Strom Pipeline'!B34,"")</f>
        <v/>
      </c>
      <c r="C167" s="37" t="str">
        <f aca="false">IF(('MiT Strom Pipeline'!R34="follow-up")+('MiT Strom Pipeline'!R34="Evaluation")+('MiT Strom Pipeline'!R34="tbd")+('MiT Strom Pipeline'!R34="In evaluation")&gt;0,'MiT Strom Pipeline'!C34,"")</f>
        <v/>
      </c>
      <c r="D167" s="38" t="str">
        <f aca="false">IF(('MiT Strom Pipeline'!R34="follow-up")+('MiT Strom Pipeline'!R34="Evaluation")+('MiT Strom Pipeline'!R34="tbd")+('MiT Strom Pipeline'!R34="In evaluation")&gt;0,'MiT Strom Pipeline'!D34,"")</f>
        <v/>
      </c>
      <c r="E167" s="38" t="str">
        <f aca="false">IF(('MiT Strom Pipeline'!R34="follow-up")+('MiT Strom Pipeline'!R34="Evaluation")+('MiT Strom Pipeline'!R34="tbd")+('MiT Strom Pipeline'!R34="In evaluation")&gt;0,'MiT Strom Pipeline'!E34,"")</f>
        <v/>
      </c>
      <c r="F167" s="39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39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39" t="str">
        <f aca="false">IF(('MiT Strom Pipeline'!R34="follow-up")+('MiT Strom Pipeline'!R34="Evaluation")+('MiT Strom Pipeline'!R34="tbd")+('MiT Strom Pipeline'!R34="In evaluation")&gt;0,IF(ISNUMBER('MiT Strom Pipeline'!O34),'MiT Strom Pipeline'!O34,0),"")</f>
        <v/>
      </c>
      <c r="I167" s="37" t="str">
        <f aca="false">IF(('MiT Strom Pipeline'!R34="follow-up")+('MiT Strom Pipeline'!R34="Evaluation")+('MiT Strom Pipeline'!R34="tbd")+('MiT Strom Pipeline'!R34="In evaluation")&gt;0,'MiT Strom Pipeline'!R34,"")</f>
        <v/>
      </c>
      <c r="J167" s="37" t="str">
        <f aca="false">IF(('MiT Strom Pipeline'!R34="follow-up")+('MiT Strom Pipeline'!R34="Evaluation")+('MiT Strom Pipeline'!R34="tbd")+('MiT Strom Pipeline'!R34="In evaluation")&gt;0,'MiT Strom Pipeline'!S34,"")</f>
        <v/>
      </c>
      <c r="K167" s="38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false" customHeight="true" outlineLevel="0" collapsed="false">
      <c r="A168" s="21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22" t="str">
        <f aca="false">IF(('MiT Strom Pipeline'!R35="follow-up")+('MiT Strom Pipeline'!R35="Evaluation")+('MiT Strom Pipeline'!R35="tbd")+('MiT Strom Pipeline'!R35="In evaluation")&gt;0,'MiT Strom Pipeline'!B35,"")</f>
        <v/>
      </c>
      <c r="C168" s="21" t="str">
        <f aca="false">IF(('MiT Strom Pipeline'!R35="follow-up")+('MiT Strom Pipeline'!R35="Evaluation")+('MiT Strom Pipeline'!R35="tbd")+('MiT Strom Pipeline'!R35="In evaluation")&gt;0,'MiT Strom Pipeline'!C35,"")</f>
        <v/>
      </c>
      <c r="D168" s="22" t="str">
        <f aca="false">IF(('MiT Strom Pipeline'!R35="follow-up")+('MiT Strom Pipeline'!R35="Evaluation")+('MiT Strom Pipeline'!R35="tbd")+('MiT Strom Pipeline'!R35="In evaluation")&gt;0,'MiT Strom Pipeline'!D35,"")</f>
        <v/>
      </c>
      <c r="E168" s="22" t="str">
        <f aca="false">IF(('MiT Strom Pipeline'!R35="follow-up")+('MiT Strom Pipeline'!R35="Evaluation")+('MiT Strom Pipeline'!R35="tbd")+('MiT Strom Pipeline'!R35="In evaluation")&gt;0,'MiT Strom Pipeline'!E35,"")</f>
        <v/>
      </c>
      <c r="F168" s="23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23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23" t="str">
        <f aca="false">IF(('MiT Strom Pipeline'!R35="follow-up")+('MiT Strom Pipeline'!R35="Evaluation")+('MiT Strom Pipeline'!R35="tbd")+('MiT Strom Pipeline'!R35="In evaluation")&gt;0,IF(ISNUMBER('MiT Strom Pipeline'!O35),'MiT Strom Pipeline'!O35,0),"")</f>
        <v/>
      </c>
      <c r="I168" s="21" t="str">
        <f aca="false">IF(('MiT Strom Pipeline'!R35="follow-up")+('MiT Strom Pipeline'!R35="Evaluation")+('MiT Strom Pipeline'!R35="tbd")+('MiT Strom Pipeline'!R35="In evaluation")&gt;0,'MiT Strom Pipeline'!R35,"")</f>
        <v/>
      </c>
      <c r="J168" s="21" t="str">
        <f aca="false">IF(('MiT Strom Pipeline'!R35="follow-up")+('MiT Strom Pipeline'!R35="Evaluation")+('MiT Strom Pipeline'!R35="tbd")+('MiT Strom Pipeline'!R35="In evaluation")&gt;0,'MiT Strom Pipeline'!S35,"")</f>
        <v/>
      </c>
      <c r="K168" s="22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false" customHeight="true" outlineLevel="0" collapsed="false">
      <c r="A169" s="37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38" t="str">
        <f aca="false">IF(('MiT Strom Pipeline'!R36="follow-up")+('MiT Strom Pipeline'!R36="Evaluation")+('MiT Strom Pipeline'!R36="tbd")+('MiT Strom Pipeline'!R36="In evaluation")&gt;0,'MiT Strom Pipeline'!B36,"")</f>
        <v/>
      </c>
      <c r="C169" s="37" t="str">
        <f aca="false">IF(('MiT Strom Pipeline'!R36="follow-up")+('MiT Strom Pipeline'!R36="Evaluation")+('MiT Strom Pipeline'!R36="tbd")+('MiT Strom Pipeline'!R36="In evaluation")&gt;0,'MiT Strom Pipeline'!C36,"")</f>
        <v/>
      </c>
      <c r="D169" s="38" t="str">
        <f aca="false">IF(('MiT Strom Pipeline'!R36="follow-up")+('MiT Strom Pipeline'!R36="Evaluation")+('MiT Strom Pipeline'!R36="tbd")+('MiT Strom Pipeline'!R36="In evaluation")&gt;0,'MiT Strom Pipeline'!D36,"")</f>
        <v/>
      </c>
      <c r="E169" s="38" t="str">
        <f aca="false">IF(('MiT Strom Pipeline'!R36="follow-up")+('MiT Strom Pipeline'!R36="Evaluation")+('MiT Strom Pipeline'!R36="tbd")+('MiT Strom Pipeline'!R36="In evaluation")&gt;0,'MiT Strom Pipeline'!E36,"")</f>
        <v/>
      </c>
      <c r="F169" s="39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39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39" t="str">
        <f aca="false">IF(('MiT Strom Pipeline'!R36="follow-up")+('MiT Strom Pipeline'!R36="Evaluation")+('MiT Strom Pipeline'!R36="tbd")+('MiT Strom Pipeline'!R36="In evaluation")&gt;0,IF(ISNUMBER('MiT Strom Pipeline'!O36),'MiT Strom Pipeline'!O36,0),"")</f>
        <v/>
      </c>
      <c r="I169" s="37" t="str">
        <f aca="false">IF(('MiT Strom Pipeline'!R36="follow-up")+('MiT Strom Pipeline'!R36="Evaluation")+('MiT Strom Pipeline'!R36="tbd")+('MiT Strom Pipeline'!R36="In evaluation")&gt;0,'MiT Strom Pipeline'!R36,"")</f>
        <v/>
      </c>
      <c r="J169" s="37" t="str">
        <f aca="false">IF(('MiT Strom Pipeline'!R36="follow-up")+('MiT Strom Pipeline'!R36="Evaluation")+('MiT Strom Pipeline'!R36="tbd")+('MiT Strom Pipeline'!R36="In evaluation")&gt;0,'MiT Strom Pipeline'!S36,"")</f>
        <v/>
      </c>
      <c r="K169" s="38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false" customHeight="true" outlineLevel="0" collapsed="false">
      <c r="A170" s="21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22" t="str">
        <f aca="false">IF(('MiT Strom Pipeline'!R37="follow-up")+('MiT Strom Pipeline'!R37="Evaluation")+('MiT Strom Pipeline'!R37="tbd")+('MiT Strom Pipeline'!R37="In evaluation")&gt;0,'MiT Strom Pipeline'!B37,"")</f>
        <v/>
      </c>
      <c r="C170" s="21" t="str">
        <f aca="false">IF(('MiT Strom Pipeline'!R37="follow-up")+('MiT Strom Pipeline'!R37="Evaluation")+('MiT Strom Pipeline'!R37="tbd")+('MiT Strom Pipeline'!R37="In evaluation")&gt;0,'MiT Strom Pipeline'!C37,"")</f>
        <v/>
      </c>
      <c r="D170" s="22" t="str">
        <f aca="false">IF(('MiT Strom Pipeline'!R37="follow-up")+('MiT Strom Pipeline'!R37="Evaluation")+('MiT Strom Pipeline'!R37="tbd")+('MiT Strom Pipeline'!R37="In evaluation")&gt;0,'MiT Strom Pipeline'!D37,"")</f>
        <v/>
      </c>
      <c r="E170" s="22" t="str">
        <f aca="false">IF(('MiT Strom Pipeline'!R37="follow-up")+('MiT Strom Pipeline'!R37="Evaluation")+('MiT Strom Pipeline'!R37="tbd")+('MiT Strom Pipeline'!R37="In evaluation")&gt;0,'MiT Strom Pipeline'!E37,"")</f>
        <v/>
      </c>
      <c r="F170" s="23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23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23" t="str">
        <f aca="false">IF(('MiT Strom Pipeline'!R37="follow-up")+('MiT Strom Pipeline'!R37="Evaluation")+('MiT Strom Pipeline'!R37="tbd")+('MiT Strom Pipeline'!R37="In evaluation")&gt;0,IF(ISNUMBER('MiT Strom Pipeline'!O37),'MiT Strom Pipeline'!O37,0),"")</f>
        <v/>
      </c>
      <c r="I170" s="21" t="str">
        <f aca="false">IF(('MiT Strom Pipeline'!R37="follow-up")+('MiT Strom Pipeline'!R37="Evaluation")+('MiT Strom Pipeline'!R37="tbd")+('MiT Strom Pipeline'!R37="In evaluation")&gt;0,'MiT Strom Pipeline'!R37,"")</f>
        <v/>
      </c>
      <c r="J170" s="21" t="str">
        <f aca="false">IF(('MiT Strom Pipeline'!R37="follow-up")+('MiT Strom Pipeline'!R37="Evaluation")+('MiT Strom Pipeline'!R37="tbd")+('MiT Strom Pipeline'!R37="In evaluation")&gt;0,'MiT Strom Pipeline'!S37,"")</f>
        <v/>
      </c>
      <c r="K170" s="22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37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38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37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38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38" t="str">
        <f aca="false">IF(('MiT Strom Pipeline'!R38="follow-up")+('MiT Strom Pipeline'!R38="Evaluation")+('MiT Strom Pipeline'!R38="tbd")+('MiT Strom Pipeline'!R38="In evaluation")&gt;0,'MiT Strom Pipeline'!E38,"")</f>
        <v>tbd</v>
      </c>
      <c r="F171" s="39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0</v>
      </c>
      <c r="G171" s="39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0</v>
      </c>
      <c r="H171" s="39" t="n">
        <f aca="false">IF(('MiT Strom Pipeline'!R38="follow-up")+('MiT Strom Pipeline'!R38="Evaluation")+('MiT Strom Pipeline'!R38="tbd")+('MiT Strom Pipeline'!R38="In evaluation")&gt;0,IF(ISNUMBER('MiT Strom Pipeline'!O38),'MiT Strom Pipeline'!O38,0),"")</f>
        <v>0</v>
      </c>
      <c r="I171" s="37" t="str">
        <f aca="false">IF(('MiT Strom Pipeline'!R38="follow-up")+('MiT Strom Pipeline'!R38="Evaluation")+('MiT Strom Pipeline'!R38="tbd")+('MiT Strom Pipeline'!R38="In evaluation")&gt;0,'MiT Strom Pipeline'!R38,"")</f>
        <v>tbd</v>
      </c>
      <c r="J171" s="37" t="n">
        <f aca="false">IF(('MiT Strom Pipeline'!R38="follow-up")+('MiT Strom Pipeline'!R38="Evaluation")+('MiT Strom Pipeline'!R38="tbd")+('MiT Strom Pipeline'!R38="In evaluation")&gt;0,'MiT Strom Pipeline'!S38,"")</f>
        <v>0.1</v>
      </c>
      <c r="K171" s="38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tbd</v>
      </c>
    </row>
    <row r="172" customFormat="false" ht="15.75" hidden="false" customHeight="true" outlineLevel="0" collapsed="false">
      <c r="A172" s="21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22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21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22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22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23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23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23" t="n">
        <f aca="false">IF(('MiT Strom Pipeline'!R39="follow-up")+('MiT Strom Pipeline'!R39="Evaluation")+('MiT Strom Pipeline'!R39="tbd")+('MiT Strom Pipeline'!R39="In evaluation")&gt;0,IF(ISNUMBER('MiT Strom Pipeline'!O39),'MiT Strom Pipeline'!O39,0),"")</f>
        <v>0</v>
      </c>
      <c r="I172" s="21" t="str">
        <f aca="false">IF(('MiT Strom Pipeline'!R39="follow-up")+('MiT Strom Pipeline'!R39="Evaluation")+('MiT Strom Pipeline'!R39="tbd")+('MiT Strom Pipeline'!R39="In evaluation")&gt;0,'MiT Strom Pipeline'!R39,"")</f>
        <v>tbd</v>
      </c>
      <c r="J172" s="21" t="n">
        <f aca="false">IF(('MiT Strom Pipeline'!R39="follow-up")+('MiT Strom Pipeline'!R39="Evaluation")+('MiT Strom Pipeline'!R39="tbd")+('MiT Strom Pipeline'!R39="In evaluation")&gt;0,'MiT Strom Pipeline'!S39,"")</f>
        <v>0.1</v>
      </c>
      <c r="K172" s="22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tbd</v>
      </c>
    </row>
    <row r="173" customFormat="false" ht="15.75" hidden="false" customHeight="true" outlineLevel="0" collapsed="false">
      <c r="A173" s="37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38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37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38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38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39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39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39" t="n">
        <f aca="false">IF(('MiT Strom Pipeline'!R40="follow-up")+('MiT Strom Pipeline'!R40="Evaluation")+('MiT Strom Pipeline'!R40="tbd")+('MiT Strom Pipeline'!R40="In evaluation")&gt;0,IF(ISNUMBER('MiT Strom Pipeline'!O40),'MiT Strom Pipeline'!O40,0),"")</f>
        <v>0</v>
      </c>
      <c r="I173" s="37" t="str">
        <f aca="false">IF(('MiT Strom Pipeline'!R40="follow-up")+('MiT Strom Pipeline'!R40="Evaluation")+('MiT Strom Pipeline'!R40="tbd")+('MiT Strom Pipeline'!R40="In evaluation")&gt;0,'MiT Strom Pipeline'!R40,"")</f>
        <v>tbd</v>
      </c>
      <c r="J173" s="37" t="n">
        <f aca="false">IF(('MiT Strom Pipeline'!R40="follow-up")+('MiT Strom Pipeline'!R40="Evaluation")+('MiT Strom Pipeline'!R40="tbd")+('MiT Strom Pipeline'!R40="In evaluation")&gt;0,'MiT Strom Pipeline'!S40,"")</f>
        <v>0.1</v>
      </c>
      <c r="K173" s="38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tbd</v>
      </c>
    </row>
    <row r="174" customFormat="false" ht="15.75" hidden="false" customHeight="true" outlineLevel="0" collapsed="false">
      <c r="A174" s="21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22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21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22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22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23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23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23" t="n">
        <f aca="false">IF(('MiT Strom Pipeline'!R41="follow-up")+('MiT Strom Pipeline'!R41="Evaluation")+('MiT Strom Pipeline'!R41="tbd")+('MiT Strom Pipeline'!R41="In evaluation")&gt;0,IF(ISNUMBER('MiT Strom Pipeline'!O41),'MiT Strom Pipeline'!O41,0),"")</f>
        <v>0</v>
      </c>
      <c r="I174" s="21" t="str">
        <f aca="false">IF(('MiT Strom Pipeline'!R41="follow-up")+('MiT Strom Pipeline'!R41="Evaluation")+('MiT Strom Pipeline'!R41="tbd")+('MiT Strom Pipeline'!R41="In evaluation")&gt;0,'MiT Strom Pipeline'!R41,"")</f>
        <v>tbd</v>
      </c>
      <c r="J174" s="21" t="n">
        <f aca="false">IF(('MiT Strom Pipeline'!R41="follow-up")+('MiT Strom Pipeline'!R41="Evaluation")+('MiT Strom Pipeline'!R41="tbd")+('MiT Strom Pipeline'!R41="In evaluation")&gt;0,'MiT Strom Pipeline'!S41,"")</f>
        <v>0.1</v>
      </c>
      <c r="K174" s="22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tbd</v>
      </c>
    </row>
    <row r="175" customFormat="false" ht="15.75" hidden="false" customHeight="true" outlineLevel="0" collapsed="false">
      <c r="A175" s="37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38" t="str">
        <f aca="false">IF(('MiT Strom Pipeline'!R42="follow-up")+('MiT Strom Pipeline'!R42="Evaluation")+('MiT Strom Pipeline'!R42="tbd")+('MiT Strom Pipeline'!R42="In evaluation")&gt;0,'MiT Strom Pipeline'!B42,"")</f>
        <v/>
      </c>
      <c r="C175" s="37" t="str">
        <f aca="false">IF(('MiT Strom Pipeline'!R42="follow-up")+('MiT Strom Pipeline'!R42="Evaluation")+('MiT Strom Pipeline'!R42="tbd")+('MiT Strom Pipeline'!R42="In evaluation")&gt;0,'MiT Strom Pipeline'!C42,"")</f>
        <v/>
      </c>
      <c r="D175" s="38" t="str">
        <f aca="false">IF(('MiT Strom Pipeline'!R42="follow-up")+('MiT Strom Pipeline'!R42="Evaluation")+('MiT Strom Pipeline'!R42="tbd")+('MiT Strom Pipeline'!R42="In evaluation")&gt;0,'MiT Strom Pipeline'!D42,"")</f>
        <v/>
      </c>
      <c r="E175" s="38" t="str">
        <f aca="false">IF(('MiT Strom Pipeline'!R42="follow-up")+('MiT Strom Pipeline'!R42="Evaluation")+('MiT Strom Pipeline'!R42="tbd")+('MiT Strom Pipeline'!R42="In evaluation")&gt;0,'MiT Strom Pipeline'!E42,"")</f>
        <v/>
      </c>
      <c r="F175" s="39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39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39" t="str">
        <f aca="false">IF(('MiT Strom Pipeline'!R42="follow-up")+('MiT Strom Pipeline'!R42="Evaluation")+('MiT Strom Pipeline'!R42="tbd")+('MiT Strom Pipeline'!R42="In evaluation")&gt;0,IF(ISNUMBER('MiT Strom Pipeline'!O42),'MiT Strom Pipeline'!O42,0),"")</f>
        <v/>
      </c>
      <c r="I175" s="37" t="str">
        <f aca="false">IF(('MiT Strom Pipeline'!R42="follow-up")+('MiT Strom Pipeline'!R42="Evaluation")+('MiT Strom Pipeline'!R42="tbd")+('MiT Strom Pipeline'!R42="In evaluation")&gt;0,'MiT Strom Pipeline'!R42,"")</f>
        <v/>
      </c>
      <c r="J175" s="37" t="str">
        <f aca="false">IF(('MiT Strom Pipeline'!R42="follow-up")+('MiT Strom Pipeline'!R42="Evaluation")+('MiT Strom Pipeline'!R42="tbd")+('MiT Strom Pipeline'!R42="In evaluation")&gt;0,'MiT Strom Pipeline'!S42,"")</f>
        <v/>
      </c>
      <c r="K175" s="38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false" customHeight="true" outlineLevel="0" collapsed="false">
      <c r="A176" s="21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22" t="str">
        <f aca="false">IF(('MiT Strom Pipeline'!R43="follow-up")+('MiT Strom Pipeline'!R43="Evaluation")+('MiT Strom Pipeline'!R43="tbd")+('MiT Strom Pipeline'!R43="In evaluation")&gt;0,'MiT Strom Pipeline'!B43,"")</f>
        <v/>
      </c>
      <c r="C176" s="21" t="str">
        <f aca="false">IF(('MiT Strom Pipeline'!R43="follow-up")+('MiT Strom Pipeline'!R43="Evaluation")+('MiT Strom Pipeline'!R43="tbd")+('MiT Strom Pipeline'!R43="In evaluation")&gt;0,'MiT Strom Pipeline'!C43,"")</f>
        <v/>
      </c>
      <c r="D176" s="22" t="str">
        <f aca="false">IF(('MiT Strom Pipeline'!R43="follow-up")+('MiT Strom Pipeline'!R43="Evaluation")+('MiT Strom Pipeline'!R43="tbd")+('MiT Strom Pipeline'!R43="In evaluation")&gt;0,'MiT Strom Pipeline'!D43,"")</f>
        <v/>
      </c>
      <c r="E176" s="22" t="str">
        <f aca="false">IF(('MiT Strom Pipeline'!R43="follow-up")+('MiT Strom Pipeline'!R43="Evaluation")+('MiT Strom Pipeline'!R43="tbd")+('MiT Strom Pipeline'!R43="In evaluation")&gt;0,'MiT Strom Pipeline'!E43,"")</f>
        <v/>
      </c>
      <c r="F176" s="23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23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23" t="str">
        <f aca="false">IF(('MiT Strom Pipeline'!R43="follow-up")+('MiT Strom Pipeline'!R43="Evaluation")+('MiT Strom Pipeline'!R43="tbd")+('MiT Strom Pipeline'!R43="In evaluation")&gt;0,IF(ISNUMBER('MiT Strom Pipeline'!O43),'MiT Strom Pipeline'!O43,0),"")</f>
        <v/>
      </c>
      <c r="I176" s="21" t="str">
        <f aca="false">IF(('MiT Strom Pipeline'!R43="follow-up")+('MiT Strom Pipeline'!R43="Evaluation")+('MiT Strom Pipeline'!R43="tbd")+('MiT Strom Pipeline'!R43="In evaluation")&gt;0,'MiT Strom Pipeline'!R43,"")</f>
        <v/>
      </c>
      <c r="J176" s="21" t="str">
        <f aca="false">IF(('MiT Strom Pipeline'!R43="follow-up")+('MiT Strom Pipeline'!R43="Evaluation")+('MiT Strom Pipeline'!R43="tbd")+('MiT Strom Pipeline'!R43="In evaluation")&gt;0,'MiT Strom Pipeline'!S43,"")</f>
        <v/>
      </c>
      <c r="K176" s="22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false" customHeight="true" outlineLevel="0" collapsed="false">
      <c r="A177" s="37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38" t="str">
        <f aca="false">IF(('MiT Strom Pipeline'!R44="follow-up")+('MiT Strom Pipeline'!R44="Evaluation")+('MiT Strom Pipeline'!R44="tbd")+('MiT Strom Pipeline'!R44="In evaluation")&gt;0,'MiT Strom Pipeline'!B44,"")</f>
        <v/>
      </c>
      <c r="C177" s="37" t="str">
        <f aca="false">IF(('MiT Strom Pipeline'!R44="follow-up")+('MiT Strom Pipeline'!R44="Evaluation")+('MiT Strom Pipeline'!R44="tbd")+('MiT Strom Pipeline'!R44="In evaluation")&gt;0,'MiT Strom Pipeline'!C44,"")</f>
        <v/>
      </c>
      <c r="D177" s="38" t="str">
        <f aca="false">IF(('MiT Strom Pipeline'!R44="follow-up")+('MiT Strom Pipeline'!R44="Evaluation")+('MiT Strom Pipeline'!R44="tbd")+('MiT Strom Pipeline'!R44="In evaluation")&gt;0,'MiT Strom Pipeline'!D44,"")</f>
        <v/>
      </c>
      <c r="E177" s="38" t="str">
        <f aca="false">IF(('MiT Strom Pipeline'!R44="follow-up")+('MiT Strom Pipeline'!R44="Evaluation")+('MiT Strom Pipeline'!R44="tbd")+('MiT Strom Pipeline'!R44="In evaluation")&gt;0,'MiT Strom Pipeline'!E44,"")</f>
        <v/>
      </c>
      <c r="F177" s="39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39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39" t="str">
        <f aca="false">IF(('MiT Strom Pipeline'!R44="follow-up")+('MiT Strom Pipeline'!R44="Evaluation")+('MiT Strom Pipeline'!R44="tbd")+('MiT Strom Pipeline'!R44="In evaluation")&gt;0,IF(ISNUMBER('MiT Strom Pipeline'!O44),'MiT Strom Pipeline'!O44,0),"")</f>
        <v/>
      </c>
      <c r="I177" s="37" t="str">
        <f aca="false">IF(('MiT Strom Pipeline'!R44="follow-up")+('MiT Strom Pipeline'!R44="Evaluation")+('MiT Strom Pipeline'!R44="tbd")+('MiT Strom Pipeline'!R44="In evaluation")&gt;0,'MiT Strom Pipeline'!R44,"")</f>
        <v/>
      </c>
      <c r="J177" s="37" t="str">
        <f aca="false">IF(('MiT Strom Pipeline'!R44="follow-up")+('MiT Strom Pipeline'!R44="Evaluation")+('MiT Strom Pipeline'!R44="tbd")+('MiT Strom Pipeline'!R44="In evaluation")&gt;0,'MiT Strom Pipeline'!S44,"")</f>
        <v/>
      </c>
      <c r="K177" s="38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false" customHeight="true" outlineLevel="0" collapsed="false">
      <c r="A178" s="21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22" t="str">
        <f aca="false">IF(('MiT Strom Pipeline'!R45="follow-up")+('MiT Strom Pipeline'!R45="Evaluation")+('MiT Strom Pipeline'!R45="tbd")+('MiT Strom Pipeline'!R45="In evaluation")&gt;0,'MiT Strom Pipeline'!B45,"")</f>
        <v/>
      </c>
      <c r="C178" s="21" t="str">
        <f aca="false">IF(('MiT Strom Pipeline'!R45="follow-up")+('MiT Strom Pipeline'!R45="Evaluation")+('MiT Strom Pipeline'!R45="tbd")+('MiT Strom Pipeline'!R45="In evaluation")&gt;0,'MiT Strom Pipeline'!C45,"")</f>
        <v/>
      </c>
      <c r="D178" s="22" t="str">
        <f aca="false">IF(('MiT Strom Pipeline'!R45="follow-up")+('MiT Strom Pipeline'!R45="Evaluation")+('MiT Strom Pipeline'!R45="tbd")+('MiT Strom Pipeline'!R45="In evaluation")&gt;0,'MiT Strom Pipeline'!D45,"")</f>
        <v/>
      </c>
      <c r="E178" s="22" t="str">
        <f aca="false">IF(('MiT Strom Pipeline'!R45="follow-up")+('MiT Strom Pipeline'!R45="Evaluation")+('MiT Strom Pipeline'!R45="tbd")+('MiT Strom Pipeline'!R45="In evaluation")&gt;0,'MiT Strom Pipeline'!E45,"")</f>
        <v/>
      </c>
      <c r="F178" s="23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23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23" t="str">
        <f aca="false">IF(('MiT Strom Pipeline'!R45="follow-up")+('MiT Strom Pipeline'!R45="Evaluation")+('MiT Strom Pipeline'!R45="tbd")+('MiT Strom Pipeline'!R45="In evaluation")&gt;0,IF(ISNUMBER('MiT Strom Pipeline'!O45),'MiT Strom Pipeline'!O45,0),"")</f>
        <v/>
      </c>
      <c r="I178" s="21" t="str">
        <f aca="false">IF(('MiT Strom Pipeline'!R45="follow-up")+('MiT Strom Pipeline'!R45="Evaluation")+('MiT Strom Pipeline'!R45="tbd")+('MiT Strom Pipeline'!R45="In evaluation")&gt;0,'MiT Strom Pipeline'!R45,"")</f>
        <v/>
      </c>
      <c r="J178" s="21" t="str">
        <f aca="false">IF(('MiT Strom Pipeline'!R45="follow-up")+('MiT Strom Pipeline'!R45="Evaluation")+('MiT Strom Pipeline'!R45="tbd")+('MiT Strom Pipeline'!R45="In evaluation")&gt;0,'MiT Strom Pipeline'!S45,"")</f>
        <v/>
      </c>
      <c r="K178" s="22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false" customHeight="true" outlineLevel="0" collapsed="false">
      <c r="A179" s="37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38" t="str">
        <f aca="false">IF(('MiT Strom Pipeline'!R46="follow-up")+('MiT Strom Pipeline'!R46="Evaluation")+('MiT Strom Pipeline'!R46="tbd")+('MiT Strom Pipeline'!R46="In evaluation")&gt;0,'MiT Strom Pipeline'!B46,"")</f>
        <v/>
      </c>
      <c r="C179" s="37" t="str">
        <f aca="false">IF(('MiT Strom Pipeline'!R46="follow-up")+('MiT Strom Pipeline'!R46="Evaluation")+('MiT Strom Pipeline'!R46="tbd")+('MiT Strom Pipeline'!R46="In evaluation")&gt;0,'MiT Strom Pipeline'!C46,"")</f>
        <v/>
      </c>
      <c r="D179" s="38" t="str">
        <f aca="false">IF(('MiT Strom Pipeline'!R46="follow-up")+('MiT Strom Pipeline'!R46="Evaluation")+('MiT Strom Pipeline'!R46="tbd")+('MiT Strom Pipeline'!R46="In evaluation")&gt;0,'MiT Strom Pipeline'!D46,"")</f>
        <v/>
      </c>
      <c r="E179" s="38" t="str">
        <f aca="false">IF(('MiT Strom Pipeline'!R46="follow-up")+('MiT Strom Pipeline'!R46="Evaluation")+('MiT Strom Pipeline'!R46="tbd")+('MiT Strom Pipeline'!R46="In evaluation")&gt;0,'MiT Strom Pipeline'!E46,"")</f>
        <v/>
      </c>
      <c r="F179" s="39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39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39" t="str">
        <f aca="false">IF(('MiT Strom Pipeline'!R46="follow-up")+('MiT Strom Pipeline'!R46="Evaluation")+('MiT Strom Pipeline'!R46="tbd")+('MiT Strom Pipeline'!R46="In evaluation")&gt;0,IF(ISNUMBER('MiT Strom Pipeline'!O46),'MiT Strom Pipeline'!O46,0),"")</f>
        <v/>
      </c>
      <c r="I179" s="37" t="str">
        <f aca="false">IF(('MiT Strom Pipeline'!R46="follow-up")+('MiT Strom Pipeline'!R46="Evaluation")+('MiT Strom Pipeline'!R46="tbd")+('MiT Strom Pipeline'!R46="In evaluation")&gt;0,'MiT Strom Pipeline'!R46,"")</f>
        <v/>
      </c>
      <c r="J179" s="37" t="str">
        <f aca="false">IF(('MiT Strom Pipeline'!R46="follow-up")+('MiT Strom Pipeline'!R46="Evaluation")+('MiT Strom Pipeline'!R46="tbd")+('MiT Strom Pipeline'!R46="In evaluation")&gt;0,'MiT Strom Pipeline'!S46,"")</f>
        <v/>
      </c>
      <c r="K179" s="38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false" customHeight="true" outlineLevel="0" collapsed="false">
      <c r="A180" s="21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22" t="str">
        <f aca="false">IF(('MiT Strom Pipeline'!R47="follow-up")+('MiT Strom Pipeline'!R47="Evaluation")+('MiT Strom Pipeline'!R47="tbd")+('MiT Strom Pipeline'!R47="In evaluation")&gt;0,'MiT Strom Pipeline'!B47,"")</f>
        <v/>
      </c>
      <c r="C180" s="21" t="str">
        <f aca="false">IF(('MiT Strom Pipeline'!R47="follow-up")+('MiT Strom Pipeline'!R47="Evaluation")+('MiT Strom Pipeline'!R47="tbd")+('MiT Strom Pipeline'!R47="In evaluation")&gt;0,'MiT Strom Pipeline'!C47,"")</f>
        <v/>
      </c>
      <c r="D180" s="22" t="str">
        <f aca="false">IF(('MiT Strom Pipeline'!R47="follow-up")+('MiT Strom Pipeline'!R47="Evaluation")+('MiT Strom Pipeline'!R47="tbd")+('MiT Strom Pipeline'!R47="In evaluation")&gt;0,'MiT Strom Pipeline'!D47,"")</f>
        <v/>
      </c>
      <c r="E180" s="22" t="str">
        <f aca="false">IF(('MiT Strom Pipeline'!R47="follow-up")+('MiT Strom Pipeline'!R47="Evaluation")+('MiT Strom Pipeline'!R47="tbd")+('MiT Strom Pipeline'!R47="In evaluation")&gt;0,'MiT Strom Pipeline'!E47,"")</f>
        <v/>
      </c>
      <c r="F180" s="23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23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23" t="str">
        <f aca="false">IF(('MiT Strom Pipeline'!R47="follow-up")+('MiT Strom Pipeline'!R47="Evaluation")+('MiT Strom Pipeline'!R47="tbd")+('MiT Strom Pipeline'!R47="In evaluation")&gt;0,IF(ISNUMBER('MiT Strom Pipeline'!O47),'MiT Strom Pipeline'!O47,0),"")</f>
        <v/>
      </c>
      <c r="I180" s="21" t="str">
        <f aca="false">IF(('MiT Strom Pipeline'!R47="follow-up")+('MiT Strom Pipeline'!R47="Evaluation")+('MiT Strom Pipeline'!R47="tbd")+('MiT Strom Pipeline'!R47="In evaluation")&gt;0,'MiT Strom Pipeline'!R47,"")</f>
        <v/>
      </c>
      <c r="J180" s="21" t="str">
        <f aca="false">IF(('MiT Strom Pipeline'!R47="follow-up")+('MiT Strom Pipeline'!R47="Evaluation")+('MiT Strom Pipeline'!R47="tbd")+('MiT Strom Pipeline'!R47="In evaluation")&gt;0,'MiT Strom Pipeline'!S47,"")</f>
        <v/>
      </c>
      <c r="K180" s="22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false" customHeight="true" outlineLevel="0" collapsed="false">
      <c r="A181" s="37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38" t="str">
        <f aca="false">IF(('MiT Strom Pipeline'!R48="follow-up")+('MiT Strom Pipeline'!R48="Evaluation")+('MiT Strom Pipeline'!R48="tbd")+('MiT Strom Pipeline'!R48="In evaluation")&gt;0,'MiT Strom Pipeline'!B48,"")</f>
        <v/>
      </c>
      <c r="C181" s="37" t="str">
        <f aca="false">IF(('MiT Strom Pipeline'!R48="follow-up")+('MiT Strom Pipeline'!R48="Evaluation")+('MiT Strom Pipeline'!R48="tbd")+('MiT Strom Pipeline'!R48="In evaluation")&gt;0,'MiT Strom Pipeline'!C48,"")</f>
        <v/>
      </c>
      <c r="D181" s="38" t="str">
        <f aca="false">IF(('MiT Strom Pipeline'!R48="follow-up")+('MiT Strom Pipeline'!R48="Evaluation")+('MiT Strom Pipeline'!R48="tbd")+('MiT Strom Pipeline'!R48="In evaluation")&gt;0,'MiT Strom Pipeline'!D48,"")</f>
        <v/>
      </c>
      <c r="E181" s="38" t="str">
        <f aca="false">IF(('MiT Strom Pipeline'!R48="follow-up")+('MiT Strom Pipeline'!R48="Evaluation")+('MiT Strom Pipeline'!R48="tbd")+('MiT Strom Pipeline'!R48="In evaluation")&gt;0,'MiT Strom Pipeline'!E48,"")</f>
        <v/>
      </c>
      <c r="F181" s="39" t="str">
        <f aca="false">IF(('MiT Strom Pipeline'!R48="follow-up")+('MiT Strom Pipeline'!R48="Evaluation")+('MiT Strom Pipeline'!R48="tbd")+('MiT Strom Pipeline'!R48="In evaluation")&gt;0,IF(ISNUMBER('MiT Strom Pipeline'!I48),'MiT Strom Pipeline'!I48,0),"")</f>
        <v/>
      </c>
      <c r="G181" s="39" t="str">
        <f aca="false">IF(('MiT Strom Pipeline'!R48="follow-up")+('MiT Strom Pipeline'!R48="Evaluation")+('MiT Strom Pipeline'!R48="tbd")+('MiT Strom Pipeline'!R48="In evaluation")&gt;0,IF(ISNUMBER('MiT Strom Pipeline'!Q48),'MiT Strom Pipeline'!Q48,0),"")</f>
        <v/>
      </c>
      <c r="H181" s="39" t="str">
        <f aca="false">IF(('MiT Strom Pipeline'!R48="follow-up")+('MiT Strom Pipeline'!R48="Evaluation")+('MiT Strom Pipeline'!R48="tbd")+('MiT Strom Pipeline'!R48="In evaluation")&gt;0,IF(ISNUMBER('MiT Strom Pipeline'!O48),'MiT Strom Pipeline'!O48,0),"")</f>
        <v/>
      </c>
      <c r="I181" s="37" t="str">
        <f aca="false">IF(('MiT Strom Pipeline'!R48="follow-up")+('MiT Strom Pipeline'!R48="Evaluation")+('MiT Strom Pipeline'!R48="tbd")+('MiT Strom Pipeline'!R48="In evaluation")&gt;0,'MiT Strom Pipeline'!R48,"")</f>
        <v/>
      </c>
      <c r="J181" s="37" t="str">
        <f aca="false">IF(('MiT Strom Pipeline'!R48="follow-up")+('MiT Strom Pipeline'!R48="Evaluation")+('MiT Strom Pipeline'!R48="tbd")+('MiT Strom Pipeline'!R48="In evaluation")&gt;0,'MiT Strom Pipeline'!S48,"")</f>
        <v/>
      </c>
      <c r="K181" s="38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/>
      </c>
    </row>
    <row r="182" customFormat="false" ht="15.75" hidden="false" customHeight="true" outlineLevel="0" collapsed="false">
      <c r="A182" s="21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22" t="str">
        <f aca="false">IF(('MiT Strom Pipeline'!R49="follow-up")+('MiT Strom Pipeline'!R49="Evaluation")+('MiT Strom Pipeline'!R49="tbd")+('MiT Strom Pipeline'!R49="In evaluation")&gt;0,'MiT Strom Pipeline'!B49,"")</f>
        <v/>
      </c>
      <c r="C182" s="21" t="str">
        <f aca="false">IF(('MiT Strom Pipeline'!R49="follow-up")+('MiT Strom Pipeline'!R49="Evaluation")+('MiT Strom Pipeline'!R49="tbd")+('MiT Strom Pipeline'!R49="In evaluation")&gt;0,'MiT Strom Pipeline'!C49,"")</f>
        <v/>
      </c>
      <c r="D182" s="22" t="str">
        <f aca="false">IF(('MiT Strom Pipeline'!R49="follow-up")+('MiT Strom Pipeline'!R49="Evaluation")+('MiT Strom Pipeline'!R49="tbd")+('MiT Strom Pipeline'!R49="In evaluation")&gt;0,'MiT Strom Pipeline'!D49,"")</f>
        <v/>
      </c>
      <c r="E182" s="22" t="str">
        <f aca="false">IF(('MiT Strom Pipeline'!R49="follow-up")+('MiT Strom Pipeline'!R49="Evaluation")+('MiT Strom Pipeline'!R49="tbd")+('MiT Strom Pipeline'!R49="In evaluation")&gt;0,'MiT Strom Pipeline'!E49,"")</f>
        <v/>
      </c>
      <c r="F182" s="23" t="str">
        <f aca="false">IF(('MiT Strom Pipeline'!R49="follow-up")+('MiT Strom Pipeline'!R49="Evaluation")+('MiT Strom Pipeline'!R49="tbd")+('MiT Strom Pipeline'!R49="In evaluation")&gt;0,IF(ISNUMBER('MiT Strom Pipeline'!I49),'MiT Strom Pipeline'!I49,0),"")</f>
        <v/>
      </c>
      <c r="G182" s="23" t="str">
        <f aca="false">IF(('MiT Strom Pipeline'!R49="follow-up")+('MiT Strom Pipeline'!R49="Evaluation")+('MiT Strom Pipeline'!R49="tbd")+('MiT Strom Pipeline'!R49="In evaluation")&gt;0,IF(ISNUMBER('MiT Strom Pipeline'!Q49),'MiT Strom Pipeline'!Q49,0),"")</f>
        <v/>
      </c>
      <c r="H182" s="23" t="str">
        <f aca="false">IF(('MiT Strom Pipeline'!R49="follow-up")+('MiT Strom Pipeline'!R49="Evaluation")+('MiT Strom Pipeline'!R49="tbd")+('MiT Strom Pipeline'!R49="In evaluation")&gt;0,IF(ISNUMBER('MiT Strom Pipeline'!O49),'MiT Strom Pipeline'!O49,0),"")</f>
        <v/>
      </c>
      <c r="I182" s="21" t="str">
        <f aca="false">IF(('MiT Strom Pipeline'!R49="follow-up")+('MiT Strom Pipeline'!R49="Evaluation")+('MiT Strom Pipeline'!R49="tbd")+('MiT Strom Pipeline'!R49="In evaluation")&gt;0,'MiT Strom Pipeline'!R49,"")</f>
        <v/>
      </c>
      <c r="J182" s="21" t="str">
        <f aca="false">IF(('MiT Strom Pipeline'!R49="follow-up")+('MiT Strom Pipeline'!R49="Evaluation")+('MiT Strom Pipeline'!R49="tbd")+('MiT Strom Pipeline'!R49="In evaluation")&gt;0,'MiT Strom Pipeline'!S49,"")</f>
        <v/>
      </c>
      <c r="K182" s="22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false" customHeight="true" outlineLevel="0" collapsed="false">
      <c r="A183" s="37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38" t="str">
        <f aca="false">IF(('MiT Strom Pipeline'!R50="follow-up")+('MiT Strom Pipeline'!R50="Evaluation")+('MiT Strom Pipeline'!R50="tbd")+('MiT Strom Pipeline'!R50="In evaluation")&gt;0,'MiT Strom Pipeline'!B50,"")</f>
        <v/>
      </c>
      <c r="C183" s="37" t="str">
        <f aca="false">IF(('MiT Strom Pipeline'!R50="follow-up")+('MiT Strom Pipeline'!R50="Evaluation")+('MiT Strom Pipeline'!R50="tbd")+('MiT Strom Pipeline'!R50="In evaluation")&gt;0,'MiT Strom Pipeline'!C50,"")</f>
        <v/>
      </c>
      <c r="D183" s="38" t="str">
        <f aca="false">IF(('MiT Strom Pipeline'!R50="follow-up")+('MiT Strom Pipeline'!R50="Evaluation")+('MiT Strom Pipeline'!R50="tbd")+('MiT Strom Pipeline'!R50="In evaluation")&gt;0,'MiT Strom Pipeline'!D50,"")</f>
        <v/>
      </c>
      <c r="E183" s="38" t="str">
        <f aca="false">IF(('MiT Strom Pipeline'!R50="follow-up")+('MiT Strom Pipeline'!R50="Evaluation")+('MiT Strom Pipeline'!R50="tbd")+('MiT Strom Pipeline'!R50="In evaluation")&gt;0,'MiT Strom Pipeline'!E50,"")</f>
        <v/>
      </c>
      <c r="F183" s="39" t="str">
        <f aca="false">IF(('MiT Strom Pipeline'!R50="follow-up")+('MiT Strom Pipeline'!R50="Evaluation")+('MiT Strom Pipeline'!R50="tbd")+('MiT Strom Pipeline'!R50="In evaluation")&gt;0,IF(ISNUMBER('MiT Strom Pipeline'!I50),'MiT Strom Pipeline'!I50,0),"")</f>
        <v/>
      </c>
      <c r="G183" s="39" t="str">
        <f aca="false">IF(('MiT Strom Pipeline'!R50="follow-up")+('MiT Strom Pipeline'!R50="Evaluation")+('MiT Strom Pipeline'!R50="tbd")+('MiT Strom Pipeline'!R50="In evaluation")&gt;0,IF(ISNUMBER('MiT Strom Pipeline'!Q50),'MiT Strom Pipeline'!Q50,0),"")</f>
        <v/>
      </c>
      <c r="H183" s="39" t="str">
        <f aca="false">IF(('MiT Strom Pipeline'!R50="follow-up")+('MiT Strom Pipeline'!R50="Evaluation")+('MiT Strom Pipeline'!R50="tbd")+('MiT Strom Pipeline'!R50="In evaluation")&gt;0,IF(ISNUMBER('MiT Strom Pipeline'!O50),'MiT Strom Pipeline'!O50,0),"")</f>
        <v/>
      </c>
      <c r="I183" s="37" t="str">
        <f aca="false">IF(('MiT Strom Pipeline'!R50="follow-up")+('MiT Strom Pipeline'!R50="Evaluation")+('MiT Strom Pipeline'!R50="tbd")+('MiT Strom Pipeline'!R50="In evaluation")&gt;0,'MiT Strom Pipeline'!R50,"")</f>
        <v/>
      </c>
      <c r="J183" s="37" t="str">
        <f aca="false">IF(('MiT Strom Pipeline'!R50="follow-up")+('MiT Strom Pipeline'!R50="Evaluation")+('MiT Strom Pipeline'!R50="tbd")+('MiT Strom Pipeline'!R50="In evaluation")&gt;0,'MiT Strom Pipeline'!S50,"")</f>
        <v/>
      </c>
      <c r="K183" s="38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false" customHeight="true" outlineLevel="0" collapsed="false">
      <c r="A184" s="21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22" t="str">
        <f aca="false">IF(('MiT Strom Pipeline'!R51="follow-up")+('MiT Strom Pipeline'!R51="Evaluation")+('MiT Strom Pipeline'!R51="tbd")+('MiT Strom Pipeline'!R51="In evaluation")&gt;0,'MiT Strom Pipeline'!B51,"")</f>
        <v/>
      </c>
      <c r="C184" s="21" t="str">
        <f aca="false">IF(('MiT Strom Pipeline'!R51="follow-up")+('MiT Strom Pipeline'!R51="Evaluation")+('MiT Strom Pipeline'!R51="tbd")+('MiT Strom Pipeline'!R51="In evaluation")&gt;0,'MiT Strom Pipeline'!C51,"")</f>
        <v/>
      </c>
      <c r="D184" s="22" t="str">
        <f aca="false">IF(('MiT Strom Pipeline'!R51="follow-up")+('MiT Strom Pipeline'!R51="Evaluation")+('MiT Strom Pipeline'!R51="tbd")+('MiT Strom Pipeline'!R51="In evaluation")&gt;0,'MiT Strom Pipeline'!D51,"")</f>
        <v/>
      </c>
      <c r="E184" s="22" t="str">
        <f aca="false">IF(('MiT Strom Pipeline'!R51="follow-up")+('MiT Strom Pipeline'!R51="Evaluation")+('MiT Strom Pipeline'!R51="tbd")+('MiT Strom Pipeline'!R51="In evaluation")&gt;0,'MiT Strom Pipeline'!E51,"")</f>
        <v/>
      </c>
      <c r="F184" s="23" t="str">
        <f aca="false">IF(('MiT Strom Pipeline'!R51="follow-up")+('MiT Strom Pipeline'!R51="Evaluation")+('MiT Strom Pipeline'!R51="tbd")+('MiT Strom Pipeline'!R51="In evaluation")&gt;0,IF(ISNUMBER('MiT Strom Pipeline'!I51),'MiT Strom Pipeline'!I51,0),"")</f>
        <v/>
      </c>
      <c r="G184" s="23" t="str">
        <f aca="false">IF(('MiT Strom Pipeline'!R51="follow-up")+('MiT Strom Pipeline'!R51="Evaluation")+('MiT Strom Pipeline'!R51="tbd")+('MiT Strom Pipeline'!R51="In evaluation")&gt;0,IF(ISNUMBER('MiT Strom Pipeline'!Q51),'MiT Strom Pipeline'!Q51,0),"")</f>
        <v/>
      </c>
      <c r="H184" s="23" t="str">
        <f aca="false">IF(('MiT Strom Pipeline'!R51="follow-up")+('MiT Strom Pipeline'!R51="Evaluation")+('MiT Strom Pipeline'!R51="tbd")+('MiT Strom Pipeline'!R51="In evaluation")&gt;0,IF(ISNUMBER('MiT Strom Pipeline'!O51),'MiT Strom Pipeline'!O51,0),"")</f>
        <v/>
      </c>
      <c r="I184" s="21" t="str">
        <f aca="false">IF(('MiT Strom Pipeline'!R51="follow-up")+('MiT Strom Pipeline'!R51="Evaluation")+('MiT Strom Pipeline'!R51="tbd")+('MiT Strom Pipeline'!R51="In evaluation")&gt;0,'MiT Strom Pipeline'!R51,"")</f>
        <v/>
      </c>
      <c r="J184" s="21" t="str">
        <f aca="false">IF(('MiT Strom Pipeline'!R51="follow-up")+('MiT Strom Pipeline'!R51="Evaluation")+('MiT Strom Pipeline'!R51="tbd")+('MiT Strom Pipeline'!R51="In evaluation")&gt;0,'MiT Strom Pipeline'!S51,"")</f>
        <v/>
      </c>
      <c r="K184" s="22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false" customHeight="true" outlineLevel="0" collapsed="false">
      <c r="A185" s="37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38" t="str">
        <f aca="false">IF(('MiT Strom Pipeline'!R52="follow-up")+('MiT Strom Pipeline'!R52="Evaluation")+('MiT Strom Pipeline'!R52="tbd")+('MiT Strom Pipeline'!R52="In evaluation")&gt;0,'MiT Strom Pipeline'!B52,"")</f>
        <v/>
      </c>
      <c r="C185" s="37" t="str">
        <f aca="false">IF(('MiT Strom Pipeline'!R52="follow-up")+('MiT Strom Pipeline'!R52="Evaluation")+('MiT Strom Pipeline'!R52="tbd")+('MiT Strom Pipeline'!R52="In evaluation")&gt;0,'MiT Strom Pipeline'!C52,"")</f>
        <v/>
      </c>
      <c r="D185" s="38" t="str">
        <f aca="false">IF(('MiT Strom Pipeline'!R52="follow-up")+('MiT Strom Pipeline'!R52="Evaluation")+('MiT Strom Pipeline'!R52="tbd")+('MiT Strom Pipeline'!R52="In evaluation")&gt;0,'MiT Strom Pipeline'!D52,"")</f>
        <v/>
      </c>
      <c r="E185" s="38" t="str">
        <f aca="false">IF(('MiT Strom Pipeline'!R52="follow-up")+('MiT Strom Pipeline'!R52="Evaluation")+('MiT Strom Pipeline'!R52="tbd")+('MiT Strom Pipeline'!R52="In evaluation")&gt;0,'MiT Strom Pipeline'!E52,"")</f>
        <v/>
      </c>
      <c r="F185" s="39" t="str">
        <f aca="false">IF(('MiT Strom Pipeline'!R52="follow-up")+('MiT Strom Pipeline'!R52="Evaluation")+('MiT Strom Pipeline'!R52="tbd")+('MiT Strom Pipeline'!R52="In evaluation")&gt;0,IF(ISNUMBER('MiT Strom Pipeline'!I52),'MiT Strom Pipeline'!I52,0),"")</f>
        <v/>
      </c>
      <c r="G185" s="39" t="str">
        <f aca="false">IF(('MiT Strom Pipeline'!R52="follow-up")+('MiT Strom Pipeline'!R52="Evaluation")+('MiT Strom Pipeline'!R52="tbd")+('MiT Strom Pipeline'!R52="In evaluation")&gt;0,IF(ISNUMBER('MiT Strom Pipeline'!Q52),'MiT Strom Pipeline'!Q52,0),"")</f>
        <v/>
      </c>
      <c r="H185" s="39" t="str">
        <f aca="false">IF(('MiT Strom Pipeline'!R52="follow-up")+('MiT Strom Pipeline'!R52="Evaluation")+('MiT Strom Pipeline'!R52="tbd")+('MiT Strom Pipeline'!R52="In evaluation")&gt;0,IF(ISNUMBER('MiT Strom Pipeline'!O52),'MiT Strom Pipeline'!O52,0),"")</f>
        <v/>
      </c>
      <c r="I185" s="37" t="str">
        <f aca="false">IF(('MiT Strom Pipeline'!R52="follow-up")+('MiT Strom Pipeline'!R52="Evaluation")+('MiT Strom Pipeline'!R52="tbd")+('MiT Strom Pipeline'!R52="In evaluation")&gt;0,'MiT Strom Pipeline'!R52,"")</f>
        <v/>
      </c>
      <c r="J185" s="37" t="str">
        <f aca="false">IF(('MiT Strom Pipeline'!R52="follow-up")+('MiT Strom Pipeline'!R52="Evaluation")+('MiT Strom Pipeline'!R52="tbd")+('MiT Strom Pipeline'!R52="In evaluation")&gt;0,'MiT Strom Pipeline'!S52,"")</f>
        <v/>
      </c>
      <c r="K185" s="38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false" customHeight="true" outlineLevel="0" collapsed="false">
      <c r="A186" s="21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22" t="str">
        <f aca="false">IF(('MiT Strom Pipeline'!R53="follow-up")+('MiT Strom Pipeline'!R53="Evaluation")+('MiT Strom Pipeline'!R53="tbd")+('MiT Strom Pipeline'!R53="In evaluation")&gt;0,'MiT Strom Pipeline'!B53,"")</f>
        <v/>
      </c>
      <c r="C186" s="21" t="str">
        <f aca="false">IF(('MiT Strom Pipeline'!R53="follow-up")+('MiT Strom Pipeline'!R53="Evaluation")+('MiT Strom Pipeline'!R53="tbd")+('MiT Strom Pipeline'!R53="In evaluation")&gt;0,'MiT Strom Pipeline'!C53,"")</f>
        <v/>
      </c>
      <c r="D186" s="22" t="str">
        <f aca="false">IF(('MiT Strom Pipeline'!R53="follow-up")+('MiT Strom Pipeline'!R53="Evaluation")+('MiT Strom Pipeline'!R53="tbd")+('MiT Strom Pipeline'!R53="In evaluation")&gt;0,'MiT Strom Pipeline'!D53,"")</f>
        <v/>
      </c>
      <c r="E186" s="22" t="str">
        <f aca="false">IF(('MiT Strom Pipeline'!R53="follow-up")+('MiT Strom Pipeline'!R53="Evaluation")+('MiT Strom Pipeline'!R53="tbd")+('MiT Strom Pipeline'!R53="In evaluation")&gt;0,'MiT Strom Pipeline'!E53,"")</f>
        <v/>
      </c>
      <c r="F186" s="23" t="str">
        <f aca="false">IF(('MiT Strom Pipeline'!R53="follow-up")+('MiT Strom Pipeline'!R53="Evaluation")+('MiT Strom Pipeline'!R53="tbd")+('MiT Strom Pipeline'!R53="In evaluation")&gt;0,IF(ISNUMBER('MiT Strom Pipeline'!I53),'MiT Strom Pipeline'!I53,0),"")</f>
        <v/>
      </c>
      <c r="G186" s="23" t="str">
        <f aca="false">IF(('MiT Strom Pipeline'!R53="follow-up")+('MiT Strom Pipeline'!R53="Evaluation")+('MiT Strom Pipeline'!R53="tbd")+('MiT Strom Pipeline'!R53="In evaluation")&gt;0,IF(ISNUMBER('MiT Strom Pipeline'!Q53),'MiT Strom Pipeline'!Q53,0),"")</f>
        <v/>
      </c>
      <c r="H186" s="23" t="str">
        <f aca="false">IF(('MiT Strom Pipeline'!R53="follow-up")+('MiT Strom Pipeline'!R53="Evaluation")+('MiT Strom Pipeline'!R53="tbd")+('MiT Strom Pipeline'!R53="In evaluation")&gt;0,IF(ISNUMBER('MiT Strom Pipeline'!O53),'MiT Strom Pipeline'!O53,0),"")</f>
        <v/>
      </c>
      <c r="I186" s="21" t="str">
        <f aca="false">IF(('MiT Strom Pipeline'!R53="follow-up")+('MiT Strom Pipeline'!R53="Evaluation")+('MiT Strom Pipeline'!R53="tbd")+('MiT Strom Pipeline'!R53="In evaluation")&gt;0,'MiT Strom Pipeline'!R53,"")</f>
        <v/>
      </c>
      <c r="J186" s="21" t="str">
        <f aca="false">IF(('MiT Strom Pipeline'!R53="follow-up")+('MiT Strom Pipeline'!R53="Evaluation")+('MiT Strom Pipeline'!R53="tbd")+('MiT Strom Pipeline'!R53="In evaluation")&gt;0,'MiT Strom Pipeline'!S53,"")</f>
        <v/>
      </c>
      <c r="K186" s="22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false" customHeight="true" outlineLevel="0" collapsed="false">
      <c r="A187" s="37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38" t="str">
        <f aca="false">IF(('MiT Strom Pipeline'!R54="follow-up")+('MiT Strom Pipeline'!R54="Evaluation")+('MiT Strom Pipeline'!R54="tbd")+('MiT Strom Pipeline'!R54="In evaluation")&gt;0,'MiT Strom Pipeline'!B54,"")</f>
        <v/>
      </c>
      <c r="C187" s="37" t="str">
        <f aca="false">IF(('MiT Strom Pipeline'!R54="follow-up")+('MiT Strom Pipeline'!R54="Evaluation")+('MiT Strom Pipeline'!R54="tbd")+('MiT Strom Pipeline'!R54="In evaluation")&gt;0,'MiT Strom Pipeline'!C54,"")</f>
        <v/>
      </c>
      <c r="D187" s="38" t="str">
        <f aca="false">IF(('MiT Strom Pipeline'!R54="follow-up")+('MiT Strom Pipeline'!R54="Evaluation")+('MiT Strom Pipeline'!R54="tbd")+('MiT Strom Pipeline'!R54="In evaluation")&gt;0,'MiT Strom Pipeline'!D54,"")</f>
        <v/>
      </c>
      <c r="E187" s="38" t="str">
        <f aca="false">IF(('MiT Strom Pipeline'!R54="follow-up")+('MiT Strom Pipeline'!R54="Evaluation")+('MiT Strom Pipeline'!R54="tbd")+('MiT Strom Pipeline'!R54="In evaluation")&gt;0,'MiT Strom Pipeline'!E54,"")</f>
        <v/>
      </c>
      <c r="F187" s="39" t="str">
        <f aca="false">IF(('MiT Strom Pipeline'!R54="follow-up")+('MiT Strom Pipeline'!R54="Evaluation")+('MiT Strom Pipeline'!R54="tbd")+('MiT Strom Pipeline'!R54="In evaluation")&gt;0,IF(ISNUMBER('MiT Strom Pipeline'!I54),'MiT Strom Pipeline'!I54,0),"")</f>
        <v/>
      </c>
      <c r="G187" s="39" t="str">
        <f aca="false">IF(('MiT Strom Pipeline'!R54="follow-up")+('MiT Strom Pipeline'!R54="Evaluation")+('MiT Strom Pipeline'!R54="tbd")+('MiT Strom Pipeline'!R54="In evaluation")&gt;0,IF(ISNUMBER('MiT Strom Pipeline'!Q54),'MiT Strom Pipeline'!Q54,0),"")</f>
        <v/>
      </c>
      <c r="H187" s="39" t="str">
        <f aca="false">IF(('MiT Strom Pipeline'!R54="follow-up")+('MiT Strom Pipeline'!R54="Evaluation")+('MiT Strom Pipeline'!R54="tbd")+('MiT Strom Pipeline'!R54="In evaluation")&gt;0,IF(ISNUMBER('MiT Strom Pipeline'!O54),'MiT Strom Pipeline'!O54,0),"")</f>
        <v/>
      </c>
      <c r="I187" s="37" t="str">
        <f aca="false">IF(('MiT Strom Pipeline'!R54="follow-up")+('MiT Strom Pipeline'!R54="Evaluation")+('MiT Strom Pipeline'!R54="tbd")+('MiT Strom Pipeline'!R54="In evaluation")&gt;0,'MiT Strom Pipeline'!R54,"")</f>
        <v/>
      </c>
      <c r="J187" s="37" t="str">
        <f aca="false">IF(('MiT Strom Pipeline'!R54="follow-up")+('MiT Strom Pipeline'!R54="Evaluation")+('MiT Strom Pipeline'!R54="tbd")+('MiT Strom Pipeline'!R54="In evaluation")&gt;0,'MiT Strom Pipeline'!S54,"")</f>
        <v/>
      </c>
      <c r="K187" s="38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false" customHeight="true" outlineLevel="0" collapsed="false">
      <c r="A188" s="21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22" t="str">
        <f aca="false">IF(('MiT Strom Pipeline'!R55="follow-up")+('MiT Strom Pipeline'!R55="Evaluation")+('MiT Strom Pipeline'!R55="tbd")+('MiT Strom Pipeline'!R55="In evaluation")&gt;0,'MiT Strom Pipeline'!B55,"")</f>
        <v/>
      </c>
      <c r="C188" s="21" t="str">
        <f aca="false">IF(('MiT Strom Pipeline'!R55="follow-up")+('MiT Strom Pipeline'!R55="Evaluation")+('MiT Strom Pipeline'!R55="tbd")+('MiT Strom Pipeline'!R55="In evaluation")&gt;0,'MiT Strom Pipeline'!C55,"")</f>
        <v/>
      </c>
      <c r="D188" s="22" t="str">
        <f aca="false">IF(('MiT Strom Pipeline'!R55="follow-up")+('MiT Strom Pipeline'!R55="Evaluation")+('MiT Strom Pipeline'!R55="tbd")+('MiT Strom Pipeline'!R55="In evaluation")&gt;0,'MiT Strom Pipeline'!D55,"")</f>
        <v/>
      </c>
      <c r="E188" s="22" t="str">
        <f aca="false">IF(('MiT Strom Pipeline'!R55="follow-up")+('MiT Strom Pipeline'!R55="Evaluation")+('MiT Strom Pipeline'!R55="tbd")+('MiT Strom Pipeline'!R55="In evaluation")&gt;0,'MiT Strom Pipeline'!E55,"")</f>
        <v/>
      </c>
      <c r="F188" s="23" t="str">
        <f aca="false">IF(('MiT Strom Pipeline'!R55="follow-up")+('MiT Strom Pipeline'!R55="Evaluation")+('MiT Strom Pipeline'!R55="tbd")+('MiT Strom Pipeline'!R55="In evaluation")&gt;0,IF(ISNUMBER('MiT Strom Pipeline'!I55),'MiT Strom Pipeline'!I55,0),"")</f>
        <v/>
      </c>
      <c r="G188" s="23" t="str">
        <f aca="false">IF(('MiT Strom Pipeline'!R55="follow-up")+('MiT Strom Pipeline'!R55="Evaluation")+('MiT Strom Pipeline'!R55="tbd")+('MiT Strom Pipeline'!R55="In evaluation")&gt;0,IF(ISNUMBER('MiT Strom Pipeline'!Q55),'MiT Strom Pipeline'!Q55,0),"")</f>
        <v/>
      </c>
      <c r="H188" s="23" t="str">
        <f aca="false">IF(('MiT Strom Pipeline'!R55="follow-up")+('MiT Strom Pipeline'!R55="Evaluation")+('MiT Strom Pipeline'!R55="tbd")+('MiT Strom Pipeline'!R55="In evaluation")&gt;0,IF(ISNUMBER('MiT Strom Pipeline'!O55),'MiT Strom Pipeline'!O55,0),"")</f>
        <v/>
      </c>
      <c r="I188" s="21" t="str">
        <f aca="false">IF(('MiT Strom Pipeline'!R55="follow-up")+('MiT Strom Pipeline'!R55="Evaluation")+('MiT Strom Pipeline'!R55="tbd")+('MiT Strom Pipeline'!R55="In evaluation")&gt;0,'MiT Strom Pipeline'!R55,"")</f>
        <v/>
      </c>
      <c r="J188" s="21" t="str">
        <f aca="false">IF(('MiT Strom Pipeline'!R55="follow-up")+('MiT Strom Pipeline'!R55="Evaluation")+('MiT Strom Pipeline'!R55="tbd")+('MiT Strom Pipeline'!R55="In evaluation")&gt;0,'MiT Strom Pipeline'!S55,"")</f>
        <v/>
      </c>
      <c r="K188" s="22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false" customHeight="true" outlineLevel="0" collapsed="false">
      <c r="A189" s="37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38" t="str">
        <f aca="false">IF(('MiT Strom Pipeline'!R56="follow-up")+('MiT Strom Pipeline'!R56="Evaluation")+('MiT Strom Pipeline'!R56="tbd")+('MiT Strom Pipeline'!R56="In evaluation")&gt;0,'MiT Strom Pipeline'!B56,"")</f>
        <v/>
      </c>
      <c r="C189" s="37" t="str">
        <f aca="false">IF(('MiT Strom Pipeline'!R56="follow-up")+('MiT Strom Pipeline'!R56="Evaluation")+('MiT Strom Pipeline'!R56="tbd")+('MiT Strom Pipeline'!R56="In evaluation")&gt;0,'MiT Strom Pipeline'!C56,"")</f>
        <v/>
      </c>
      <c r="D189" s="38" t="str">
        <f aca="false">IF(('MiT Strom Pipeline'!R56="follow-up")+('MiT Strom Pipeline'!R56="Evaluation")+('MiT Strom Pipeline'!R56="tbd")+('MiT Strom Pipeline'!R56="In evaluation")&gt;0,'MiT Strom Pipeline'!D56,"")</f>
        <v/>
      </c>
      <c r="E189" s="38" t="str">
        <f aca="false">IF(('MiT Strom Pipeline'!R56="follow-up")+('MiT Strom Pipeline'!R56="Evaluation")+('MiT Strom Pipeline'!R56="tbd")+('MiT Strom Pipeline'!R56="In evaluation")&gt;0,'MiT Strom Pipeline'!E56,"")</f>
        <v/>
      </c>
      <c r="F189" s="39" t="str">
        <f aca="false">IF(('MiT Strom Pipeline'!R56="follow-up")+('MiT Strom Pipeline'!R56="Evaluation")+('MiT Strom Pipeline'!R56="tbd")+('MiT Strom Pipeline'!R56="In evaluation")&gt;0,IF(ISNUMBER('MiT Strom Pipeline'!I56),'MiT Strom Pipeline'!I56,0),"")</f>
        <v/>
      </c>
      <c r="G189" s="39" t="str">
        <f aca="false">IF(('MiT Strom Pipeline'!R56="follow-up")+('MiT Strom Pipeline'!R56="Evaluation")+('MiT Strom Pipeline'!R56="tbd")+('MiT Strom Pipeline'!R56="In evaluation")&gt;0,IF(ISNUMBER('MiT Strom Pipeline'!Q56),'MiT Strom Pipeline'!Q56,0),"")</f>
        <v/>
      </c>
      <c r="H189" s="39" t="str">
        <f aca="false">IF(('MiT Strom Pipeline'!R56="follow-up")+('MiT Strom Pipeline'!R56="Evaluation")+('MiT Strom Pipeline'!R56="tbd")+('MiT Strom Pipeline'!R56="In evaluation")&gt;0,IF(ISNUMBER('MiT Strom Pipeline'!O56),'MiT Strom Pipeline'!O56,0),"")</f>
        <v/>
      </c>
      <c r="I189" s="37" t="str">
        <f aca="false">IF(('MiT Strom Pipeline'!R56="follow-up")+('MiT Strom Pipeline'!R56="Evaluation")+('MiT Strom Pipeline'!R56="tbd")+('MiT Strom Pipeline'!R56="In evaluation")&gt;0,'MiT Strom Pipeline'!R56,"")</f>
        <v/>
      </c>
      <c r="J189" s="37" t="str">
        <f aca="false">IF(('MiT Strom Pipeline'!R56="follow-up")+('MiT Strom Pipeline'!R56="Evaluation")+('MiT Strom Pipeline'!R56="tbd")+('MiT Strom Pipeline'!R56="In evaluation")&gt;0,'MiT Strom Pipeline'!S56,"")</f>
        <v/>
      </c>
      <c r="K189" s="38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false" customHeight="true" outlineLevel="0" collapsed="false">
      <c r="A190" s="21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22" t="str">
        <f aca="false">IF(('MiT Strom Pipeline'!R57="follow-up")+('MiT Strom Pipeline'!R57="Evaluation")+('MiT Strom Pipeline'!R57="tbd")+('MiT Strom Pipeline'!R57="In evaluation")&gt;0,'MiT Strom Pipeline'!B57,"")</f>
        <v/>
      </c>
      <c r="C190" s="21" t="str">
        <f aca="false">IF(('MiT Strom Pipeline'!R57="follow-up")+('MiT Strom Pipeline'!R57="Evaluation")+('MiT Strom Pipeline'!R57="tbd")+('MiT Strom Pipeline'!R57="In evaluation")&gt;0,'MiT Strom Pipeline'!C57,"")</f>
        <v/>
      </c>
      <c r="D190" s="22" t="str">
        <f aca="false">IF(('MiT Strom Pipeline'!R57="follow-up")+('MiT Strom Pipeline'!R57="Evaluation")+('MiT Strom Pipeline'!R57="tbd")+('MiT Strom Pipeline'!R57="In evaluation")&gt;0,'MiT Strom Pipeline'!D57,"")</f>
        <v/>
      </c>
      <c r="E190" s="22" t="str">
        <f aca="false">IF(('MiT Strom Pipeline'!R57="follow-up")+('MiT Strom Pipeline'!R57="Evaluation")+('MiT Strom Pipeline'!R57="tbd")+('MiT Strom Pipeline'!R57="In evaluation")&gt;0,'MiT Strom Pipeline'!E57,"")</f>
        <v/>
      </c>
      <c r="F190" s="23" t="str">
        <f aca="false">IF(('MiT Strom Pipeline'!R57="follow-up")+('MiT Strom Pipeline'!R57="Evaluation")+('MiT Strom Pipeline'!R57="tbd")+('MiT Strom Pipeline'!R57="In evaluation")&gt;0,IF(ISNUMBER('MiT Strom Pipeline'!I57),'MiT Strom Pipeline'!I57,0),"")</f>
        <v/>
      </c>
      <c r="G190" s="23" t="str">
        <f aca="false">IF(('MiT Strom Pipeline'!R57="follow-up")+('MiT Strom Pipeline'!R57="Evaluation")+('MiT Strom Pipeline'!R57="tbd")+('MiT Strom Pipeline'!R57="In evaluation")&gt;0,IF(ISNUMBER('MiT Strom Pipeline'!Q57),'MiT Strom Pipeline'!Q57,0),"")</f>
        <v/>
      </c>
      <c r="H190" s="23" t="str">
        <f aca="false">IF(('MiT Strom Pipeline'!R57="follow-up")+('MiT Strom Pipeline'!R57="Evaluation")+('MiT Strom Pipeline'!R57="tbd")+('MiT Strom Pipeline'!R57="In evaluation")&gt;0,IF(ISNUMBER('MiT Strom Pipeline'!O57),'MiT Strom Pipeline'!O57,0),"")</f>
        <v/>
      </c>
      <c r="I190" s="21" t="str">
        <f aca="false">IF(('MiT Strom Pipeline'!R57="follow-up")+('MiT Strom Pipeline'!R57="Evaluation")+('MiT Strom Pipeline'!R57="tbd")+('MiT Strom Pipeline'!R57="In evaluation")&gt;0,'MiT Strom Pipeline'!R57,"")</f>
        <v/>
      </c>
      <c r="J190" s="21" t="str">
        <f aca="false">IF(('MiT Strom Pipeline'!R57="follow-up")+('MiT Strom Pipeline'!R57="Evaluation")+('MiT Strom Pipeline'!R57="tbd")+('MiT Strom Pipeline'!R57="In evaluation")&gt;0,'MiT Strom Pipeline'!S57,"")</f>
        <v/>
      </c>
      <c r="K190" s="22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false" customHeight="true" outlineLevel="0" collapsed="false">
      <c r="A191" s="37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38" t="str">
        <f aca="false">IF(('MiT Strom Pipeline'!R58="follow-up")+('MiT Strom Pipeline'!R58="Evaluation")+('MiT Strom Pipeline'!R58="tbd")+('MiT Strom Pipeline'!R58="In evaluation")&gt;0,'MiT Strom Pipeline'!B58,"")</f>
        <v/>
      </c>
      <c r="C191" s="37" t="str">
        <f aca="false">IF(('MiT Strom Pipeline'!R58="follow-up")+('MiT Strom Pipeline'!R58="Evaluation")+('MiT Strom Pipeline'!R58="tbd")+('MiT Strom Pipeline'!R58="In evaluation")&gt;0,'MiT Strom Pipeline'!C58,"")</f>
        <v/>
      </c>
      <c r="D191" s="38" t="str">
        <f aca="false">IF(('MiT Strom Pipeline'!R58="follow-up")+('MiT Strom Pipeline'!R58="Evaluation")+('MiT Strom Pipeline'!R58="tbd")+('MiT Strom Pipeline'!R58="In evaluation")&gt;0,'MiT Strom Pipeline'!D58,"")</f>
        <v/>
      </c>
      <c r="E191" s="38" t="str">
        <f aca="false">IF(('MiT Strom Pipeline'!R58="follow-up")+('MiT Strom Pipeline'!R58="Evaluation")+('MiT Strom Pipeline'!R58="tbd")+('MiT Strom Pipeline'!R58="In evaluation")&gt;0,'MiT Strom Pipeline'!E58,"")</f>
        <v/>
      </c>
      <c r="F191" s="39" t="str">
        <f aca="false">IF(('MiT Strom Pipeline'!R58="follow-up")+('MiT Strom Pipeline'!R58="Evaluation")+('MiT Strom Pipeline'!R58="tbd")+('MiT Strom Pipeline'!R58="In evaluation")&gt;0,IF(ISNUMBER('MiT Strom Pipeline'!I58),'MiT Strom Pipeline'!I58,0),"")</f>
        <v/>
      </c>
      <c r="G191" s="39" t="str">
        <f aca="false">IF(('MiT Strom Pipeline'!R58="follow-up")+('MiT Strom Pipeline'!R58="Evaluation")+('MiT Strom Pipeline'!R58="tbd")+('MiT Strom Pipeline'!R58="In evaluation")&gt;0,IF(ISNUMBER('MiT Strom Pipeline'!Q58),'MiT Strom Pipeline'!Q58,0),"")</f>
        <v/>
      </c>
      <c r="H191" s="39" t="str">
        <f aca="false">IF(('MiT Strom Pipeline'!R58="follow-up")+('MiT Strom Pipeline'!R58="Evaluation")+('MiT Strom Pipeline'!R58="tbd")+('MiT Strom Pipeline'!R58="In evaluation")&gt;0,IF(ISNUMBER('MiT Strom Pipeline'!O58),'MiT Strom Pipeline'!O58,0),"")</f>
        <v/>
      </c>
      <c r="I191" s="37" t="str">
        <f aca="false">IF(('MiT Strom Pipeline'!R58="follow-up")+('MiT Strom Pipeline'!R58="Evaluation")+('MiT Strom Pipeline'!R58="tbd")+('MiT Strom Pipeline'!R58="In evaluation")&gt;0,'MiT Strom Pipeline'!R58,"")</f>
        <v/>
      </c>
      <c r="J191" s="37" t="str">
        <f aca="false">IF(('MiT Strom Pipeline'!R58="follow-up")+('MiT Strom Pipeline'!R58="Evaluation")+('MiT Strom Pipeline'!R58="tbd")+('MiT Strom Pipeline'!R58="In evaluation")&gt;0,'MiT Strom Pipeline'!S58,"")</f>
        <v/>
      </c>
      <c r="K191" s="38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false" customHeight="true" outlineLevel="0" collapsed="false">
      <c r="A192" s="21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22" t="str">
        <f aca="false">IF(('MiT Strom Pipeline'!R59="follow-up")+('MiT Strom Pipeline'!R59="Evaluation")+('MiT Strom Pipeline'!R59="tbd")+('MiT Strom Pipeline'!R59="In evaluation")&gt;0,'MiT Strom Pipeline'!B59,"")</f>
        <v/>
      </c>
      <c r="C192" s="21" t="str">
        <f aca="false">IF(('MiT Strom Pipeline'!R59="follow-up")+('MiT Strom Pipeline'!R59="Evaluation")+('MiT Strom Pipeline'!R59="tbd")+('MiT Strom Pipeline'!R59="In evaluation")&gt;0,'MiT Strom Pipeline'!C59,"")</f>
        <v/>
      </c>
      <c r="D192" s="22" t="str">
        <f aca="false">IF(('MiT Strom Pipeline'!R59="follow-up")+('MiT Strom Pipeline'!R59="Evaluation")+('MiT Strom Pipeline'!R59="tbd")+('MiT Strom Pipeline'!R59="In evaluation")&gt;0,'MiT Strom Pipeline'!D59,"")</f>
        <v/>
      </c>
      <c r="E192" s="22" t="str">
        <f aca="false">IF(('MiT Strom Pipeline'!R59="follow-up")+('MiT Strom Pipeline'!R59="Evaluation")+('MiT Strom Pipeline'!R59="tbd")+('MiT Strom Pipeline'!R59="In evaluation")&gt;0,'MiT Strom Pipeline'!E59,"")</f>
        <v/>
      </c>
      <c r="F192" s="23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23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23" t="str">
        <f aca="false">IF(('MiT Strom Pipeline'!R59="follow-up")+('MiT Strom Pipeline'!R59="Evaluation")+('MiT Strom Pipeline'!R59="tbd")+('MiT Strom Pipeline'!R59="In evaluation")&gt;0,IF(ISNUMBER('MiT Strom Pipeline'!O59),'MiT Strom Pipeline'!O59,0),"")</f>
        <v/>
      </c>
      <c r="I192" s="21" t="str">
        <f aca="false">IF(('MiT Strom Pipeline'!R59="follow-up")+('MiT Strom Pipeline'!R59="Evaluation")+('MiT Strom Pipeline'!R59="tbd")+('MiT Strom Pipeline'!R59="In evaluation")&gt;0,'MiT Strom Pipeline'!R59,"")</f>
        <v/>
      </c>
      <c r="J192" s="21" t="str">
        <f aca="false">IF(('MiT Strom Pipeline'!R59="follow-up")+('MiT Strom Pipeline'!R59="Evaluation")+('MiT Strom Pipeline'!R59="tbd")+('MiT Strom Pipeline'!R59="In evaluation")&gt;0,'MiT Strom Pipeline'!S59,"")</f>
        <v/>
      </c>
      <c r="K192" s="22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false" customHeight="true" outlineLevel="0" collapsed="false">
      <c r="A193" s="37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38" t="str">
        <f aca="false">IF(('MiT Strom Pipeline'!R60="follow-up")+('MiT Strom Pipeline'!R60="Evaluation")+('MiT Strom Pipeline'!R60="tbd")+('MiT Strom Pipeline'!R60="In evaluation")&gt;0,'MiT Strom Pipeline'!B60,"")</f>
        <v/>
      </c>
      <c r="C193" s="37" t="str">
        <f aca="false">IF(('MiT Strom Pipeline'!R60="follow-up")+('MiT Strom Pipeline'!R60="Evaluation")+('MiT Strom Pipeline'!R60="tbd")+('MiT Strom Pipeline'!R60="In evaluation")&gt;0,'MiT Strom Pipeline'!C60,"")</f>
        <v/>
      </c>
      <c r="D193" s="38" t="str">
        <f aca="false">IF(('MiT Strom Pipeline'!R60="follow-up")+('MiT Strom Pipeline'!R60="Evaluation")+('MiT Strom Pipeline'!R60="tbd")+('MiT Strom Pipeline'!R60="In evaluation")&gt;0,'MiT Strom Pipeline'!D60,"")</f>
        <v/>
      </c>
      <c r="E193" s="38" t="str">
        <f aca="false">IF(('MiT Strom Pipeline'!R60="follow-up")+('MiT Strom Pipeline'!R60="Evaluation")+('MiT Strom Pipeline'!R60="tbd")+('MiT Strom Pipeline'!R60="In evaluation")&gt;0,'MiT Strom Pipeline'!E60,"")</f>
        <v/>
      </c>
      <c r="F193" s="39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39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39" t="str">
        <f aca="false">IF(('MiT Strom Pipeline'!R60="follow-up")+('MiT Strom Pipeline'!R60="Evaluation")+('MiT Strom Pipeline'!R60="tbd")+('MiT Strom Pipeline'!R60="In evaluation")&gt;0,IF(ISNUMBER('MiT Strom Pipeline'!O60),'MiT Strom Pipeline'!O60,0),"")</f>
        <v/>
      </c>
      <c r="I193" s="37" t="str">
        <f aca="false">IF(('MiT Strom Pipeline'!R60="follow-up")+('MiT Strom Pipeline'!R60="Evaluation")+('MiT Strom Pipeline'!R60="tbd")+('MiT Strom Pipeline'!R60="In evaluation")&gt;0,'MiT Strom Pipeline'!R60,"")</f>
        <v/>
      </c>
      <c r="J193" s="37" t="str">
        <f aca="false">IF(('MiT Strom Pipeline'!R60="follow-up")+('MiT Strom Pipeline'!R60="Evaluation")+('MiT Strom Pipeline'!R60="tbd")+('MiT Strom Pipeline'!R60="In evaluation")&gt;0,'MiT Strom Pipeline'!S60,"")</f>
        <v/>
      </c>
      <c r="K193" s="38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false" customHeight="true" outlineLevel="0" collapsed="false">
      <c r="A194" s="21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22" t="str">
        <f aca="false">IF(('MiT Strom Pipeline'!R61="follow-up")+('MiT Strom Pipeline'!R61="Evaluation")+('MiT Strom Pipeline'!R61="tbd")+('MiT Strom Pipeline'!R61="In evaluation")&gt;0,'MiT Strom Pipeline'!B61,"")</f>
        <v/>
      </c>
      <c r="C194" s="21" t="str">
        <f aca="false">IF(('MiT Strom Pipeline'!R61="follow-up")+('MiT Strom Pipeline'!R61="Evaluation")+('MiT Strom Pipeline'!R61="tbd")+('MiT Strom Pipeline'!R61="In evaluation")&gt;0,'MiT Strom Pipeline'!C61,"")</f>
        <v/>
      </c>
      <c r="D194" s="22" t="str">
        <f aca="false">IF(('MiT Strom Pipeline'!R61="follow-up")+('MiT Strom Pipeline'!R61="Evaluation")+('MiT Strom Pipeline'!R61="tbd")+('MiT Strom Pipeline'!R61="In evaluation")&gt;0,'MiT Strom Pipeline'!D61,"")</f>
        <v/>
      </c>
      <c r="E194" s="22" t="str">
        <f aca="false">IF(('MiT Strom Pipeline'!R61="follow-up")+('MiT Strom Pipeline'!R61="Evaluation")+('MiT Strom Pipeline'!R61="tbd")+('MiT Strom Pipeline'!R61="In evaluation")&gt;0,'MiT Strom Pipeline'!E61,"")</f>
        <v/>
      </c>
      <c r="F194" s="23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23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23" t="str">
        <f aca="false">IF(('MiT Strom Pipeline'!R61="follow-up")+('MiT Strom Pipeline'!R61="Evaluation")+('MiT Strom Pipeline'!R61="tbd")+('MiT Strom Pipeline'!R61="In evaluation")&gt;0,IF(ISNUMBER('MiT Strom Pipeline'!O61),'MiT Strom Pipeline'!O61,0),"")</f>
        <v/>
      </c>
      <c r="I194" s="21" t="str">
        <f aca="false">IF(('MiT Strom Pipeline'!R61="follow-up")+('MiT Strom Pipeline'!R61="Evaluation")+('MiT Strom Pipeline'!R61="tbd")+('MiT Strom Pipeline'!R61="In evaluation")&gt;0,'MiT Strom Pipeline'!R61,"")</f>
        <v/>
      </c>
      <c r="J194" s="21" t="str">
        <f aca="false">IF(('MiT Strom Pipeline'!R61="follow-up")+('MiT Strom Pipeline'!R61="Evaluation")+('MiT Strom Pipeline'!R61="tbd")+('MiT Strom Pipeline'!R61="In evaluation")&gt;0,'MiT Strom Pipeline'!S61,"")</f>
        <v/>
      </c>
      <c r="K194" s="22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false" customHeight="true" outlineLevel="0" collapsed="false">
      <c r="A195" s="37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38" t="str">
        <f aca="false">IF(('MiT Strom Pipeline'!R62="follow-up")+('MiT Strom Pipeline'!R62="Evaluation")+('MiT Strom Pipeline'!R62="tbd")+('MiT Strom Pipeline'!R62="In evaluation")&gt;0,'MiT Strom Pipeline'!B62,"")</f>
        <v/>
      </c>
      <c r="C195" s="37" t="str">
        <f aca="false">IF(('MiT Strom Pipeline'!R62="follow-up")+('MiT Strom Pipeline'!R62="Evaluation")+('MiT Strom Pipeline'!R62="tbd")+('MiT Strom Pipeline'!R62="In evaluation")&gt;0,'MiT Strom Pipeline'!C62,"")</f>
        <v/>
      </c>
      <c r="D195" s="38" t="str">
        <f aca="false">IF(('MiT Strom Pipeline'!R62="follow-up")+('MiT Strom Pipeline'!R62="Evaluation")+('MiT Strom Pipeline'!R62="tbd")+('MiT Strom Pipeline'!R62="In evaluation")&gt;0,'MiT Strom Pipeline'!D62,"")</f>
        <v/>
      </c>
      <c r="E195" s="38" t="str">
        <f aca="false">IF(('MiT Strom Pipeline'!R62="follow-up")+('MiT Strom Pipeline'!R62="Evaluation")+('MiT Strom Pipeline'!R62="tbd")+('MiT Strom Pipeline'!R62="In evaluation")&gt;0,'MiT Strom Pipeline'!E62,"")</f>
        <v/>
      </c>
      <c r="F195" s="39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39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39" t="str">
        <f aca="false">IF(('MiT Strom Pipeline'!R62="follow-up")+('MiT Strom Pipeline'!R62="Evaluation")+('MiT Strom Pipeline'!R62="tbd")+('MiT Strom Pipeline'!R62="In evaluation")&gt;0,IF(ISNUMBER('MiT Strom Pipeline'!O62),'MiT Strom Pipeline'!O62,0),"")</f>
        <v/>
      </c>
      <c r="I195" s="37" t="str">
        <f aca="false">IF(('MiT Strom Pipeline'!R62="follow-up")+('MiT Strom Pipeline'!R62="Evaluation")+('MiT Strom Pipeline'!R62="tbd")+('MiT Strom Pipeline'!R62="In evaluation")&gt;0,'MiT Strom Pipeline'!R62,"")</f>
        <v/>
      </c>
      <c r="J195" s="37" t="str">
        <f aca="false">IF(('MiT Strom Pipeline'!R62="follow-up")+('MiT Strom Pipeline'!R62="Evaluation")+('MiT Strom Pipeline'!R62="tbd")+('MiT Strom Pipeline'!R62="In evaluation")&gt;0,'MiT Strom Pipeline'!S62,"")</f>
        <v/>
      </c>
      <c r="K195" s="38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false" customHeight="true" outlineLevel="0" collapsed="false">
      <c r="A196" s="21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22" t="str">
        <f aca="false">IF(('MiT Strom Pipeline'!R63="follow-up")+('MiT Strom Pipeline'!R63="Evaluation")+('MiT Strom Pipeline'!R63="tbd")+('MiT Strom Pipeline'!R63="In evaluation")&gt;0,'MiT Strom Pipeline'!B63,"")</f>
        <v/>
      </c>
      <c r="C196" s="21" t="str">
        <f aca="false">IF(('MiT Strom Pipeline'!R63="follow-up")+('MiT Strom Pipeline'!R63="Evaluation")+('MiT Strom Pipeline'!R63="tbd")+('MiT Strom Pipeline'!R63="In evaluation")&gt;0,'MiT Strom Pipeline'!C63,"")</f>
        <v/>
      </c>
      <c r="D196" s="22" t="str">
        <f aca="false">IF(('MiT Strom Pipeline'!R63="follow-up")+('MiT Strom Pipeline'!R63="Evaluation")+('MiT Strom Pipeline'!R63="tbd")+('MiT Strom Pipeline'!R63="In evaluation")&gt;0,'MiT Strom Pipeline'!D63,"")</f>
        <v/>
      </c>
      <c r="E196" s="22" t="str">
        <f aca="false">IF(('MiT Strom Pipeline'!R63="follow-up")+('MiT Strom Pipeline'!R63="Evaluation")+('MiT Strom Pipeline'!R63="tbd")+('MiT Strom Pipeline'!R63="In evaluation")&gt;0,'MiT Strom Pipeline'!E63,"")</f>
        <v/>
      </c>
      <c r="F196" s="23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23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23" t="str">
        <f aca="false">IF(('MiT Strom Pipeline'!R63="follow-up")+('MiT Strom Pipeline'!R63="Evaluation")+('MiT Strom Pipeline'!R63="tbd")+('MiT Strom Pipeline'!R63="In evaluation")&gt;0,IF(ISNUMBER('MiT Strom Pipeline'!O63),'MiT Strom Pipeline'!O63,0),"")</f>
        <v/>
      </c>
      <c r="I196" s="21" t="str">
        <f aca="false">IF(('MiT Strom Pipeline'!R63="follow-up")+('MiT Strom Pipeline'!R63="Evaluation")+('MiT Strom Pipeline'!R63="tbd")+('MiT Strom Pipeline'!R63="In evaluation")&gt;0,'MiT Strom Pipeline'!R63,"")</f>
        <v/>
      </c>
      <c r="J196" s="21" t="str">
        <f aca="false">IF(('MiT Strom Pipeline'!R63="follow-up")+('MiT Strom Pipeline'!R63="Evaluation")+('MiT Strom Pipeline'!R63="tbd")+('MiT Strom Pipeline'!R63="In evaluation")&gt;0,'MiT Strom Pipeline'!S63,"")</f>
        <v/>
      </c>
      <c r="K196" s="22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false" customHeight="true" outlineLevel="0" collapsed="false">
      <c r="A197" s="37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38" t="str">
        <f aca="false">IF(('MiT Strom Pipeline'!R64="follow-up")+('MiT Strom Pipeline'!R64="Evaluation")+('MiT Strom Pipeline'!R64="tbd")+('MiT Strom Pipeline'!R64="In evaluation")&gt;0,'MiT Strom Pipeline'!B64,"")</f>
        <v/>
      </c>
      <c r="C197" s="37" t="str">
        <f aca="false">IF(('MiT Strom Pipeline'!R64="follow-up")+('MiT Strom Pipeline'!R64="Evaluation")+('MiT Strom Pipeline'!R64="tbd")+('MiT Strom Pipeline'!R64="In evaluation")&gt;0,'MiT Strom Pipeline'!C64,"")</f>
        <v/>
      </c>
      <c r="D197" s="38" t="str">
        <f aca="false">IF(('MiT Strom Pipeline'!R64="follow-up")+('MiT Strom Pipeline'!R64="Evaluation")+('MiT Strom Pipeline'!R64="tbd")+('MiT Strom Pipeline'!R64="In evaluation")&gt;0,'MiT Strom Pipeline'!D64,"")</f>
        <v/>
      </c>
      <c r="E197" s="38" t="str">
        <f aca="false">IF(('MiT Strom Pipeline'!R64="follow-up")+('MiT Strom Pipeline'!R64="Evaluation")+('MiT Strom Pipeline'!R64="tbd")+('MiT Strom Pipeline'!R64="In evaluation")&gt;0,'MiT Strom Pipeline'!E64,"")</f>
        <v/>
      </c>
      <c r="F197" s="39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39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39" t="str">
        <f aca="false">IF(('MiT Strom Pipeline'!R64="follow-up")+('MiT Strom Pipeline'!R64="Evaluation")+('MiT Strom Pipeline'!R64="tbd")+('MiT Strom Pipeline'!R64="In evaluation")&gt;0,IF(ISNUMBER('MiT Strom Pipeline'!O64),'MiT Strom Pipeline'!O64,0),"")</f>
        <v/>
      </c>
      <c r="I197" s="37" t="str">
        <f aca="false">IF(('MiT Strom Pipeline'!R64="follow-up")+('MiT Strom Pipeline'!R64="Evaluation")+('MiT Strom Pipeline'!R64="tbd")+('MiT Strom Pipeline'!R64="In evaluation")&gt;0,'MiT Strom Pipeline'!R64,"")</f>
        <v/>
      </c>
      <c r="J197" s="37" t="str">
        <f aca="false">IF(('MiT Strom Pipeline'!R64="follow-up")+('MiT Strom Pipeline'!R64="Evaluation")+('MiT Strom Pipeline'!R64="tbd")+('MiT Strom Pipeline'!R64="In evaluation")&gt;0,'MiT Strom Pipeline'!S64,"")</f>
        <v/>
      </c>
      <c r="K197" s="38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false" customHeight="true" outlineLevel="0" collapsed="false">
      <c r="A198" s="21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22" t="str">
        <f aca="false">IF(('MiT Strom Pipeline'!R65="follow-up")+('MiT Strom Pipeline'!R65="Evaluation")+('MiT Strom Pipeline'!R65="tbd")+('MiT Strom Pipeline'!R65="In evaluation")&gt;0,'MiT Strom Pipeline'!B65,"")</f>
        <v/>
      </c>
      <c r="C198" s="21" t="str">
        <f aca="false">IF(('MiT Strom Pipeline'!R65="follow-up")+('MiT Strom Pipeline'!R65="Evaluation")+('MiT Strom Pipeline'!R65="tbd")+('MiT Strom Pipeline'!R65="In evaluation")&gt;0,'MiT Strom Pipeline'!C65,"")</f>
        <v/>
      </c>
      <c r="D198" s="22" t="str">
        <f aca="false">IF(('MiT Strom Pipeline'!R65="follow-up")+('MiT Strom Pipeline'!R65="Evaluation")+('MiT Strom Pipeline'!R65="tbd")+('MiT Strom Pipeline'!R65="In evaluation")&gt;0,'MiT Strom Pipeline'!D65,"")</f>
        <v/>
      </c>
      <c r="E198" s="22" t="str">
        <f aca="false">IF(('MiT Strom Pipeline'!R65="follow-up")+('MiT Strom Pipeline'!R65="Evaluation")+('MiT Strom Pipeline'!R65="tbd")+('MiT Strom Pipeline'!R65="In evaluation")&gt;0,'MiT Strom Pipeline'!E65,"")</f>
        <v/>
      </c>
      <c r="F198" s="23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23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23" t="str">
        <f aca="false">IF(('MiT Strom Pipeline'!R65="follow-up")+('MiT Strom Pipeline'!R65="Evaluation")+('MiT Strom Pipeline'!R65="tbd")+('MiT Strom Pipeline'!R65="In evaluation")&gt;0,IF(ISNUMBER('MiT Strom Pipeline'!O65),'MiT Strom Pipeline'!O65,0),"")</f>
        <v/>
      </c>
      <c r="I198" s="21" t="str">
        <f aca="false">IF(('MiT Strom Pipeline'!R65="follow-up")+('MiT Strom Pipeline'!R65="Evaluation")+('MiT Strom Pipeline'!R65="tbd")+('MiT Strom Pipeline'!R65="In evaluation")&gt;0,'MiT Strom Pipeline'!R65,"")</f>
        <v/>
      </c>
      <c r="J198" s="21" t="str">
        <f aca="false">IF(('MiT Strom Pipeline'!R65="follow-up")+('MiT Strom Pipeline'!R65="Evaluation")+('MiT Strom Pipeline'!R65="tbd")+('MiT Strom Pipeline'!R65="In evaluation")&gt;0,'MiT Strom Pipeline'!S65,"")</f>
        <v/>
      </c>
      <c r="K198" s="22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false" customHeight="true" outlineLevel="0" collapsed="false">
      <c r="A199" s="40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41" t="str">
        <f aca="false">IF(('MiT Strom Pipeline'!R66="follow-up")+('MiT Strom Pipeline'!R66="Evaluation")+('MiT Strom Pipeline'!R66="tbd")+('MiT Strom Pipeline'!R66="In evaluation")&gt;0,'MiT Strom Pipeline'!B66,"")</f>
        <v/>
      </c>
      <c r="C199" s="41"/>
      <c r="D199" s="41"/>
      <c r="E199" s="41"/>
      <c r="F199" s="42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40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40" t="str">
        <f aca="false">IF(('MiT Strom Pipeline'!R66="follow-up")+('MiT Strom Pipeline'!R66="Evaluation")+('MiT Strom Pipeline'!R66="tbd")+('MiT Strom Pipeline'!R66="In evaluation")&gt;0,IF(ISNUMBER('MiT Strom Pipeline'!O66),'MiT Strom Pipeline'!O66,0),"")</f>
        <v/>
      </c>
      <c r="I199" s="40" t="str">
        <f aca="false">IF(('MiT Strom Pipeline'!R66="follow-up")+('MiT Strom Pipeline'!R66="Evaluation")+('MiT Strom Pipeline'!R66="tbd")+('MiT Strom Pipeline'!R66="In evaluation")&gt;0,'MiT Strom Pipeline'!R66,"")</f>
        <v/>
      </c>
      <c r="J199" s="40" t="str">
        <f aca="false">IF(('MiT Strom Pipeline'!R66="follow-up")+('MiT Strom Pipeline'!R66="Evaluation")+('MiT Strom Pipeline'!R66="tbd")+('MiT Strom Pipeline'!R66="In evaluation")&gt;0,'MiT Strom Pipeline'!S66,"")</f>
        <v/>
      </c>
      <c r="K199" s="40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false" customHeight="true" outlineLevel="0" collapsed="false">
      <c r="A200" s="0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0" t="str">
        <f aca="false">IF(('MiT Strom Pipeline'!R67="follow-up")+('MiT Strom Pipeline'!R67="Evaluation")+('MiT Strom Pipeline'!R67="tbd")+('MiT Strom Pipeline'!R67="In evaluation")&gt;0,'MiT Strom Pipeline'!B67,"")</f>
        <v/>
      </c>
      <c r="C200" s="0" t="str">
        <f aca="false">IF(('MiT Strom Pipeline'!R67="follow-up")+('MiT Strom Pipeline'!R67="Evaluation")+('MiT Strom Pipeline'!R67="tbd")+('MiT Strom Pipeline'!R67="In evaluation")&gt;0,'MiT Strom Pipeline'!C67,"")</f>
        <v/>
      </c>
      <c r="D200" s="0" t="str">
        <f aca="false">IF(('MiT Strom Pipeline'!R67="follow-up")+('MiT Strom Pipeline'!R67="Evaluation")+('MiT Strom Pipeline'!R67="tbd")+('MiT Strom Pipeline'!R67="In evaluation")&gt;0,'MiT Strom Pipeline'!D67,"")</f>
        <v/>
      </c>
      <c r="E200" s="0" t="str">
        <f aca="false">IF(('MiT Strom Pipeline'!R67="follow-up")+('MiT Strom Pipeline'!R67="Evaluation")+('MiT Strom Pipeline'!R67="tbd")+('MiT Strom Pipeline'!R67="In evaluation")&gt;0,'MiT Strom Pipeline'!E67,"")</f>
        <v/>
      </c>
      <c r="F200" s="0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0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0" t="str">
        <f aca="false">IF(('MiT Strom Pipeline'!R67="follow-up")+('MiT Strom Pipeline'!R67="Evaluation")+('MiT Strom Pipeline'!R67="tbd")+('MiT Strom Pipeline'!R67="In evaluation")&gt;0,IF(ISNUMBER('MiT Strom Pipeline'!O67),'MiT Strom Pipeline'!O67,0),"")</f>
        <v/>
      </c>
      <c r="I200" s="0" t="str">
        <f aca="false">IF(('MiT Strom Pipeline'!R67="follow-up")+('MiT Strom Pipeline'!R67="Evaluation")+('MiT Strom Pipeline'!R67="tbd")+('MiT Strom Pipeline'!R67="In evaluation")&gt;0,'MiT Strom Pipeline'!R67,"")</f>
        <v/>
      </c>
      <c r="J200" s="0" t="str">
        <f aca="false">IF(('MiT Strom Pipeline'!R67="follow-up")+('MiT Strom Pipeline'!R67="Evaluation")+('MiT Strom Pipeline'!R67="tbd")+('MiT Strom Pipeline'!R67="In evaluation")&gt;0,'MiT Strom Pipeline'!S67,"")</f>
        <v/>
      </c>
      <c r="K200" s="0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false" customHeight="true" outlineLevel="0" collapsed="false">
      <c r="A201" s="43" t="s">
        <v>19</v>
      </c>
      <c r="B201" s="43"/>
      <c r="C201" s="43"/>
      <c r="D201" s="43"/>
      <c r="E201" s="43"/>
      <c r="F201" s="44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G201" s="45"/>
      <c r="H201" s="45"/>
      <c r="I201" s="45"/>
      <c r="J201" s="45"/>
      <c r="K201" s="45"/>
    </row>
    <row r="202" customFormat="false" ht="18" hidden="false" customHeight="true" outlineLevel="0" collapsed="false">
      <c r="A202" s="46" t="s">
        <v>20</v>
      </c>
      <c r="B202" s="46"/>
      <c r="C202" s="46"/>
      <c r="D202" s="46"/>
      <c r="E202" s="46"/>
      <c r="F202" s="47" t="n">
        <f aca="false">SUMIFS('MiT Strom Pipeline'!I$6:I$904,'MiT Strom Pipeline'!R$6:R$904,"WON")</f>
        <v>333100</v>
      </c>
      <c r="G202" s="48"/>
      <c r="H202" s="48"/>
      <c r="I202" s="48"/>
      <c r="J202" s="48"/>
      <c r="K202" s="48"/>
    </row>
    <row r="203" customFormat="false" ht="18" hidden="false" customHeight="true" outlineLevel="0" collapsed="false">
      <c r="A203" s="46" t="s">
        <v>21</v>
      </c>
      <c r="B203" s="46"/>
      <c r="C203" s="46"/>
      <c r="D203" s="46"/>
      <c r="E203" s="46"/>
      <c r="F203" s="49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G203" s="48"/>
      <c r="H203" s="48"/>
      <c r="I203" s="48"/>
      <c r="J203" s="48"/>
      <c r="K203" s="48"/>
    </row>
    <row r="204" customFormat="false" ht="18" hidden="false" customHeight="true" outlineLevel="0" collapsed="false">
      <c r="A204" s="46" t="s">
        <v>22</v>
      </c>
      <c r="B204" s="46"/>
      <c r="C204" s="46"/>
      <c r="D204" s="46"/>
      <c r="E204" s="46"/>
      <c r="F204" s="50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G204" s="48"/>
      <c r="H204" s="48"/>
      <c r="I204" s="48"/>
      <c r="J204" s="48"/>
      <c r="K204" s="48"/>
    </row>
    <row r="206" customFormat="false" ht="13.5" hidden="false" customHeight="true" outlineLevel="0" collapsed="false">
      <c r="A206" s="51" t="s">
        <v>23</v>
      </c>
      <c r="B206" s="51"/>
      <c r="C206" s="51"/>
      <c r="D206" s="51"/>
      <c r="E206" s="51"/>
      <c r="F206" s="51"/>
      <c r="G206" s="51"/>
      <c r="H206" s="51"/>
      <c r="I206" s="51"/>
      <c r="J206" s="51"/>
      <c r="K206" s="51"/>
    </row>
  </sheetData>
  <mergeCells count="23">
    <mergeCell ref="A1:K1"/>
    <mergeCell ref="A2:K2"/>
    <mergeCell ref="A3:K3"/>
    <mergeCell ref="A5:D5"/>
    <mergeCell ref="E5:H5"/>
    <mergeCell ref="I5:K5"/>
    <mergeCell ref="A6:D6"/>
    <mergeCell ref="E6:H6"/>
    <mergeCell ref="I6:K6"/>
    <mergeCell ref="A7:D7"/>
    <mergeCell ref="E7:H7"/>
    <mergeCell ref="I7:K7"/>
    <mergeCell ref="A9:K9"/>
    <mergeCell ref="B71:E71"/>
    <mergeCell ref="A73:K73"/>
    <mergeCell ref="B135:E135"/>
    <mergeCell ref="A137:K137"/>
    <mergeCell ref="B199:E199"/>
    <mergeCell ref="A201:E201"/>
    <mergeCell ref="A202:E202"/>
    <mergeCell ref="A203:E203"/>
    <mergeCell ref="A204:E204"/>
    <mergeCell ref="A206:K2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102E"/>
    <pageSetUpPr fitToPage="false"/>
  </sheetPr>
  <dimension ref="A1:J2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92" activePane="bottomLeft" state="frozen"/>
      <selection pane="topLeft" activeCell="A1" activeCellId="0" sqref="A1"/>
      <selection pane="bottomLeft" activeCell="H106" activeCellId="0" sqref="H106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28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52" width="14"/>
    <col collapsed="false" customWidth="true" hidden="false" outlineLevel="0" max="7" min="7" style="52" width="15"/>
    <col collapsed="false" customWidth="true" hidden="false" outlineLevel="0" max="9" min="8" style="0" width="14"/>
    <col collapsed="false" customWidth="true" hidden="false" outlineLevel="0" max="10" min="10" style="0" width="52.57"/>
  </cols>
  <sheetData>
    <row r="1" customFormat="false" ht="39.75" hidden="false" customHeight="true" outlineLevel="0" collapsed="false">
      <c r="A1" s="53" t="s">
        <v>24</v>
      </c>
      <c r="B1" s="53"/>
      <c r="C1" s="53"/>
      <c r="D1" s="53"/>
      <c r="E1" s="53"/>
      <c r="F1" s="53"/>
      <c r="G1" s="53"/>
      <c r="H1" s="53"/>
      <c r="I1" s="53"/>
      <c r="J1" s="53"/>
    </row>
    <row r="2" customFormat="false" ht="15.75" hidden="false" customHeight="true" outlineLevel="0" collapsed="false">
      <c r="A2" s="2" t="s">
        <v>25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</row>
    <row r="4" customFormat="false" ht="7.5" hidden="false" customHeight="true" outlineLevel="0" collapsed="false"/>
    <row r="5" customFormat="false" ht="21.75" hidden="false" customHeight="true" outlineLevel="0" collapsed="false">
      <c r="A5" s="54" t="s">
        <v>26</v>
      </c>
      <c r="B5" s="54"/>
      <c r="C5" s="54"/>
      <c r="D5" s="55" t="s">
        <v>27</v>
      </c>
      <c r="E5" s="55"/>
      <c r="F5" s="55"/>
      <c r="G5" s="56" t="s">
        <v>28</v>
      </c>
      <c r="H5" s="56"/>
      <c r="I5" s="57" t="s">
        <v>29</v>
      </c>
      <c r="J5" s="57"/>
    </row>
    <row r="6" customFormat="false" ht="36" hidden="false" customHeight="true" outlineLevel="0" collapsed="false">
      <c r="A6" s="58" t="n">
        <f aca="false">SUMIFS('MiT Strom Pipeline'!I$6:I$904,'MiT Strom Pipeline'!R$6:R$904,"WON")</f>
        <v>333100</v>
      </c>
      <c r="B6" s="58"/>
      <c r="C6" s="58"/>
      <c r="D6" s="59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E6" s="59"/>
      <c r="F6" s="59"/>
      <c r="G6" s="60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H6" s="60"/>
      <c r="I6" s="61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J6" s="61"/>
    </row>
    <row r="7" customFormat="false" ht="19.5" hidden="false" customHeight="true" outlineLevel="0" collapsed="false">
      <c r="A7" s="62" t="n">
        <f aca="false">COUNTIF('MiT Strom Pipeline'!R$6:R$904,"WON")</f>
        <v>4</v>
      </c>
      <c r="B7" s="62"/>
      <c r="C7" s="62"/>
      <c r="D7" s="63" t="n">
        <f aca="false">COUNTIF('MiT Strom Pipeline'!R$6:R$904,"offered")+COUNTIF('MiT Strom Pipeline'!R$6:R$904,"to be offered")+COUNTIF('MiT Strom Pipeline'!R$6:R$904,"on hold")</f>
        <v>12</v>
      </c>
      <c r="E7" s="63"/>
      <c r="F7" s="63"/>
      <c r="G7" s="64" t="n">
        <f aca="false">COUNTIF('MiT Strom Pipeline'!R$6:R$904,"follow-up")+COUNTIF('MiT Strom Pipeline'!R$6:R$904,"Evaluation")+COUNTIF('MiT Strom Pipeline'!R$6:R$904,"tbd")+COUNTIF('MiT Strom Pipeline'!R$6:R$904,"In evaluation")</f>
        <v>16</v>
      </c>
      <c r="H7" s="64"/>
      <c r="I7" s="65" t="n">
        <f aca="false">COUNTIF('MiT Strom Pipeline'!R$6:R$904,"WON")+COUNTIF('MiT Strom Pipeline'!R$6:R$904,"offered")+COUNTIF('MiT Strom Pipeline'!R$6:R$904,"to be offered")+COUNTIF('MiT Strom Pipeline'!R$6:R$904,"on hold")+COUNTIF('MiT Strom Pipeline'!R$6:R$904,"follow-up")+COUNTIF('MiT Strom Pipeline'!R$6:R$904,"Evaluation")+COUNTIF('MiT Strom Pipeline'!R$6:R$904,"tbd")+COUNTIF('MiT Strom Pipeline'!R$6:R$904,"In evaluation")</f>
        <v>32</v>
      </c>
      <c r="J7" s="65"/>
    </row>
    <row r="8" customFormat="false" ht="7.5" hidden="false" customHeight="true" outlineLevel="0" collapsed="false">
      <c r="A8" s="13"/>
      <c r="B8" s="13"/>
      <c r="C8" s="13"/>
      <c r="D8" s="13"/>
      <c r="E8" s="13"/>
      <c r="F8" s="66"/>
      <c r="G8" s="66"/>
      <c r="H8" s="13"/>
      <c r="I8" s="13"/>
      <c r="J8" s="13"/>
    </row>
    <row r="9" customFormat="false" ht="24" hidden="false" customHeight="true" outlineLevel="0" collapsed="false">
      <c r="A9" s="14" t="s">
        <v>30</v>
      </c>
      <c r="B9" s="14"/>
      <c r="C9" s="14"/>
      <c r="D9" s="14"/>
      <c r="E9" s="14"/>
      <c r="F9" s="14"/>
      <c r="G9" s="14"/>
      <c r="H9" s="14"/>
      <c r="I9" s="14"/>
      <c r="J9" s="14"/>
    </row>
    <row r="10" customFormat="false" ht="19.5" hidden="false" customHeight="true" outlineLevel="0" collapsed="false">
      <c r="A10" s="15" t="s">
        <v>6</v>
      </c>
      <c r="B10" s="16" t="s">
        <v>7</v>
      </c>
      <c r="C10" s="15" t="s">
        <v>8</v>
      </c>
      <c r="D10" s="16" t="s">
        <v>9</v>
      </c>
      <c r="E10" s="16" t="s">
        <v>10</v>
      </c>
      <c r="F10" s="67" t="s">
        <v>11</v>
      </c>
      <c r="G10" s="67" t="s">
        <v>12</v>
      </c>
      <c r="H10" s="15" t="s">
        <v>14</v>
      </c>
      <c r="I10" s="15" t="s">
        <v>15</v>
      </c>
      <c r="J10" s="16" t="s">
        <v>16</v>
      </c>
    </row>
    <row r="11" customFormat="false" ht="15.75" hidden="false" customHeight="true" outlineLevel="0" collapsed="false">
      <c r="A11" s="18" t="n">
        <f aca="false">IF('MiT Strom Pipeline'!R6="WON",IF(ISNUMBER('MiT Strom Pipeline'!A6),'MiT Strom Pipeline'!A6,""),"")</f>
        <v>1</v>
      </c>
      <c r="B11" s="19" t="str">
        <f aca="false">IF('MiT Strom Pipeline'!R6="WON",'MiT Strom Pipeline'!B6,"")</f>
        <v>Ice Hockey Championship</v>
      </c>
      <c r="C11" s="18" t="str">
        <f aca="false">IF('MiT Strom Pipeline'!R6="WON",'MiT Strom Pipeline'!C6,"")</f>
        <v>ZH</v>
      </c>
      <c r="D11" s="19" t="str">
        <f aca="false">IF('MiT Strom Pipeline'!R6="WON",'MiT Strom Pipeline'!D6,"")</f>
        <v>Events &amp; Sport</v>
      </c>
      <c r="E11" s="19" t="str">
        <f aca="false">IF('MiT Strom Pipeline'!R6="WON",'MiT Strom Pipeline'!E6,"")</f>
        <v>2×600+2×200 kVA</v>
      </c>
      <c r="F11" s="68" t="n">
        <f aca="false">IF('MiT Strom Pipeline'!R6="WON",IF(ISNUMBER('MiT Strom Pipeline'!I6),'MiT Strom Pipeline'!I6,0),"")</f>
        <v>310000</v>
      </c>
      <c r="G11" s="68" t="n">
        <f aca="false">IF('MiT Strom Pipeline'!R6="WON",IF(ISNUMBER('MiT Strom Pipeline'!Q6),'MiT Strom Pipeline'!Q6,0),"")</f>
        <v>3100</v>
      </c>
      <c r="H11" s="18" t="str">
        <f aca="false">IF('MiT Strom Pipeline'!R6="WON",'MiT Strom Pipeline'!R6,"")</f>
        <v>WON</v>
      </c>
      <c r="I11" s="18" t="str">
        <f aca="false">IF('MiT Strom Pipeline'!R6="WON",'MiT Strom Pipeline'!S6,"")</f>
        <v>100%</v>
      </c>
      <c r="J11" s="19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21" t="n">
        <f aca="false">IF('MiT Strom Pipeline'!R7="WON",IF(ISNUMBER('MiT Strom Pipeline'!A7),'MiT Strom Pipeline'!A7,""),"")</f>
        <v>2</v>
      </c>
      <c r="B12" s="22" t="str">
        <f aca="false">IF('MiT Strom Pipeline'!R7="WON",'MiT Strom Pipeline'!B7,"")</f>
        <v>Oerlikon Metco Wohlen</v>
      </c>
      <c r="C12" s="21" t="str">
        <f aca="false">IF('MiT Strom Pipeline'!R7="WON",'MiT Strom Pipeline'!C7,"")</f>
        <v>AG</v>
      </c>
      <c r="D12" s="22" t="str">
        <f aca="false">IF('MiT Strom Pipeline'!R7="WON",'MiT Strom Pipeline'!D7,"")</f>
        <v>Industrie / Oberfläche</v>
      </c>
      <c r="E12" s="22" t="str">
        <f aca="false">IF('MiT Strom Pipeline'!R7="WON",'MiT Strom Pipeline'!E7,"")</f>
        <v>240 kVA Generator</v>
      </c>
      <c r="F12" s="69" t="n">
        <f aca="false">IF('MiT Strom Pipeline'!R7="WON",IF(ISNUMBER('MiT Strom Pipeline'!I7),'MiT Strom Pipeline'!I7,0),"")</f>
        <v>13100</v>
      </c>
      <c r="G12" s="69" t="n">
        <f aca="false">IF('MiT Strom Pipeline'!R7="WON",IF(ISNUMBER('MiT Strom Pipeline'!Q7),'MiT Strom Pipeline'!Q7,0),"")</f>
        <v>131</v>
      </c>
      <c r="H12" s="21" t="str">
        <f aca="false">IF('MiT Strom Pipeline'!R7="WON",'MiT Strom Pipeline'!R7,"")</f>
        <v>WON</v>
      </c>
      <c r="I12" s="21" t="str">
        <f aca="false">IF('MiT Strom Pipeline'!R7="WON",'MiT Strom Pipeline'!S7,"")</f>
        <v>100%</v>
      </c>
      <c r="J12" s="22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18" t="n">
        <f aca="false">IF('MiT Strom Pipeline'!R8="WON",IF(ISNUMBER('MiT Strom Pipeline'!A8),'MiT Strom Pipeline'!A8,""),"")</f>
        <v>3</v>
      </c>
      <c r="B13" s="19" t="str">
        <f aca="false">IF('MiT Strom Pipeline'!R8="WON",'MiT Strom Pipeline'!B8,"")</f>
        <v>Siemens</v>
      </c>
      <c r="C13" s="18" t="str">
        <f aca="false">IF('MiT Strom Pipeline'!R8="WON",'MiT Strom Pipeline'!C8,"")</f>
        <v>ZH</v>
      </c>
      <c r="D13" s="19" t="str">
        <f aca="false">IF('MiT Strom Pipeline'!R8="WON",'MiT Strom Pipeline'!D8,"")</f>
        <v>Industrie / Elektro</v>
      </c>
      <c r="E13" s="19" t="str">
        <f aca="false">IF('MiT Strom Pipeline'!R8="WON",'MiT Strom Pipeline'!E8,"")</f>
        <v>600 kVA Generator</v>
      </c>
      <c r="F13" s="68" t="n">
        <f aca="false">IF('MiT Strom Pipeline'!R8="WON",IF(ISNUMBER('MiT Strom Pipeline'!I8),'MiT Strom Pipeline'!I8,0),"")</f>
        <v>10000</v>
      </c>
      <c r="G13" s="68" t="n">
        <f aca="false">IF('MiT Strom Pipeline'!R8="WON",IF(ISNUMBER('MiT Strom Pipeline'!Q8),'MiT Strom Pipeline'!Q8,0),"")</f>
        <v>100</v>
      </c>
      <c r="H13" s="18" t="str">
        <f aca="false">IF('MiT Strom Pipeline'!R8="WON",'MiT Strom Pipeline'!R8,"")</f>
        <v>WON</v>
      </c>
      <c r="I13" s="18" t="str">
        <f aca="false">IF('MiT Strom Pipeline'!R8="WON",'MiT Strom Pipeline'!S8,"")</f>
        <v>100%</v>
      </c>
      <c r="J13" s="19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21" t="str">
        <f aca="false">IF('MiT Strom Pipeline'!R9="WON",IF(ISNUMBER('MiT Strom Pipeline'!A9),'MiT Strom Pipeline'!A9,""),"")</f>
        <v/>
      </c>
      <c r="B14" s="22" t="str">
        <f aca="false">IF('MiT Strom Pipeline'!R9="WON",'MiT Strom Pipeline'!B9,"")</f>
        <v/>
      </c>
      <c r="C14" s="21" t="str">
        <f aca="false">IF('MiT Strom Pipeline'!R9="WON",'MiT Strom Pipeline'!C9,"")</f>
        <v/>
      </c>
      <c r="D14" s="22" t="str">
        <f aca="false">IF('MiT Strom Pipeline'!R9="WON",'MiT Strom Pipeline'!D9,"")</f>
        <v/>
      </c>
      <c r="E14" s="22" t="str">
        <f aca="false">IF('MiT Strom Pipeline'!R9="WON",'MiT Strom Pipeline'!E9,"")</f>
        <v/>
      </c>
      <c r="F14" s="69" t="str">
        <f aca="false">IF('MiT Strom Pipeline'!R9="WON",IF(ISNUMBER('MiT Strom Pipeline'!I9),'MiT Strom Pipeline'!I9,0),"")</f>
        <v/>
      </c>
      <c r="G14" s="69" t="str">
        <f aca="false">IF('MiT Strom Pipeline'!R9="WON",IF(ISNUMBER('MiT Strom Pipeline'!Q9),'MiT Strom Pipeline'!Q9,0),"")</f>
        <v/>
      </c>
      <c r="H14" s="21" t="str">
        <f aca="false">IF('MiT Strom Pipeline'!R9="WON",'MiT Strom Pipeline'!R9,"")</f>
        <v/>
      </c>
      <c r="I14" s="21" t="str">
        <f aca="false">IF('MiT Strom Pipeline'!R9="WON",'MiT Strom Pipeline'!S9,"")</f>
        <v/>
      </c>
      <c r="J14" s="22" t="str">
        <f aca="false">IF('MiT Strom Pipeline'!R9="WON",IF(LEN('MiT Strom Pipeline'!V9)&gt;0,LEFT('MiT Strom Pipeline'!V9,55),""),"")</f>
        <v/>
      </c>
    </row>
    <row r="15" customFormat="false" ht="15.75" hidden="false" customHeight="true" outlineLevel="0" collapsed="false">
      <c r="A15" s="18" t="str">
        <f aca="false">IF('MiT Strom Pipeline'!R10="WON",IF(ISNUMBER('MiT Strom Pipeline'!A10),'MiT Strom Pipeline'!A10,""),"")</f>
        <v/>
      </c>
      <c r="B15" s="19" t="str">
        <f aca="false">IF('MiT Strom Pipeline'!R10="WON",'MiT Strom Pipeline'!B10,"")</f>
        <v/>
      </c>
      <c r="C15" s="18" t="str">
        <f aca="false">IF('MiT Strom Pipeline'!R10="WON",'MiT Strom Pipeline'!C10,"")</f>
        <v/>
      </c>
      <c r="D15" s="19" t="str">
        <f aca="false">IF('MiT Strom Pipeline'!R10="WON",'MiT Strom Pipeline'!D10,"")</f>
        <v/>
      </c>
      <c r="E15" s="19" t="str">
        <f aca="false">IF('MiT Strom Pipeline'!R10="WON",'MiT Strom Pipeline'!E10,"")</f>
        <v/>
      </c>
      <c r="F15" s="68" t="str">
        <f aca="false">IF('MiT Strom Pipeline'!R10="WON",IF(ISNUMBER('MiT Strom Pipeline'!I10),'MiT Strom Pipeline'!I10,0),"")</f>
        <v/>
      </c>
      <c r="G15" s="68" t="str">
        <f aca="false">IF('MiT Strom Pipeline'!R10="WON",IF(ISNUMBER('MiT Strom Pipeline'!Q10),'MiT Strom Pipeline'!Q10,0),"")</f>
        <v/>
      </c>
      <c r="H15" s="18" t="str">
        <f aca="false">IF('MiT Strom Pipeline'!R10="WON",'MiT Strom Pipeline'!R10,"")</f>
        <v/>
      </c>
      <c r="I15" s="18" t="str">
        <f aca="false">IF('MiT Strom Pipeline'!R10="WON",'MiT Strom Pipeline'!S10,"")</f>
        <v/>
      </c>
      <c r="J15" s="19" t="str">
        <f aca="false">IF('MiT Strom Pipeline'!R10="WON",IF(LEN('MiT Strom Pipeline'!V10)&gt;0,LEFT('MiT Strom Pipeline'!V10,55),""),"")</f>
        <v/>
      </c>
    </row>
    <row r="16" customFormat="false" ht="15.75" hidden="false" customHeight="true" outlineLevel="0" collapsed="false">
      <c r="A16" s="21" t="str">
        <f aca="false">IF('MiT Strom Pipeline'!R11="WON",IF(ISNUMBER('MiT Strom Pipeline'!A11),'MiT Strom Pipeline'!A11,""),"")</f>
        <v/>
      </c>
      <c r="B16" s="22" t="str">
        <f aca="false">IF('MiT Strom Pipeline'!R11="WON",'MiT Strom Pipeline'!B11,"")</f>
        <v/>
      </c>
      <c r="C16" s="21" t="str">
        <f aca="false">IF('MiT Strom Pipeline'!R11="WON",'MiT Strom Pipeline'!C11,"")</f>
        <v/>
      </c>
      <c r="D16" s="22" t="str">
        <f aca="false">IF('MiT Strom Pipeline'!R11="WON",'MiT Strom Pipeline'!D11,"")</f>
        <v/>
      </c>
      <c r="E16" s="22" t="str">
        <f aca="false">IF('MiT Strom Pipeline'!R11="WON",'MiT Strom Pipeline'!E11,"")</f>
        <v/>
      </c>
      <c r="F16" s="69" t="str">
        <f aca="false">IF('MiT Strom Pipeline'!R11="WON",IF(ISNUMBER('MiT Strom Pipeline'!I11),'MiT Strom Pipeline'!I11,0),"")</f>
        <v/>
      </c>
      <c r="G16" s="69" t="str">
        <f aca="false">IF('MiT Strom Pipeline'!R11="WON",IF(ISNUMBER('MiT Strom Pipeline'!Q11),'MiT Strom Pipeline'!Q11,0),"")</f>
        <v/>
      </c>
      <c r="H16" s="21" t="str">
        <f aca="false">IF('MiT Strom Pipeline'!R11="WON",'MiT Strom Pipeline'!R11,"")</f>
        <v/>
      </c>
      <c r="I16" s="21" t="str">
        <f aca="false">IF('MiT Strom Pipeline'!R11="WON",'MiT Strom Pipeline'!S11,"")</f>
        <v/>
      </c>
      <c r="J16" s="22" t="str">
        <f aca="false">IF('MiT Strom Pipeline'!R11="WON",IF(LEN('MiT Strom Pipeline'!V11)&gt;0,LEFT('MiT Strom Pipeline'!V11,55),""),"")</f>
        <v/>
      </c>
    </row>
    <row r="17" customFormat="false" ht="15.75" hidden="false" customHeight="true" outlineLevel="0" collapsed="false">
      <c r="A17" s="18" t="str">
        <f aca="false">IF('MiT Strom Pipeline'!R12="WON",IF(ISNUMBER('MiT Strom Pipeline'!A12),'MiT Strom Pipeline'!A12,""),"")</f>
        <v/>
      </c>
      <c r="B17" s="19" t="str">
        <f aca="false">IF('MiT Strom Pipeline'!R12="WON",'MiT Strom Pipeline'!B12,"")</f>
        <v/>
      </c>
      <c r="C17" s="18" t="str">
        <f aca="false">IF('MiT Strom Pipeline'!R12="WON",'MiT Strom Pipeline'!C12,"")</f>
        <v/>
      </c>
      <c r="D17" s="19" t="str">
        <f aca="false">IF('MiT Strom Pipeline'!R12="WON",'MiT Strom Pipeline'!D12,"")</f>
        <v/>
      </c>
      <c r="E17" s="19" t="str">
        <f aca="false">IF('MiT Strom Pipeline'!R12="WON",'MiT Strom Pipeline'!E12,"")</f>
        <v/>
      </c>
      <c r="F17" s="68" t="str">
        <f aca="false">IF('MiT Strom Pipeline'!R12="WON",IF(ISNUMBER('MiT Strom Pipeline'!I12),'MiT Strom Pipeline'!I12,0),"")</f>
        <v/>
      </c>
      <c r="G17" s="68" t="str">
        <f aca="false">IF('MiT Strom Pipeline'!R12="WON",IF(ISNUMBER('MiT Strom Pipeline'!Q12),'MiT Strom Pipeline'!Q12,0),"")</f>
        <v/>
      </c>
      <c r="H17" s="18" t="str">
        <f aca="false">IF('MiT Strom Pipeline'!R12="WON",'MiT Strom Pipeline'!R12,"")</f>
        <v/>
      </c>
      <c r="I17" s="18" t="str">
        <f aca="false">IF('MiT Strom Pipeline'!R12="WON",'MiT Strom Pipeline'!S12,"")</f>
        <v/>
      </c>
      <c r="J17" s="19" t="str">
        <f aca="false">IF('MiT Strom Pipeline'!R12="WON",IF(LEN('MiT Strom Pipeline'!V12)&gt;0,LEFT('MiT Strom Pipeline'!V12,55),""),"")</f>
        <v/>
      </c>
    </row>
    <row r="18" customFormat="false" ht="15.75" hidden="false" customHeight="true" outlineLevel="0" collapsed="false">
      <c r="A18" s="21" t="str">
        <f aca="false">IF('MiT Strom Pipeline'!R13="WON",IF(ISNUMBER('MiT Strom Pipeline'!A13),'MiT Strom Pipeline'!A13,""),"")</f>
        <v/>
      </c>
      <c r="B18" s="22" t="str">
        <f aca="false">IF('MiT Strom Pipeline'!R13="WON",'MiT Strom Pipeline'!B13,"")</f>
        <v/>
      </c>
      <c r="C18" s="21" t="str">
        <f aca="false">IF('MiT Strom Pipeline'!R13="WON",'MiT Strom Pipeline'!C13,"")</f>
        <v/>
      </c>
      <c r="D18" s="22" t="str">
        <f aca="false">IF('MiT Strom Pipeline'!R13="WON",'MiT Strom Pipeline'!D13,"")</f>
        <v/>
      </c>
      <c r="E18" s="22" t="str">
        <f aca="false">IF('MiT Strom Pipeline'!R13="WON",'MiT Strom Pipeline'!E13,"")</f>
        <v/>
      </c>
      <c r="F18" s="69" t="str">
        <f aca="false">IF('MiT Strom Pipeline'!R13="WON",IF(ISNUMBER('MiT Strom Pipeline'!I13),'MiT Strom Pipeline'!I13,0),"")</f>
        <v/>
      </c>
      <c r="G18" s="69" t="str">
        <f aca="false">IF('MiT Strom Pipeline'!R13="WON",IF(ISNUMBER('MiT Strom Pipeline'!Q13),'MiT Strom Pipeline'!Q13,0),"")</f>
        <v/>
      </c>
      <c r="H18" s="21" t="str">
        <f aca="false">IF('MiT Strom Pipeline'!R13="WON",'MiT Strom Pipeline'!R13,"")</f>
        <v/>
      </c>
      <c r="I18" s="21" t="str">
        <f aca="false">IF('MiT Strom Pipeline'!R13="WON",'MiT Strom Pipeline'!S13,"")</f>
        <v/>
      </c>
      <c r="J18" s="22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18" t="str">
        <f aca="false">IF('MiT Strom Pipeline'!R14="WON",IF(ISNUMBER('MiT Strom Pipeline'!A14),'MiT Strom Pipeline'!A14,""),"")</f>
        <v/>
      </c>
      <c r="B19" s="19" t="str">
        <f aca="false">IF('MiT Strom Pipeline'!R14="WON",'MiT Strom Pipeline'!B14,"")</f>
        <v/>
      </c>
      <c r="C19" s="18" t="str">
        <f aca="false">IF('MiT Strom Pipeline'!R14="WON",'MiT Strom Pipeline'!C14,"")</f>
        <v/>
      </c>
      <c r="D19" s="19" t="str">
        <f aca="false">IF('MiT Strom Pipeline'!R14="WON",'MiT Strom Pipeline'!D14,"")</f>
        <v/>
      </c>
      <c r="E19" s="19" t="str">
        <f aca="false">IF('MiT Strom Pipeline'!R14="WON",'MiT Strom Pipeline'!E14,"")</f>
        <v/>
      </c>
      <c r="F19" s="68" t="str">
        <f aca="false">IF('MiT Strom Pipeline'!R14="WON",IF(ISNUMBER('MiT Strom Pipeline'!I14),'MiT Strom Pipeline'!I14,0),"")</f>
        <v/>
      </c>
      <c r="G19" s="68" t="str">
        <f aca="false">IF('MiT Strom Pipeline'!R14="WON",IF(ISNUMBER('MiT Strom Pipeline'!Q14),'MiT Strom Pipeline'!Q14,0),"")</f>
        <v/>
      </c>
      <c r="H19" s="18" t="str">
        <f aca="false">IF('MiT Strom Pipeline'!R14="WON",'MiT Strom Pipeline'!R14,"")</f>
        <v/>
      </c>
      <c r="I19" s="18" t="str">
        <f aca="false">IF('MiT Strom Pipeline'!R14="WON",'MiT Strom Pipeline'!S14,"")</f>
        <v/>
      </c>
      <c r="J19" s="19" t="str">
        <f aca="false">IF('MiT Strom Pipeline'!R14="WON",IF(LEN('MiT Strom Pipeline'!V14)&gt;0,LEFT('MiT Strom Pipeline'!V14,55),""),"")</f>
        <v/>
      </c>
    </row>
    <row r="20" customFormat="false" ht="15.75" hidden="false" customHeight="true" outlineLevel="0" collapsed="false">
      <c r="A20" s="21" t="str">
        <f aca="false">IF('MiT Strom Pipeline'!R15="WON",IF(ISNUMBER('MiT Strom Pipeline'!A15),'MiT Strom Pipeline'!A15,""),"")</f>
        <v/>
      </c>
      <c r="B20" s="22" t="str">
        <f aca="false">IF('MiT Strom Pipeline'!R15="WON",'MiT Strom Pipeline'!B15,"")</f>
        <v/>
      </c>
      <c r="C20" s="21" t="str">
        <f aca="false">IF('MiT Strom Pipeline'!R15="WON",'MiT Strom Pipeline'!C15,"")</f>
        <v/>
      </c>
      <c r="D20" s="22" t="str">
        <f aca="false">IF('MiT Strom Pipeline'!R15="WON",'MiT Strom Pipeline'!D15,"")</f>
        <v/>
      </c>
      <c r="E20" s="22" t="str">
        <f aca="false">IF('MiT Strom Pipeline'!R15="WON",'MiT Strom Pipeline'!E15,"")</f>
        <v/>
      </c>
      <c r="F20" s="69" t="str">
        <f aca="false">IF('MiT Strom Pipeline'!R15="WON",IF(ISNUMBER('MiT Strom Pipeline'!I15),'MiT Strom Pipeline'!I15,0),"")</f>
        <v/>
      </c>
      <c r="G20" s="69" t="str">
        <f aca="false">IF('MiT Strom Pipeline'!R15="WON",IF(ISNUMBER('MiT Strom Pipeline'!Q15),'MiT Strom Pipeline'!Q15,0),"")</f>
        <v/>
      </c>
      <c r="H20" s="21" t="str">
        <f aca="false">IF('MiT Strom Pipeline'!R15="WON",'MiT Strom Pipeline'!R15,"")</f>
        <v/>
      </c>
      <c r="I20" s="21" t="str">
        <f aca="false">IF('MiT Strom Pipeline'!R15="WON",'MiT Strom Pipeline'!S15,"")</f>
        <v/>
      </c>
      <c r="J20" s="22" t="str">
        <f aca="false">IF('MiT Strom Pipeline'!R15="WON",IF(LEN('MiT Strom Pipeline'!V15)&gt;0,LEFT('MiT Strom Pipeline'!V15,55),""),"")</f>
        <v/>
      </c>
    </row>
    <row r="21" customFormat="false" ht="15.75" hidden="false" customHeight="true" outlineLevel="0" collapsed="false">
      <c r="A21" s="18" t="str">
        <f aca="false">IF('MiT Strom Pipeline'!R16="WON",IF(ISNUMBER('MiT Strom Pipeline'!A16),'MiT Strom Pipeline'!A16,""),"")</f>
        <v/>
      </c>
      <c r="B21" s="19" t="str">
        <f aca="false">IF('MiT Strom Pipeline'!R16="WON",'MiT Strom Pipeline'!B16,"")</f>
        <v/>
      </c>
      <c r="C21" s="18" t="str">
        <f aca="false">IF('MiT Strom Pipeline'!R16="WON",'MiT Strom Pipeline'!C16,"")</f>
        <v/>
      </c>
      <c r="D21" s="19" t="str">
        <f aca="false">IF('MiT Strom Pipeline'!R16="WON",'MiT Strom Pipeline'!D16,"")</f>
        <v/>
      </c>
      <c r="E21" s="19" t="str">
        <f aca="false">IF('MiT Strom Pipeline'!R16="WON",'MiT Strom Pipeline'!E16,"")</f>
        <v/>
      </c>
      <c r="F21" s="68" t="str">
        <f aca="false">IF('MiT Strom Pipeline'!R16="WON",IF(ISNUMBER('MiT Strom Pipeline'!I16),'MiT Strom Pipeline'!I16,0),"")</f>
        <v/>
      </c>
      <c r="G21" s="68" t="str">
        <f aca="false">IF('MiT Strom Pipeline'!R16="WON",IF(ISNUMBER('MiT Strom Pipeline'!Q16),'MiT Strom Pipeline'!Q16,0),"")</f>
        <v/>
      </c>
      <c r="H21" s="18" t="str">
        <f aca="false">IF('MiT Strom Pipeline'!R16="WON",'MiT Strom Pipeline'!R16,"")</f>
        <v/>
      </c>
      <c r="I21" s="18" t="str">
        <f aca="false">IF('MiT Strom Pipeline'!R16="WON",'MiT Strom Pipeline'!S16,"")</f>
        <v/>
      </c>
      <c r="J21" s="19" t="str">
        <f aca="false">IF('MiT Strom Pipeline'!R16="WON",IF(LEN('MiT Strom Pipeline'!V16)&gt;0,LEFT('MiT Strom Pipeline'!V16,55),""),"")</f>
        <v/>
      </c>
    </row>
    <row r="22" customFormat="false" ht="15.75" hidden="false" customHeight="true" outlineLevel="0" collapsed="false">
      <c r="A22" s="21" t="str">
        <f aca="false">IF('MiT Strom Pipeline'!R17="WON",IF(ISNUMBER('MiT Strom Pipeline'!A17),'MiT Strom Pipeline'!A17,""),"")</f>
        <v/>
      </c>
      <c r="B22" s="22" t="str">
        <f aca="false">IF('MiT Strom Pipeline'!R17="WON",'MiT Strom Pipeline'!B17,"")</f>
        <v/>
      </c>
      <c r="C22" s="21" t="str">
        <f aca="false">IF('MiT Strom Pipeline'!R17="WON",'MiT Strom Pipeline'!C17,"")</f>
        <v/>
      </c>
      <c r="D22" s="22" t="str">
        <f aca="false">IF('MiT Strom Pipeline'!R17="WON",'MiT Strom Pipeline'!D17,"")</f>
        <v/>
      </c>
      <c r="E22" s="22" t="str">
        <f aca="false">IF('MiT Strom Pipeline'!R17="WON",'MiT Strom Pipeline'!E17,"")</f>
        <v/>
      </c>
      <c r="F22" s="69" t="str">
        <f aca="false">IF('MiT Strom Pipeline'!R17="WON",IF(ISNUMBER('MiT Strom Pipeline'!I17),'MiT Strom Pipeline'!I17,0),"")</f>
        <v/>
      </c>
      <c r="G22" s="69" t="str">
        <f aca="false">IF('MiT Strom Pipeline'!R17="WON",IF(ISNUMBER('MiT Strom Pipeline'!Q17),'MiT Strom Pipeline'!Q17,0),"")</f>
        <v/>
      </c>
      <c r="H22" s="21" t="str">
        <f aca="false">IF('MiT Strom Pipeline'!R17="WON",'MiT Strom Pipeline'!R17,"")</f>
        <v/>
      </c>
      <c r="I22" s="21" t="str">
        <f aca="false">IF('MiT Strom Pipeline'!R17="WON",'MiT Strom Pipeline'!S17,"")</f>
        <v/>
      </c>
      <c r="J22" s="22" t="str">
        <f aca="false">IF('MiT Strom Pipeline'!R17="WON",IF(LEN('MiT Strom Pipeline'!V17)&gt;0,LEFT('MiT Strom Pipeline'!V17,55),""),"")</f>
        <v/>
      </c>
    </row>
    <row r="23" customFormat="false" ht="15.75" hidden="false" customHeight="true" outlineLevel="0" collapsed="false">
      <c r="A23" s="18" t="str">
        <f aca="false">IF('MiT Strom Pipeline'!R18="WON",IF(ISNUMBER('MiT Strom Pipeline'!A18),'MiT Strom Pipeline'!A18,""),"")</f>
        <v/>
      </c>
      <c r="B23" s="19" t="str">
        <f aca="false">IF('MiT Strom Pipeline'!R18="WON",'MiT Strom Pipeline'!B18,"")</f>
        <v/>
      </c>
      <c r="C23" s="18" t="str">
        <f aca="false">IF('MiT Strom Pipeline'!R18="WON",'MiT Strom Pipeline'!C18,"")</f>
        <v/>
      </c>
      <c r="D23" s="19" t="str">
        <f aca="false">IF('MiT Strom Pipeline'!R18="WON",'MiT Strom Pipeline'!D18,"")</f>
        <v/>
      </c>
      <c r="E23" s="19" t="str">
        <f aca="false">IF('MiT Strom Pipeline'!R18="WON",'MiT Strom Pipeline'!E18,"")</f>
        <v/>
      </c>
      <c r="F23" s="68" t="str">
        <f aca="false">IF('MiT Strom Pipeline'!R18="WON",IF(ISNUMBER('MiT Strom Pipeline'!I18),'MiT Strom Pipeline'!I18,0),"")</f>
        <v/>
      </c>
      <c r="G23" s="68" t="str">
        <f aca="false">IF('MiT Strom Pipeline'!R18="WON",IF(ISNUMBER('MiT Strom Pipeline'!Q18),'MiT Strom Pipeline'!Q18,0),"")</f>
        <v/>
      </c>
      <c r="H23" s="18" t="str">
        <f aca="false">IF('MiT Strom Pipeline'!R18="WON",'MiT Strom Pipeline'!R18,"")</f>
        <v/>
      </c>
      <c r="I23" s="18" t="str">
        <f aca="false">IF('MiT Strom Pipeline'!R18="WON",'MiT Strom Pipeline'!S18,"")</f>
        <v/>
      </c>
      <c r="J23" s="19" t="str">
        <f aca="false">IF('MiT Strom Pipeline'!R18="WON",IF(LEN('MiT Strom Pipeline'!V18)&gt;0,LEFT('MiT Strom Pipeline'!V18,55),""),"")</f>
        <v/>
      </c>
    </row>
    <row r="24" customFormat="false" ht="15.75" hidden="false" customHeight="true" outlineLevel="0" collapsed="false">
      <c r="A24" s="21" t="str">
        <f aca="false">IF('MiT Strom Pipeline'!R19="WON",IF(ISNUMBER('MiT Strom Pipeline'!A19),'MiT Strom Pipeline'!A19,""),"")</f>
        <v/>
      </c>
      <c r="B24" s="22" t="str">
        <f aca="false">IF('MiT Strom Pipeline'!R19="WON",'MiT Strom Pipeline'!B19,"")</f>
        <v/>
      </c>
      <c r="C24" s="21" t="str">
        <f aca="false">IF('MiT Strom Pipeline'!R19="WON",'MiT Strom Pipeline'!C19,"")</f>
        <v/>
      </c>
      <c r="D24" s="22" t="str">
        <f aca="false">IF('MiT Strom Pipeline'!R19="WON",'MiT Strom Pipeline'!D19,"")</f>
        <v/>
      </c>
      <c r="E24" s="22" t="str">
        <f aca="false">IF('MiT Strom Pipeline'!R19="WON",'MiT Strom Pipeline'!E19,"")</f>
        <v/>
      </c>
      <c r="F24" s="69" t="str">
        <f aca="false">IF('MiT Strom Pipeline'!R19="WON",IF(ISNUMBER('MiT Strom Pipeline'!I19),'MiT Strom Pipeline'!I19,0),"")</f>
        <v/>
      </c>
      <c r="G24" s="69" t="str">
        <f aca="false">IF('MiT Strom Pipeline'!R19="WON",IF(ISNUMBER('MiT Strom Pipeline'!Q19),'MiT Strom Pipeline'!Q19,0),"")</f>
        <v/>
      </c>
      <c r="H24" s="21" t="str">
        <f aca="false">IF('MiT Strom Pipeline'!R19="WON",'MiT Strom Pipeline'!R19,"")</f>
        <v/>
      </c>
      <c r="I24" s="21" t="str">
        <f aca="false">IF('MiT Strom Pipeline'!R19="WON",'MiT Strom Pipeline'!S19,"")</f>
        <v/>
      </c>
      <c r="J24" s="22" t="str">
        <f aca="false">IF('MiT Strom Pipeline'!R19="WON",IF(LEN('MiT Strom Pipeline'!V19)&gt;0,LEFT('MiT Strom Pipeline'!V19,55),""),"")</f>
        <v/>
      </c>
    </row>
    <row r="25" customFormat="false" ht="15.75" hidden="false" customHeight="true" outlineLevel="0" collapsed="false">
      <c r="A25" s="18" t="str">
        <f aca="false">IF('MiT Strom Pipeline'!R20="WON",IF(ISNUMBER('MiT Strom Pipeline'!A20),'MiT Strom Pipeline'!A20,""),"")</f>
        <v/>
      </c>
      <c r="B25" s="19" t="str">
        <f aca="false">IF('MiT Strom Pipeline'!R20="WON",'MiT Strom Pipeline'!B20,"")</f>
        <v/>
      </c>
      <c r="C25" s="18" t="str">
        <f aca="false">IF('MiT Strom Pipeline'!R20="WON",'MiT Strom Pipeline'!C20,"")</f>
        <v/>
      </c>
      <c r="D25" s="19" t="str">
        <f aca="false">IF('MiT Strom Pipeline'!R20="WON",'MiT Strom Pipeline'!D20,"")</f>
        <v/>
      </c>
      <c r="E25" s="19" t="str">
        <f aca="false">IF('MiT Strom Pipeline'!R20="WON",'MiT Strom Pipeline'!E20,"")</f>
        <v/>
      </c>
      <c r="F25" s="68" t="str">
        <f aca="false">IF('MiT Strom Pipeline'!R20="WON",IF(ISNUMBER('MiT Strom Pipeline'!I20),'MiT Strom Pipeline'!I20,0),"")</f>
        <v/>
      </c>
      <c r="G25" s="68" t="str">
        <f aca="false">IF('MiT Strom Pipeline'!R20="WON",IF(ISNUMBER('MiT Strom Pipeline'!Q20),'MiT Strom Pipeline'!Q20,0),"")</f>
        <v/>
      </c>
      <c r="H25" s="18" t="str">
        <f aca="false">IF('MiT Strom Pipeline'!R20="WON",'MiT Strom Pipeline'!R20,"")</f>
        <v/>
      </c>
      <c r="I25" s="18" t="str">
        <f aca="false">IF('MiT Strom Pipeline'!R20="WON",'MiT Strom Pipeline'!S20,"")</f>
        <v/>
      </c>
      <c r="J25" s="19" t="str">
        <f aca="false">IF('MiT Strom Pipeline'!R20="WON",IF(LEN('MiT Strom Pipeline'!V20)&gt;0,LEFT('MiT Strom Pipeline'!V20,55),""),"")</f>
        <v/>
      </c>
    </row>
    <row r="26" customFormat="false" ht="15.75" hidden="false" customHeight="true" outlineLevel="0" collapsed="false">
      <c r="A26" s="21" t="str">
        <f aca="false">IF('MiT Strom Pipeline'!R21="WON",IF(ISNUMBER('MiT Strom Pipeline'!A21),'MiT Strom Pipeline'!A21,""),"")</f>
        <v/>
      </c>
      <c r="B26" s="22" t="str">
        <f aca="false">IF('MiT Strom Pipeline'!R21="WON",'MiT Strom Pipeline'!B21,"")</f>
        <v/>
      </c>
      <c r="C26" s="21" t="str">
        <f aca="false">IF('MiT Strom Pipeline'!R21="WON",'MiT Strom Pipeline'!C21,"")</f>
        <v/>
      </c>
      <c r="D26" s="22" t="str">
        <f aca="false">IF('MiT Strom Pipeline'!R21="WON",'MiT Strom Pipeline'!D21,"")</f>
        <v/>
      </c>
      <c r="E26" s="22" t="str">
        <f aca="false">IF('MiT Strom Pipeline'!R21="WON",'MiT Strom Pipeline'!E21,"")</f>
        <v/>
      </c>
      <c r="F26" s="69" t="str">
        <f aca="false">IF('MiT Strom Pipeline'!R21="WON",IF(ISNUMBER('MiT Strom Pipeline'!I21),'MiT Strom Pipeline'!I21,0),"")</f>
        <v/>
      </c>
      <c r="G26" s="69" t="str">
        <f aca="false">IF('MiT Strom Pipeline'!R21="WON",IF(ISNUMBER('MiT Strom Pipeline'!Q21),'MiT Strom Pipeline'!Q21,0),"")</f>
        <v/>
      </c>
      <c r="H26" s="21" t="str">
        <f aca="false">IF('MiT Strom Pipeline'!R21="WON",'MiT Strom Pipeline'!R21,"")</f>
        <v/>
      </c>
      <c r="I26" s="21" t="str">
        <f aca="false">IF('MiT Strom Pipeline'!R21="WON",'MiT Strom Pipeline'!S21,"")</f>
        <v/>
      </c>
      <c r="J26" s="22" t="str">
        <f aca="false">IF('MiT Strom Pipeline'!R21="WON",IF(LEN('MiT Strom Pipeline'!V21)&gt;0,LEFT('MiT Strom Pipeline'!V21,55),""),"")</f>
        <v/>
      </c>
    </row>
    <row r="27" customFormat="false" ht="15.75" hidden="false" customHeight="true" outlineLevel="0" collapsed="false">
      <c r="A27" s="18" t="str">
        <f aca="false">IF('MiT Strom Pipeline'!R22="WON",IF(ISNUMBER('MiT Strom Pipeline'!A22),'MiT Strom Pipeline'!A22,""),"")</f>
        <v/>
      </c>
      <c r="B27" s="19" t="str">
        <f aca="false">IF('MiT Strom Pipeline'!R22="WON",'MiT Strom Pipeline'!B22,"")</f>
        <v/>
      </c>
      <c r="C27" s="18" t="str">
        <f aca="false">IF('MiT Strom Pipeline'!R22="WON",'MiT Strom Pipeline'!C22,"")</f>
        <v/>
      </c>
      <c r="D27" s="19" t="str">
        <f aca="false">IF('MiT Strom Pipeline'!R22="WON",'MiT Strom Pipeline'!D22,"")</f>
        <v/>
      </c>
      <c r="E27" s="19" t="str">
        <f aca="false">IF('MiT Strom Pipeline'!R22="WON",'MiT Strom Pipeline'!E22,"")</f>
        <v/>
      </c>
      <c r="F27" s="68" t="str">
        <f aca="false">IF('MiT Strom Pipeline'!R22="WON",IF(ISNUMBER('MiT Strom Pipeline'!I22),'MiT Strom Pipeline'!I22,0),"")</f>
        <v/>
      </c>
      <c r="G27" s="68" t="str">
        <f aca="false">IF('MiT Strom Pipeline'!R22="WON",IF(ISNUMBER('MiT Strom Pipeline'!Q22),'MiT Strom Pipeline'!Q22,0),"")</f>
        <v/>
      </c>
      <c r="H27" s="18" t="str">
        <f aca="false">IF('MiT Strom Pipeline'!R22="WON",'MiT Strom Pipeline'!R22,"")</f>
        <v/>
      </c>
      <c r="I27" s="18" t="str">
        <f aca="false">IF('MiT Strom Pipeline'!R22="WON",'MiT Strom Pipeline'!S22,"")</f>
        <v/>
      </c>
      <c r="J27" s="19" t="str">
        <f aca="false">IF('MiT Strom Pipeline'!R22="WON",IF(LEN('MiT Strom Pipeline'!V22)&gt;0,LEFT('MiT Strom Pipeline'!V22,55),""),"")</f>
        <v/>
      </c>
    </row>
    <row r="28" customFormat="false" ht="15.75" hidden="false" customHeight="true" outlineLevel="0" collapsed="false">
      <c r="A28" s="21" t="str">
        <f aca="false">IF('MiT Strom Pipeline'!R23="WON",IF(ISNUMBER('MiT Strom Pipeline'!A23),'MiT Strom Pipeline'!A23,""),"")</f>
        <v/>
      </c>
      <c r="B28" s="22" t="str">
        <f aca="false">IF('MiT Strom Pipeline'!R23="WON",'MiT Strom Pipeline'!B23,"")</f>
        <v/>
      </c>
      <c r="C28" s="21" t="str">
        <f aca="false">IF('MiT Strom Pipeline'!R23="WON",'MiT Strom Pipeline'!C23,"")</f>
        <v/>
      </c>
      <c r="D28" s="22" t="str">
        <f aca="false">IF('MiT Strom Pipeline'!R23="WON",'MiT Strom Pipeline'!D23,"")</f>
        <v/>
      </c>
      <c r="E28" s="22" t="str">
        <f aca="false">IF('MiT Strom Pipeline'!R23="WON",'MiT Strom Pipeline'!E23,"")</f>
        <v/>
      </c>
      <c r="F28" s="69" t="str">
        <f aca="false">IF('MiT Strom Pipeline'!R23="WON",IF(ISNUMBER('MiT Strom Pipeline'!I23),'MiT Strom Pipeline'!I23,0),"")</f>
        <v/>
      </c>
      <c r="G28" s="69" t="str">
        <f aca="false">IF('MiT Strom Pipeline'!R23="WON",IF(ISNUMBER('MiT Strom Pipeline'!Q23),'MiT Strom Pipeline'!Q23,0),"")</f>
        <v/>
      </c>
      <c r="H28" s="21" t="str">
        <f aca="false">IF('MiT Strom Pipeline'!R23="WON",'MiT Strom Pipeline'!R23,"")</f>
        <v/>
      </c>
      <c r="I28" s="21" t="str">
        <f aca="false">IF('MiT Strom Pipeline'!R23="WON",'MiT Strom Pipeline'!S23,"")</f>
        <v/>
      </c>
      <c r="J28" s="22" t="str">
        <f aca="false">IF('MiT Strom Pipeline'!R23="WON",IF(LEN('MiT Strom Pipeline'!V23)&gt;0,LEFT('MiT Strom Pipeline'!V23,55),""),"")</f>
        <v/>
      </c>
    </row>
    <row r="29" customFormat="false" ht="15.75" hidden="false" customHeight="true" outlineLevel="0" collapsed="false">
      <c r="A29" s="18" t="str">
        <f aca="false">IF('MiT Strom Pipeline'!R24="WON",IF(ISNUMBER('MiT Strom Pipeline'!A24),'MiT Strom Pipeline'!A24,""),"")</f>
        <v/>
      </c>
      <c r="B29" s="19" t="str">
        <f aca="false">IF('MiT Strom Pipeline'!R24="WON",'MiT Strom Pipeline'!B24,"")</f>
        <v/>
      </c>
      <c r="C29" s="18" t="str">
        <f aca="false">IF('MiT Strom Pipeline'!R24="WON",'MiT Strom Pipeline'!C24,"")</f>
        <v/>
      </c>
      <c r="D29" s="19" t="str">
        <f aca="false">IF('MiT Strom Pipeline'!R24="WON",'MiT Strom Pipeline'!D24,"")</f>
        <v/>
      </c>
      <c r="E29" s="19" t="str">
        <f aca="false">IF('MiT Strom Pipeline'!R24="WON",'MiT Strom Pipeline'!E24,"")</f>
        <v/>
      </c>
      <c r="F29" s="68" t="str">
        <f aca="false">IF('MiT Strom Pipeline'!R24="WON",IF(ISNUMBER('MiT Strom Pipeline'!I24),'MiT Strom Pipeline'!I24,0),"")</f>
        <v/>
      </c>
      <c r="G29" s="68" t="str">
        <f aca="false">IF('MiT Strom Pipeline'!R24="WON",IF(ISNUMBER('MiT Strom Pipeline'!Q24),'MiT Strom Pipeline'!Q24,0),"")</f>
        <v/>
      </c>
      <c r="H29" s="18" t="str">
        <f aca="false">IF('MiT Strom Pipeline'!R24="WON",'MiT Strom Pipeline'!R24,"")</f>
        <v/>
      </c>
      <c r="I29" s="18" t="str">
        <f aca="false">IF('MiT Strom Pipeline'!R24="WON",'MiT Strom Pipeline'!S24,"")</f>
        <v/>
      </c>
      <c r="J29" s="19" t="str">
        <f aca="false">IF('MiT Strom Pipeline'!R24="WON",IF(LEN('MiT Strom Pipeline'!V24)&gt;0,LEFT('MiT Strom Pipeline'!V24,55),""),"")</f>
        <v/>
      </c>
    </row>
    <row r="30" customFormat="false" ht="15.75" hidden="false" customHeight="true" outlineLevel="0" collapsed="false">
      <c r="A30" s="21" t="str">
        <f aca="false">IF('MiT Strom Pipeline'!R25="WON",IF(ISNUMBER('MiT Strom Pipeline'!A25),'MiT Strom Pipeline'!A25,""),"")</f>
        <v/>
      </c>
      <c r="B30" s="22" t="str">
        <f aca="false">IF('MiT Strom Pipeline'!R25="WON",'MiT Strom Pipeline'!B25,"")</f>
        <v/>
      </c>
      <c r="C30" s="21" t="str">
        <f aca="false">IF('MiT Strom Pipeline'!R25="WON",'MiT Strom Pipeline'!C25,"")</f>
        <v/>
      </c>
      <c r="D30" s="22" t="str">
        <f aca="false">IF('MiT Strom Pipeline'!R25="WON",'MiT Strom Pipeline'!D25,"")</f>
        <v/>
      </c>
      <c r="E30" s="22" t="str">
        <f aca="false">IF('MiT Strom Pipeline'!R25="WON",'MiT Strom Pipeline'!E25,"")</f>
        <v/>
      </c>
      <c r="F30" s="69" t="str">
        <f aca="false">IF('MiT Strom Pipeline'!R25="WON",IF(ISNUMBER('MiT Strom Pipeline'!I25),'MiT Strom Pipeline'!I25,0),"")</f>
        <v/>
      </c>
      <c r="G30" s="69" t="str">
        <f aca="false">IF('MiT Strom Pipeline'!R25="WON",IF(ISNUMBER('MiT Strom Pipeline'!Q25),'MiT Strom Pipeline'!Q25,0),"")</f>
        <v/>
      </c>
      <c r="H30" s="21" t="str">
        <f aca="false">IF('MiT Strom Pipeline'!R25="WON",'MiT Strom Pipeline'!R25,"")</f>
        <v/>
      </c>
      <c r="I30" s="21" t="str">
        <f aca="false">IF('MiT Strom Pipeline'!R25="WON",'MiT Strom Pipeline'!S25,"")</f>
        <v/>
      </c>
      <c r="J30" s="22" t="str">
        <f aca="false">IF('MiT Strom Pipeline'!R25="WON",IF(LEN('MiT Strom Pipeline'!V25)&gt;0,LEFT('MiT Strom Pipeline'!V25,55),""),"")</f>
        <v/>
      </c>
    </row>
    <row r="31" customFormat="false" ht="15.75" hidden="false" customHeight="true" outlineLevel="0" collapsed="false">
      <c r="A31" s="18" t="str">
        <f aca="false">IF('MiT Strom Pipeline'!R26="WON",IF(ISNUMBER('MiT Strom Pipeline'!A26),'MiT Strom Pipeline'!A26,""),"")</f>
        <v/>
      </c>
      <c r="B31" s="19" t="str">
        <f aca="false">IF('MiT Strom Pipeline'!R26="WON",'MiT Strom Pipeline'!B26,"")</f>
        <v/>
      </c>
      <c r="C31" s="18" t="str">
        <f aca="false">IF('MiT Strom Pipeline'!R26="WON",'MiT Strom Pipeline'!C26,"")</f>
        <v/>
      </c>
      <c r="D31" s="19" t="str">
        <f aca="false">IF('MiT Strom Pipeline'!R26="WON",'MiT Strom Pipeline'!D26,"")</f>
        <v/>
      </c>
      <c r="E31" s="19" t="str">
        <f aca="false">IF('MiT Strom Pipeline'!R26="WON",'MiT Strom Pipeline'!E26,"")</f>
        <v/>
      </c>
      <c r="F31" s="68" t="str">
        <f aca="false">IF('MiT Strom Pipeline'!R26="WON",IF(ISNUMBER('MiT Strom Pipeline'!I26),'MiT Strom Pipeline'!I26,0),"")</f>
        <v/>
      </c>
      <c r="G31" s="68" t="str">
        <f aca="false">IF('MiT Strom Pipeline'!R26="WON",IF(ISNUMBER('MiT Strom Pipeline'!Q26),'MiT Strom Pipeline'!Q26,0),"")</f>
        <v/>
      </c>
      <c r="H31" s="18" t="str">
        <f aca="false">IF('MiT Strom Pipeline'!R26="WON",'MiT Strom Pipeline'!R26,"")</f>
        <v/>
      </c>
      <c r="I31" s="18" t="str">
        <f aca="false">IF('MiT Strom Pipeline'!R26="WON",'MiT Strom Pipeline'!S26,"")</f>
        <v/>
      </c>
      <c r="J31" s="19" t="str">
        <f aca="false">IF('MiT Strom Pipeline'!R26="WON",IF(LEN('MiT Strom Pipeline'!V26)&gt;0,LEFT('MiT Strom Pipeline'!V26,55),""),"")</f>
        <v/>
      </c>
    </row>
    <row r="32" customFormat="false" ht="23.85" hidden="false" customHeight="false" outlineLevel="0" collapsed="false">
      <c r="A32" s="21" t="n">
        <f aca="false">IF('MiT Strom Pipeline'!R27="WON",IF(ISNUMBER('MiT Strom Pipeline'!A27),'MiT Strom Pipeline'!A27,""),"")</f>
        <v>21</v>
      </c>
      <c r="B32" s="22" t="str">
        <f aca="false">IF('MiT Strom Pipeline'!R27="WON",'MiT Strom Pipeline'!B27,"")</f>
        <v>X-Event</v>
      </c>
      <c r="C32" s="21" t="str">
        <f aca="false">IF('MiT Strom Pipeline'!R27="WON",'MiT Strom Pipeline'!C27,"")</f>
        <v>SH</v>
      </c>
      <c r="D32" s="22" t="str">
        <f aca="false">IF('MiT Strom Pipeline'!R27="WON",'MiT Strom Pipeline'!D27,"")</f>
        <v>Events / Medien</v>
      </c>
      <c r="E32" s="22" t="str">
        <f aca="false">IF('MiT Strom Pipeline'!R27="WON",'MiT Strom Pipeline'!E27,"")</f>
        <v>100 kVA Generator</v>
      </c>
      <c r="F32" s="69" t="n">
        <f aca="false">IF('MiT Strom Pipeline'!R27="WON",IF(ISNUMBER('MiT Strom Pipeline'!I27),'MiT Strom Pipeline'!I27,0),"")</f>
        <v>0</v>
      </c>
      <c r="G32" s="69" t="n">
        <f aca="false">IF('MiT Strom Pipeline'!R27="WON",IF(ISNUMBER('MiT Strom Pipeline'!Q27),'MiT Strom Pipeline'!Q27,0),"")</f>
        <v>0</v>
      </c>
      <c r="H32" s="21" t="str">
        <f aca="false">IF('MiT Strom Pipeline'!R27="WON",'MiT Strom Pipeline'!R27,"")</f>
        <v>WON</v>
      </c>
      <c r="I32" s="21" t="n">
        <f aca="false">IF('MiT Strom Pipeline'!R27="WON",'MiT Strom Pipeline'!S27,"")</f>
        <v>1</v>
      </c>
      <c r="J32" s="24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false" customHeight="true" outlineLevel="0" collapsed="false">
      <c r="A33" s="18" t="str">
        <f aca="false">IF('MiT Strom Pipeline'!R28="WON",IF(ISNUMBER('MiT Strom Pipeline'!A28),'MiT Strom Pipeline'!A28,""),"")</f>
        <v/>
      </c>
      <c r="B33" s="19" t="str">
        <f aca="false">IF('MiT Strom Pipeline'!R28="WON",'MiT Strom Pipeline'!B28,"")</f>
        <v/>
      </c>
      <c r="C33" s="18" t="str">
        <f aca="false">IF('MiT Strom Pipeline'!R28="WON",'MiT Strom Pipeline'!C28,"")</f>
        <v/>
      </c>
      <c r="D33" s="19" t="str">
        <f aca="false">IF('MiT Strom Pipeline'!R28="WON",'MiT Strom Pipeline'!D28,"")</f>
        <v/>
      </c>
      <c r="E33" s="19" t="str">
        <f aca="false">IF('MiT Strom Pipeline'!R28="WON",'MiT Strom Pipeline'!E28,"")</f>
        <v/>
      </c>
      <c r="F33" s="68" t="str">
        <f aca="false">IF('MiT Strom Pipeline'!R28="WON",IF(ISNUMBER('MiT Strom Pipeline'!I28),'MiT Strom Pipeline'!I28,0),"")</f>
        <v/>
      </c>
      <c r="G33" s="68" t="str">
        <f aca="false">IF('MiT Strom Pipeline'!R28="WON",IF(ISNUMBER('MiT Strom Pipeline'!Q28),'MiT Strom Pipeline'!Q28,0),"")</f>
        <v/>
      </c>
      <c r="H33" s="18" t="str">
        <f aca="false">IF('MiT Strom Pipeline'!R28="WON",'MiT Strom Pipeline'!R28,"")</f>
        <v/>
      </c>
      <c r="I33" s="18" t="str">
        <f aca="false">IF('MiT Strom Pipeline'!R28="WON",'MiT Strom Pipeline'!S28,"")</f>
        <v/>
      </c>
      <c r="J33" s="19" t="str">
        <f aca="false">IF('MiT Strom Pipeline'!R28="WON",IF(LEN('MiT Strom Pipeline'!V28)&gt;0,LEFT('MiT Strom Pipeline'!V28,55),""),"")</f>
        <v/>
      </c>
    </row>
    <row r="34" customFormat="false" ht="15.75" hidden="false" customHeight="true" outlineLevel="0" collapsed="false">
      <c r="A34" s="21" t="str">
        <f aca="false">IF('MiT Strom Pipeline'!R29="WON",IF(ISNUMBER('MiT Strom Pipeline'!A29),'MiT Strom Pipeline'!A29,""),"")</f>
        <v/>
      </c>
      <c r="B34" s="22" t="str">
        <f aca="false">IF('MiT Strom Pipeline'!R29="WON",'MiT Strom Pipeline'!B29,"")</f>
        <v/>
      </c>
      <c r="C34" s="21" t="str">
        <f aca="false">IF('MiT Strom Pipeline'!R29="WON",'MiT Strom Pipeline'!C29,"")</f>
        <v/>
      </c>
      <c r="D34" s="22" t="str">
        <f aca="false">IF('MiT Strom Pipeline'!R29="WON",'MiT Strom Pipeline'!D29,"")</f>
        <v/>
      </c>
      <c r="E34" s="22" t="str">
        <f aca="false">IF('MiT Strom Pipeline'!R29="WON",'MiT Strom Pipeline'!E29,"")</f>
        <v/>
      </c>
      <c r="F34" s="69" t="str">
        <f aca="false">IF('MiT Strom Pipeline'!R29="WON",IF(ISNUMBER('MiT Strom Pipeline'!I29),'MiT Strom Pipeline'!I29,0),"")</f>
        <v/>
      </c>
      <c r="G34" s="69" t="str">
        <f aca="false">IF('MiT Strom Pipeline'!R29="WON",IF(ISNUMBER('MiT Strom Pipeline'!Q29),'MiT Strom Pipeline'!Q29,0),"")</f>
        <v/>
      </c>
      <c r="H34" s="21" t="str">
        <f aca="false">IF('MiT Strom Pipeline'!R29="WON",'MiT Strom Pipeline'!R29,"")</f>
        <v/>
      </c>
      <c r="I34" s="21" t="str">
        <f aca="false">IF('MiT Strom Pipeline'!R29="WON",'MiT Strom Pipeline'!S29,"")</f>
        <v/>
      </c>
      <c r="J34" s="22" t="str">
        <f aca="false">IF('MiT Strom Pipeline'!R29="WON",IF(LEN('MiT Strom Pipeline'!V29)&gt;0,LEFT('MiT Strom Pipeline'!V29,55),""),"")</f>
        <v/>
      </c>
    </row>
    <row r="35" customFormat="false" ht="15.75" hidden="false" customHeight="true" outlineLevel="0" collapsed="false">
      <c r="A35" s="18" t="str">
        <f aca="false">IF('MiT Strom Pipeline'!R30="WON",IF(ISNUMBER('MiT Strom Pipeline'!A30),'MiT Strom Pipeline'!A30,""),"")</f>
        <v/>
      </c>
      <c r="B35" s="19" t="str">
        <f aca="false">IF('MiT Strom Pipeline'!R30="WON",'MiT Strom Pipeline'!B30,"")</f>
        <v/>
      </c>
      <c r="C35" s="18" t="str">
        <f aca="false">IF('MiT Strom Pipeline'!R30="WON",'MiT Strom Pipeline'!C30,"")</f>
        <v/>
      </c>
      <c r="D35" s="19" t="str">
        <f aca="false">IF('MiT Strom Pipeline'!R30="WON",'MiT Strom Pipeline'!D30,"")</f>
        <v/>
      </c>
      <c r="E35" s="19" t="str">
        <f aca="false">IF('MiT Strom Pipeline'!R30="WON",'MiT Strom Pipeline'!E30,"")</f>
        <v/>
      </c>
      <c r="F35" s="68" t="str">
        <f aca="false">IF('MiT Strom Pipeline'!R30="WON",IF(ISNUMBER('MiT Strom Pipeline'!I30),'MiT Strom Pipeline'!I30,0),"")</f>
        <v/>
      </c>
      <c r="G35" s="68" t="str">
        <f aca="false">IF('MiT Strom Pipeline'!R30="WON",IF(ISNUMBER('MiT Strom Pipeline'!Q30),'MiT Strom Pipeline'!Q30,0),"")</f>
        <v/>
      </c>
      <c r="H35" s="18" t="str">
        <f aca="false">IF('MiT Strom Pipeline'!R30="WON",'MiT Strom Pipeline'!R30,"")</f>
        <v/>
      </c>
      <c r="I35" s="18" t="str">
        <f aca="false">IF('MiT Strom Pipeline'!R30="WON",'MiT Strom Pipeline'!S30,"")</f>
        <v/>
      </c>
      <c r="J35" s="19" t="str">
        <f aca="false">IF('MiT Strom Pipeline'!R30="WON",IF(LEN('MiT Strom Pipeline'!V30)&gt;0,LEFT('MiT Strom Pipeline'!V30,55),""),"")</f>
        <v/>
      </c>
    </row>
    <row r="36" customFormat="false" ht="15.75" hidden="false" customHeight="true" outlineLevel="0" collapsed="false">
      <c r="A36" s="21" t="str">
        <f aca="false">IF('MiT Strom Pipeline'!R31="WON",IF(ISNUMBER('MiT Strom Pipeline'!A31),'MiT Strom Pipeline'!A31,""),"")</f>
        <v/>
      </c>
      <c r="B36" s="22" t="str">
        <f aca="false">IF('MiT Strom Pipeline'!R31="WON",'MiT Strom Pipeline'!B31,"")</f>
        <v/>
      </c>
      <c r="C36" s="21" t="str">
        <f aca="false">IF('MiT Strom Pipeline'!R31="WON",'MiT Strom Pipeline'!C31,"")</f>
        <v/>
      </c>
      <c r="D36" s="22" t="str">
        <f aca="false">IF('MiT Strom Pipeline'!R31="WON",'MiT Strom Pipeline'!D31,"")</f>
        <v/>
      </c>
      <c r="E36" s="22" t="str">
        <f aca="false">IF('MiT Strom Pipeline'!R31="WON",'MiT Strom Pipeline'!E31,"")</f>
        <v/>
      </c>
      <c r="F36" s="69" t="str">
        <f aca="false">IF('MiT Strom Pipeline'!R31="WON",IF(ISNUMBER('MiT Strom Pipeline'!I31),'MiT Strom Pipeline'!I31,0),"")</f>
        <v/>
      </c>
      <c r="G36" s="69" t="str">
        <f aca="false">IF('MiT Strom Pipeline'!R31="WON",IF(ISNUMBER('MiT Strom Pipeline'!Q31),'MiT Strom Pipeline'!Q31,0),"")</f>
        <v/>
      </c>
      <c r="H36" s="21" t="str">
        <f aca="false">IF('MiT Strom Pipeline'!R31="WON",'MiT Strom Pipeline'!R31,"")</f>
        <v/>
      </c>
      <c r="I36" s="21" t="str">
        <f aca="false">IF('MiT Strom Pipeline'!R31="WON",'MiT Strom Pipeline'!S31,"")</f>
        <v/>
      </c>
      <c r="J36" s="22" t="str">
        <f aca="false">IF('MiT Strom Pipeline'!R31="WON",IF(LEN('MiT Strom Pipeline'!V31)&gt;0,LEFT('MiT Strom Pipeline'!V31,55),""),"")</f>
        <v/>
      </c>
    </row>
    <row r="37" customFormat="false" ht="15.75" hidden="false" customHeight="true" outlineLevel="0" collapsed="false">
      <c r="A37" s="18" t="str">
        <f aca="false">IF('MiT Strom Pipeline'!R32="WON",IF(ISNUMBER('MiT Strom Pipeline'!A32),'MiT Strom Pipeline'!A32,""),"")</f>
        <v/>
      </c>
      <c r="B37" s="19" t="str">
        <f aca="false">IF('MiT Strom Pipeline'!R32="WON",'MiT Strom Pipeline'!B32,"")</f>
        <v/>
      </c>
      <c r="C37" s="18" t="str">
        <f aca="false">IF('MiT Strom Pipeline'!R32="WON",'MiT Strom Pipeline'!C32,"")</f>
        <v/>
      </c>
      <c r="D37" s="19" t="str">
        <f aca="false">IF('MiT Strom Pipeline'!R32="WON",'MiT Strom Pipeline'!D32,"")</f>
        <v/>
      </c>
      <c r="E37" s="19" t="str">
        <f aca="false">IF('MiT Strom Pipeline'!R32="WON",'MiT Strom Pipeline'!E32,"")</f>
        <v/>
      </c>
      <c r="F37" s="68" t="str">
        <f aca="false">IF('MiT Strom Pipeline'!R32="WON",IF(ISNUMBER('MiT Strom Pipeline'!I32),'MiT Strom Pipeline'!I32,0),"")</f>
        <v/>
      </c>
      <c r="G37" s="68" t="str">
        <f aca="false">IF('MiT Strom Pipeline'!R32="WON",IF(ISNUMBER('MiT Strom Pipeline'!Q32),'MiT Strom Pipeline'!Q32,0),"")</f>
        <v/>
      </c>
      <c r="H37" s="18" t="str">
        <f aca="false">IF('MiT Strom Pipeline'!R32="WON",'MiT Strom Pipeline'!R32,"")</f>
        <v/>
      </c>
      <c r="I37" s="18" t="str">
        <f aca="false">IF('MiT Strom Pipeline'!R32="WON",'MiT Strom Pipeline'!S32,"")</f>
        <v/>
      </c>
      <c r="J37" s="19" t="str">
        <f aca="false">IF('MiT Strom Pipeline'!R32="WON",IF(LEN('MiT Strom Pipeline'!V32)&gt;0,LEFT('MiT Strom Pipeline'!V32,55),""),"")</f>
        <v/>
      </c>
    </row>
    <row r="38" customFormat="false" ht="15.75" hidden="false" customHeight="true" outlineLevel="0" collapsed="false">
      <c r="A38" s="21" t="str">
        <f aca="false">IF('MiT Strom Pipeline'!R33="WON",IF(ISNUMBER('MiT Strom Pipeline'!A33),'MiT Strom Pipeline'!A33,""),"")</f>
        <v/>
      </c>
      <c r="B38" s="22" t="str">
        <f aca="false">IF('MiT Strom Pipeline'!R33="WON",'MiT Strom Pipeline'!B33,"")</f>
        <v/>
      </c>
      <c r="C38" s="21" t="str">
        <f aca="false">IF('MiT Strom Pipeline'!R33="WON",'MiT Strom Pipeline'!C33,"")</f>
        <v/>
      </c>
      <c r="D38" s="22" t="str">
        <f aca="false">IF('MiT Strom Pipeline'!R33="WON",'MiT Strom Pipeline'!D33,"")</f>
        <v/>
      </c>
      <c r="E38" s="22" t="str">
        <f aca="false">IF('MiT Strom Pipeline'!R33="WON",'MiT Strom Pipeline'!E33,"")</f>
        <v/>
      </c>
      <c r="F38" s="69" t="str">
        <f aca="false">IF('MiT Strom Pipeline'!R33="WON",IF(ISNUMBER('MiT Strom Pipeline'!I33),'MiT Strom Pipeline'!I33,0),"")</f>
        <v/>
      </c>
      <c r="G38" s="69" t="str">
        <f aca="false">IF('MiT Strom Pipeline'!R33="WON",IF(ISNUMBER('MiT Strom Pipeline'!Q33),'MiT Strom Pipeline'!Q33,0),"")</f>
        <v/>
      </c>
      <c r="H38" s="21" t="str">
        <f aca="false">IF('MiT Strom Pipeline'!R33="WON",'MiT Strom Pipeline'!R33,"")</f>
        <v/>
      </c>
      <c r="I38" s="21" t="str">
        <f aca="false">IF('MiT Strom Pipeline'!R33="WON",'MiT Strom Pipeline'!S33,"")</f>
        <v/>
      </c>
      <c r="J38" s="22" t="str">
        <f aca="false">IF('MiT Strom Pipeline'!R33="WON",IF(LEN('MiT Strom Pipeline'!V33)&gt;0,LEFT('MiT Strom Pipeline'!V33,55),""),"")</f>
        <v/>
      </c>
    </row>
    <row r="39" customFormat="false" ht="15.75" hidden="false" customHeight="true" outlineLevel="0" collapsed="false">
      <c r="A39" s="18" t="str">
        <f aca="false">IF('MiT Strom Pipeline'!R34="WON",IF(ISNUMBER('MiT Strom Pipeline'!A34),'MiT Strom Pipeline'!A34,""),"")</f>
        <v/>
      </c>
      <c r="B39" s="19" t="str">
        <f aca="false">IF('MiT Strom Pipeline'!R34="WON",'MiT Strom Pipeline'!B34,"")</f>
        <v/>
      </c>
      <c r="C39" s="18" t="str">
        <f aca="false">IF('MiT Strom Pipeline'!R34="WON",'MiT Strom Pipeline'!C34,"")</f>
        <v/>
      </c>
      <c r="D39" s="19" t="str">
        <f aca="false">IF('MiT Strom Pipeline'!R34="WON",'MiT Strom Pipeline'!D34,"")</f>
        <v/>
      </c>
      <c r="E39" s="19" t="str">
        <f aca="false">IF('MiT Strom Pipeline'!R34="WON",'MiT Strom Pipeline'!E34,"")</f>
        <v/>
      </c>
      <c r="F39" s="68" t="str">
        <f aca="false">IF('MiT Strom Pipeline'!R34="WON",IF(ISNUMBER('MiT Strom Pipeline'!I34),'MiT Strom Pipeline'!I34,0),"")</f>
        <v/>
      </c>
      <c r="G39" s="68" t="str">
        <f aca="false">IF('MiT Strom Pipeline'!R34="WON",IF(ISNUMBER('MiT Strom Pipeline'!Q34),'MiT Strom Pipeline'!Q34,0),"")</f>
        <v/>
      </c>
      <c r="H39" s="18" t="str">
        <f aca="false">IF('MiT Strom Pipeline'!R34="WON",'MiT Strom Pipeline'!R34,"")</f>
        <v/>
      </c>
      <c r="I39" s="18" t="str">
        <f aca="false">IF('MiT Strom Pipeline'!R34="WON",'MiT Strom Pipeline'!S34,"")</f>
        <v/>
      </c>
      <c r="J39" s="19" t="str">
        <f aca="false">IF('MiT Strom Pipeline'!R34="WON",IF(LEN('MiT Strom Pipeline'!V34)&gt;0,LEFT('MiT Strom Pipeline'!V34,55),""),"")</f>
        <v/>
      </c>
    </row>
    <row r="40" customFormat="false" ht="15.75" hidden="false" customHeight="true" outlineLevel="0" collapsed="false">
      <c r="A40" s="21" t="str">
        <f aca="false">IF('MiT Strom Pipeline'!R35="WON",IF(ISNUMBER('MiT Strom Pipeline'!A35),'MiT Strom Pipeline'!A35,""),"")</f>
        <v/>
      </c>
      <c r="B40" s="22" t="str">
        <f aca="false">IF('MiT Strom Pipeline'!R35="WON",'MiT Strom Pipeline'!B35,"")</f>
        <v/>
      </c>
      <c r="C40" s="21" t="str">
        <f aca="false">IF('MiT Strom Pipeline'!R35="WON",'MiT Strom Pipeline'!C35,"")</f>
        <v/>
      </c>
      <c r="D40" s="22" t="str">
        <f aca="false">IF('MiT Strom Pipeline'!R35="WON",'MiT Strom Pipeline'!D35,"")</f>
        <v/>
      </c>
      <c r="E40" s="22" t="str">
        <f aca="false">IF('MiT Strom Pipeline'!R35="WON",'MiT Strom Pipeline'!E35,"")</f>
        <v/>
      </c>
      <c r="F40" s="69" t="str">
        <f aca="false">IF('MiT Strom Pipeline'!R35="WON",IF(ISNUMBER('MiT Strom Pipeline'!I35),'MiT Strom Pipeline'!I35,0),"")</f>
        <v/>
      </c>
      <c r="G40" s="69" t="str">
        <f aca="false">IF('MiT Strom Pipeline'!R35="WON",IF(ISNUMBER('MiT Strom Pipeline'!Q35),'MiT Strom Pipeline'!Q35,0),"")</f>
        <v/>
      </c>
      <c r="H40" s="21" t="str">
        <f aca="false">IF('MiT Strom Pipeline'!R35="WON",'MiT Strom Pipeline'!R35,"")</f>
        <v/>
      </c>
      <c r="I40" s="21" t="str">
        <f aca="false">IF('MiT Strom Pipeline'!R35="WON",'MiT Strom Pipeline'!S35,"")</f>
        <v/>
      </c>
      <c r="J40" s="22" t="str">
        <f aca="false">IF('MiT Strom Pipeline'!R35="WON",IF(LEN('MiT Strom Pipeline'!V35)&gt;0,LEFT('MiT Strom Pipeline'!V35,55),""),"")</f>
        <v/>
      </c>
    </row>
    <row r="41" customFormat="false" ht="15.75" hidden="false" customHeight="true" outlineLevel="0" collapsed="false">
      <c r="A41" s="18" t="str">
        <f aca="false">IF('MiT Strom Pipeline'!R36="WON",IF(ISNUMBER('MiT Strom Pipeline'!A36),'MiT Strom Pipeline'!A36,""),"")</f>
        <v/>
      </c>
      <c r="B41" s="19" t="str">
        <f aca="false">IF('MiT Strom Pipeline'!R36="WON",'MiT Strom Pipeline'!B36,"")</f>
        <v/>
      </c>
      <c r="C41" s="18" t="str">
        <f aca="false">IF('MiT Strom Pipeline'!R36="WON",'MiT Strom Pipeline'!C36,"")</f>
        <v/>
      </c>
      <c r="D41" s="19" t="str">
        <f aca="false">IF('MiT Strom Pipeline'!R36="WON",'MiT Strom Pipeline'!D36,"")</f>
        <v/>
      </c>
      <c r="E41" s="19" t="str">
        <f aca="false">IF('MiT Strom Pipeline'!R36="WON",'MiT Strom Pipeline'!E36,"")</f>
        <v/>
      </c>
      <c r="F41" s="68" t="str">
        <f aca="false">IF('MiT Strom Pipeline'!R36="WON",IF(ISNUMBER('MiT Strom Pipeline'!I36),'MiT Strom Pipeline'!I36,0),"")</f>
        <v/>
      </c>
      <c r="G41" s="68" t="str">
        <f aca="false">IF('MiT Strom Pipeline'!R36="WON",IF(ISNUMBER('MiT Strom Pipeline'!Q36),'MiT Strom Pipeline'!Q36,0),"")</f>
        <v/>
      </c>
      <c r="H41" s="18" t="str">
        <f aca="false">IF('MiT Strom Pipeline'!R36="WON",'MiT Strom Pipeline'!R36,"")</f>
        <v/>
      </c>
      <c r="I41" s="18" t="str">
        <f aca="false">IF('MiT Strom Pipeline'!R36="WON",'MiT Strom Pipeline'!S36,"")</f>
        <v/>
      </c>
      <c r="J41" s="19" t="str">
        <f aca="false">IF('MiT Strom Pipeline'!R36="WON",IF(LEN('MiT Strom Pipeline'!V36)&gt;0,LEFT('MiT Strom Pipeline'!V36,55),""),"")</f>
        <v/>
      </c>
    </row>
    <row r="42" customFormat="false" ht="15.75" hidden="false" customHeight="true" outlineLevel="0" collapsed="false">
      <c r="A42" s="21" t="str">
        <f aca="false">IF('MiT Strom Pipeline'!R37="WON",IF(ISNUMBER('MiT Strom Pipeline'!A37),'MiT Strom Pipeline'!A37,""),"")</f>
        <v/>
      </c>
      <c r="B42" s="22" t="str">
        <f aca="false">IF('MiT Strom Pipeline'!R37="WON",'MiT Strom Pipeline'!B37,"")</f>
        <v/>
      </c>
      <c r="C42" s="21" t="str">
        <f aca="false">IF('MiT Strom Pipeline'!R37="WON",'MiT Strom Pipeline'!C37,"")</f>
        <v/>
      </c>
      <c r="D42" s="22" t="str">
        <f aca="false">IF('MiT Strom Pipeline'!R37="WON",'MiT Strom Pipeline'!D37,"")</f>
        <v/>
      </c>
      <c r="E42" s="22" t="str">
        <f aca="false">IF('MiT Strom Pipeline'!R37="WON",'MiT Strom Pipeline'!E37,"")</f>
        <v/>
      </c>
      <c r="F42" s="69" t="str">
        <f aca="false">IF('MiT Strom Pipeline'!R37="WON",IF(ISNUMBER('MiT Strom Pipeline'!I37),'MiT Strom Pipeline'!I37,0),"")</f>
        <v/>
      </c>
      <c r="G42" s="69" t="str">
        <f aca="false">IF('MiT Strom Pipeline'!R37="WON",IF(ISNUMBER('MiT Strom Pipeline'!Q37),'MiT Strom Pipeline'!Q37,0),"")</f>
        <v/>
      </c>
      <c r="H42" s="21" t="str">
        <f aca="false">IF('MiT Strom Pipeline'!R37="WON",'MiT Strom Pipeline'!R37,"")</f>
        <v/>
      </c>
      <c r="I42" s="21" t="str">
        <f aca="false">IF('MiT Strom Pipeline'!R37="WON",'MiT Strom Pipeline'!S37,"")</f>
        <v/>
      </c>
      <c r="J42" s="22" t="str">
        <f aca="false">IF('MiT Strom Pipeline'!R37="WON",IF(LEN('MiT Strom Pipeline'!V37)&gt;0,LEFT('MiT Strom Pipeline'!V37,55),""),"")</f>
        <v/>
      </c>
    </row>
    <row r="43" customFormat="false" ht="15.75" hidden="false" customHeight="true" outlineLevel="0" collapsed="false">
      <c r="A43" s="18" t="str">
        <f aca="false">IF('MiT Strom Pipeline'!R38="WON",IF(ISNUMBER('MiT Strom Pipeline'!A38),'MiT Strom Pipeline'!A38,""),"")</f>
        <v/>
      </c>
      <c r="B43" s="19" t="str">
        <f aca="false">IF('MiT Strom Pipeline'!R38="WON",'MiT Strom Pipeline'!B38,"")</f>
        <v/>
      </c>
      <c r="C43" s="18" t="str">
        <f aca="false">IF('MiT Strom Pipeline'!R38="WON",'MiT Strom Pipeline'!C38,"")</f>
        <v/>
      </c>
      <c r="D43" s="19" t="str">
        <f aca="false">IF('MiT Strom Pipeline'!R38="WON",'MiT Strom Pipeline'!D38,"")</f>
        <v/>
      </c>
      <c r="E43" s="19" t="str">
        <f aca="false">IF('MiT Strom Pipeline'!R38="WON",'MiT Strom Pipeline'!E38,"")</f>
        <v/>
      </c>
      <c r="F43" s="68" t="str">
        <f aca="false">IF('MiT Strom Pipeline'!R38="WON",IF(ISNUMBER('MiT Strom Pipeline'!I38),'MiT Strom Pipeline'!I38,0),"")</f>
        <v/>
      </c>
      <c r="G43" s="68" t="str">
        <f aca="false">IF('MiT Strom Pipeline'!R38="WON",IF(ISNUMBER('MiT Strom Pipeline'!Q38),'MiT Strom Pipeline'!Q38,0),"")</f>
        <v/>
      </c>
      <c r="H43" s="18" t="str">
        <f aca="false">IF('MiT Strom Pipeline'!R38="WON",'MiT Strom Pipeline'!R38,"")</f>
        <v/>
      </c>
      <c r="I43" s="18" t="str">
        <f aca="false">IF('MiT Strom Pipeline'!R38="WON",'MiT Strom Pipeline'!S38,"")</f>
        <v/>
      </c>
      <c r="J43" s="19" t="str">
        <f aca="false">IF('MiT Strom Pipeline'!R38="WON",IF(LEN('MiT Strom Pipeline'!V38)&gt;0,LEFT('MiT Strom Pipeline'!V38,55),""),"")</f>
        <v/>
      </c>
    </row>
    <row r="44" customFormat="false" ht="15.75" hidden="false" customHeight="true" outlineLevel="0" collapsed="false">
      <c r="A44" s="21" t="str">
        <f aca="false">IF('MiT Strom Pipeline'!R39="WON",IF(ISNUMBER('MiT Strom Pipeline'!A39),'MiT Strom Pipeline'!A39,""),"")</f>
        <v/>
      </c>
      <c r="B44" s="22" t="str">
        <f aca="false">IF('MiT Strom Pipeline'!R39="WON",'MiT Strom Pipeline'!B39,"")</f>
        <v/>
      </c>
      <c r="C44" s="21" t="str">
        <f aca="false">IF('MiT Strom Pipeline'!R39="WON",'MiT Strom Pipeline'!C39,"")</f>
        <v/>
      </c>
      <c r="D44" s="22" t="str">
        <f aca="false">IF('MiT Strom Pipeline'!R39="WON",'MiT Strom Pipeline'!D39,"")</f>
        <v/>
      </c>
      <c r="E44" s="22" t="str">
        <f aca="false">IF('MiT Strom Pipeline'!R39="WON",'MiT Strom Pipeline'!E39,"")</f>
        <v/>
      </c>
      <c r="F44" s="69" t="str">
        <f aca="false">IF('MiT Strom Pipeline'!R39="WON",IF(ISNUMBER('MiT Strom Pipeline'!I39),'MiT Strom Pipeline'!I39,0),"")</f>
        <v/>
      </c>
      <c r="G44" s="69" t="str">
        <f aca="false">IF('MiT Strom Pipeline'!R39="WON",IF(ISNUMBER('MiT Strom Pipeline'!Q39),'MiT Strom Pipeline'!Q39,0),"")</f>
        <v/>
      </c>
      <c r="H44" s="21" t="str">
        <f aca="false">IF('MiT Strom Pipeline'!R39="WON",'MiT Strom Pipeline'!R39,"")</f>
        <v/>
      </c>
      <c r="I44" s="21" t="str">
        <f aca="false">IF('MiT Strom Pipeline'!R39="WON",'MiT Strom Pipeline'!S39,"")</f>
        <v/>
      </c>
      <c r="J44" s="22" t="str">
        <f aca="false">IF('MiT Strom Pipeline'!R39="WON",IF(LEN('MiT Strom Pipeline'!V39)&gt;0,LEFT('MiT Strom Pipeline'!V39,55),""),"")</f>
        <v/>
      </c>
    </row>
    <row r="45" customFormat="false" ht="15.75" hidden="false" customHeight="true" outlineLevel="0" collapsed="false">
      <c r="A45" s="18" t="str">
        <f aca="false">IF('MiT Strom Pipeline'!R40="WON",IF(ISNUMBER('MiT Strom Pipeline'!A40),'MiT Strom Pipeline'!A40,""),"")</f>
        <v/>
      </c>
      <c r="B45" s="19" t="str">
        <f aca="false">IF('MiT Strom Pipeline'!R40="WON",'MiT Strom Pipeline'!B40,"")</f>
        <v/>
      </c>
      <c r="C45" s="18" t="str">
        <f aca="false">IF('MiT Strom Pipeline'!R40="WON",'MiT Strom Pipeline'!C40,"")</f>
        <v/>
      </c>
      <c r="D45" s="19" t="str">
        <f aca="false">IF('MiT Strom Pipeline'!R40="WON",'MiT Strom Pipeline'!D40,"")</f>
        <v/>
      </c>
      <c r="E45" s="19" t="str">
        <f aca="false">IF('MiT Strom Pipeline'!R40="WON",'MiT Strom Pipeline'!E40,"")</f>
        <v/>
      </c>
      <c r="F45" s="68" t="str">
        <f aca="false">IF('MiT Strom Pipeline'!R40="WON",IF(ISNUMBER('MiT Strom Pipeline'!I40),'MiT Strom Pipeline'!I40,0),"")</f>
        <v/>
      </c>
      <c r="G45" s="68" t="str">
        <f aca="false">IF('MiT Strom Pipeline'!R40="WON",IF(ISNUMBER('MiT Strom Pipeline'!Q40),'MiT Strom Pipeline'!Q40,0),"")</f>
        <v/>
      </c>
      <c r="H45" s="18" t="str">
        <f aca="false">IF('MiT Strom Pipeline'!R40="WON",'MiT Strom Pipeline'!R40,"")</f>
        <v/>
      </c>
      <c r="I45" s="18" t="str">
        <f aca="false">IF('MiT Strom Pipeline'!R40="WON",'MiT Strom Pipeline'!S40,"")</f>
        <v/>
      </c>
      <c r="J45" s="19" t="str">
        <f aca="false">IF('MiT Strom Pipeline'!R40="WON",IF(LEN('MiT Strom Pipeline'!V40)&gt;0,LEFT('MiT Strom Pipeline'!V40,55),""),"")</f>
        <v/>
      </c>
    </row>
    <row r="46" customFormat="false" ht="15.75" hidden="false" customHeight="true" outlineLevel="0" collapsed="false">
      <c r="A46" s="21" t="str">
        <f aca="false">IF('MiT Strom Pipeline'!R41="WON",IF(ISNUMBER('MiT Strom Pipeline'!A41),'MiT Strom Pipeline'!A41,""),"")</f>
        <v/>
      </c>
      <c r="B46" s="22" t="str">
        <f aca="false">IF('MiT Strom Pipeline'!R41="WON",'MiT Strom Pipeline'!B41,"")</f>
        <v/>
      </c>
      <c r="C46" s="21" t="str">
        <f aca="false">IF('MiT Strom Pipeline'!R41="WON",'MiT Strom Pipeline'!C41,"")</f>
        <v/>
      </c>
      <c r="D46" s="22" t="str">
        <f aca="false">IF('MiT Strom Pipeline'!R41="WON",'MiT Strom Pipeline'!D41,"")</f>
        <v/>
      </c>
      <c r="E46" s="22" t="str">
        <f aca="false">IF('MiT Strom Pipeline'!R41="WON",'MiT Strom Pipeline'!E41,"")</f>
        <v/>
      </c>
      <c r="F46" s="69" t="str">
        <f aca="false">IF('MiT Strom Pipeline'!R41="WON",IF(ISNUMBER('MiT Strom Pipeline'!I41),'MiT Strom Pipeline'!I41,0),"")</f>
        <v/>
      </c>
      <c r="G46" s="69" t="str">
        <f aca="false">IF('MiT Strom Pipeline'!R41="WON",IF(ISNUMBER('MiT Strom Pipeline'!Q41),'MiT Strom Pipeline'!Q41,0),"")</f>
        <v/>
      </c>
      <c r="H46" s="21" t="str">
        <f aca="false">IF('MiT Strom Pipeline'!R41="WON",'MiT Strom Pipeline'!R41,"")</f>
        <v/>
      </c>
      <c r="I46" s="21" t="str">
        <f aca="false">IF('MiT Strom Pipeline'!R41="WON",'MiT Strom Pipeline'!S41,"")</f>
        <v/>
      </c>
      <c r="J46" s="22" t="str">
        <f aca="false">IF('MiT Strom Pipeline'!R41="WON",IF(LEN('MiT Strom Pipeline'!V41)&gt;0,LEFT('MiT Strom Pipeline'!V41,55),""),"")</f>
        <v/>
      </c>
    </row>
    <row r="47" customFormat="false" ht="15.75" hidden="false" customHeight="true" outlineLevel="0" collapsed="false">
      <c r="A47" s="18" t="str">
        <f aca="false">IF('MiT Strom Pipeline'!R42="WON",IF(ISNUMBER('MiT Strom Pipeline'!A42),'MiT Strom Pipeline'!A42,""),"")</f>
        <v/>
      </c>
      <c r="B47" s="19" t="str">
        <f aca="false">IF('MiT Strom Pipeline'!R42="WON",'MiT Strom Pipeline'!B42,"")</f>
        <v/>
      </c>
      <c r="C47" s="18" t="str">
        <f aca="false">IF('MiT Strom Pipeline'!R42="WON",'MiT Strom Pipeline'!C42,"")</f>
        <v/>
      </c>
      <c r="D47" s="19" t="str">
        <f aca="false">IF('MiT Strom Pipeline'!R42="WON",'MiT Strom Pipeline'!D42,"")</f>
        <v/>
      </c>
      <c r="E47" s="19" t="str">
        <f aca="false">IF('MiT Strom Pipeline'!R42="WON",'MiT Strom Pipeline'!E42,"")</f>
        <v/>
      </c>
      <c r="F47" s="68" t="str">
        <f aca="false">IF('MiT Strom Pipeline'!R42="WON",IF(ISNUMBER('MiT Strom Pipeline'!I42),'MiT Strom Pipeline'!I42,0),"")</f>
        <v/>
      </c>
      <c r="G47" s="68" t="str">
        <f aca="false">IF('MiT Strom Pipeline'!R42="WON",IF(ISNUMBER('MiT Strom Pipeline'!Q42),'MiT Strom Pipeline'!Q42,0),"")</f>
        <v/>
      </c>
      <c r="H47" s="18" t="str">
        <f aca="false">IF('MiT Strom Pipeline'!R42="WON",'MiT Strom Pipeline'!R42,"")</f>
        <v/>
      </c>
      <c r="I47" s="18" t="str">
        <f aca="false">IF('MiT Strom Pipeline'!R42="WON",'MiT Strom Pipeline'!S42,"")</f>
        <v/>
      </c>
      <c r="J47" s="19" t="str">
        <f aca="false">IF('MiT Strom Pipeline'!R42="WON",IF(LEN('MiT Strom Pipeline'!V42)&gt;0,LEFT('MiT Strom Pipeline'!V42,55),""),"")</f>
        <v/>
      </c>
    </row>
    <row r="48" customFormat="false" ht="15.75" hidden="false" customHeight="true" outlineLevel="0" collapsed="false">
      <c r="A48" s="21" t="str">
        <f aca="false">IF('MiT Strom Pipeline'!R43="WON",IF(ISNUMBER('MiT Strom Pipeline'!A43),'MiT Strom Pipeline'!A43,""),"")</f>
        <v/>
      </c>
      <c r="B48" s="22" t="str">
        <f aca="false">IF('MiT Strom Pipeline'!R43="WON",'MiT Strom Pipeline'!B43,"")</f>
        <v/>
      </c>
      <c r="C48" s="21" t="str">
        <f aca="false">IF('MiT Strom Pipeline'!R43="WON",'MiT Strom Pipeline'!C43,"")</f>
        <v/>
      </c>
      <c r="D48" s="22" t="str">
        <f aca="false">IF('MiT Strom Pipeline'!R43="WON",'MiT Strom Pipeline'!D43,"")</f>
        <v/>
      </c>
      <c r="E48" s="22" t="str">
        <f aca="false">IF('MiT Strom Pipeline'!R43="WON",'MiT Strom Pipeline'!E43,"")</f>
        <v/>
      </c>
      <c r="F48" s="69" t="str">
        <f aca="false">IF('MiT Strom Pipeline'!R43="WON",IF(ISNUMBER('MiT Strom Pipeline'!I43),'MiT Strom Pipeline'!I43,0),"")</f>
        <v/>
      </c>
      <c r="G48" s="69" t="str">
        <f aca="false">IF('MiT Strom Pipeline'!R43="WON",IF(ISNUMBER('MiT Strom Pipeline'!Q43),'MiT Strom Pipeline'!Q43,0),"")</f>
        <v/>
      </c>
      <c r="H48" s="21" t="str">
        <f aca="false">IF('MiT Strom Pipeline'!R43="WON",'MiT Strom Pipeline'!R43,"")</f>
        <v/>
      </c>
      <c r="I48" s="21" t="str">
        <f aca="false">IF('MiT Strom Pipeline'!R43="WON",'MiT Strom Pipeline'!S43,"")</f>
        <v/>
      </c>
      <c r="J48" s="22" t="str">
        <f aca="false">IF('MiT Strom Pipeline'!R43="WON",IF(LEN('MiT Strom Pipeline'!V43)&gt;0,LEFT('MiT Strom Pipeline'!V43,55),""),"")</f>
        <v/>
      </c>
    </row>
    <row r="49" customFormat="false" ht="15.75" hidden="false" customHeight="true" outlineLevel="0" collapsed="false">
      <c r="A49" s="18" t="str">
        <f aca="false">IF('MiT Strom Pipeline'!R44="WON",IF(ISNUMBER('MiT Strom Pipeline'!A44),'MiT Strom Pipeline'!A44,""),"")</f>
        <v/>
      </c>
      <c r="B49" s="19" t="str">
        <f aca="false">IF('MiT Strom Pipeline'!R44="WON",'MiT Strom Pipeline'!B44,"")</f>
        <v/>
      </c>
      <c r="C49" s="18" t="str">
        <f aca="false">IF('MiT Strom Pipeline'!R44="WON",'MiT Strom Pipeline'!C44,"")</f>
        <v/>
      </c>
      <c r="D49" s="19" t="str">
        <f aca="false">IF('MiT Strom Pipeline'!R44="WON",'MiT Strom Pipeline'!D44,"")</f>
        <v/>
      </c>
      <c r="E49" s="19" t="str">
        <f aca="false">IF('MiT Strom Pipeline'!R44="WON",'MiT Strom Pipeline'!E44,"")</f>
        <v/>
      </c>
      <c r="F49" s="68" t="str">
        <f aca="false">IF('MiT Strom Pipeline'!R44="WON",IF(ISNUMBER('MiT Strom Pipeline'!I44),'MiT Strom Pipeline'!I44,0),"")</f>
        <v/>
      </c>
      <c r="G49" s="68" t="str">
        <f aca="false">IF('MiT Strom Pipeline'!R44="WON",IF(ISNUMBER('MiT Strom Pipeline'!Q44),'MiT Strom Pipeline'!Q44,0),"")</f>
        <v/>
      </c>
      <c r="H49" s="18" t="str">
        <f aca="false">IF('MiT Strom Pipeline'!R44="WON",'MiT Strom Pipeline'!R44,"")</f>
        <v/>
      </c>
      <c r="I49" s="18" t="str">
        <f aca="false">IF('MiT Strom Pipeline'!R44="WON",'MiT Strom Pipeline'!S44,"")</f>
        <v/>
      </c>
      <c r="J49" s="19" t="str">
        <f aca="false">IF('MiT Strom Pipeline'!R44="WON",IF(LEN('MiT Strom Pipeline'!V44)&gt;0,LEFT('MiT Strom Pipeline'!V44,55),""),"")</f>
        <v/>
      </c>
    </row>
    <row r="50" customFormat="false" ht="15.75" hidden="false" customHeight="true" outlineLevel="0" collapsed="false">
      <c r="A50" s="21" t="str">
        <f aca="false">IF('MiT Strom Pipeline'!R45="WON",IF(ISNUMBER('MiT Strom Pipeline'!A45),'MiT Strom Pipeline'!A45,""),"")</f>
        <v/>
      </c>
      <c r="B50" s="22" t="str">
        <f aca="false">IF('MiT Strom Pipeline'!R45="WON",'MiT Strom Pipeline'!B45,"")</f>
        <v/>
      </c>
      <c r="C50" s="21" t="str">
        <f aca="false">IF('MiT Strom Pipeline'!R45="WON",'MiT Strom Pipeline'!C45,"")</f>
        <v/>
      </c>
      <c r="D50" s="22" t="str">
        <f aca="false">IF('MiT Strom Pipeline'!R45="WON",'MiT Strom Pipeline'!D45,"")</f>
        <v/>
      </c>
      <c r="E50" s="22" t="str">
        <f aca="false">IF('MiT Strom Pipeline'!R45="WON",'MiT Strom Pipeline'!E45,"")</f>
        <v/>
      </c>
      <c r="F50" s="69" t="str">
        <f aca="false">IF('MiT Strom Pipeline'!R45="WON",IF(ISNUMBER('MiT Strom Pipeline'!I45),'MiT Strom Pipeline'!I45,0),"")</f>
        <v/>
      </c>
      <c r="G50" s="69" t="str">
        <f aca="false">IF('MiT Strom Pipeline'!R45="WON",IF(ISNUMBER('MiT Strom Pipeline'!Q45),'MiT Strom Pipeline'!Q45,0),"")</f>
        <v/>
      </c>
      <c r="H50" s="21" t="str">
        <f aca="false">IF('MiT Strom Pipeline'!R45="WON",'MiT Strom Pipeline'!R45,"")</f>
        <v/>
      </c>
      <c r="I50" s="21" t="str">
        <f aca="false">IF('MiT Strom Pipeline'!R45="WON",'MiT Strom Pipeline'!S45,"")</f>
        <v/>
      </c>
      <c r="J50" s="22" t="str">
        <f aca="false">IF('MiT Strom Pipeline'!R45="WON",IF(LEN('MiT Strom Pipeline'!V45)&gt;0,LEFT('MiT Strom Pipeline'!V45,55),""),"")</f>
        <v/>
      </c>
    </row>
    <row r="51" customFormat="false" ht="15.75" hidden="false" customHeight="true" outlineLevel="0" collapsed="false">
      <c r="A51" s="18" t="str">
        <f aca="false">IF('MiT Strom Pipeline'!R46="WON",IF(ISNUMBER('MiT Strom Pipeline'!A46),'MiT Strom Pipeline'!A46,""),"")</f>
        <v/>
      </c>
      <c r="B51" s="19" t="str">
        <f aca="false">IF('MiT Strom Pipeline'!R46="WON",'MiT Strom Pipeline'!B46,"")</f>
        <v/>
      </c>
      <c r="C51" s="18" t="str">
        <f aca="false">IF('MiT Strom Pipeline'!R46="WON",'MiT Strom Pipeline'!C46,"")</f>
        <v/>
      </c>
      <c r="D51" s="19" t="str">
        <f aca="false">IF('MiT Strom Pipeline'!R46="WON",'MiT Strom Pipeline'!D46,"")</f>
        <v/>
      </c>
      <c r="E51" s="19" t="str">
        <f aca="false">IF('MiT Strom Pipeline'!R46="WON",'MiT Strom Pipeline'!E46,"")</f>
        <v/>
      </c>
      <c r="F51" s="68" t="str">
        <f aca="false">IF('MiT Strom Pipeline'!R46="WON",IF(ISNUMBER('MiT Strom Pipeline'!I46),'MiT Strom Pipeline'!I46,0),"")</f>
        <v/>
      </c>
      <c r="G51" s="68" t="str">
        <f aca="false">IF('MiT Strom Pipeline'!R46="WON",IF(ISNUMBER('MiT Strom Pipeline'!Q46),'MiT Strom Pipeline'!Q46,0),"")</f>
        <v/>
      </c>
      <c r="H51" s="18" t="str">
        <f aca="false">IF('MiT Strom Pipeline'!R46="WON",'MiT Strom Pipeline'!R46,"")</f>
        <v/>
      </c>
      <c r="I51" s="18" t="str">
        <f aca="false">IF('MiT Strom Pipeline'!R46="WON",'MiT Strom Pipeline'!S46,"")</f>
        <v/>
      </c>
      <c r="J51" s="19" t="str">
        <f aca="false">IF('MiT Strom Pipeline'!R46="WON",IF(LEN('MiT Strom Pipeline'!V46)&gt;0,LEFT('MiT Strom Pipeline'!V46,55),""),"")</f>
        <v/>
      </c>
    </row>
    <row r="52" customFormat="false" ht="15.75" hidden="false" customHeight="true" outlineLevel="0" collapsed="false">
      <c r="A52" s="21" t="str">
        <f aca="false">IF('MiT Strom Pipeline'!R47="WON",IF(ISNUMBER('MiT Strom Pipeline'!A47),'MiT Strom Pipeline'!A47,""),"")</f>
        <v/>
      </c>
      <c r="B52" s="22" t="str">
        <f aca="false">IF('MiT Strom Pipeline'!R47="WON",'MiT Strom Pipeline'!B47,"")</f>
        <v/>
      </c>
      <c r="C52" s="21" t="str">
        <f aca="false">IF('MiT Strom Pipeline'!R47="WON",'MiT Strom Pipeline'!C47,"")</f>
        <v/>
      </c>
      <c r="D52" s="22" t="str">
        <f aca="false">IF('MiT Strom Pipeline'!R47="WON",'MiT Strom Pipeline'!D47,"")</f>
        <v/>
      </c>
      <c r="E52" s="22" t="str">
        <f aca="false">IF('MiT Strom Pipeline'!R47="WON",'MiT Strom Pipeline'!E47,"")</f>
        <v/>
      </c>
      <c r="F52" s="69" t="str">
        <f aca="false">IF('MiT Strom Pipeline'!R47="WON",IF(ISNUMBER('MiT Strom Pipeline'!I47),'MiT Strom Pipeline'!I47,0),"")</f>
        <v/>
      </c>
      <c r="G52" s="69" t="str">
        <f aca="false">IF('MiT Strom Pipeline'!R47="WON",IF(ISNUMBER('MiT Strom Pipeline'!Q47),'MiT Strom Pipeline'!Q47,0),"")</f>
        <v/>
      </c>
      <c r="H52" s="21" t="str">
        <f aca="false">IF('MiT Strom Pipeline'!R47="WON",'MiT Strom Pipeline'!R47,"")</f>
        <v/>
      </c>
      <c r="I52" s="21" t="str">
        <f aca="false">IF('MiT Strom Pipeline'!R47="WON",'MiT Strom Pipeline'!S47,"")</f>
        <v/>
      </c>
      <c r="J52" s="22" t="str">
        <f aca="false">IF('MiT Strom Pipeline'!R47="WON",IF(LEN('MiT Strom Pipeline'!V47)&gt;0,LEFT('MiT Strom Pipeline'!V47,55),""),"")</f>
        <v/>
      </c>
    </row>
    <row r="53" customFormat="false" ht="15.75" hidden="false" customHeight="true" outlineLevel="0" collapsed="false">
      <c r="A53" s="18" t="str">
        <f aca="false">IF('MiT Strom Pipeline'!R48="WON",IF(ISNUMBER('MiT Strom Pipeline'!A48),'MiT Strom Pipeline'!A48,""),"")</f>
        <v/>
      </c>
      <c r="B53" s="19" t="str">
        <f aca="false">IF('MiT Strom Pipeline'!R48="WON",'MiT Strom Pipeline'!B48,"")</f>
        <v/>
      </c>
      <c r="C53" s="18" t="str">
        <f aca="false">IF('MiT Strom Pipeline'!R48="WON",'MiT Strom Pipeline'!C48,"")</f>
        <v/>
      </c>
      <c r="D53" s="19" t="str">
        <f aca="false">IF('MiT Strom Pipeline'!R48="WON",'MiT Strom Pipeline'!D48,"")</f>
        <v/>
      </c>
      <c r="E53" s="19" t="str">
        <f aca="false">IF('MiT Strom Pipeline'!R48="WON",'MiT Strom Pipeline'!E48,"")</f>
        <v/>
      </c>
      <c r="F53" s="68" t="str">
        <f aca="false">IF('MiT Strom Pipeline'!R48="WON",IF(ISNUMBER('MiT Strom Pipeline'!I48),'MiT Strom Pipeline'!I48,0),"")</f>
        <v/>
      </c>
      <c r="G53" s="68" t="str">
        <f aca="false">IF('MiT Strom Pipeline'!R48="WON",IF(ISNUMBER('MiT Strom Pipeline'!Q48),'MiT Strom Pipeline'!Q48,0),"")</f>
        <v/>
      </c>
      <c r="H53" s="18" t="str">
        <f aca="false">IF('MiT Strom Pipeline'!R48="WON",'MiT Strom Pipeline'!R48,"")</f>
        <v/>
      </c>
      <c r="I53" s="18" t="str">
        <f aca="false">IF('MiT Strom Pipeline'!R48="WON",'MiT Strom Pipeline'!S48,"")</f>
        <v/>
      </c>
      <c r="J53" s="19" t="str">
        <f aca="false">IF('MiT Strom Pipeline'!R48="WON",IF(LEN('MiT Strom Pipeline'!V48)&gt;0,LEFT('MiT Strom Pipeline'!V48,55),""),"")</f>
        <v/>
      </c>
    </row>
    <row r="54" customFormat="false" ht="15.75" hidden="false" customHeight="true" outlineLevel="0" collapsed="false">
      <c r="A54" s="21" t="str">
        <f aca="false">IF('MiT Strom Pipeline'!R49="WON",IF(ISNUMBER('MiT Strom Pipeline'!A49),'MiT Strom Pipeline'!A49,""),"")</f>
        <v/>
      </c>
      <c r="B54" s="22" t="str">
        <f aca="false">IF('MiT Strom Pipeline'!R49="WON",'MiT Strom Pipeline'!B49,"")</f>
        <v/>
      </c>
      <c r="C54" s="21" t="str">
        <f aca="false">IF('MiT Strom Pipeline'!R49="WON",'MiT Strom Pipeline'!C49,"")</f>
        <v/>
      </c>
      <c r="D54" s="22" t="str">
        <f aca="false">IF('MiT Strom Pipeline'!R49="WON",'MiT Strom Pipeline'!D49,"")</f>
        <v/>
      </c>
      <c r="E54" s="22" t="str">
        <f aca="false">IF('MiT Strom Pipeline'!R49="WON",'MiT Strom Pipeline'!E49,"")</f>
        <v/>
      </c>
      <c r="F54" s="69" t="str">
        <f aca="false">IF('MiT Strom Pipeline'!R49="WON",IF(ISNUMBER('MiT Strom Pipeline'!I49),'MiT Strom Pipeline'!I49,0),"")</f>
        <v/>
      </c>
      <c r="G54" s="69" t="str">
        <f aca="false">IF('MiT Strom Pipeline'!R49="WON",IF(ISNUMBER('MiT Strom Pipeline'!Q49),'MiT Strom Pipeline'!Q49,0),"")</f>
        <v/>
      </c>
      <c r="H54" s="21" t="str">
        <f aca="false">IF('MiT Strom Pipeline'!R49="WON",'MiT Strom Pipeline'!R49,"")</f>
        <v/>
      </c>
      <c r="I54" s="21" t="str">
        <f aca="false">IF('MiT Strom Pipeline'!R49="WON",'MiT Strom Pipeline'!S49,"")</f>
        <v/>
      </c>
      <c r="J54" s="22" t="str">
        <f aca="false">IF('MiT Strom Pipeline'!R49="WON",IF(LEN('MiT Strom Pipeline'!V49)&gt;0,LEFT('MiT Strom Pipeline'!V49,55),""),"")</f>
        <v/>
      </c>
    </row>
    <row r="55" customFormat="false" ht="15.75" hidden="false" customHeight="true" outlineLevel="0" collapsed="false">
      <c r="A55" s="18" t="str">
        <f aca="false">IF('MiT Strom Pipeline'!R50="WON",IF(ISNUMBER('MiT Strom Pipeline'!A50),'MiT Strom Pipeline'!A50,""),"")</f>
        <v/>
      </c>
      <c r="B55" s="19" t="str">
        <f aca="false">IF('MiT Strom Pipeline'!R50="WON",'MiT Strom Pipeline'!B50,"")</f>
        <v/>
      </c>
      <c r="C55" s="18" t="str">
        <f aca="false">IF('MiT Strom Pipeline'!R50="WON",'MiT Strom Pipeline'!C50,"")</f>
        <v/>
      </c>
      <c r="D55" s="19" t="str">
        <f aca="false">IF('MiT Strom Pipeline'!R50="WON",'MiT Strom Pipeline'!D50,"")</f>
        <v/>
      </c>
      <c r="E55" s="19" t="str">
        <f aca="false">IF('MiT Strom Pipeline'!R50="WON",'MiT Strom Pipeline'!E50,"")</f>
        <v/>
      </c>
      <c r="F55" s="68" t="str">
        <f aca="false">IF('MiT Strom Pipeline'!R50="WON",IF(ISNUMBER('MiT Strom Pipeline'!I50),'MiT Strom Pipeline'!I50,0),"")</f>
        <v/>
      </c>
      <c r="G55" s="68" t="str">
        <f aca="false">IF('MiT Strom Pipeline'!R50="WON",IF(ISNUMBER('MiT Strom Pipeline'!Q50),'MiT Strom Pipeline'!Q50,0),"")</f>
        <v/>
      </c>
      <c r="H55" s="18" t="str">
        <f aca="false">IF('MiT Strom Pipeline'!R50="WON",'MiT Strom Pipeline'!R50,"")</f>
        <v/>
      </c>
      <c r="I55" s="18" t="str">
        <f aca="false">IF('MiT Strom Pipeline'!R50="WON",'MiT Strom Pipeline'!S50,"")</f>
        <v/>
      </c>
      <c r="J55" s="19" t="str">
        <f aca="false">IF('MiT Strom Pipeline'!R50="WON",IF(LEN('MiT Strom Pipeline'!V50)&gt;0,LEFT('MiT Strom Pipeline'!V50,55),""),"")</f>
        <v/>
      </c>
    </row>
    <row r="56" customFormat="false" ht="15.75" hidden="false" customHeight="true" outlineLevel="0" collapsed="false">
      <c r="A56" s="21" t="str">
        <f aca="false">IF('MiT Strom Pipeline'!R51="WON",IF(ISNUMBER('MiT Strom Pipeline'!A51),'MiT Strom Pipeline'!A51,""),"")</f>
        <v/>
      </c>
      <c r="B56" s="22" t="str">
        <f aca="false">IF('MiT Strom Pipeline'!R51="WON",'MiT Strom Pipeline'!B51,"")</f>
        <v/>
      </c>
      <c r="C56" s="21" t="str">
        <f aca="false">IF('MiT Strom Pipeline'!R51="WON",'MiT Strom Pipeline'!C51,"")</f>
        <v/>
      </c>
      <c r="D56" s="22" t="str">
        <f aca="false">IF('MiT Strom Pipeline'!R51="WON",'MiT Strom Pipeline'!D51,"")</f>
        <v/>
      </c>
      <c r="E56" s="22" t="str">
        <f aca="false">IF('MiT Strom Pipeline'!R51="WON",'MiT Strom Pipeline'!E51,"")</f>
        <v/>
      </c>
      <c r="F56" s="69" t="str">
        <f aca="false">IF('MiT Strom Pipeline'!R51="WON",IF(ISNUMBER('MiT Strom Pipeline'!I51),'MiT Strom Pipeline'!I51,0),"")</f>
        <v/>
      </c>
      <c r="G56" s="69" t="str">
        <f aca="false">IF('MiT Strom Pipeline'!R51="WON",IF(ISNUMBER('MiT Strom Pipeline'!Q51),'MiT Strom Pipeline'!Q51,0),"")</f>
        <v/>
      </c>
      <c r="H56" s="21" t="str">
        <f aca="false">IF('MiT Strom Pipeline'!R51="WON",'MiT Strom Pipeline'!R51,"")</f>
        <v/>
      </c>
      <c r="I56" s="21" t="str">
        <f aca="false">IF('MiT Strom Pipeline'!R51="WON",'MiT Strom Pipeline'!S51,"")</f>
        <v/>
      </c>
      <c r="J56" s="22" t="str">
        <f aca="false">IF('MiT Strom Pipeline'!R51="WON",IF(LEN('MiT Strom Pipeline'!V51)&gt;0,LEFT('MiT Strom Pipeline'!V51,55),""),"")</f>
        <v/>
      </c>
    </row>
    <row r="57" customFormat="false" ht="15.75" hidden="false" customHeight="true" outlineLevel="0" collapsed="false">
      <c r="A57" s="18" t="str">
        <f aca="false">IF('MiT Strom Pipeline'!R52="WON",IF(ISNUMBER('MiT Strom Pipeline'!A52),'MiT Strom Pipeline'!A52,""),"")</f>
        <v/>
      </c>
      <c r="B57" s="19" t="str">
        <f aca="false">IF('MiT Strom Pipeline'!R52="WON",'MiT Strom Pipeline'!B52,"")</f>
        <v/>
      </c>
      <c r="C57" s="18" t="str">
        <f aca="false">IF('MiT Strom Pipeline'!R52="WON",'MiT Strom Pipeline'!C52,"")</f>
        <v/>
      </c>
      <c r="D57" s="19" t="str">
        <f aca="false">IF('MiT Strom Pipeline'!R52="WON",'MiT Strom Pipeline'!D52,"")</f>
        <v/>
      </c>
      <c r="E57" s="19" t="str">
        <f aca="false">IF('MiT Strom Pipeline'!R52="WON",'MiT Strom Pipeline'!E52,"")</f>
        <v/>
      </c>
      <c r="F57" s="68" t="str">
        <f aca="false">IF('MiT Strom Pipeline'!R52="WON",IF(ISNUMBER('MiT Strom Pipeline'!I52),'MiT Strom Pipeline'!I52,0),"")</f>
        <v/>
      </c>
      <c r="G57" s="68" t="str">
        <f aca="false">IF('MiT Strom Pipeline'!R52="WON",IF(ISNUMBER('MiT Strom Pipeline'!Q52),'MiT Strom Pipeline'!Q52,0),"")</f>
        <v/>
      </c>
      <c r="H57" s="18" t="str">
        <f aca="false">IF('MiT Strom Pipeline'!R52="WON",'MiT Strom Pipeline'!R52,"")</f>
        <v/>
      </c>
      <c r="I57" s="18" t="str">
        <f aca="false">IF('MiT Strom Pipeline'!R52="WON",'MiT Strom Pipeline'!S52,"")</f>
        <v/>
      </c>
      <c r="J57" s="19" t="str">
        <f aca="false">IF('MiT Strom Pipeline'!R52="WON",IF(LEN('MiT Strom Pipeline'!V52)&gt;0,LEFT('MiT Strom Pipeline'!V52,55),""),"")</f>
        <v/>
      </c>
    </row>
    <row r="58" customFormat="false" ht="15.75" hidden="false" customHeight="true" outlineLevel="0" collapsed="false">
      <c r="A58" s="21" t="str">
        <f aca="false">IF('MiT Strom Pipeline'!R53="WON",IF(ISNUMBER('MiT Strom Pipeline'!A53),'MiT Strom Pipeline'!A53,""),"")</f>
        <v/>
      </c>
      <c r="B58" s="22" t="str">
        <f aca="false">IF('MiT Strom Pipeline'!R53="WON",'MiT Strom Pipeline'!B53,"")</f>
        <v/>
      </c>
      <c r="C58" s="21" t="str">
        <f aca="false">IF('MiT Strom Pipeline'!R53="WON",'MiT Strom Pipeline'!C53,"")</f>
        <v/>
      </c>
      <c r="D58" s="22" t="str">
        <f aca="false">IF('MiT Strom Pipeline'!R53="WON",'MiT Strom Pipeline'!D53,"")</f>
        <v/>
      </c>
      <c r="E58" s="22" t="str">
        <f aca="false">IF('MiT Strom Pipeline'!R53="WON",'MiT Strom Pipeline'!E53,"")</f>
        <v/>
      </c>
      <c r="F58" s="69" t="str">
        <f aca="false">IF('MiT Strom Pipeline'!R53="WON",IF(ISNUMBER('MiT Strom Pipeline'!I53),'MiT Strom Pipeline'!I53,0),"")</f>
        <v/>
      </c>
      <c r="G58" s="69" t="str">
        <f aca="false">IF('MiT Strom Pipeline'!R53="WON",IF(ISNUMBER('MiT Strom Pipeline'!Q53),'MiT Strom Pipeline'!Q53,0),"")</f>
        <v/>
      </c>
      <c r="H58" s="21" t="str">
        <f aca="false">IF('MiT Strom Pipeline'!R53="WON",'MiT Strom Pipeline'!R53,"")</f>
        <v/>
      </c>
      <c r="I58" s="21" t="str">
        <f aca="false">IF('MiT Strom Pipeline'!R53="WON",'MiT Strom Pipeline'!S53,"")</f>
        <v/>
      </c>
      <c r="J58" s="22" t="str">
        <f aca="false">IF('MiT Strom Pipeline'!R53="WON",IF(LEN('MiT Strom Pipeline'!V53)&gt;0,LEFT('MiT Strom Pipeline'!V53,55),""),"")</f>
        <v/>
      </c>
    </row>
    <row r="59" customFormat="false" ht="15.75" hidden="false" customHeight="true" outlineLevel="0" collapsed="false">
      <c r="A59" s="18" t="str">
        <f aca="false">IF('MiT Strom Pipeline'!R54="WON",IF(ISNUMBER('MiT Strom Pipeline'!A54),'MiT Strom Pipeline'!A54,""),"")</f>
        <v/>
      </c>
      <c r="B59" s="19" t="str">
        <f aca="false">IF('MiT Strom Pipeline'!R54="WON",'MiT Strom Pipeline'!B54,"")</f>
        <v/>
      </c>
      <c r="C59" s="18" t="str">
        <f aca="false">IF('MiT Strom Pipeline'!R54="WON",'MiT Strom Pipeline'!C54,"")</f>
        <v/>
      </c>
      <c r="D59" s="19" t="str">
        <f aca="false">IF('MiT Strom Pipeline'!R54="WON",'MiT Strom Pipeline'!D54,"")</f>
        <v/>
      </c>
      <c r="E59" s="19" t="str">
        <f aca="false">IF('MiT Strom Pipeline'!R54="WON",'MiT Strom Pipeline'!E54,"")</f>
        <v/>
      </c>
      <c r="F59" s="68" t="str">
        <f aca="false">IF('MiT Strom Pipeline'!R54="WON",IF(ISNUMBER('MiT Strom Pipeline'!I54),'MiT Strom Pipeline'!I54,0),"")</f>
        <v/>
      </c>
      <c r="G59" s="68" t="str">
        <f aca="false">IF('MiT Strom Pipeline'!R54="WON",IF(ISNUMBER('MiT Strom Pipeline'!Q54),'MiT Strom Pipeline'!Q54,0),"")</f>
        <v/>
      </c>
      <c r="H59" s="18" t="str">
        <f aca="false">IF('MiT Strom Pipeline'!R54="WON",'MiT Strom Pipeline'!R54,"")</f>
        <v/>
      </c>
      <c r="I59" s="18" t="str">
        <f aca="false">IF('MiT Strom Pipeline'!R54="WON",'MiT Strom Pipeline'!S54,"")</f>
        <v/>
      </c>
      <c r="J59" s="19" t="str">
        <f aca="false">IF('MiT Strom Pipeline'!R54="WON",IF(LEN('MiT Strom Pipeline'!V54)&gt;0,LEFT('MiT Strom Pipeline'!V54,55),""),"")</f>
        <v/>
      </c>
    </row>
    <row r="60" customFormat="false" ht="15.75" hidden="false" customHeight="true" outlineLevel="0" collapsed="false">
      <c r="A60" s="21" t="str">
        <f aca="false">IF('MiT Strom Pipeline'!R55="WON",IF(ISNUMBER('MiT Strom Pipeline'!A55),'MiT Strom Pipeline'!A55,""),"")</f>
        <v/>
      </c>
      <c r="B60" s="22" t="str">
        <f aca="false">IF('MiT Strom Pipeline'!R55="WON",'MiT Strom Pipeline'!B55,"")</f>
        <v/>
      </c>
      <c r="C60" s="21" t="str">
        <f aca="false">IF('MiT Strom Pipeline'!R55="WON",'MiT Strom Pipeline'!C55,"")</f>
        <v/>
      </c>
      <c r="D60" s="22" t="str">
        <f aca="false">IF('MiT Strom Pipeline'!R55="WON",'MiT Strom Pipeline'!D55,"")</f>
        <v/>
      </c>
      <c r="E60" s="22" t="str">
        <f aca="false">IF('MiT Strom Pipeline'!R55="WON",'MiT Strom Pipeline'!E55,"")</f>
        <v/>
      </c>
      <c r="F60" s="69" t="str">
        <f aca="false">IF('MiT Strom Pipeline'!R55="WON",IF(ISNUMBER('MiT Strom Pipeline'!I55),'MiT Strom Pipeline'!I55,0),"")</f>
        <v/>
      </c>
      <c r="G60" s="69" t="str">
        <f aca="false">IF('MiT Strom Pipeline'!R55="WON",IF(ISNUMBER('MiT Strom Pipeline'!Q55),'MiT Strom Pipeline'!Q55,0),"")</f>
        <v/>
      </c>
      <c r="H60" s="21" t="str">
        <f aca="false">IF('MiT Strom Pipeline'!R55="WON",'MiT Strom Pipeline'!R55,"")</f>
        <v/>
      </c>
      <c r="I60" s="21" t="str">
        <f aca="false">IF('MiT Strom Pipeline'!R55="WON",'MiT Strom Pipeline'!S55,"")</f>
        <v/>
      </c>
      <c r="J60" s="22" t="str">
        <f aca="false">IF('MiT Strom Pipeline'!R55="WON",IF(LEN('MiT Strom Pipeline'!V55)&gt;0,LEFT('MiT Strom Pipeline'!V55,55),""),"")</f>
        <v/>
      </c>
    </row>
    <row r="61" customFormat="false" ht="15.75" hidden="false" customHeight="true" outlineLevel="0" collapsed="false">
      <c r="A61" s="18" t="str">
        <f aca="false">IF('MiT Strom Pipeline'!R56="WON",IF(ISNUMBER('MiT Strom Pipeline'!A56),'MiT Strom Pipeline'!A56,""),"")</f>
        <v/>
      </c>
      <c r="B61" s="19" t="str">
        <f aca="false">IF('MiT Strom Pipeline'!R56="WON",'MiT Strom Pipeline'!B56,"")</f>
        <v/>
      </c>
      <c r="C61" s="18" t="str">
        <f aca="false">IF('MiT Strom Pipeline'!R56="WON",'MiT Strom Pipeline'!C56,"")</f>
        <v/>
      </c>
      <c r="D61" s="19" t="str">
        <f aca="false">IF('MiT Strom Pipeline'!R56="WON",'MiT Strom Pipeline'!D56,"")</f>
        <v/>
      </c>
      <c r="E61" s="19" t="str">
        <f aca="false">IF('MiT Strom Pipeline'!R56="WON",'MiT Strom Pipeline'!E56,"")</f>
        <v/>
      </c>
      <c r="F61" s="68" t="str">
        <f aca="false">IF('MiT Strom Pipeline'!R56="WON",IF(ISNUMBER('MiT Strom Pipeline'!I56),'MiT Strom Pipeline'!I56,0),"")</f>
        <v/>
      </c>
      <c r="G61" s="68" t="str">
        <f aca="false">IF('MiT Strom Pipeline'!R56="WON",IF(ISNUMBER('MiT Strom Pipeline'!Q56),'MiT Strom Pipeline'!Q56,0),"")</f>
        <v/>
      </c>
      <c r="H61" s="18" t="str">
        <f aca="false">IF('MiT Strom Pipeline'!R56="WON",'MiT Strom Pipeline'!R56,"")</f>
        <v/>
      </c>
      <c r="I61" s="18" t="str">
        <f aca="false">IF('MiT Strom Pipeline'!R56="WON",'MiT Strom Pipeline'!S56,"")</f>
        <v/>
      </c>
      <c r="J61" s="19" t="str">
        <f aca="false">IF('MiT Strom Pipeline'!R56="WON",IF(LEN('MiT Strom Pipeline'!V56)&gt;0,LEFT('MiT Strom Pipeline'!V56,55),""),"")</f>
        <v/>
      </c>
    </row>
    <row r="62" customFormat="false" ht="15.75" hidden="false" customHeight="true" outlineLevel="0" collapsed="false">
      <c r="A62" s="21" t="str">
        <f aca="false">IF('MiT Strom Pipeline'!R57="WON",IF(ISNUMBER('MiT Strom Pipeline'!A57),'MiT Strom Pipeline'!A57,""),"")</f>
        <v/>
      </c>
      <c r="B62" s="22" t="str">
        <f aca="false">IF('MiT Strom Pipeline'!R57="WON",'MiT Strom Pipeline'!B57,"")</f>
        <v/>
      </c>
      <c r="C62" s="21" t="str">
        <f aca="false">IF('MiT Strom Pipeline'!R57="WON",'MiT Strom Pipeline'!C57,"")</f>
        <v/>
      </c>
      <c r="D62" s="22" t="str">
        <f aca="false">IF('MiT Strom Pipeline'!R57="WON",'MiT Strom Pipeline'!D57,"")</f>
        <v/>
      </c>
      <c r="E62" s="22" t="str">
        <f aca="false">IF('MiT Strom Pipeline'!R57="WON",'MiT Strom Pipeline'!E57,"")</f>
        <v/>
      </c>
      <c r="F62" s="69" t="str">
        <f aca="false">IF('MiT Strom Pipeline'!R57="WON",IF(ISNUMBER('MiT Strom Pipeline'!I57),'MiT Strom Pipeline'!I57,0),"")</f>
        <v/>
      </c>
      <c r="G62" s="69" t="str">
        <f aca="false">IF('MiT Strom Pipeline'!R57="WON",IF(ISNUMBER('MiT Strom Pipeline'!Q57),'MiT Strom Pipeline'!Q57,0),"")</f>
        <v/>
      </c>
      <c r="H62" s="21" t="str">
        <f aca="false">IF('MiT Strom Pipeline'!R57="WON",'MiT Strom Pipeline'!R57,"")</f>
        <v/>
      </c>
      <c r="I62" s="21" t="str">
        <f aca="false">IF('MiT Strom Pipeline'!R57="WON",'MiT Strom Pipeline'!S57,"")</f>
        <v/>
      </c>
      <c r="J62" s="22" t="str">
        <f aca="false">IF('MiT Strom Pipeline'!R57="WON",IF(LEN('MiT Strom Pipeline'!V57)&gt;0,LEFT('MiT Strom Pipeline'!V57,55),""),"")</f>
        <v/>
      </c>
    </row>
    <row r="63" customFormat="false" ht="15.75" hidden="false" customHeight="true" outlineLevel="0" collapsed="false">
      <c r="A63" s="18" t="str">
        <f aca="false">IF('MiT Strom Pipeline'!R58="WON",IF(ISNUMBER('MiT Strom Pipeline'!A58),'MiT Strom Pipeline'!A58,""),"")</f>
        <v/>
      </c>
      <c r="B63" s="19" t="str">
        <f aca="false">IF('MiT Strom Pipeline'!R58="WON",'MiT Strom Pipeline'!B58,"")</f>
        <v/>
      </c>
      <c r="C63" s="18" t="str">
        <f aca="false">IF('MiT Strom Pipeline'!R58="WON",'MiT Strom Pipeline'!C58,"")</f>
        <v/>
      </c>
      <c r="D63" s="19" t="str">
        <f aca="false">IF('MiT Strom Pipeline'!R58="WON",'MiT Strom Pipeline'!D58,"")</f>
        <v/>
      </c>
      <c r="E63" s="19" t="str">
        <f aca="false">IF('MiT Strom Pipeline'!R58="WON",'MiT Strom Pipeline'!E58,"")</f>
        <v/>
      </c>
      <c r="F63" s="68" t="str">
        <f aca="false">IF('MiT Strom Pipeline'!R58="WON",IF(ISNUMBER('MiT Strom Pipeline'!I58),'MiT Strom Pipeline'!I58,0),"")</f>
        <v/>
      </c>
      <c r="G63" s="68" t="str">
        <f aca="false">IF('MiT Strom Pipeline'!R58="WON",IF(ISNUMBER('MiT Strom Pipeline'!Q58),'MiT Strom Pipeline'!Q58,0),"")</f>
        <v/>
      </c>
      <c r="H63" s="18" t="str">
        <f aca="false">IF('MiT Strom Pipeline'!R58="WON",'MiT Strom Pipeline'!R58,"")</f>
        <v/>
      </c>
      <c r="I63" s="18" t="str">
        <f aca="false">IF('MiT Strom Pipeline'!R58="WON",'MiT Strom Pipeline'!S58,"")</f>
        <v/>
      </c>
      <c r="J63" s="19" t="str">
        <f aca="false">IF('MiT Strom Pipeline'!R58="WON",IF(LEN('MiT Strom Pipeline'!V58)&gt;0,LEFT('MiT Strom Pipeline'!V58,55),""),"")</f>
        <v/>
      </c>
    </row>
    <row r="64" customFormat="false" ht="15.75" hidden="false" customHeight="true" outlineLevel="0" collapsed="false">
      <c r="A64" s="21" t="str">
        <f aca="false">IF('MiT Strom Pipeline'!R59="WON",IF(ISNUMBER('MiT Strom Pipeline'!A59),'MiT Strom Pipeline'!A59,""),"")</f>
        <v/>
      </c>
      <c r="B64" s="22" t="str">
        <f aca="false">IF('MiT Strom Pipeline'!R59="WON",'MiT Strom Pipeline'!B59,"")</f>
        <v/>
      </c>
      <c r="C64" s="21" t="str">
        <f aca="false">IF('MiT Strom Pipeline'!R59="WON",'MiT Strom Pipeline'!C59,"")</f>
        <v/>
      </c>
      <c r="D64" s="22" t="str">
        <f aca="false">IF('MiT Strom Pipeline'!R59="WON",'MiT Strom Pipeline'!D59,"")</f>
        <v/>
      </c>
      <c r="E64" s="22" t="str">
        <f aca="false">IF('MiT Strom Pipeline'!R59="WON",'MiT Strom Pipeline'!E59,"")</f>
        <v/>
      </c>
      <c r="F64" s="69" t="str">
        <f aca="false">IF('MiT Strom Pipeline'!R59="WON",IF(ISNUMBER('MiT Strom Pipeline'!I59),'MiT Strom Pipeline'!I59,0),"")</f>
        <v/>
      </c>
      <c r="G64" s="69" t="str">
        <f aca="false">IF('MiT Strom Pipeline'!R59="WON",IF(ISNUMBER('MiT Strom Pipeline'!Q59),'MiT Strom Pipeline'!Q59,0),"")</f>
        <v/>
      </c>
      <c r="H64" s="21" t="str">
        <f aca="false">IF('MiT Strom Pipeline'!R59="WON",'MiT Strom Pipeline'!R59,"")</f>
        <v/>
      </c>
      <c r="I64" s="21" t="str">
        <f aca="false">IF('MiT Strom Pipeline'!R59="WON",'MiT Strom Pipeline'!S59,"")</f>
        <v/>
      </c>
      <c r="J64" s="22" t="str">
        <f aca="false">IF('MiT Strom Pipeline'!R59="WON",IF(LEN('MiT Strom Pipeline'!V59)&gt;0,LEFT('MiT Strom Pipeline'!V59,55),""),"")</f>
        <v/>
      </c>
    </row>
    <row r="65" customFormat="false" ht="15.75" hidden="false" customHeight="true" outlineLevel="0" collapsed="false">
      <c r="A65" s="18" t="str">
        <f aca="false">IF('MiT Strom Pipeline'!R60="WON",IF(ISNUMBER('MiT Strom Pipeline'!A60),'MiT Strom Pipeline'!A60,""),"")</f>
        <v/>
      </c>
      <c r="B65" s="19" t="str">
        <f aca="false">IF('MiT Strom Pipeline'!R60="WON",'MiT Strom Pipeline'!B60,"")</f>
        <v/>
      </c>
      <c r="C65" s="18" t="str">
        <f aca="false">IF('MiT Strom Pipeline'!R60="WON",'MiT Strom Pipeline'!C60,"")</f>
        <v/>
      </c>
      <c r="D65" s="19" t="str">
        <f aca="false">IF('MiT Strom Pipeline'!R60="WON",'MiT Strom Pipeline'!D60,"")</f>
        <v/>
      </c>
      <c r="E65" s="19" t="str">
        <f aca="false">IF('MiT Strom Pipeline'!R60="WON",'MiT Strom Pipeline'!E60,"")</f>
        <v/>
      </c>
      <c r="F65" s="68" t="str">
        <f aca="false">IF('MiT Strom Pipeline'!R60="WON",IF(ISNUMBER('MiT Strom Pipeline'!I60),'MiT Strom Pipeline'!I60,0),"")</f>
        <v/>
      </c>
      <c r="G65" s="68" t="str">
        <f aca="false">IF('MiT Strom Pipeline'!R60="WON",IF(ISNUMBER('MiT Strom Pipeline'!Q60),'MiT Strom Pipeline'!Q60,0),"")</f>
        <v/>
      </c>
      <c r="H65" s="18" t="str">
        <f aca="false">IF('MiT Strom Pipeline'!R60="WON",'MiT Strom Pipeline'!R60,"")</f>
        <v/>
      </c>
      <c r="I65" s="18" t="str">
        <f aca="false">IF('MiT Strom Pipeline'!R60="WON",'MiT Strom Pipeline'!S60,"")</f>
        <v/>
      </c>
      <c r="J65" s="19" t="str">
        <f aca="false">IF('MiT Strom Pipeline'!R60="WON",IF(LEN('MiT Strom Pipeline'!V60)&gt;0,LEFT('MiT Strom Pipeline'!V60,55),""),"")</f>
        <v/>
      </c>
    </row>
    <row r="66" customFormat="false" ht="15.75" hidden="false" customHeight="true" outlineLevel="0" collapsed="false">
      <c r="A66" s="21" t="str">
        <f aca="false">IF('MiT Strom Pipeline'!R61="WON",IF(ISNUMBER('MiT Strom Pipeline'!A61),'MiT Strom Pipeline'!A61,""),"")</f>
        <v/>
      </c>
      <c r="B66" s="22" t="str">
        <f aca="false">IF('MiT Strom Pipeline'!R61="WON",'MiT Strom Pipeline'!B61,"")</f>
        <v/>
      </c>
      <c r="C66" s="21" t="str">
        <f aca="false">IF('MiT Strom Pipeline'!R61="WON",'MiT Strom Pipeline'!C61,"")</f>
        <v/>
      </c>
      <c r="D66" s="22" t="str">
        <f aca="false">IF('MiT Strom Pipeline'!R61="WON",'MiT Strom Pipeline'!D61,"")</f>
        <v/>
      </c>
      <c r="E66" s="22" t="str">
        <f aca="false">IF('MiT Strom Pipeline'!R61="WON",'MiT Strom Pipeline'!E61,"")</f>
        <v/>
      </c>
      <c r="F66" s="69" t="str">
        <f aca="false">IF('MiT Strom Pipeline'!R61="WON",IF(ISNUMBER('MiT Strom Pipeline'!I61),'MiT Strom Pipeline'!I61,0),"")</f>
        <v/>
      </c>
      <c r="G66" s="69" t="str">
        <f aca="false">IF('MiT Strom Pipeline'!R61="WON",IF(ISNUMBER('MiT Strom Pipeline'!Q61),'MiT Strom Pipeline'!Q61,0),"")</f>
        <v/>
      </c>
      <c r="H66" s="21" t="str">
        <f aca="false">IF('MiT Strom Pipeline'!R61="WON",'MiT Strom Pipeline'!R61,"")</f>
        <v/>
      </c>
      <c r="I66" s="21" t="str">
        <f aca="false">IF('MiT Strom Pipeline'!R61="WON",'MiT Strom Pipeline'!S61,"")</f>
        <v/>
      </c>
      <c r="J66" s="22" t="str">
        <f aca="false">IF('MiT Strom Pipeline'!R61="WON",IF(LEN('MiT Strom Pipeline'!V61)&gt;0,LEFT('MiT Strom Pipeline'!V61,55),""),"")</f>
        <v/>
      </c>
    </row>
    <row r="67" customFormat="false" ht="15.75" hidden="false" customHeight="true" outlineLevel="0" collapsed="false">
      <c r="A67" s="18" t="str">
        <f aca="false">IF('MiT Strom Pipeline'!R62="WON",IF(ISNUMBER('MiT Strom Pipeline'!A62),'MiT Strom Pipeline'!A62,""),"")</f>
        <v/>
      </c>
      <c r="B67" s="19" t="str">
        <f aca="false">IF('MiT Strom Pipeline'!R62="WON",'MiT Strom Pipeline'!B62,"")</f>
        <v/>
      </c>
      <c r="C67" s="18" t="str">
        <f aca="false">IF('MiT Strom Pipeline'!R62="WON",'MiT Strom Pipeline'!C62,"")</f>
        <v/>
      </c>
      <c r="D67" s="19" t="str">
        <f aca="false">IF('MiT Strom Pipeline'!R62="WON",'MiT Strom Pipeline'!D62,"")</f>
        <v/>
      </c>
      <c r="E67" s="19" t="str">
        <f aca="false">IF('MiT Strom Pipeline'!R62="WON",'MiT Strom Pipeline'!E62,"")</f>
        <v/>
      </c>
      <c r="F67" s="68" t="str">
        <f aca="false">IF('MiT Strom Pipeline'!R62="WON",IF(ISNUMBER('MiT Strom Pipeline'!I62),'MiT Strom Pipeline'!I62,0),"")</f>
        <v/>
      </c>
      <c r="G67" s="68" t="str">
        <f aca="false">IF('MiT Strom Pipeline'!R62="WON",IF(ISNUMBER('MiT Strom Pipeline'!Q62),'MiT Strom Pipeline'!Q62,0),"")</f>
        <v/>
      </c>
      <c r="H67" s="18" t="str">
        <f aca="false">IF('MiT Strom Pipeline'!R62="WON",'MiT Strom Pipeline'!R62,"")</f>
        <v/>
      </c>
      <c r="I67" s="18" t="str">
        <f aca="false">IF('MiT Strom Pipeline'!R62="WON",'MiT Strom Pipeline'!S62,"")</f>
        <v/>
      </c>
      <c r="J67" s="19" t="str">
        <f aca="false">IF('MiT Strom Pipeline'!R62="WON",IF(LEN('MiT Strom Pipeline'!V62)&gt;0,LEFT('MiT Strom Pipeline'!V62,55),""),"")</f>
        <v/>
      </c>
    </row>
    <row r="68" customFormat="false" ht="15.75" hidden="false" customHeight="true" outlineLevel="0" collapsed="false">
      <c r="A68" s="21" t="str">
        <f aca="false">IF('MiT Strom Pipeline'!R63="WON",IF(ISNUMBER('MiT Strom Pipeline'!A63),'MiT Strom Pipeline'!A63,""),"")</f>
        <v/>
      </c>
      <c r="B68" s="22" t="str">
        <f aca="false">IF('MiT Strom Pipeline'!R63="WON",'MiT Strom Pipeline'!B63,"")</f>
        <v/>
      </c>
      <c r="C68" s="21" t="str">
        <f aca="false">IF('MiT Strom Pipeline'!R63="WON",'MiT Strom Pipeline'!C63,"")</f>
        <v/>
      </c>
      <c r="D68" s="22" t="str">
        <f aca="false">IF('MiT Strom Pipeline'!R63="WON",'MiT Strom Pipeline'!D63,"")</f>
        <v/>
      </c>
      <c r="E68" s="22" t="str">
        <f aca="false">IF('MiT Strom Pipeline'!R63="WON",'MiT Strom Pipeline'!E63,"")</f>
        <v/>
      </c>
      <c r="F68" s="69" t="str">
        <f aca="false">IF('MiT Strom Pipeline'!R63="WON",IF(ISNUMBER('MiT Strom Pipeline'!I63),'MiT Strom Pipeline'!I63,0),"")</f>
        <v/>
      </c>
      <c r="G68" s="69" t="str">
        <f aca="false">IF('MiT Strom Pipeline'!R63="WON",IF(ISNUMBER('MiT Strom Pipeline'!Q63),'MiT Strom Pipeline'!Q63,0),"")</f>
        <v/>
      </c>
      <c r="H68" s="21" t="str">
        <f aca="false">IF('MiT Strom Pipeline'!R63="WON",'MiT Strom Pipeline'!R63,"")</f>
        <v/>
      </c>
      <c r="I68" s="21" t="str">
        <f aca="false">IF('MiT Strom Pipeline'!R63="WON",'MiT Strom Pipeline'!S63,"")</f>
        <v/>
      </c>
      <c r="J68" s="22" t="str">
        <f aca="false">IF('MiT Strom Pipeline'!R63="WON",IF(LEN('MiT Strom Pipeline'!V63)&gt;0,LEFT('MiT Strom Pipeline'!V63,55),""),"")</f>
        <v/>
      </c>
    </row>
    <row r="69" customFormat="false" ht="15.75" hidden="false" customHeight="true" outlineLevel="0" collapsed="false">
      <c r="A69" s="18" t="str">
        <f aca="false">IF('MiT Strom Pipeline'!R64="WON",IF(ISNUMBER('MiT Strom Pipeline'!A64),'MiT Strom Pipeline'!A64,""),"")</f>
        <v/>
      </c>
      <c r="B69" s="19" t="str">
        <f aca="false">IF('MiT Strom Pipeline'!R64="WON",'MiT Strom Pipeline'!B64,"")</f>
        <v/>
      </c>
      <c r="C69" s="18" t="str">
        <f aca="false">IF('MiT Strom Pipeline'!R64="WON",'MiT Strom Pipeline'!C64,"")</f>
        <v/>
      </c>
      <c r="D69" s="19" t="str">
        <f aca="false">IF('MiT Strom Pipeline'!R64="WON",'MiT Strom Pipeline'!D64,"")</f>
        <v/>
      </c>
      <c r="E69" s="19" t="str">
        <f aca="false">IF('MiT Strom Pipeline'!R64="WON",'MiT Strom Pipeline'!E64,"")</f>
        <v/>
      </c>
      <c r="F69" s="68" t="str">
        <f aca="false">IF('MiT Strom Pipeline'!R64="WON",IF(ISNUMBER('MiT Strom Pipeline'!I64),'MiT Strom Pipeline'!I64,0),"")</f>
        <v/>
      </c>
      <c r="G69" s="68" t="str">
        <f aca="false">IF('MiT Strom Pipeline'!R64="WON",IF(ISNUMBER('MiT Strom Pipeline'!Q64),'MiT Strom Pipeline'!Q64,0),"")</f>
        <v/>
      </c>
      <c r="H69" s="18" t="str">
        <f aca="false">IF('MiT Strom Pipeline'!R64="WON",'MiT Strom Pipeline'!R64,"")</f>
        <v/>
      </c>
      <c r="I69" s="18" t="str">
        <f aca="false">IF('MiT Strom Pipeline'!R64="WON",'MiT Strom Pipeline'!S64,"")</f>
        <v/>
      </c>
      <c r="J69" s="19" t="str">
        <f aca="false">IF('MiT Strom Pipeline'!R64="WON",IF(LEN('MiT Strom Pipeline'!V64)&gt;0,LEFT('MiT Strom Pipeline'!V64,55),""),"")</f>
        <v/>
      </c>
    </row>
    <row r="70" customFormat="false" ht="15.75" hidden="false" customHeight="true" outlineLevel="0" collapsed="false">
      <c r="A70" s="21" t="str">
        <f aca="false">IF('MiT Strom Pipeline'!R65="WON",IF(ISNUMBER('MiT Strom Pipeline'!A65),'MiT Strom Pipeline'!A65,""),"")</f>
        <v/>
      </c>
      <c r="B70" s="22" t="str">
        <f aca="false">IF('MiT Strom Pipeline'!R65="WON",'MiT Strom Pipeline'!B65,"")</f>
        <v/>
      </c>
      <c r="C70" s="21" t="str">
        <f aca="false">IF('MiT Strom Pipeline'!R65="WON",'MiT Strom Pipeline'!C65,"")</f>
        <v/>
      </c>
      <c r="D70" s="22" t="str">
        <f aca="false">IF('MiT Strom Pipeline'!R65="WON",'MiT Strom Pipeline'!D65,"")</f>
        <v/>
      </c>
      <c r="E70" s="22" t="str">
        <f aca="false">IF('MiT Strom Pipeline'!R65="WON",'MiT Strom Pipeline'!E65,"")</f>
        <v/>
      </c>
      <c r="F70" s="69" t="str">
        <f aca="false">IF('MiT Strom Pipeline'!R65="WON",IF(ISNUMBER('MiT Strom Pipeline'!I65),'MiT Strom Pipeline'!I65,0),"")</f>
        <v/>
      </c>
      <c r="G70" s="69" t="str">
        <f aca="false">IF('MiT Strom Pipeline'!R65="WON",IF(ISNUMBER('MiT Strom Pipeline'!Q65),'MiT Strom Pipeline'!Q65,0),"")</f>
        <v/>
      </c>
      <c r="H70" s="21" t="str">
        <f aca="false">IF('MiT Strom Pipeline'!R65="WON",'MiT Strom Pipeline'!R65,"")</f>
        <v/>
      </c>
      <c r="I70" s="21" t="str">
        <f aca="false">IF('MiT Strom Pipeline'!R65="WON",'MiT Strom Pipeline'!S65,"")</f>
        <v/>
      </c>
      <c r="J70" s="22" t="str">
        <f aca="false">IF('MiT Strom Pipeline'!R65="WON",IF(LEN('MiT Strom Pipeline'!V65)&gt;0,LEFT('MiT Strom Pipeline'!V65,55),""),"")</f>
        <v/>
      </c>
    </row>
    <row r="71" customFormat="false" ht="21.75" hidden="false" customHeight="true" outlineLevel="0" collapsed="false">
      <c r="A71" s="25" t="str">
        <f aca="false">IF('MiT Strom Pipeline'!R66="WON",IF(ISNUMBER('MiT Strom Pipeline'!A66),'MiT Strom Pipeline'!A66,""),"")</f>
        <v/>
      </c>
      <c r="B71" s="26" t="str">
        <f aca="false">IF('MiT Strom Pipeline'!R66="WON",'MiT Strom Pipeline'!B66,"")</f>
        <v/>
      </c>
      <c r="C71" s="26"/>
      <c r="D71" s="26"/>
      <c r="E71" s="26"/>
      <c r="F71" s="70" t="str">
        <f aca="false">IF('MiT Strom Pipeline'!R66="WON",IF(ISNUMBER('MiT Strom Pipeline'!I66),'MiT Strom Pipeline'!I66,0),"")</f>
        <v/>
      </c>
      <c r="G71" s="71" t="str">
        <f aca="false">IF('MiT Strom Pipeline'!R66="WON",IF(ISNUMBER('MiT Strom Pipeline'!Q66),'MiT Strom Pipeline'!Q66,0),"")</f>
        <v/>
      </c>
      <c r="H71" s="25" t="str">
        <f aca="false">IF('MiT Strom Pipeline'!R66="WON",'MiT Strom Pipeline'!R66,"")</f>
        <v/>
      </c>
      <c r="I71" s="25" t="str">
        <f aca="false">IF('MiT Strom Pipeline'!R66="WON",'MiT Strom Pipeline'!S66,"")</f>
        <v/>
      </c>
      <c r="J71" s="25" t="str">
        <f aca="false">IF('MiT Strom Pipeline'!R66="WON",IF(LEN('MiT Strom Pipeline'!V66)&gt;0,LEFT('MiT Strom Pipeline'!V66,55),""),"")</f>
        <v/>
      </c>
    </row>
    <row r="72" customFormat="false" ht="3.75" hidden="false" customHeight="true" outlineLevel="0" collapsed="false">
      <c r="A72" s="0" t="str">
        <f aca="false">IF('MiT Strom Pipeline'!R67="WON",IF(ISNUMBER('MiT Strom Pipeline'!A67),'MiT Strom Pipeline'!A67,""),"")</f>
        <v/>
      </c>
      <c r="B72" s="0" t="str">
        <f aca="false">IF('MiT Strom Pipeline'!R67="WON",'MiT Strom Pipeline'!B67,"")</f>
        <v/>
      </c>
      <c r="C72" s="0" t="str">
        <f aca="false">IF('MiT Strom Pipeline'!R67="WON",'MiT Strom Pipeline'!C67,"")</f>
        <v/>
      </c>
      <c r="D72" s="0" t="str">
        <f aca="false">IF('MiT Strom Pipeline'!R67="WON",'MiT Strom Pipeline'!D67,"")</f>
        <v/>
      </c>
      <c r="E72" s="0" t="str">
        <f aca="false">IF('MiT Strom Pipeline'!R67="WON",'MiT Strom Pipeline'!E67,"")</f>
        <v/>
      </c>
      <c r="F72" s="52" t="str">
        <f aca="false">IF('MiT Strom Pipeline'!R67="WON",IF(ISNUMBER('MiT Strom Pipeline'!I67),'MiT Strom Pipeline'!I67,0),"")</f>
        <v/>
      </c>
      <c r="G72" s="52" t="str">
        <f aca="false">IF('MiT Strom Pipeline'!R67="WON",IF(ISNUMBER('MiT Strom Pipeline'!Q67),'MiT Strom Pipeline'!Q67,0),"")</f>
        <v/>
      </c>
      <c r="H72" s="0" t="str">
        <f aca="false">IF('MiT Strom Pipeline'!R67="WON",'MiT Strom Pipeline'!R67,"")</f>
        <v/>
      </c>
      <c r="I72" s="0" t="str">
        <f aca="false">IF('MiT Strom Pipeline'!R67="WON",'MiT Strom Pipeline'!S67,"")</f>
        <v/>
      </c>
      <c r="J72" s="0" t="str">
        <f aca="false">IF('MiT Strom Pipeline'!R67="WON",IF(LEN('MiT Strom Pipeline'!V67)&gt;0,LEFT('MiT Strom Pipeline'!V67,55),""),"")</f>
        <v/>
      </c>
    </row>
    <row r="73" customFormat="false" ht="24" hidden="false" customHeight="true" outlineLevel="0" collapsed="false">
      <c r="A73" s="28" t="s">
        <v>17</v>
      </c>
      <c r="B73" s="28"/>
      <c r="C73" s="28"/>
      <c r="D73" s="28"/>
      <c r="E73" s="28"/>
      <c r="F73" s="28"/>
      <c r="G73" s="28"/>
      <c r="H73" s="28"/>
      <c r="I73" s="28"/>
      <c r="J73" s="28"/>
    </row>
    <row r="74" customFormat="false" ht="19.5" hidden="false" customHeight="true" outlineLevel="0" collapsed="false">
      <c r="A74" s="15" t="s">
        <v>6</v>
      </c>
      <c r="B74" s="16" t="s">
        <v>7</v>
      </c>
      <c r="C74" s="15" t="s">
        <v>8</v>
      </c>
      <c r="D74" s="16" t="s">
        <v>9</v>
      </c>
      <c r="E74" s="16" t="s">
        <v>10</v>
      </c>
      <c r="F74" s="67" t="s">
        <v>11</v>
      </c>
      <c r="G74" s="67" t="s">
        <v>12</v>
      </c>
      <c r="H74" s="15" t="s">
        <v>14</v>
      </c>
      <c r="I74" s="15" t="s">
        <v>15</v>
      </c>
      <c r="J74" s="16" t="s">
        <v>16</v>
      </c>
    </row>
    <row r="75" customFormat="false" ht="15.75" hidden="false" customHeight="true" outlineLevel="0" collapsed="false">
      <c r="A75" s="29" t="str">
        <f aca="false">IF(('MiT Strom Pipeline'!R6="offered")+('MiT Strom Pipeline'!R6="to be offered")+('MiT Strom Pipeline'!R6="on hold")&gt;0,IF(ISNUMBER('MiT Strom Pipeline'!A6),'MiT Strom Pipeline'!A6,""),"")</f>
        <v/>
      </c>
      <c r="B75" s="30" t="str">
        <f aca="false">IF(('MiT Strom Pipeline'!R6="offered")+('MiT Strom Pipeline'!R6="to be offered")+('MiT Strom Pipeline'!R6="on hold")&gt;0,'MiT Strom Pipeline'!B6,"")</f>
        <v/>
      </c>
      <c r="C75" s="29" t="str">
        <f aca="false">IF(('MiT Strom Pipeline'!R6="offered")+('MiT Strom Pipeline'!R6="to be offered")+('MiT Strom Pipeline'!R6="on hold")&gt;0,'MiT Strom Pipeline'!C6,"")</f>
        <v/>
      </c>
      <c r="D75" s="30" t="str">
        <f aca="false">IF(('MiT Strom Pipeline'!R6="offered")+('MiT Strom Pipeline'!R6="to be offered")+('MiT Strom Pipeline'!R6="on hold")&gt;0,'MiT Strom Pipeline'!D6,"")</f>
        <v/>
      </c>
      <c r="E75" s="30" t="str">
        <f aca="false">IF(('MiT Strom Pipeline'!R6="offered")+('MiT Strom Pipeline'!R6="to be offered")+('MiT Strom Pipeline'!R6="on hold")&gt;0,'MiT Strom Pipeline'!E6,"")</f>
        <v/>
      </c>
      <c r="F75" s="72" t="str">
        <f aca="false">IF(('MiT Strom Pipeline'!R6="offered")+('MiT Strom Pipeline'!R6="to be offered")+('MiT Strom Pipeline'!R6="on hold")&gt;0,IF(ISNUMBER('MiT Strom Pipeline'!I6),'MiT Strom Pipeline'!I6,0),"")</f>
        <v/>
      </c>
      <c r="G75" s="72" t="str">
        <f aca="false">IF(('MiT Strom Pipeline'!R6="offered")+('MiT Strom Pipeline'!R6="to be offered")+('MiT Strom Pipeline'!R6="on hold")&gt;0,IF(ISNUMBER('MiT Strom Pipeline'!Q6),'MiT Strom Pipeline'!Q6,0),"")</f>
        <v/>
      </c>
      <c r="H75" s="29" t="str">
        <f aca="false">IF(('MiT Strom Pipeline'!R6="offered")+('MiT Strom Pipeline'!R6="to be offered")+('MiT Strom Pipeline'!R6="on hold")&gt;0,'MiT Strom Pipeline'!R6,"")</f>
        <v/>
      </c>
      <c r="I75" s="29" t="str">
        <f aca="false">IF(('MiT Strom Pipeline'!R6="offered")+('MiT Strom Pipeline'!R6="to be offered")+('MiT Strom Pipeline'!R6="on hold")&gt;0,'MiT Strom Pipeline'!S6,"")</f>
        <v/>
      </c>
      <c r="J75" s="30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false" customHeight="true" outlineLevel="0" collapsed="false">
      <c r="A76" s="21" t="str">
        <f aca="false">IF(('MiT Strom Pipeline'!R7="offered")+('MiT Strom Pipeline'!R7="to be offered")+('MiT Strom Pipeline'!R7="on hold")&gt;0,IF(ISNUMBER('MiT Strom Pipeline'!A7),'MiT Strom Pipeline'!A7,""),"")</f>
        <v/>
      </c>
      <c r="B76" s="22" t="str">
        <f aca="false">IF(('MiT Strom Pipeline'!R7="offered")+('MiT Strom Pipeline'!R7="to be offered")+('MiT Strom Pipeline'!R7="on hold")&gt;0,'MiT Strom Pipeline'!B7,"")</f>
        <v/>
      </c>
      <c r="C76" s="21" t="str">
        <f aca="false">IF(('MiT Strom Pipeline'!R7="offered")+('MiT Strom Pipeline'!R7="to be offered")+('MiT Strom Pipeline'!R7="on hold")&gt;0,'MiT Strom Pipeline'!C7,"")</f>
        <v/>
      </c>
      <c r="D76" s="22" t="str">
        <f aca="false">IF(('MiT Strom Pipeline'!R7="offered")+('MiT Strom Pipeline'!R7="to be offered")+('MiT Strom Pipeline'!R7="on hold")&gt;0,'MiT Strom Pipeline'!D7,"")</f>
        <v/>
      </c>
      <c r="E76" s="22" t="str">
        <f aca="false">IF(('MiT Strom Pipeline'!R7="offered")+('MiT Strom Pipeline'!R7="to be offered")+('MiT Strom Pipeline'!R7="on hold")&gt;0,'MiT Strom Pipeline'!E7,"")</f>
        <v/>
      </c>
      <c r="F76" s="69" t="str">
        <f aca="false">IF(('MiT Strom Pipeline'!R7="offered")+('MiT Strom Pipeline'!R7="to be offered")+('MiT Strom Pipeline'!R7="on hold")&gt;0,IF(ISNUMBER('MiT Strom Pipeline'!I7),'MiT Strom Pipeline'!I7,0),"")</f>
        <v/>
      </c>
      <c r="G76" s="69" t="str">
        <f aca="false">IF(('MiT Strom Pipeline'!R7="offered")+('MiT Strom Pipeline'!R7="to be offered")+('MiT Strom Pipeline'!R7="on hold")&gt;0,IF(ISNUMBER('MiT Strom Pipeline'!Q7),'MiT Strom Pipeline'!Q7,0),"")</f>
        <v/>
      </c>
      <c r="H76" s="21" t="str">
        <f aca="false">IF(('MiT Strom Pipeline'!R7="offered")+('MiT Strom Pipeline'!R7="to be offered")+('MiT Strom Pipeline'!R7="on hold")&gt;0,'MiT Strom Pipeline'!R7,"")</f>
        <v/>
      </c>
      <c r="I76" s="21" t="str">
        <f aca="false">IF(('MiT Strom Pipeline'!R7="offered")+('MiT Strom Pipeline'!R7="to be offered")+('MiT Strom Pipeline'!R7="on hold")&gt;0,'MiT Strom Pipeline'!S7,"")</f>
        <v/>
      </c>
      <c r="J76" s="22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false" customHeight="true" outlineLevel="0" collapsed="false">
      <c r="A77" s="29" t="str">
        <f aca="false">IF(('MiT Strom Pipeline'!R8="offered")+('MiT Strom Pipeline'!R8="to be offered")+('MiT Strom Pipeline'!R8="on hold")&gt;0,IF(ISNUMBER('MiT Strom Pipeline'!A8),'MiT Strom Pipeline'!A8,""),"")</f>
        <v/>
      </c>
      <c r="B77" s="30" t="str">
        <f aca="false">IF(('MiT Strom Pipeline'!R8="offered")+('MiT Strom Pipeline'!R8="to be offered")+('MiT Strom Pipeline'!R8="on hold")&gt;0,'MiT Strom Pipeline'!B8,"")</f>
        <v/>
      </c>
      <c r="C77" s="29" t="str">
        <f aca="false">IF(('MiT Strom Pipeline'!R8="offered")+('MiT Strom Pipeline'!R8="to be offered")+('MiT Strom Pipeline'!R8="on hold")&gt;0,'MiT Strom Pipeline'!C8,"")</f>
        <v/>
      </c>
      <c r="D77" s="30" t="str">
        <f aca="false">IF(('MiT Strom Pipeline'!R8="offered")+('MiT Strom Pipeline'!R8="to be offered")+('MiT Strom Pipeline'!R8="on hold")&gt;0,'MiT Strom Pipeline'!D8,"")</f>
        <v/>
      </c>
      <c r="E77" s="30" t="str">
        <f aca="false">IF(('MiT Strom Pipeline'!R8="offered")+('MiT Strom Pipeline'!R8="to be offered")+('MiT Strom Pipeline'!R8="on hold")&gt;0,'MiT Strom Pipeline'!E8,"")</f>
        <v/>
      </c>
      <c r="F77" s="72" t="str">
        <f aca="false">IF(('MiT Strom Pipeline'!R8="offered")+('MiT Strom Pipeline'!R8="to be offered")+('MiT Strom Pipeline'!R8="on hold")&gt;0,IF(ISNUMBER('MiT Strom Pipeline'!I8),'MiT Strom Pipeline'!I8,0),"")</f>
        <v/>
      </c>
      <c r="G77" s="72" t="str">
        <f aca="false">IF(('MiT Strom Pipeline'!R8="offered")+('MiT Strom Pipeline'!R8="to be offered")+('MiT Strom Pipeline'!R8="on hold")&gt;0,IF(ISNUMBER('MiT Strom Pipeline'!Q8),'MiT Strom Pipeline'!Q8,0),"")</f>
        <v/>
      </c>
      <c r="H77" s="29" t="str">
        <f aca="false">IF(('MiT Strom Pipeline'!R8="offered")+('MiT Strom Pipeline'!R8="to be offered")+('MiT Strom Pipeline'!R8="on hold")&gt;0,'MiT Strom Pipeline'!R8,"")</f>
        <v/>
      </c>
      <c r="I77" s="29" t="str">
        <f aca="false">IF(('MiT Strom Pipeline'!R8="offered")+('MiT Strom Pipeline'!R8="to be offered")+('MiT Strom Pipeline'!R8="on hold")&gt;0,'MiT Strom Pipeline'!S8,"")</f>
        <v/>
      </c>
      <c r="J77" s="30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false" customHeight="true" outlineLevel="0" collapsed="false">
      <c r="A78" s="21" t="n">
        <f aca="false">IF(('MiT Strom Pipeline'!R9="offered")+('MiT Strom Pipeline'!R9="to be offered")+('MiT Strom Pipeline'!R9="on hold")&gt;0,IF(ISNUMBER('MiT Strom Pipeline'!A9),'MiT Strom Pipeline'!A9,""),"")</f>
        <v>4</v>
      </c>
      <c r="B78" s="22" t="str">
        <f aca="false">IF(('MiT Strom Pipeline'!R9="offered")+('MiT Strom Pipeline'!R9="to be offered")+('MiT Strom Pipeline'!R9="on hold")&gt;0,'MiT Strom Pipeline'!B9,"")</f>
        <v>Stagelight – OpenAir Frauenfeld</v>
      </c>
      <c r="C78" s="21" t="str">
        <f aca="false">IF(('MiT Strom Pipeline'!R9="offered")+('MiT Strom Pipeline'!R9="to be offered")+('MiT Strom Pipeline'!R9="on hold")&gt;0,'MiT Strom Pipeline'!C9,"")</f>
        <v>TG</v>
      </c>
      <c r="D78" s="22" t="str">
        <f aca="false">IF(('MiT Strom Pipeline'!R9="offered")+('MiT Strom Pipeline'!R9="to be offered")+('MiT Strom Pipeline'!R9="on hold")&gt;0,'MiT Strom Pipeline'!D9,"")</f>
        <v>Events &amp; Kultur</v>
      </c>
      <c r="E78" s="22" t="str">
        <f aca="false">IF(('MiT Strom Pipeline'!R9="offered")+('MiT Strom Pipeline'!R9="to be offered")+('MiT Strom Pipeline'!R9="on hold")&gt;0,'MiT Strom Pipeline'!E9,"")</f>
        <v>~500 kVA Generator</v>
      </c>
      <c r="F78" s="69" t="n">
        <f aca="false">IF(('MiT Strom Pipeline'!R9="offered")+('MiT Strom Pipeline'!R9="to be offered")+('MiT Strom Pipeline'!R9="on hold")&gt;0,IF(ISNUMBER('MiT Strom Pipeline'!I9),'MiT Strom Pipeline'!I9,0),"")</f>
        <v>150000</v>
      </c>
      <c r="G78" s="69" t="n">
        <f aca="false">IF(('MiT Strom Pipeline'!R9="offered")+('MiT Strom Pipeline'!R9="to be offered")+('MiT Strom Pipeline'!R9="on hold")&gt;0,IF(ISNUMBER('MiT Strom Pipeline'!Q9),'MiT Strom Pipeline'!Q9,0),"")</f>
        <v>1350</v>
      </c>
      <c r="H78" s="21" t="str">
        <f aca="false">IF(('MiT Strom Pipeline'!R9="offered")+('MiT Strom Pipeline'!R9="to be offered")+('MiT Strom Pipeline'!R9="on hold")&gt;0,'MiT Strom Pipeline'!R9,"")</f>
        <v>offered</v>
      </c>
      <c r="I78" s="21" t="str">
        <f aca="false">IF(('MiT Strom Pipeline'!R9="offered")+('MiT Strom Pipeline'!R9="to be offered")+('MiT Strom Pipeline'!R9="on hold")&gt;0,'MiT Strom Pipeline'!S9,"")</f>
        <v>90%</v>
      </c>
      <c r="J78" s="22" t="str">
        <f aca="false">IF(('MiT Strom Pipeline'!R9="offered")+('MiT Strom Pipeline'!R9="to be offered")+('MiT Strom Pipeline'!R9="on hold")&gt;0,IF(LEN('MiT Strom Pipeline'!V9)&gt;0,LEFT('MiT Strom Pipeline'!V9,55),""),"")</f>
        <v>Follow-up + Vertragsverhandlung initiieren</v>
      </c>
    </row>
    <row r="79" customFormat="false" ht="15.75" hidden="false" customHeight="true" outlineLevel="0" collapsed="false">
      <c r="A79" s="29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30" t="str">
        <f aca="false">IF(('MiT Strom Pipeline'!R10="offered")+('MiT Strom Pipeline'!R10="to be offered")+('MiT Strom Pipeline'!R10="on hold")&gt;0,'MiT Strom Pipeline'!B10,"")</f>
        <v>Wincasa Solothurn</v>
      </c>
      <c r="C79" s="29" t="str">
        <f aca="false">IF(('MiT Strom Pipeline'!R10="offered")+('MiT Strom Pipeline'!R10="to be offered")+('MiT Strom Pipeline'!R10="on hold")&gt;0,'MiT Strom Pipeline'!C10,"")</f>
        <v>SO</v>
      </c>
      <c r="D79" s="30" t="str">
        <f aca="false">IF(('MiT Strom Pipeline'!R10="offered")+('MiT Strom Pipeline'!R10="to be offered")+('MiT Strom Pipeline'!R10="on hold")&gt;0,'MiT Strom Pipeline'!D10,"")</f>
        <v>Immobilien / FM</v>
      </c>
      <c r="E79" s="30" t="str">
        <f aca="false">IF(('MiT Strom Pipeline'!R10="offered")+('MiT Strom Pipeline'!R10="to be offered")+('MiT Strom Pipeline'!R10="on hold")&gt;0,'MiT Strom Pipeline'!E10,"")</f>
        <v>BESS 1 MWh</v>
      </c>
      <c r="F79" s="72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72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29" t="str">
        <f aca="false">IF(('MiT Strom Pipeline'!R10="offered")+('MiT Strom Pipeline'!R10="to be offered")+('MiT Strom Pipeline'!R10="on hold")&gt;0,'MiT Strom Pipeline'!R10,"")</f>
        <v>on hold</v>
      </c>
      <c r="I79" s="29" t="str">
        <f aca="false">IF(('MiT Strom Pipeline'!R10="offered")+('MiT Strom Pipeline'!R10="to be offered")+('MiT Strom Pipeline'!R10="on hold")&gt;0,'MiT Strom Pipeline'!S10,"")</f>
        <v>50%</v>
      </c>
      <c r="J79" s="30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false" customHeight="true" outlineLevel="0" collapsed="false">
      <c r="A80" s="21" t="str">
        <f aca="false">IF(('MiT Strom Pipeline'!R11="offered")+('MiT Strom Pipeline'!R11="to be offered")+('MiT Strom Pipeline'!R11="on hold")&gt;0,IF(ISNUMBER('MiT Strom Pipeline'!A11),'MiT Strom Pipeline'!A11,""),"")</f>
        <v/>
      </c>
      <c r="B80" s="22" t="str">
        <f aca="false">IF(('MiT Strom Pipeline'!R11="offered")+('MiT Strom Pipeline'!R11="to be offered")+('MiT Strom Pipeline'!R11="on hold")&gt;0,'MiT Strom Pipeline'!B11,"")</f>
        <v/>
      </c>
      <c r="C80" s="21" t="str">
        <f aca="false">IF(('MiT Strom Pipeline'!R11="offered")+('MiT Strom Pipeline'!R11="to be offered")+('MiT Strom Pipeline'!R11="on hold")&gt;0,'MiT Strom Pipeline'!C11,"")</f>
        <v/>
      </c>
      <c r="D80" s="22" t="str">
        <f aca="false">IF(('MiT Strom Pipeline'!R11="offered")+('MiT Strom Pipeline'!R11="to be offered")+('MiT Strom Pipeline'!R11="on hold")&gt;0,'MiT Strom Pipeline'!D11,"")</f>
        <v/>
      </c>
      <c r="E80" s="22" t="str">
        <f aca="false">IF(('MiT Strom Pipeline'!R11="offered")+('MiT Strom Pipeline'!R11="to be offered")+('MiT Strom Pipeline'!R11="on hold")&gt;0,'MiT Strom Pipeline'!E11,"")</f>
        <v/>
      </c>
      <c r="F80" s="69" t="str">
        <f aca="false">IF(('MiT Strom Pipeline'!R11="offered")+('MiT Strom Pipeline'!R11="to be offered")+('MiT Strom Pipeline'!R11="on hold")&gt;0,IF(ISNUMBER('MiT Strom Pipeline'!I11),'MiT Strom Pipeline'!I11,0),"")</f>
        <v/>
      </c>
      <c r="G80" s="69" t="str">
        <f aca="false">IF(('MiT Strom Pipeline'!R11="offered")+('MiT Strom Pipeline'!R11="to be offered")+('MiT Strom Pipeline'!R11="on hold")&gt;0,IF(ISNUMBER('MiT Strom Pipeline'!Q11),'MiT Strom Pipeline'!Q11,0),"")</f>
        <v/>
      </c>
      <c r="H80" s="21" t="str">
        <f aca="false">IF(('MiT Strom Pipeline'!R11="offered")+('MiT Strom Pipeline'!R11="to be offered")+('MiT Strom Pipeline'!R11="on hold")&gt;0,'MiT Strom Pipeline'!R11,"")</f>
        <v/>
      </c>
      <c r="I80" s="21" t="str">
        <f aca="false">IF(('MiT Strom Pipeline'!R11="offered")+('MiT Strom Pipeline'!R11="to be offered")+('MiT Strom Pipeline'!R11="on hold")&gt;0,'MiT Strom Pipeline'!S11,"")</f>
        <v/>
      </c>
      <c r="J80" s="22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false" customHeight="true" outlineLevel="0" collapsed="false">
      <c r="A81" s="29" t="str">
        <f aca="false">IF(('MiT Strom Pipeline'!R12="offered")+('MiT Strom Pipeline'!R12="to be offered")+('MiT Strom Pipeline'!R12="on hold")&gt;0,IF(ISNUMBER('MiT Strom Pipeline'!A12),'MiT Strom Pipeline'!A12,""),"")</f>
        <v/>
      </c>
      <c r="B81" s="30" t="str">
        <f aca="false">IF(('MiT Strom Pipeline'!R12="offered")+('MiT Strom Pipeline'!R12="to be offered")+('MiT Strom Pipeline'!R12="on hold")&gt;0,'MiT Strom Pipeline'!B12,"")</f>
        <v/>
      </c>
      <c r="C81" s="29" t="str">
        <f aca="false">IF(('MiT Strom Pipeline'!R12="offered")+('MiT Strom Pipeline'!R12="to be offered")+('MiT Strom Pipeline'!R12="on hold")&gt;0,'MiT Strom Pipeline'!C12,"")</f>
        <v/>
      </c>
      <c r="D81" s="30" t="str">
        <f aca="false">IF(('MiT Strom Pipeline'!R12="offered")+('MiT Strom Pipeline'!R12="to be offered")+('MiT Strom Pipeline'!R12="on hold")&gt;0,'MiT Strom Pipeline'!D12,"")</f>
        <v/>
      </c>
      <c r="E81" s="30" t="str">
        <f aca="false">IF(('MiT Strom Pipeline'!R12="offered")+('MiT Strom Pipeline'!R12="to be offered")+('MiT Strom Pipeline'!R12="on hold")&gt;0,'MiT Strom Pipeline'!E12,"")</f>
        <v/>
      </c>
      <c r="F81" s="72" t="str">
        <f aca="false">IF(('MiT Strom Pipeline'!R12="offered")+('MiT Strom Pipeline'!R12="to be offered")+('MiT Strom Pipeline'!R12="on hold")&gt;0,IF(ISNUMBER('MiT Strom Pipeline'!I12),'MiT Strom Pipeline'!I12,0),"")</f>
        <v/>
      </c>
      <c r="G81" s="72" t="str">
        <f aca="false">IF(('MiT Strom Pipeline'!R12="offered")+('MiT Strom Pipeline'!R12="to be offered")+('MiT Strom Pipeline'!R12="on hold")&gt;0,IF(ISNUMBER('MiT Strom Pipeline'!Q12),'MiT Strom Pipeline'!Q12,0),"")</f>
        <v/>
      </c>
      <c r="H81" s="29" t="str">
        <f aca="false">IF(('MiT Strom Pipeline'!R12="offered")+('MiT Strom Pipeline'!R12="to be offered")+('MiT Strom Pipeline'!R12="on hold")&gt;0,'MiT Strom Pipeline'!R12,"")</f>
        <v/>
      </c>
      <c r="I81" s="29" t="str">
        <f aca="false">IF(('MiT Strom Pipeline'!R12="offered")+('MiT Strom Pipeline'!R12="to be offered")+('MiT Strom Pipeline'!R12="on hold")&gt;0,'MiT Strom Pipeline'!S12,"")</f>
        <v/>
      </c>
      <c r="J81" s="30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false" customHeight="true" outlineLevel="0" collapsed="false">
      <c r="A82" s="21" t="str">
        <f aca="false">IF(('MiT Strom Pipeline'!R13="offered")+('MiT Strom Pipeline'!R13="to be offered")+('MiT Strom Pipeline'!R13="on hold")&gt;0,IF(ISNUMBER('MiT Strom Pipeline'!A13),'MiT Strom Pipeline'!A13,""),"")</f>
        <v/>
      </c>
      <c r="B82" s="22" t="str">
        <f aca="false">IF(('MiT Strom Pipeline'!R13="offered")+('MiT Strom Pipeline'!R13="to be offered")+('MiT Strom Pipeline'!R13="on hold")&gt;0,'MiT Strom Pipeline'!B13,"")</f>
        <v/>
      </c>
      <c r="C82" s="21" t="str">
        <f aca="false">IF(('MiT Strom Pipeline'!R13="offered")+('MiT Strom Pipeline'!R13="to be offered")+('MiT Strom Pipeline'!R13="on hold")&gt;0,'MiT Strom Pipeline'!C13,"")</f>
        <v/>
      </c>
      <c r="D82" s="22" t="str">
        <f aca="false">IF(('MiT Strom Pipeline'!R13="offered")+('MiT Strom Pipeline'!R13="to be offered")+('MiT Strom Pipeline'!R13="on hold")&gt;0,'MiT Strom Pipeline'!D13,"")</f>
        <v/>
      </c>
      <c r="E82" s="22" t="str">
        <f aca="false">IF(('MiT Strom Pipeline'!R13="offered")+('MiT Strom Pipeline'!R13="to be offered")+('MiT Strom Pipeline'!R13="on hold")&gt;0,'MiT Strom Pipeline'!E13,"")</f>
        <v/>
      </c>
      <c r="F82" s="69" t="str">
        <f aca="false">IF(('MiT Strom Pipeline'!R13="offered")+('MiT Strom Pipeline'!R13="to be offered")+('MiT Strom Pipeline'!R13="on hold")&gt;0,IF(ISNUMBER('MiT Strom Pipeline'!I13),'MiT Strom Pipeline'!I13,0),"")</f>
        <v/>
      </c>
      <c r="G82" s="69" t="str">
        <f aca="false">IF(('MiT Strom Pipeline'!R13="offered")+('MiT Strom Pipeline'!R13="to be offered")+('MiT Strom Pipeline'!R13="on hold")&gt;0,IF(ISNUMBER('MiT Strom Pipeline'!Q13),'MiT Strom Pipeline'!Q13,0),"")</f>
        <v/>
      </c>
      <c r="H82" s="21" t="str">
        <f aca="false">IF(('MiT Strom Pipeline'!R13="offered")+('MiT Strom Pipeline'!R13="to be offered")+('MiT Strom Pipeline'!R13="on hold")&gt;0,'MiT Strom Pipeline'!R13,"")</f>
        <v/>
      </c>
      <c r="I82" s="21" t="str">
        <f aca="false">IF(('MiT Strom Pipeline'!R13="offered")+('MiT Strom Pipeline'!R13="to be offered")+('MiT Strom Pipeline'!R13="on hold")&gt;0,'MiT Strom Pipeline'!S13,"")</f>
        <v/>
      </c>
      <c r="J82" s="22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false" customHeight="true" outlineLevel="0" collapsed="false">
      <c r="A83" s="29" t="str">
        <f aca="false">IF(('MiT Strom Pipeline'!R14="offered")+('MiT Strom Pipeline'!R14="to be offered")+('MiT Strom Pipeline'!R14="on hold")&gt;0,IF(ISNUMBER('MiT Strom Pipeline'!A14),'MiT Strom Pipeline'!A14,""),"")</f>
        <v/>
      </c>
      <c r="B83" s="30" t="str">
        <f aca="false">IF(('MiT Strom Pipeline'!R14="offered")+('MiT Strom Pipeline'!R14="to be offered")+('MiT Strom Pipeline'!R14="on hold")&gt;0,'MiT Strom Pipeline'!B14,"")</f>
        <v/>
      </c>
      <c r="C83" s="29" t="str">
        <f aca="false">IF(('MiT Strom Pipeline'!R14="offered")+('MiT Strom Pipeline'!R14="to be offered")+('MiT Strom Pipeline'!R14="on hold")&gt;0,'MiT Strom Pipeline'!C14,"")</f>
        <v/>
      </c>
      <c r="D83" s="30" t="str">
        <f aca="false">IF(('MiT Strom Pipeline'!R14="offered")+('MiT Strom Pipeline'!R14="to be offered")+('MiT Strom Pipeline'!R14="on hold")&gt;0,'MiT Strom Pipeline'!D14,"")</f>
        <v/>
      </c>
      <c r="E83" s="30" t="str">
        <f aca="false">IF(('MiT Strom Pipeline'!R14="offered")+('MiT Strom Pipeline'!R14="to be offered")+('MiT Strom Pipeline'!R14="on hold")&gt;0,'MiT Strom Pipeline'!E14,"")</f>
        <v/>
      </c>
      <c r="F83" s="72" t="str">
        <f aca="false">IF(('MiT Strom Pipeline'!R14="offered")+('MiT Strom Pipeline'!R14="to be offered")+('MiT Strom Pipeline'!R14="on hold")&gt;0,IF(ISNUMBER('MiT Strom Pipeline'!I14),'MiT Strom Pipeline'!I14,0),"")</f>
        <v/>
      </c>
      <c r="G83" s="72" t="str">
        <f aca="false">IF(('MiT Strom Pipeline'!R14="offered")+('MiT Strom Pipeline'!R14="to be offered")+('MiT Strom Pipeline'!R14="on hold")&gt;0,IF(ISNUMBER('MiT Strom Pipeline'!Q14),'MiT Strom Pipeline'!Q14,0),"")</f>
        <v/>
      </c>
      <c r="H83" s="29" t="str">
        <f aca="false">IF(('MiT Strom Pipeline'!R14="offered")+('MiT Strom Pipeline'!R14="to be offered")+('MiT Strom Pipeline'!R14="on hold")&gt;0,'MiT Strom Pipeline'!R14,"")</f>
        <v/>
      </c>
      <c r="I83" s="29" t="str">
        <f aca="false">IF(('MiT Strom Pipeline'!R14="offered")+('MiT Strom Pipeline'!R14="to be offered")+('MiT Strom Pipeline'!R14="on hold")&gt;0,'MiT Strom Pipeline'!S14,"")</f>
        <v/>
      </c>
      <c r="J83" s="30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21" t="str">
        <f aca="false">IF(('MiT Strom Pipeline'!R15="offered")+('MiT Strom Pipeline'!R15="to be offered")+('MiT Strom Pipeline'!R15="on hold")&gt;0,IF(ISNUMBER('MiT Strom Pipeline'!A15),'MiT Strom Pipeline'!A15,""),"")</f>
        <v/>
      </c>
      <c r="B84" s="22" t="str">
        <f aca="false">IF(('MiT Strom Pipeline'!R15="offered")+('MiT Strom Pipeline'!R15="to be offered")+('MiT Strom Pipeline'!R15="on hold")&gt;0,'MiT Strom Pipeline'!B15,"")</f>
        <v/>
      </c>
      <c r="C84" s="21" t="str">
        <f aca="false">IF(('MiT Strom Pipeline'!R15="offered")+('MiT Strom Pipeline'!R15="to be offered")+('MiT Strom Pipeline'!R15="on hold")&gt;0,'MiT Strom Pipeline'!C15,"")</f>
        <v/>
      </c>
      <c r="D84" s="22" t="str">
        <f aca="false">IF(('MiT Strom Pipeline'!R15="offered")+('MiT Strom Pipeline'!R15="to be offered")+('MiT Strom Pipeline'!R15="on hold")&gt;0,'MiT Strom Pipeline'!D15,"")</f>
        <v/>
      </c>
      <c r="E84" s="22" t="str">
        <f aca="false">IF(('MiT Strom Pipeline'!R15="offered")+('MiT Strom Pipeline'!R15="to be offered")+('MiT Strom Pipeline'!R15="on hold")&gt;0,'MiT Strom Pipeline'!E15,"")</f>
        <v/>
      </c>
      <c r="F84" s="69" t="str">
        <f aca="false">IF(('MiT Strom Pipeline'!R15="offered")+('MiT Strom Pipeline'!R15="to be offered")+('MiT Strom Pipeline'!R15="on hold")&gt;0,IF(ISNUMBER('MiT Strom Pipeline'!I15),'MiT Strom Pipeline'!I15,0),"")</f>
        <v/>
      </c>
      <c r="G84" s="69" t="str">
        <f aca="false">IF(('MiT Strom Pipeline'!R15="offered")+('MiT Strom Pipeline'!R15="to be offered")+('MiT Strom Pipeline'!R15="on hold")&gt;0,IF(ISNUMBER('MiT Strom Pipeline'!Q15),'MiT Strom Pipeline'!Q15,0),"")</f>
        <v/>
      </c>
      <c r="H84" s="21" t="str">
        <f aca="false">IF(('MiT Strom Pipeline'!R15="offered")+('MiT Strom Pipeline'!R15="to be offered")+('MiT Strom Pipeline'!R15="on hold")&gt;0,'MiT Strom Pipeline'!R15,"")</f>
        <v/>
      </c>
      <c r="I84" s="21" t="str">
        <f aca="false">IF(('MiT Strom Pipeline'!R15="offered")+('MiT Strom Pipeline'!R15="to be offered")+('MiT Strom Pipeline'!R15="on hold")&gt;0,'MiT Strom Pipeline'!S15,"")</f>
        <v/>
      </c>
      <c r="J84" s="22" t="str">
        <f aca="false">IF(('MiT Strom Pipeline'!R15="offered")+('MiT Strom Pipeline'!R15="to be offered")+('MiT Strom Pipeline'!R15="on hold")&gt;0,IF(LEN('MiT Strom Pipeline'!V15)&gt;0,LEFT('MiT Strom Pipeline'!V15,55),""),"")</f>
        <v/>
      </c>
    </row>
    <row r="85" customFormat="false" ht="15.75" hidden="false" customHeight="true" outlineLevel="0" collapsed="false">
      <c r="A85" s="29" t="str">
        <f aca="false">IF(('MiT Strom Pipeline'!R16="offered")+('MiT Strom Pipeline'!R16="to be offered")+('MiT Strom Pipeline'!R16="on hold")&gt;0,IF(ISNUMBER('MiT Strom Pipeline'!A16),'MiT Strom Pipeline'!A16,""),"")</f>
        <v/>
      </c>
      <c r="B85" s="30" t="str">
        <f aca="false">IF(('MiT Strom Pipeline'!R16="offered")+('MiT Strom Pipeline'!R16="to be offered")+('MiT Strom Pipeline'!R16="on hold")&gt;0,'MiT Strom Pipeline'!B16,"")</f>
        <v/>
      </c>
      <c r="C85" s="29" t="str">
        <f aca="false">IF(('MiT Strom Pipeline'!R16="offered")+('MiT Strom Pipeline'!R16="to be offered")+('MiT Strom Pipeline'!R16="on hold")&gt;0,'MiT Strom Pipeline'!C16,"")</f>
        <v/>
      </c>
      <c r="D85" s="30" t="str">
        <f aca="false">IF(('MiT Strom Pipeline'!R16="offered")+('MiT Strom Pipeline'!R16="to be offered")+('MiT Strom Pipeline'!R16="on hold")&gt;0,'MiT Strom Pipeline'!D16,"")</f>
        <v/>
      </c>
      <c r="E85" s="30" t="str">
        <f aca="false">IF(('MiT Strom Pipeline'!R16="offered")+('MiT Strom Pipeline'!R16="to be offered")+('MiT Strom Pipeline'!R16="on hold")&gt;0,'MiT Strom Pipeline'!E16,"")</f>
        <v/>
      </c>
      <c r="F85" s="72" t="str">
        <f aca="false">IF(('MiT Strom Pipeline'!R16="offered")+('MiT Strom Pipeline'!R16="to be offered")+('MiT Strom Pipeline'!R16="on hold")&gt;0,IF(ISNUMBER('MiT Strom Pipeline'!I16),'MiT Strom Pipeline'!I16,0),"")</f>
        <v/>
      </c>
      <c r="G85" s="72" t="str">
        <f aca="false">IF(('MiT Strom Pipeline'!R16="offered")+('MiT Strom Pipeline'!R16="to be offered")+('MiT Strom Pipeline'!R16="on hold")&gt;0,IF(ISNUMBER('MiT Strom Pipeline'!Q16),'MiT Strom Pipeline'!Q16,0),"")</f>
        <v/>
      </c>
      <c r="H85" s="29" t="str">
        <f aca="false">IF(('MiT Strom Pipeline'!R16="offered")+('MiT Strom Pipeline'!R16="to be offered")+('MiT Strom Pipeline'!R16="on hold")&gt;0,'MiT Strom Pipeline'!R16,"")</f>
        <v/>
      </c>
      <c r="I85" s="29" t="str">
        <f aca="false">IF(('MiT Strom Pipeline'!R16="offered")+('MiT Strom Pipeline'!R16="to be offered")+('MiT Strom Pipeline'!R16="on hold")&gt;0,'MiT Strom Pipeline'!S16,"")</f>
        <v/>
      </c>
      <c r="J85" s="30" t="str">
        <f aca="false">IF(('MiT Strom Pipeline'!R16="offered")+('MiT Strom Pipeline'!R16="to be offered")+('MiT Strom Pipeline'!R16="on hold")&gt;0,IF(LEN('MiT Strom Pipeline'!V16)&gt;0,LEFT('MiT Strom Pipeline'!V16,55),""),"")</f>
        <v/>
      </c>
    </row>
    <row r="86" customFormat="false" ht="15.75" hidden="false" customHeight="true" outlineLevel="0" collapsed="false">
      <c r="A86" s="21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22" t="str">
        <f aca="false">IF(('MiT Strom Pipeline'!R17="offered")+('MiT Strom Pipeline'!R17="to be offered")+('MiT Strom Pipeline'!R17="on hold")&gt;0,'MiT Strom Pipeline'!B17,"")</f>
        <v>Proxima Fusion AG</v>
      </c>
      <c r="C86" s="21" t="str">
        <f aca="false">IF(('MiT Strom Pipeline'!R17="offered")+('MiT Strom Pipeline'!R17="to be offered")+('MiT Strom Pipeline'!R17="on hold")&gt;0,'MiT Strom Pipeline'!C17,"")</f>
        <v>ZH</v>
      </c>
      <c r="D86" s="22" t="str">
        <f aca="false">IF(('MiT Strom Pipeline'!R17="offered")+('MiT Strom Pipeline'!R17="to be offered")+('MiT Strom Pipeline'!R17="on hold")&gt;0,'MiT Strom Pipeline'!D17,"")</f>
        <v>Forschung / Hightech</v>
      </c>
      <c r="E86" s="22" t="str">
        <f aca="false">IF(('MiT Strom Pipeline'!R17="offered")+('MiT Strom Pipeline'!R17="to be offered")+('MiT Strom Pipeline'!R17="on hold")&gt;0,'MiT Strom Pipeline'!E17,"")</f>
        <v>BESS 1 MWh</v>
      </c>
      <c r="F86" s="69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69" t="n">
        <f aca="false">IF(('MiT Strom Pipeline'!R17="offered")+('MiT Strom Pipeline'!R17="to be offered")+('MiT Strom Pipeline'!R17="on hold")&gt;0,IF(ISNUMBER('MiT Strom Pipeline'!Q17),'MiT Strom Pipeline'!Q17,0),"")</f>
        <v>182501.5</v>
      </c>
      <c r="H86" s="21" t="str">
        <f aca="false">IF(('MiT Strom Pipeline'!R17="offered")+('MiT Strom Pipeline'!R17="to be offered")+('MiT Strom Pipeline'!R17="on hold")&gt;0,'MiT Strom Pipeline'!R17,"")</f>
        <v>offered</v>
      </c>
      <c r="I86" s="21" t="n">
        <f aca="false">IF(('MiT Strom Pipeline'!R17="offered")+('MiT Strom Pipeline'!R17="to be offered")+('MiT Strom Pipeline'!R17="on hold")&gt;0,'MiT Strom Pipeline'!S17,"")</f>
        <v>50</v>
      </c>
      <c r="J86" s="22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29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30" t="str">
        <f aca="false">IF(('MiT Strom Pipeline'!R18="offered")+('MiT Strom Pipeline'!R18="to be offered")+('MiT Strom Pipeline'!R18="on hold")&gt;0,'MiT Strom Pipeline'!B18,"")</f>
        <v>Trafag AG</v>
      </c>
      <c r="C87" s="29" t="str">
        <f aca="false">IF(('MiT Strom Pipeline'!R18="offered")+('MiT Strom Pipeline'!R18="to be offered")+('MiT Strom Pipeline'!R18="on hold")&gt;0,'MiT Strom Pipeline'!C18,"")</f>
        <v>ZH</v>
      </c>
      <c r="D87" s="30" t="str">
        <f aca="false">IF(('MiT Strom Pipeline'!R18="offered")+('MiT Strom Pipeline'!R18="to be offered")+('MiT Strom Pipeline'!R18="on hold")&gt;0,'MiT Strom Pipeline'!D18,"")</f>
        <v>Industrie / Messtechnik</v>
      </c>
      <c r="E87" s="30" t="str">
        <f aca="false">IF(('MiT Strom Pipeline'!R18="offered")+('MiT Strom Pipeline'!R18="to be offered")+('MiT Strom Pipeline'!R18="on hold")&gt;0,'MiT Strom Pipeline'!E18,"")</f>
        <v>450 kVA Generator</v>
      </c>
      <c r="F87" s="72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72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29" t="str">
        <f aca="false">IF(('MiT Strom Pipeline'!R18="offered")+('MiT Strom Pipeline'!R18="to be offered")+('MiT Strom Pipeline'!R18="on hold")&gt;0,'MiT Strom Pipeline'!R18,"")</f>
        <v>offered</v>
      </c>
      <c r="I87" s="29" t="n">
        <f aca="false">IF(('MiT Strom Pipeline'!R18="offered")+('MiT Strom Pipeline'!R18="to be offered")+('MiT Strom Pipeline'!R18="on hold")&gt;0,'MiT Strom Pipeline'!S18,"")</f>
        <v>0.5</v>
      </c>
      <c r="J87" s="30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21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22" t="str">
        <f aca="false">IF(('MiT Strom Pipeline'!R19="offered")+('MiT Strom Pipeline'!R19="to be offered")+('MiT Strom Pipeline'!R19="on hold")&gt;0,'MiT Strom Pipeline'!B19,"")</f>
        <v>Trafag AG</v>
      </c>
      <c r="C88" s="21" t="str">
        <f aca="false">IF(('MiT Strom Pipeline'!R19="offered")+('MiT Strom Pipeline'!R19="to be offered")+('MiT Strom Pipeline'!R19="on hold")&gt;0,'MiT Strom Pipeline'!C19,"")</f>
        <v>ZH</v>
      </c>
      <c r="D88" s="22" t="str">
        <f aca="false">IF(('MiT Strom Pipeline'!R19="offered")+('MiT Strom Pipeline'!R19="to be offered")+('MiT Strom Pipeline'!R19="on hold")&gt;0,'MiT Strom Pipeline'!D19,"")</f>
        <v>Industrie / Messtechnik</v>
      </c>
      <c r="E88" s="22" t="str">
        <f aca="false">IF(('MiT Strom Pipeline'!R19="offered")+('MiT Strom Pipeline'!R19="to be offered")+('MiT Strom Pipeline'!R19="on hold")&gt;0,'MiT Strom Pipeline'!E19,"")</f>
        <v>BESS 500 kVA</v>
      </c>
      <c r="F88" s="69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69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21" t="str">
        <f aca="false">IF(('MiT Strom Pipeline'!R19="offered")+('MiT Strom Pipeline'!R19="to be offered")+('MiT Strom Pipeline'!R19="on hold")&gt;0,'MiT Strom Pipeline'!R19,"")</f>
        <v>offered</v>
      </c>
      <c r="I88" s="21" t="n">
        <f aca="false">IF(('MiT Strom Pipeline'!R19="offered")+('MiT Strom Pipeline'!R19="to be offered")+('MiT Strom Pipeline'!R19="on hold")&gt;0,'MiT Strom Pipeline'!S19,"")</f>
        <v>0.5</v>
      </c>
      <c r="J88" s="22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29" t="str">
        <f aca="false">IF(('MiT Strom Pipeline'!R20="offered")+('MiT Strom Pipeline'!R20="to be offered")+('MiT Strom Pipeline'!R20="on hold")&gt;0,IF(ISNUMBER('MiT Strom Pipeline'!A20),'MiT Strom Pipeline'!A20,""),"")</f>
        <v/>
      </c>
      <c r="B89" s="30" t="str">
        <f aca="false">IF(('MiT Strom Pipeline'!R20="offered")+('MiT Strom Pipeline'!R20="to be offered")+('MiT Strom Pipeline'!R20="on hold")&gt;0,'MiT Strom Pipeline'!B20,"")</f>
        <v/>
      </c>
      <c r="C89" s="29" t="str">
        <f aca="false">IF(('MiT Strom Pipeline'!R20="offered")+('MiT Strom Pipeline'!R20="to be offered")+('MiT Strom Pipeline'!R20="on hold")&gt;0,'MiT Strom Pipeline'!C20,"")</f>
        <v/>
      </c>
      <c r="D89" s="30" t="str">
        <f aca="false">IF(('MiT Strom Pipeline'!R20="offered")+('MiT Strom Pipeline'!R20="to be offered")+('MiT Strom Pipeline'!R20="on hold")&gt;0,'MiT Strom Pipeline'!D20,"")</f>
        <v/>
      </c>
      <c r="E89" s="30" t="str">
        <f aca="false">IF(('MiT Strom Pipeline'!R20="offered")+('MiT Strom Pipeline'!R20="to be offered")+('MiT Strom Pipeline'!R20="on hold")&gt;0,'MiT Strom Pipeline'!E20,"")</f>
        <v/>
      </c>
      <c r="F89" s="72" t="str">
        <f aca="false">IF(('MiT Strom Pipeline'!R20="offered")+('MiT Strom Pipeline'!R20="to be offered")+('MiT Strom Pipeline'!R20="on hold")&gt;0,IF(ISNUMBER('MiT Strom Pipeline'!I20),'MiT Strom Pipeline'!I20,0),"")</f>
        <v/>
      </c>
      <c r="G89" s="72" t="str">
        <f aca="false">IF(('MiT Strom Pipeline'!R20="offered")+('MiT Strom Pipeline'!R20="to be offered")+('MiT Strom Pipeline'!R20="on hold")&gt;0,IF(ISNUMBER('MiT Strom Pipeline'!Q20),'MiT Strom Pipeline'!Q20,0),"")</f>
        <v/>
      </c>
      <c r="H89" s="29" t="str">
        <f aca="false">IF(('MiT Strom Pipeline'!R20="offered")+('MiT Strom Pipeline'!R20="to be offered")+('MiT Strom Pipeline'!R20="on hold")&gt;0,'MiT Strom Pipeline'!R20,"")</f>
        <v/>
      </c>
      <c r="I89" s="29" t="str">
        <f aca="false">IF(('MiT Strom Pipeline'!R20="offered")+('MiT Strom Pipeline'!R20="to be offered")+('MiT Strom Pipeline'!R20="on hold")&gt;0,'MiT Strom Pipeline'!S20,"")</f>
        <v/>
      </c>
      <c r="J89" s="30" t="str">
        <f aca="false">IF(('MiT Strom Pipeline'!R20="offered")+('MiT Strom Pipeline'!R20="to be offered")+('MiT Strom Pipeline'!R20="on hold")&gt;0,IF(LEN('MiT Strom Pipeline'!V20)&gt;0,LEFT('MiT Strom Pipeline'!V20,55),""),"")</f>
        <v/>
      </c>
    </row>
    <row r="90" customFormat="false" ht="15.75" hidden="false" customHeight="true" outlineLevel="0" collapsed="false">
      <c r="A90" s="21" t="str">
        <f aca="false">IF(('MiT Strom Pipeline'!R21="offered")+('MiT Strom Pipeline'!R21="to be offered")+('MiT Strom Pipeline'!R21="on hold")&gt;0,IF(ISNUMBER('MiT Strom Pipeline'!A21),'MiT Strom Pipeline'!A21,""),"")</f>
        <v/>
      </c>
      <c r="B90" s="22" t="str">
        <f aca="false">IF(('MiT Strom Pipeline'!R21="offered")+('MiT Strom Pipeline'!R21="to be offered")+('MiT Strom Pipeline'!R21="on hold")&gt;0,'MiT Strom Pipeline'!B21,"")</f>
        <v/>
      </c>
      <c r="C90" s="21" t="str">
        <f aca="false">IF(('MiT Strom Pipeline'!R21="offered")+('MiT Strom Pipeline'!R21="to be offered")+('MiT Strom Pipeline'!R21="on hold")&gt;0,'MiT Strom Pipeline'!C21,"")</f>
        <v/>
      </c>
      <c r="D90" s="22" t="str">
        <f aca="false">IF(('MiT Strom Pipeline'!R21="offered")+('MiT Strom Pipeline'!R21="to be offered")+('MiT Strom Pipeline'!R21="on hold")&gt;0,'MiT Strom Pipeline'!D21,"")</f>
        <v/>
      </c>
      <c r="E90" s="22" t="str">
        <f aca="false">IF(('MiT Strom Pipeline'!R21="offered")+('MiT Strom Pipeline'!R21="to be offered")+('MiT Strom Pipeline'!R21="on hold")&gt;0,'MiT Strom Pipeline'!E21,"")</f>
        <v/>
      </c>
      <c r="F90" s="69" t="str">
        <f aca="false">IF(('MiT Strom Pipeline'!R21="offered")+('MiT Strom Pipeline'!R21="to be offered")+('MiT Strom Pipeline'!R21="on hold")&gt;0,IF(ISNUMBER('MiT Strom Pipeline'!I21),'MiT Strom Pipeline'!I21,0),"")</f>
        <v/>
      </c>
      <c r="G90" s="69" t="str">
        <f aca="false">IF(('MiT Strom Pipeline'!R21="offered")+('MiT Strom Pipeline'!R21="to be offered")+('MiT Strom Pipeline'!R21="on hold")&gt;0,IF(ISNUMBER('MiT Strom Pipeline'!Q21),'MiT Strom Pipeline'!Q21,0),"")</f>
        <v/>
      </c>
      <c r="H90" s="21" t="str">
        <f aca="false">IF(('MiT Strom Pipeline'!R21="offered")+('MiT Strom Pipeline'!R21="to be offered")+('MiT Strom Pipeline'!R21="on hold")&gt;0,'MiT Strom Pipeline'!R21,"")</f>
        <v/>
      </c>
      <c r="I90" s="21" t="str">
        <f aca="false">IF(('MiT Strom Pipeline'!R21="offered")+('MiT Strom Pipeline'!R21="to be offered")+('MiT Strom Pipeline'!R21="on hold")&gt;0,'MiT Strom Pipeline'!S21,"")</f>
        <v/>
      </c>
      <c r="J90" s="22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false" customHeight="true" outlineLevel="0" collapsed="false">
      <c r="A91" s="29" t="str">
        <f aca="false">IF(('MiT Strom Pipeline'!R22="offered")+('MiT Strom Pipeline'!R22="to be offered")+('MiT Strom Pipeline'!R22="on hold")&gt;0,IF(ISNUMBER('MiT Strom Pipeline'!A22),'MiT Strom Pipeline'!A22,""),"")</f>
        <v/>
      </c>
      <c r="B91" s="30" t="str">
        <f aca="false">IF(('MiT Strom Pipeline'!R22="offered")+('MiT Strom Pipeline'!R22="to be offered")+('MiT Strom Pipeline'!R22="on hold")&gt;0,'MiT Strom Pipeline'!B22,"")</f>
        <v/>
      </c>
      <c r="C91" s="29" t="str">
        <f aca="false">IF(('MiT Strom Pipeline'!R22="offered")+('MiT Strom Pipeline'!R22="to be offered")+('MiT Strom Pipeline'!R22="on hold")&gt;0,'MiT Strom Pipeline'!C22,"")</f>
        <v/>
      </c>
      <c r="D91" s="30" t="str">
        <f aca="false">IF(('MiT Strom Pipeline'!R22="offered")+('MiT Strom Pipeline'!R22="to be offered")+('MiT Strom Pipeline'!R22="on hold")&gt;0,'MiT Strom Pipeline'!D22,"")</f>
        <v/>
      </c>
      <c r="E91" s="30" t="str">
        <f aca="false">IF(('MiT Strom Pipeline'!R22="offered")+('MiT Strom Pipeline'!R22="to be offered")+('MiT Strom Pipeline'!R22="on hold")&gt;0,'MiT Strom Pipeline'!E22,"")</f>
        <v/>
      </c>
      <c r="F91" s="72" t="str">
        <f aca="false">IF(('MiT Strom Pipeline'!R22="offered")+('MiT Strom Pipeline'!R22="to be offered")+('MiT Strom Pipeline'!R22="on hold")&gt;0,IF(ISNUMBER('MiT Strom Pipeline'!I22),'MiT Strom Pipeline'!I22,0),"")</f>
        <v/>
      </c>
      <c r="G91" s="72" t="str">
        <f aca="false">IF(('MiT Strom Pipeline'!R22="offered")+('MiT Strom Pipeline'!R22="to be offered")+('MiT Strom Pipeline'!R22="on hold")&gt;0,IF(ISNUMBER('MiT Strom Pipeline'!Q22),'MiT Strom Pipeline'!Q22,0),"")</f>
        <v/>
      </c>
      <c r="H91" s="29" t="str">
        <f aca="false">IF(('MiT Strom Pipeline'!R22="offered")+('MiT Strom Pipeline'!R22="to be offered")+('MiT Strom Pipeline'!R22="on hold")&gt;0,'MiT Strom Pipeline'!R22,"")</f>
        <v/>
      </c>
      <c r="I91" s="29" t="str">
        <f aca="false">IF(('MiT Strom Pipeline'!R22="offered")+('MiT Strom Pipeline'!R22="to be offered")+('MiT Strom Pipeline'!R22="on hold")&gt;0,'MiT Strom Pipeline'!S22,"")</f>
        <v/>
      </c>
      <c r="J91" s="30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false" customHeight="true" outlineLevel="0" collapsed="false">
      <c r="A92" s="21" t="str">
        <f aca="false">IF(('MiT Strom Pipeline'!R23="offered")+('MiT Strom Pipeline'!R23="to be offered")+('MiT Strom Pipeline'!R23="on hold")&gt;0,IF(ISNUMBER('MiT Strom Pipeline'!A23),'MiT Strom Pipeline'!A23,""),"")</f>
        <v/>
      </c>
      <c r="B92" s="22" t="str">
        <f aca="false">IF(('MiT Strom Pipeline'!R23="offered")+('MiT Strom Pipeline'!R23="to be offered")+('MiT Strom Pipeline'!R23="on hold")&gt;0,'MiT Strom Pipeline'!B23,"")</f>
        <v/>
      </c>
      <c r="C92" s="21" t="str">
        <f aca="false">IF(('MiT Strom Pipeline'!R23="offered")+('MiT Strom Pipeline'!R23="to be offered")+('MiT Strom Pipeline'!R23="on hold")&gt;0,'MiT Strom Pipeline'!C23,"")</f>
        <v/>
      </c>
      <c r="D92" s="22" t="str">
        <f aca="false">IF(('MiT Strom Pipeline'!R23="offered")+('MiT Strom Pipeline'!R23="to be offered")+('MiT Strom Pipeline'!R23="on hold")&gt;0,'MiT Strom Pipeline'!D23,"")</f>
        <v/>
      </c>
      <c r="E92" s="22" t="str">
        <f aca="false">IF(('MiT Strom Pipeline'!R23="offered")+('MiT Strom Pipeline'!R23="to be offered")+('MiT Strom Pipeline'!R23="on hold")&gt;0,'MiT Strom Pipeline'!E23,"")</f>
        <v/>
      </c>
      <c r="F92" s="69" t="str">
        <f aca="false">IF(('MiT Strom Pipeline'!R23="offered")+('MiT Strom Pipeline'!R23="to be offered")+('MiT Strom Pipeline'!R23="on hold")&gt;0,IF(ISNUMBER('MiT Strom Pipeline'!I23),'MiT Strom Pipeline'!I23,0),"")</f>
        <v/>
      </c>
      <c r="G92" s="69" t="str">
        <f aca="false">IF(('MiT Strom Pipeline'!R23="offered")+('MiT Strom Pipeline'!R23="to be offered")+('MiT Strom Pipeline'!R23="on hold")&gt;0,IF(ISNUMBER('MiT Strom Pipeline'!Q23),'MiT Strom Pipeline'!Q23,0),"")</f>
        <v/>
      </c>
      <c r="H92" s="21" t="str">
        <f aca="false">IF(('MiT Strom Pipeline'!R23="offered")+('MiT Strom Pipeline'!R23="to be offered")+('MiT Strom Pipeline'!R23="on hold")&gt;0,'MiT Strom Pipeline'!R23,"")</f>
        <v/>
      </c>
      <c r="I92" s="21" t="str">
        <f aca="false">IF(('MiT Strom Pipeline'!R23="offered")+('MiT Strom Pipeline'!R23="to be offered")+('MiT Strom Pipeline'!R23="on hold")&gt;0,'MiT Strom Pipeline'!S23,"")</f>
        <v/>
      </c>
      <c r="J92" s="22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false" customHeight="true" outlineLevel="0" collapsed="false">
      <c r="A93" s="29" t="str">
        <f aca="false">IF(('MiT Strom Pipeline'!R24="offered")+('MiT Strom Pipeline'!R24="to be offered")+('MiT Strom Pipeline'!R24="on hold")&gt;0,IF(ISNUMBER('MiT Strom Pipeline'!A24),'MiT Strom Pipeline'!A24,""),"")</f>
        <v/>
      </c>
      <c r="B93" s="30" t="str">
        <f aca="false">IF(('MiT Strom Pipeline'!R24="offered")+('MiT Strom Pipeline'!R24="to be offered")+('MiT Strom Pipeline'!R24="on hold")&gt;0,'MiT Strom Pipeline'!B24,"")</f>
        <v/>
      </c>
      <c r="C93" s="29" t="str">
        <f aca="false">IF(('MiT Strom Pipeline'!R24="offered")+('MiT Strom Pipeline'!R24="to be offered")+('MiT Strom Pipeline'!R24="on hold")&gt;0,'MiT Strom Pipeline'!C24,"")</f>
        <v/>
      </c>
      <c r="D93" s="30" t="str">
        <f aca="false">IF(('MiT Strom Pipeline'!R24="offered")+('MiT Strom Pipeline'!R24="to be offered")+('MiT Strom Pipeline'!R24="on hold")&gt;0,'MiT Strom Pipeline'!D24,"")</f>
        <v/>
      </c>
      <c r="E93" s="30" t="str">
        <f aca="false">IF(('MiT Strom Pipeline'!R24="offered")+('MiT Strom Pipeline'!R24="to be offered")+('MiT Strom Pipeline'!R24="on hold")&gt;0,'MiT Strom Pipeline'!E24,"")</f>
        <v/>
      </c>
      <c r="F93" s="72" t="str">
        <f aca="false">IF(('MiT Strom Pipeline'!R24="offered")+('MiT Strom Pipeline'!R24="to be offered")+('MiT Strom Pipeline'!R24="on hold")&gt;0,IF(ISNUMBER('MiT Strom Pipeline'!I24),'MiT Strom Pipeline'!I24,0),"")</f>
        <v/>
      </c>
      <c r="G93" s="72" t="str">
        <f aca="false">IF(('MiT Strom Pipeline'!R24="offered")+('MiT Strom Pipeline'!R24="to be offered")+('MiT Strom Pipeline'!R24="on hold")&gt;0,IF(ISNUMBER('MiT Strom Pipeline'!Q24),'MiT Strom Pipeline'!Q24,0),"")</f>
        <v/>
      </c>
      <c r="H93" s="29" t="str">
        <f aca="false">IF(('MiT Strom Pipeline'!R24="offered")+('MiT Strom Pipeline'!R24="to be offered")+('MiT Strom Pipeline'!R24="on hold")&gt;0,'MiT Strom Pipeline'!R24,"")</f>
        <v/>
      </c>
      <c r="I93" s="29" t="str">
        <f aca="false">IF(('MiT Strom Pipeline'!R24="offered")+('MiT Strom Pipeline'!R24="to be offered")+('MiT Strom Pipeline'!R24="on hold")&gt;0,'MiT Strom Pipeline'!S24,"")</f>
        <v/>
      </c>
      <c r="J93" s="30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false" customHeight="true" outlineLevel="0" collapsed="false">
      <c r="A94" s="21" t="str">
        <f aca="false">IF(('MiT Strom Pipeline'!R25="offered")+('MiT Strom Pipeline'!R25="to be offered")+('MiT Strom Pipeline'!R25="on hold")&gt;0,IF(ISNUMBER('MiT Strom Pipeline'!A25),'MiT Strom Pipeline'!A25,""),"")</f>
        <v/>
      </c>
      <c r="B94" s="22" t="str">
        <f aca="false">IF(('MiT Strom Pipeline'!R25="offered")+('MiT Strom Pipeline'!R25="to be offered")+('MiT Strom Pipeline'!R25="on hold")&gt;0,'MiT Strom Pipeline'!B25,"")</f>
        <v/>
      </c>
      <c r="C94" s="21" t="str">
        <f aca="false">IF(('MiT Strom Pipeline'!R25="offered")+('MiT Strom Pipeline'!R25="to be offered")+('MiT Strom Pipeline'!R25="on hold")&gt;0,'MiT Strom Pipeline'!C25,"")</f>
        <v/>
      </c>
      <c r="D94" s="22" t="str">
        <f aca="false">IF(('MiT Strom Pipeline'!R25="offered")+('MiT Strom Pipeline'!R25="to be offered")+('MiT Strom Pipeline'!R25="on hold")&gt;0,'MiT Strom Pipeline'!D25,"")</f>
        <v/>
      </c>
      <c r="E94" s="22" t="str">
        <f aca="false">IF(('MiT Strom Pipeline'!R25="offered")+('MiT Strom Pipeline'!R25="to be offered")+('MiT Strom Pipeline'!R25="on hold")&gt;0,'MiT Strom Pipeline'!E25,"")</f>
        <v/>
      </c>
      <c r="F94" s="69" t="str">
        <f aca="false">IF(('MiT Strom Pipeline'!R25="offered")+('MiT Strom Pipeline'!R25="to be offered")+('MiT Strom Pipeline'!R25="on hold")&gt;0,IF(ISNUMBER('MiT Strom Pipeline'!I25),'MiT Strom Pipeline'!I25,0),"")</f>
        <v/>
      </c>
      <c r="G94" s="69" t="str">
        <f aca="false">IF(('MiT Strom Pipeline'!R25="offered")+('MiT Strom Pipeline'!R25="to be offered")+('MiT Strom Pipeline'!R25="on hold")&gt;0,IF(ISNUMBER('MiT Strom Pipeline'!Q25),'MiT Strom Pipeline'!Q25,0),"")</f>
        <v/>
      </c>
      <c r="H94" s="21" t="str">
        <f aca="false">IF(('MiT Strom Pipeline'!R25="offered")+('MiT Strom Pipeline'!R25="to be offered")+('MiT Strom Pipeline'!R25="on hold")&gt;0,'MiT Strom Pipeline'!R25,"")</f>
        <v/>
      </c>
      <c r="I94" s="21" t="str">
        <f aca="false">IF(('MiT Strom Pipeline'!R25="offered")+('MiT Strom Pipeline'!R25="to be offered")+('MiT Strom Pipeline'!R25="on hold")&gt;0,'MiT Strom Pipeline'!S25,"")</f>
        <v/>
      </c>
      <c r="J94" s="22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false" customHeight="true" outlineLevel="0" collapsed="false">
      <c r="A95" s="29" t="str">
        <f aca="false">IF(('MiT Strom Pipeline'!R26="offered")+('MiT Strom Pipeline'!R26="to be offered")+('MiT Strom Pipeline'!R26="on hold")&gt;0,IF(ISNUMBER('MiT Strom Pipeline'!A26),'MiT Strom Pipeline'!A26,""),"")</f>
        <v/>
      </c>
      <c r="B95" s="30" t="str">
        <f aca="false">IF(('MiT Strom Pipeline'!R26="offered")+('MiT Strom Pipeline'!R26="to be offered")+('MiT Strom Pipeline'!R26="on hold")&gt;0,'MiT Strom Pipeline'!B26,"")</f>
        <v/>
      </c>
      <c r="C95" s="29" t="str">
        <f aca="false">IF(('MiT Strom Pipeline'!R26="offered")+('MiT Strom Pipeline'!R26="to be offered")+('MiT Strom Pipeline'!R26="on hold")&gt;0,'MiT Strom Pipeline'!C26,"")</f>
        <v/>
      </c>
      <c r="D95" s="30" t="str">
        <f aca="false">IF(('MiT Strom Pipeline'!R26="offered")+('MiT Strom Pipeline'!R26="to be offered")+('MiT Strom Pipeline'!R26="on hold")&gt;0,'MiT Strom Pipeline'!D26,"")</f>
        <v/>
      </c>
      <c r="E95" s="30" t="str">
        <f aca="false">IF(('MiT Strom Pipeline'!R26="offered")+('MiT Strom Pipeline'!R26="to be offered")+('MiT Strom Pipeline'!R26="on hold")&gt;0,'MiT Strom Pipeline'!E26,"")</f>
        <v/>
      </c>
      <c r="F95" s="72" t="str">
        <f aca="false">IF(('MiT Strom Pipeline'!R26="offered")+('MiT Strom Pipeline'!R26="to be offered")+('MiT Strom Pipeline'!R26="on hold")&gt;0,IF(ISNUMBER('MiT Strom Pipeline'!I26),'MiT Strom Pipeline'!I26,0),"")</f>
        <v/>
      </c>
      <c r="G95" s="72" t="str">
        <f aca="false">IF(('MiT Strom Pipeline'!R26="offered")+('MiT Strom Pipeline'!R26="to be offered")+('MiT Strom Pipeline'!R26="on hold")&gt;0,IF(ISNUMBER('MiT Strom Pipeline'!Q26),'MiT Strom Pipeline'!Q26,0),"")</f>
        <v/>
      </c>
      <c r="H95" s="29" t="str">
        <f aca="false">IF(('MiT Strom Pipeline'!R26="offered")+('MiT Strom Pipeline'!R26="to be offered")+('MiT Strom Pipeline'!R26="on hold")&gt;0,'MiT Strom Pipeline'!R26,"")</f>
        <v/>
      </c>
      <c r="I95" s="29" t="str">
        <f aca="false">IF(('MiT Strom Pipeline'!R26="offered")+('MiT Strom Pipeline'!R26="to be offered")+('MiT Strom Pipeline'!R26="on hold")&gt;0,'MiT Strom Pipeline'!S26,"")</f>
        <v/>
      </c>
      <c r="J95" s="30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false" customHeight="true" outlineLevel="0" collapsed="false">
      <c r="A96" s="21" t="str">
        <f aca="false">IF(('MiT Strom Pipeline'!R27="offered")+('MiT Strom Pipeline'!R27="to be offered")+('MiT Strom Pipeline'!R27="on hold")&gt;0,IF(ISNUMBER('MiT Strom Pipeline'!A27),'MiT Strom Pipeline'!A27,""),"")</f>
        <v/>
      </c>
      <c r="B96" s="22" t="str">
        <f aca="false">IF(('MiT Strom Pipeline'!R27="offered")+('MiT Strom Pipeline'!R27="to be offered")+('MiT Strom Pipeline'!R27="on hold")&gt;0,'MiT Strom Pipeline'!B27,"")</f>
        <v/>
      </c>
      <c r="C96" s="21" t="str">
        <f aca="false">IF(('MiT Strom Pipeline'!R27="offered")+('MiT Strom Pipeline'!R27="to be offered")+('MiT Strom Pipeline'!R27="on hold")&gt;0,'MiT Strom Pipeline'!C27,"")</f>
        <v/>
      </c>
      <c r="D96" s="22" t="str">
        <f aca="false">IF(('MiT Strom Pipeline'!R27="offered")+('MiT Strom Pipeline'!R27="to be offered")+('MiT Strom Pipeline'!R27="on hold")&gt;0,'MiT Strom Pipeline'!D27,"")</f>
        <v/>
      </c>
      <c r="E96" s="22" t="str">
        <f aca="false">IF(('MiT Strom Pipeline'!R27="offered")+('MiT Strom Pipeline'!R27="to be offered")+('MiT Strom Pipeline'!R27="on hold")&gt;0,'MiT Strom Pipeline'!E27,"")</f>
        <v/>
      </c>
      <c r="F96" s="69" t="str">
        <f aca="false">IF(('MiT Strom Pipeline'!R27="offered")+('MiT Strom Pipeline'!R27="to be offered")+('MiT Strom Pipeline'!R27="on hold")&gt;0,IF(ISNUMBER('MiT Strom Pipeline'!I27),'MiT Strom Pipeline'!I27,0),"")</f>
        <v/>
      </c>
      <c r="G96" s="69" t="str">
        <f aca="false">IF(('MiT Strom Pipeline'!R27="offered")+('MiT Strom Pipeline'!R27="to be offered")+('MiT Strom Pipeline'!R27="on hold")&gt;0,IF(ISNUMBER('MiT Strom Pipeline'!Q27),'MiT Strom Pipeline'!Q27,0),"")</f>
        <v/>
      </c>
      <c r="H96" s="21" t="str">
        <f aca="false">IF(('MiT Strom Pipeline'!R27="offered")+('MiT Strom Pipeline'!R27="to be offered")+('MiT Strom Pipeline'!R27="on hold")&gt;0,'MiT Strom Pipeline'!R27,"")</f>
        <v/>
      </c>
      <c r="I96" s="21" t="str">
        <f aca="false">IF(('MiT Strom Pipeline'!R27="offered")+('MiT Strom Pipeline'!R27="to be offered")+('MiT Strom Pipeline'!R27="on hold")&gt;0,'MiT Strom Pipeline'!S27,"")</f>
        <v/>
      </c>
      <c r="J96" s="22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29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30" t="str">
        <f aca="false">IF(('MiT Strom Pipeline'!R28="offered")+('MiT Strom Pipeline'!R28="to be offered")+('MiT Strom Pipeline'!R28="on hold")&gt;0,'MiT Strom Pipeline'!B28,"")</f>
        <v>Coolworld Rentals</v>
      </c>
      <c r="C97" s="29" t="str">
        <f aca="false">IF(('MiT Strom Pipeline'!R28="offered")+('MiT Strom Pipeline'!R28="to be offered")+('MiT Strom Pipeline'!R28="on hold")&gt;0,'MiT Strom Pipeline'!C28,"")</f>
        <v>SH</v>
      </c>
      <c r="D97" s="30" t="str">
        <f aca="false">IF(('MiT Strom Pipeline'!R28="offered")+('MiT Strom Pipeline'!R28="to be offered")+('MiT Strom Pipeline'!R28="on hold")&gt;0,'MiT Strom Pipeline'!D28,"")</f>
        <v>Kühlung / Konkurrenz</v>
      </c>
      <c r="E97" s="30" t="str">
        <f aca="false">IF(('MiT Strom Pipeline'!R28="offered")+('MiT Strom Pipeline'!R28="to be offered")+('MiT Strom Pipeline'!R28="on hold")&gt;0,'MiT Strom Pipeline'!E28,"")</f>
        <v>400 kVA Generator</v>
      </c>
      <c r="F97" s="72" t="n">
        <f aca="false">IF(('MiT Strom Pipeline'!R28="offered")+('MiT Strom Pipeline'!R28="to be offered")+('MiT Strom Pipeline'!R28="on hold")&gt;0,IF(ISNUMBER('MiT Strom Pipeline'!I28),'MiT Strom Pipeline'!I28,0),"")</f>
        <v>0</v>
      </c>
      <c r="G97" s="72" t="n">
        <f aca="false">IF(('MiT Strom Pipeline'!R28="offered")+('MiT Strom Pipeline'!R28="to be offered")+('MiT Strom Pipeline'!R28="on hold")&gt;0,IF(ISNUMBER('MiT Strom Pipeline'!Q28),'MiT Strom Pipeline'!Q28,0),"")</f>
        <v>0</v>
      </c>
      <c r="H97" s="29" t="str">
        <f aca="false">IF(('MiT Strom Pipeline'!R28="offered")+('MiT Strom Pipeline'!R28="to be offered")+('MiT Strom Pipeline'!R28="on hold")&gt;0,'MiT Strom Pipeline'!R28,"")</f>
        <v>offered</v>
      </c>
      <c r="I97" s="29" t="n">
        <f aca="false">IF(('MiT Strom Pipeline'!R28="offered")+('MiT Strom Pipeline'!R28="to be offered")+('MiT Strom Pipeline'!R28="on hold")&gt;0,'MiT Strom Pipeline'!S28,"")</f>
        <v>0.5</v>
      </c>
      <c r="J97" s="30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</v>
      </c>
    </row>
    <row r="98" customFormat="false" ht="15.75" hidden="false" customHeight="true" outlineLevel="0" collapsed="false">
      <c r="A98" s="21" t="str">
        <f aca="false">IF(('MiT Strom Pipeline'!R29="offered")+('MiT Strom Pipeline'!R29="to be offered")+('MiT Strom Pipeline'!R29="on hold")&gt;0,IF(ISNUMBER('MiT Strom Pipeline'!A29),'MiT Strom Pipeline'!A29,""),"")</f>
        <v/>
      </c>
      <c r="B98" s="22" t="str">
        <f aca="false">IF(('MiT Strom Pipeline'!R29="offered")+('MiT Strom Pipeline'!R29="to be offered")+('MiT Strom Pipeline'!R29="on hold")&gt;0,'MiT Strom Pipeline'!B29,"")</f>
        <v/>
      </c>
      <c r="C98" s="21" t="str">
        <f aca="false">IF(('MiT Strom Pipeline'!R29="offered")+('MiT Strom Pipeline'!R29="to be offered")+('MiT Strom Pipeline'!R29="on hold")&gt;0,'MiT Strom Pipeline'!C29,"")</f>
        <v/>
      </c>
      <c r="D98" s="22" t="str">
        <f aca="false">IF(('MiT Strom Pipeline'!R29="offered")+('MiT Strom Pipeline'!R29="to be offered")+('MiT Strom Pipeline'!R29="on hold")&gt;0,'MiT Strom Pipeline'!D29,"")</f>
        <v/>
      </c>
      <c r="E98" s="22" t="str">
        <f aca="false">IF(('MiT Strom Pipeline'!R29="offered")+('MiT Strom Pipeline'!R29="to be offered")+('MiT Strom Pipeline'!R29="on hold")&gt;0,'MiT Strom Pipeline'!E29,"")</f>
        <v/>
      </c>
      <c r="F98" s="69" t="str">
        <f aca="false">IF(('MiT Strom Pipeline'!R29="offered")+('MiT Strom Pipeline'!R29="to be offered")+('MiT Strom Pipeline'!R29="on hold")&gt;0,IF(ISNUMBER('MiT Strom Pipeline'!I29),'MiT Strom Pipeline'!I29,0),"")</f>
        <v/>
      </c>
      <c r="G98" s="69" t="str">
        <f aca="false">IF(('MiT Strom Pipeline'!R29="offered")+('MiT Strom Pipeline'!R29="to be offered")+('MiT Strom Pipeline'!R29="on hold")&gt;0,IF(ISNUMBER('MiT Strom Pipeline'!Q29),'MiT Strom Pipeline'!Q29,0),"")</f>
        <v/>
      </c>
      <c r="H98" s="21" t="str">
        <f aca="false">IF(('MiT Strom Pipeline'!R29="offered")+('MiT Strom Pipeline'!R29="to be offered")+('MiT Strom Pipeline'!R29="on hold")&gt;0,'MiT Strom Pipeline'!R29,"")</f>
        <v/>
      </c>
      <c r="I98" s="21" t="str">
        <f aca="false">IF(('MiT Strom Pipeline'!R29="offered")+('MiT Strom Pipeline'!R29="to be offered")+('MiT Strom Pipeline'!R29="on hold")&gt;0,'MiT Strom Pipeline'!S29,"")</f>
        <v/>
      </c>
      <c r="J98" s="22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" hidden="false" customHeight="false" outlineLevel="0" collapsed="false">
      <c r="A99" s="29" t="str">
        <f aca="false">IF(('MiT Strom Pipeline'!R30="offered")+('MiT Strom Pipeline'!R30="to be offered")+('MiT Strom Pipeline'!R30="on hold")&gt;0,IF(ISNUMBER('MiT Strom Pipeline'!A30),'MiT Strom Pipeline'!A30,""),"")</f>
        <v/>
      </c>
      <c r="B99" s="30" t="str">
        <f aca="false">IF(('MiT Strom Pipeline'!R30="offered")+('MiT Strom Pipeline'!R30="to be offered")+('MiT Strom Pipeline'!R30="on hold")&gt;0,'MiT Strom Pipeline'!B30,"")</f>
        <v/>
      </c>
      <c r="C99" s="29" t="str">
        <f aca="false">IF(('MiT Strom Pipeline'!R30="offered")+('MiT Strom Pipeline'!R30="to be offered")+('MiT Strom Pipeline'!R30="on hold")&gt;0,'MiT Strom Pipeline'!C30,"")</f>
        <v/>
      </c>
      <c r="D99" s="30" t="str">
        <f aca="false">IF(('MiT Strom Pipeline'!R30="offered")+('MiT Strom Pipeline'!R30="to be offered")+('MiT Strom Pipeline'!R30="on hold")&gt;0,'MiT Strom Pipeline'!D30,"")</f>
        <v/>
      </c>
      <c r="E99" s="30" t="str">
        <f aca="false">IF(('MiT Strom Pipeline'!R30="offered")+('MiT Strom Pipeline'!R30="to be offered")+('MiT Strom Pipeline'!R30="on hold")&gt;0,'MiT Strom Pipeline'!E30,"")</f>
        <v/>
      </c>
      <c r="F99" s="72" t="str">
        <f aca="false">IF(('MiT Strom Pipeline'!R30="offered")+('MiT Strom Pipeline'!R30="to be offered")+('MiT Strom Pipeline'!R30="on hold")&gt;0,IF(ISNUMBER('MiT Strom Pipeline'!I30),'MiT Strom Pipeline'!I30,0),"")</f>
        <v/>
      </c>
      <c r="G99" s="72" t="str">
        <f aca="false">IF(('MiT Strom Pipeline'!R30="offered")+('MiT Strom Pipeline'!R30="to be offered")+('MiT Strom Pipeline'!R30="on hold")&gt;0,IF(ISNUMBER('MiT Strom Pipeline'!Q30),'MiT Strom Pipeline'!Q30,0),"")</f>
        <v/>
      </c>
      <c r="H99" s="29" t="str">
        <f aca="false">IF(('MiT Strom Pipeline'!R30="offered")+('MiT Strom Pipeline'!R30="to be offered")+('MiT Strom Pipeline'!R30="on hold")&gt;0,'MiT Strom Pipeline'!R30,"")</f>
        <v/>
      </c>
      <c r="I99" s="29" t="str">
        <f aca="false">IF(('MiT Strom Pipeline'!R30="offered")+('MiT Strom Pipeline'!R30="to be offered")+('MiT Strom Pipeline'!R30="on hold")&gt;0,'MiT Strom Pipeline'!S30,"")</f>
        <v/>
      </c>
      <c r="J99" s="30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23.85" hidden="false" customHeight="false" outlineLevel="0" collapsed="false">
      <c r="A100" s="21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22" t="str">
        <f aca="false">IF(('MiT Strom Pipeline'!R31="offered")+('MiT Strom Pipeline'!R31="to be offered")+('MiT Strom Pipeline'!R31="on hold")&gt;0,'MiT Strom Pipeline'!B31,"")</f>
        <v>Reto EKAG</v>
      </c>
      <c r="C100" s="21" t="str">
        <f aca="false">IF(('MiT Strom Pipeline'!R31="offered")+('MiT Strom Pipeline'!R31="to be offered")+('MiT Strom Pipeline'!R31="on hold")&gt;0,'MiT Strom Pipeline'!C31,"")</f>
        <v>AG</v>
      </c>
      <c r="D100" s="22" t="str">
        <f aca="false">IF(('MiT Strom Pipeline'!R31="offered")+('MiT Strom Pipeline'!R31="to be offered")+('MiT Strom Pipeline'!R31="on hold")&gt;0,'MiT Strom Pipeline'!D31,"")</f>
        <v>Elektroinstallation</v>
      </c>
      <c r="E100" s="22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69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69" t="n">
        <f aca="false">IF(('MiT Strom Pipeline'!R31="offered")+('MiT Strom Pipeline'!R31="to be offered")+('MiT Strom Pipeline'!R31="on hold")&gt;0,IF(ISNUMBER('MiT Strom Pipeline'!Q31),'MiT Strom Pipeline'!Q31,0),"")</f>
        <v>58930</v>
      </c>
      <c r="H100" s="21" t="str">
        <f aca="false">IF(('MiT Strom Pipeline'!R31="offered")+('MiT Strom Pipeline'!R31="to be offered")+('MiT Strom Pipeline'!R31="on hold")&gt;0,'MiT Strom Pipeline'!R31,"")</f>
        <v>offered</v>
      </c>
      <c r="I100" s="21" t="n">
        <f aca="false">IF(('MiT Strom Pipeline'!R31="offered")+('MiT Strom Pipeline'!R31="to be offered")+('MiT Strom Pipeline'!R31="on hold")&gt;0,'MiT Strom Pipeline'!S31,"")</f>
        <v>0.5</v>
      </c>
      <c r="J100" s="24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23.85" hidden="false" customHeight="false" outlineLevel="0" collapsed="false">
      <c r="A101" s="29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30" t="str">
        <f aca="false">IF(('MiT Strom Pipeline'!R32="offered")+('MiT Strom Pipeline'!R32="to be offered")+('MiT Strom Pipeline'!R32="on hold")&gt;0,'MiT Strom Pipeline'!B32,"")</f>
        <v>Reto EKAG</v>
      </c>
      <c r="C101" s="29" t="str">
        <f aca="false">IF(('MiT Strom Pipeline'!R32="offered")+('MiT Strom Pipeline'!R32="to be offered")+('MiT Strom Pipeline'!R32="on hold")&gt;0,'MiT Strom Pipeline'!C32,"")</f>
        <v>AG</v>
      </c>
      <c r="D101" s="30" t="str">
        <f aca="false">IF(('MiT Strom Pipeline'!R32="offered")+('MiT Strom Pipeline'!R32="to be offered")+('MiT Strom Pipeline'!R32="on hold")&gt;0,'MiT Strom Pipeline'!D32,"")</f>
        <v>Elektroinstallation</v>
      </c>
      <c r="E101" s="30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72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72" t="n">
        <f aca="false">IF(('MiT Strom Pipeline'!R32="offered")+('MiT Strom Pipeline'!R32="to be offered")+('MiT Strom Pipeline'!R32="on hold")&gt;0,IF(ISNUMBER('MiT Strom Pipeline'!Q32),'MiT Strom Pipeline'!Q32,0),"")</f>
        <v>51400</v>
      </c>
      <c r="H101" s="29" t="str">
        <f aca="false">IF(('MiT Strom Pipeline'!R32="offered")+('MiT Strom Pipeline'!R32="to be offered")+('MiT Strom Pipeline'!R32="on hold")&gt;0,'MiT Strom Pipeline'!R32,"")</f>
        <v>offered</v>
      </c>
      <c r="I101" s="29" t="n">
        <f aca="false">IF(('MiT Strom Pipeline'!R32="offered")+('MiT Strom Pipeline'!R32="to be offered")+('MiT Strom Pipeline'!R32="on hold")&gt;0,'MiT Strom Pipeline'!S32,"")</f>
        <v>0.5</v>
      </c>
      <c r="J101" s="32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" hidden="false" customHeight="false" outlineLevel="0" collapsed="false">
      <c r="A102" s="21" t="str">
        <f aca="false">IF(('MiT Strom Pipeline'!R33="offered")+('MiT Strom Pipeline'!R33="to be offered")+('MiT Strom Pipeline'!R33="on hold")&gt;0,IF(ISNUMBER('MiT Strom Pipeline'!A33),'MiT Strom Pipeline'!A33,""),"")</f>
        <v/>
      </c>
      <c r="B102" s="22" t="str">
        <f aca="false">IF(('MiT Strom Pipeline'!R33="offered")+('MiT Strom Pipeline'!R33="to be offered")+('MiT Strom Pipeline'!R33="on hold")&gt;0,'MiT Strom Pipeline'!B33,"")</f>
        <v/>
      </c>
      <c r="C102" s="21" t="str">
        <f aca="false">IF(('MiT Strom Pipeline'!R33="offered")+('MiT Strom Pipeline'!R33="to be offered")+('MiT Strom Pipeline'!R33="on hold")&gt;0,'MiT Strom Pipeline'!C33,"")</f>
        <v/>
      </c>
      <c r="D102" s="22" t="str">
        <f aca="false">IF(('MiT Strom Pipeline'!R33="offered")+('MiT Strom Pipeline'!R33="to be offered")+('MiT Strom Pipeline'!R33="on hold")&gt;0,'MiT Strom Pipeline'!D33,"")</f>
        <v/>
      </c>
      <c r="E102" s="22" t="str">
        <f aca="false">IF(('MiT Strom Pipeline'!R33="offered")+('MiT Strom Pipeline'!R33="to be offered")+('MiT Strom Pipeline'!R33="on hold")&gt;0,'MiT Strom Pipeline'!E33,"")</f>
        <v/>
      </c>
      <c r="F102" s="69" t="str">
        <f aca="false">IF(('MiT Strom Pipeline'!R33="offered")+('MiT Strom Pipeline'!R33="to be offered")+('MiT Strom Pipeline'!R33="on hold")&gt;0,IF(ISNUMBER('MiT Strom Pipeline'!I33),'MiT Strom Pipeline'!I33,0),"")</f>
        <v/>
      </c>
      <c r="G102" s="69" t="str">
        <f aca="false">IF(('MiT Strom Pipeline'!R33="offered")+('MiT Strom Pipeline'!R33="to be offered")+('MiT Strom Pipeline'!R33="on hold")&gt;0,IF(ISNUMBER('MiT Strom Pipeline'!Q33),'MiT Strom Pipeline'!Q33,0),"")</f>
        <v/>
      </c>
      <c r="H102" s="21" t="str">
        <f aca="false">IF(('MiT Strom Pipeline'!R33="offered")+('MiT Strom Pipeline'!R33="to be offered")+('MiT Strom Pipeline'!R33="on hold")&gt;0,'MiT Strom Pipeline'!R33,"")</f>
        <v/>
      </c>
      <c r="I102" s="21" t="str">
        <f aca="false">IF(('MiT Strom Pipeline'!R33="offered")+('MiT Strom Pipeline'!R33="to be offered")+('MiT Strom Pipeline'!R33="on hold")&gt;0,'MiT Strom Pipeline'!S33,"")</f>
        <v/>
      </c>
      <c r="J102" s="22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23.85" hidden="false" customHeight="false" outlineLevel="0" collapsed="false">
      <c r="A103" s="29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30" t="str">
        <f aca="false">IF(('MiT Strom Pipeline'!R34="offered")+('MiT Strom Pipeline'!R34="to be offered")+('MiT Strom Pipeline'!R34="on hold")&gt;0,'MiT Strom Pipeline'!B34,"")</f>
        <v>Rimus &amp; Sstrada</v>
      </c>
      <c r="C103" s="29" t="str">
        <f aca="false">IF(('MiT Strom Pipeline'!R34="offered")+('MiT Strom Pipeline'!R34="to be offered")+('MiT Strom Pipeline'!R34="on hold")&gt;0,'MiT Strom Pipeline'!C34,"")</f>
        <v>SH</v>
      </c>
      <c r="D103" s="30" t="str">
        <f aca="false">IF(('MiT Strom Pipeline'!R34="offered")+('MiT Strom Pipeline'!R34="to be offered")+('MiT Strom Pipeline'!R34="on hold")&gt;0,'MiT Strom Pipeline'!D34,"")</f>
        <v>Industrie</v>
      </c>
      <c r="E103" s="30" t="str">
        <f aca="false">IF(('MiT Strom Pipeline'!R34="offered")+('MiT Strom Pipeline'!R34="to be offered")+('MiT Strom Pipeline'!R34="on hold")&gt;0,'MiT Strom Pipeline'!E34,"")</f>
        <v>500 kWh Small BESS</v>
      </c>
      <c r="F103" s="72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72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29" t="str">
        <f aca="false">IF(('MiT Strom Pipeline'!R34="offered")+('MiT Strom Pipeline'!R34="to be offered")+('MiT Strom Pipeline'!R34="on hold")&gt;0,'MiT Strom Pipeline'!R34,"")</f>
        <v>offered</v>
      </c>
      <c r="I103" s="29" t="n">
        <f aca="false">IF(('MiT Strom Pipeline'!R34="offered")+('MiT Strom Pipeline'!R34="to be offered")+('MiT Strom Pipeline'!R34="on hold")&gt;0,'MiT Strom Pipeline'!S34,"")</f>
        <v>0.5</v>
      </c>
      <c r="J103" s="32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23.85" hidden="false" customHeight="false" outlineLevel="0" collapsed="false">
      <c r="A104" s="21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22" t="str">
        <f aca="false">IF(('MiT Strom Pipeline'!R35="offered")+('MiT Strom Pipeline'!R35="to be offered")+('MiT Strom Pipeline'!R35="on hold")&gt;0,'MiT Strom Pipeline'!B35,"")</f>
        <v>Rimus &amp; Sstrada</v>
      </c>
      <c r="C104" s="21" t="str">
        <f aca="false">IF(('MiT Strom Pipeline'!R35="offered")+('MiT Strom Pipeline'!R35="to be offered")+('MiT Strom Pipeline'!R35="on hold")&gt;0,'MiT Strom Pipeline'!C35,"")</f>
        <v>SH</v>
      </c>
      <c r="D104" s="22" t="str">
        <f aca="false">IF(('MiT Strom Pipeline'!R35="offered")+('MiT Strom Pipeline'!R35="to be offered")+('MiT Strom Pipeline'!R35="on hold")&gt;0,'MiT Strom Pipeline'!D35,"")</f>
        <v>Industrie</v>
      </c>
      <c r="E104" s="22" t="str">
        <f aca="false">IF(('MiT Strom Pipeline'!R35="offered")+('MiT Strom Pipeline'!R35="to be offered")+('MiT Strom Pipeline'!R35="on hold")&gt;0,'MiT Strom Pipeline'!E35,"")</f>
        <v>1 MWh Medium BESS</v>
      </c>
      <c r="F104" s="69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69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21" t="str">
        <f aca="false">IF(('MiT Strom Pipeline'!R35="offered")+('MiT Strom Pipeline'!R35="to be offered")+('MiT Strom Pipeline'!R35="on hold")&gt;0,'MiT Strom Pipeline'!R35,"")</f>
        <v>offered</v>
      </c>
      <c r="I104" s="21" t="n">
        <f aca="false">IF(('MiT Strom Pipeline'!R35="offered")+('MiT Strom Pipeline'!R35="to be offered")+('MiT Strom Pipeline'!R35="on hold")&gt;0,'MiT Strom Pipeline'!S35,"")</f>
        <v>0.5</v>
      </c>
      <c r="J104" s="24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23.85" hidden="false" customHeight="false" outlineLevel="0" collapsed="false">
      <c r="A105" s="29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30" t="str">
        <f aca="false">IF(('MiT Strom Pipeline'!R36="offered")+('MiT Strom Pipeline'!R36="to be offered")+('MiT Strom Pipeline'!R36="on hold")&gt;0,'MiT Strom Pipeline'!B36,"")</f>
        <v>Rimus &amp; Sstrada</v>
      </c>
      <c r="C105" s="29" t="str">
        <f aca="false">IF(('MiT Strom Pipeline'!R36="offered")+('MiT Strom Pipeline'!R36="to be offered")+('MiT Strom Pipeline'!R36="on hold")&gt;0,'MiT Strom Pipeline'!C36,"")</f>
        <v>SH</v>
      </c>
      <c r="D105" s="30" t="str">
        <f aca="false">IF(('MiT Strom Pipeline'!R36="offered")+('MiT Strom Pipeline'!R36="to be offered")+('MiT Strom Pipeline'!R36="on hold")&gt;0,'MiT Strom Pipeline'!D36,"")</f>
        <v>Industrie</v>
      </c>
      <c r="E105" s="30" t="str">
        <f aca="false">IF(('MiT Strom Pipeline'!R36="offered")+('MiT Strom Pipeline'!R36="to be offered")+('MiT Strom Pipeline'!R36="on hold")&gt;0,'MiT Strom Pipeline'!E36,"")</f>
        <v>1,5 MWh Large BESS</v>
      </c>
      <c r="F105" s="72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72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29" t="str">
        <f aca="false">IF(('MiT Strom Pipeline'!R36="offered")+('MiT Strom Pipeline'!R36="to be offered")+('MiT Strom Pipeline'!R36="on hold")&gt;0,'MiT Strom Pipeline'!R36,"")</f>
        <v>offered</v>
      </c>
      <c r="I105" s="29" t="n">
        <f aca="false">IF(('MiT Strom Pipeline'!R36="offered")+('MiT Strom Pipeline'!R36="to be offered")+('MiT Strom Pipeline'!R36="on hold")&gt;0,'MiT Strom Pipeline'!S36,"")</f>
        <v>0.5</v>
      </c>
      <c r="J105" s="32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" hidden="false" customHeight="false" outlineLevel="0" collapsed="false">
      <c r="A106" s="21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22" t="str">
        <f aca="false">IF(('MiT Strom Pipeline'!R37="offered")+('MiT Strom Pipeline'!R37="to be offered")+('MiT Strom Pipeline'!R37="on hold")&gt;0,'MiT Strom Pipeline'!B37,"")</f>
        <v>WEF</v>
      </c>
      <c r="C106" s="21" t="str">
        <f aca="false">IF(('MiT Strom Pipeline'!R37="offered")+('MiT Strom Pipeline'!R37="to be offered")+('MiT Strom Pipeline'!R37="on hold")&gt;0,'MiT Strom Pipeline'!C37,"")</f>
        <v>GR</v>
      </c>
      <c r="D106" s="22" t="str">
        <f aca="false">IF(('MiT Strom Pipeline'!R37="offered")+('MiT Strom Pipeline'!R37="to be offered")+('MiT Strom Pipeline'!R37="on hold")&gt;0,'MiT Strom Pipeline'!D37,"")</f>
        <v>Event</v>
      </c>
      <c r="E106" s="22" t="str">
        <f aca="false">IF(('MiT Strom Pipeline'!R37="offered")+('MiT Strom Pipeline'!R37="to be offered")+('MiT Strom Pipeline'!R37="on hold")&gt;0,'MiT Strom Pipeline'!E37,"")</f>
        <v>1500 kVA, 600 kVA, 450 kVA, 450 kVA</v>
      </c>
      <c r="F106" s="69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69" t="n">
        <f aca="false">IF(('MiT Strom Pipeline'!R37="offered")+('MiT Strom Pipeline'!R37="to be offered")+('MiT Strom Pipeline'!R37="on hold")&gt;0,IF(ISNUMBER('MiT Strom Pipeline'!Q37),'MiT Strom Pipeline'!Q37,0),"")</f>
        <v>38662.81</v>
      </c>
      <c r="H106" s="21" t="str">
        <f aca="false">IF(('MiT Strom Pipeline'!R37="offered")+('MiT Strom Pipeline'!R37="to be offered")+('MiT Strom Pipeline'!R37="on hold")&gt;0,'MiT Strom Pipeline'!R37,"")</f>
        <v>offered</v>
      </c>
      <c r="I106" s="21" t="n">
        <f aca="false">IF(('MiT Strom Pipeline'!R37="offered")+('MiT Strom Pipeline'!R37="to be offered")+('MiT Strom Pipeline'!R37="on hold")&gt;0,'MiT Strom Pipeline'!S37,"")</f>
        <v>0.5</v>
      </c>
      <c r="J106" s="22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</v>
      </c>
    </row>
    <row r="107" customFormat="false" ht="15.75" hidden="false" customHeight="true" outlineLevel="0" collapsed="false">
      <c r="A107" s="29" t="str">
        <f aca="false">IF(('MiT Strom Pipeline'!R38="offered")+('MiT Strom Pipeline'!R38="to be offered")+('MiT Strom Pipeline'!R38="on hold")&gt;0,IF(ISNUMBER('MiT Strom Pipeline'!A38),'MiT Strom Pipeline'!A38,""),"")</f>
        <v/>
      </c>
      <c r="B107" s="30" t="str">
        <f aca="false">IF(('MiT Strom Pipeline'!R38="offered")+('MiT Strom Pipeline'!R38="to be offered")+('MiT Strom Pipeline'!R38="on hold")&gt;0,'MiT Strom Pipeline'!B38,"")</f>
        <v/>
      </c>
      <c r="C107" s="29" t="str">
        <f aca="false">IF(('MiT Strom Pipeline'!R38="offered")+('MiT Strom Pipeline'!R38="to be offered")+('MiT Strom Pipeline'!R38="on hold")&gt;0,'MiT Strom Pipeline'!C38,"")</f>
        <v/>
      </c>
      <c r="D107" s="30" t="str">
        <f aca="false">IF(('MiT Strom Pipeline'!R38="offered")+('MiT Strom Pipeline'!R38="to be offered")+('MiT Strom Pipeline'!R38="on hold")&gt;0,'MiT Strom Pipeline'!D38,"")</f>
        <v/>
      </c>
      <c r="E107" s="30" t="str">
        <f aca="false">IF(('MiT Strom Pipeline'!R38="offered")+('MiT Strom Pipeline'!R38="to be offered")+('MiT Strom Pipeline'!R38="on hold")&gt;0,'MiT Strom Pipeline'!E38,"")</f>
        <v/>
      </c>
      <c r="F107" s="72" t="str">
        <f aca="false">IF(('MiT Strom Pipeline'!R38="offered")+('MiT Strom Pipeline'!R38="to be offered")+('MiT Strom Pipeline'!R38="on hold")&gt;0,IF(ISNUMBER('MiT Strom Pipeline'!I38),'MiT Strom Pipeline'!I38,0),"")</f>
        <v/>
      </c>
      <c r="G107" s="72" t="str">
        <f aca="false">IF(('MiT Strom Pipeline'!R38="offered")+('MiT Strom Pipeline'!R38="to be offered")+('MiT Strom Pipeline'!R38="on hold")&gt;0,IF(ISNUMBER('MiT Strom Pipeline'!Q38),'MiT Strom Pipeline'!Q38,0),"")</f>
        <v/>
      </c>
      <c r="H107" s="29" t="str">
        <f aca="false">IF(('MiT Strom Pipeline'!R38="offered")+('MiT Strom Pipeline'!R38="to be offered")+('MiT Strom Pipeline'!R38="on hold")&gt;0,'MiT Strom Pipeline'!R38,"")</f>
        <v/>
      </c>
      <c r="I107" s="29" t="str">
        <f aca="false">IF(('MiT Strom Pipeline'!R38="offered")+('MiT Strom Pipeline'!R38="to be offered")+('MiT Strom Pipeline'!R38="on hold")&gt;0,'MiT Strom Pipeline'!S38,"")</f>
        <v/>
      </c>
      <c r="J107" s="30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false" customHeight="true" outlineLevel="0" collapsed="false">
      <c r="A108" s="21" t="str">
        <f aca="false">IF(('MiT Strom Pipeline'!R39="offered")+('MiT Strom Pipeline'!R39="to be offered")+('MiT Strom Pipeline'!R39="on hold")&gt;0,IF(ISNUMBER('MiT Strom Pipeline'!A39),'MiT Strom Pipeline'!A39,""),"")</f>
        <v/>
      </c>
      <c r="B108" s="22" t="str">
        <f aca="false">IF(('MiT Strom Pipeline'!R39="offered")+('MiT Strom Pipeline'!R39="to be offered")+('MiT Strom Pipeline'!R39="on hold")&gt;0,'MiT Strom Pipeline'!B39,"")</f>
        <v/>
      </c>
      <c r="C108" s="21" t="str">
        <f aca="false">IF(('MiT Strom Pipeline'!R39="offered")+('MiT Strom Pipeline'!R39="to be offered")+('MiT Strom Pipeline'!R39="on hold")&gt;0,'MiT Strom Pipeline'!C39,"")</f>
        <v/>
      </c>
      <c r="D108" s="22" t="str">
        <f aca="false">IF(('MiT Strom Pipeline'!R39="offered")+('MiT Strom Pipeline'!R39="to be offered")+('MiT Strom Pipeline'!R39="on hold")&gt;0,'MiT Strom Pipeline'!D39,"")</f>
        <v/>
      </c>
      <c r="E108" s="22" t="str">
        <f aca="false">IF(('MiT Strom Pipeline'!R39="offered")+('MiT Strom Pipeline'!R39="to be offered")+('MiT Strom Pipeline'!R39="on hold")&gt;0,'MiT Strom Pipeline'!E39,"")</f>
        <v/>
      </c>
      <c r="F108" s="69" t="str">
        <f aca="false">IF(('MiT Strom Pipeline'!R39="offered")+('MiT Strom Pipeline'!R39="to be offered")+('MiT Strom Pipeline'!R39="on hold")&gt;0,IF(ISNUMBER('MiT Strom Pipeline'!I39),'MiT Strom Pipeline'!I39,0),"")</f>
        <v/>
      </c>
      <c r="G108" s="69" t="str">
        <f aca="false">IF(('MiT Strom Pipeline'!R39="offered")+('MiT Strom Pipeline'!R39="to be offered")+('MiT Strom Pipeline'!R39="on hold")&gt;0,IF(ISNUMBER('MiT Strom Pipeline'!Q39),'MiT Strom Pipeline'!Q39,0),"")</f>
        <v/>
      </c>
      <c r="H108" s="21" t="str">
        <f aca="false">IF(('MiT Strom Pipeline'!R39="offered")+('MiT Strom Pipeline'!R39="to be offered")+('MiT Strom Pipeline'!R39="on hold")&gt;0,'MiT Strom Pipeline'!R39,"")</f>
        <v/>
      </c>
      <c r="I108" s="21" t="str">
        <f aca="false">IF(('MiT Strom Pipeline'!R39="offered")+('MiT Strom Pipeline'!R39="to be offered")+('MiT Strom Pipeline'!R39="on hold")&gt;0,'MiT Strom Pipeline'!S39,"")</f>
        <v/>
      </c>
      <c r="J108" s="22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false" customHeight="true" outlineLevel="0" collapsed="false">
      <c r="A109" s="29" t="str">
        <f aca="false">IF(('MiT Strom Pipeline'!R40="offered")+('MiT Strom Pipeline'!R40="to be offered")+('MiT Strom Pipeline'!R40="on hold")&gt;0,IF(ISNUMBER('MiT Strom Pipeline'!A40),'MiT Strom Pipeline'!A40,""),"")</f>
        <v/>
      </c>
      <c r="B109" s="30" t="str">
        <f aca="false">IF(('MiT Strom Pipeline'!R40="offered")+('MiT Strom Pipeline'!R40="to be offered")+('MiT Strom Pipeline'!R40="on hold")&gt;0,'MiT Strom Pipeline'!B40,"")</f>
        <v/>
      </c>
      <c r="C109" s="29" t="str">
        <f aca="false">IF(('MiT Strom Pipeline'!R40="offered")+('MiT Strom Pipeline'!R40="to be offered")+('MiT Strom Pipeline'!R40="on hold")&gt;0,'MiT Strom Pipeline'!C40,"")</f>
        <v/>
      </c>
      <c r="D109" s="30" t="str">
        <f aca="false">IF(('MiT Strom Pipeline'!R40="offered")+('MiT Strom Pipeline'!R40="to be offered")+('MiT Strom Pipeline'!R40="on hold")&gt;0,'MiT Strom Pipeline'!D40,"")</f>
        <v/>
      </c>
      <c r="E109" s="30" t="str">
        <f aca="false">IF(('MiT Strom Pipeline'!R40="offered")+('MiT Strom Pipeline'!R40="to be offered")+('MiT Strom Pipeline'!R40="on hold")&gt;0,'MiT Strom Pipeline'!E40,"")</f>
        <v/>
      </c>
      <c r="F109" s="72" t="str">
        <f aca="false">IF(('MiT Strom Pipeline'!R40="offered")+('MiT Strom Pipeline'!R40="to be offered")+('MiT Strom Pipeline'!R40="on hold")&gt;0,IF(ISNUMBER('MiT Strom Pipeline'!I40),'MiT Strom Pipeline'!I40,0),"")</f>
        <v/>
      </c>
      <c r="G109" s="72" t="str">
        <f aca="false">IF(('MiT Strom Pipeline'!R40="offered")+('MiT Strom Pipeline'!R40="to be offered")+('MiT Strom Pipeline'!R40="on hold")&gt;0,IF(ISNUMBER('MiT Strom Pipeline'!Q40),'MiT Strom Pipeline'!Q40,0),"")</f>
        <v/>
      </c>
      <c r="H109" s="29" t="str">
        <f aca="false">IF(('MiT Strom Pipeline'!R40="offered")+('MiT Strom Pipeline'!R40="to be offered")+('MiT Strom Pipeline'!R40="on hold")&gt;0,'MiT Strom Pipeline'!R40,"")</f>
        <v/>
      </c>
      <c r="I109" s="29" t="str">
        <f aca="false">IF(('MiT Strom Pipeline'!R40="offered")+('MiT Strom Pipeline'!R40="to be offered")+('MiT Strom Pipeline'!R40="on hold")&gt;0,'MiT Strom Pipeline'!S40,"")</f>
        <v/>
      </c>
      <c r="J109" s="30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false" customHeight="true" outlineLevel="0" collapsed="false">
      <c r="A110" s="21" t="str">
        <f aca="false">IF(('MiT Strom Pipeline'!R41="offered")+('MiT Strom Pipeline'!R41="to be offered")+('MiT Strom Pipeline'!R41="on hold")&gt;0,IF(ISNUMBER('MiT Strom Pipeline'!A41),'MiT Strom Pipeline'!A41,""),"")</f>
        <v/>
      </c>
      <c r="B110" s="22" t="str">
        <f aca="false">IF(('MiT Strom Pipeline'!R41="offered")+('MiT Strom Pipeline'!R41="to be offered")+('MiT Strom Pipeline'!R41="on hold")&gt;0,'MiT Strom Pipeline'!B41,"")</f>
        <v/>
      </c>
      <c r="C110" s="21" t="str">
        <f aca="false">IF(('MiT Strom Pipeline'!R41="offered")+('MiT Strom Pipeline'!R41="to be offered")+('MiT Strom Pipeline'!R41="on hold")&gt;0,'MiT Strom Pipeline'!C41,"")</f>
        <v/>
      </c>
      <c r="D110" s="22" t="str">
        <f aca="false">IF(('MiT Strom Pipeline'!R41="offered")+('MiT Strom Pipeline'!R41="to be offered")+('MiT Strom Pipeline'!R41="on hold")&gt;0,'MiT Strom Pipeline'!D41,"")</f>
        <v/>
      </c>
      <c r="E110" s="22" t="str">
        <f aca="false">IF(('MiT Strom Pipeline'!R41="offered")+('MiT Strom Pipeline'!R41="to be offered")+('MiT Strom Pipeline'!R41="on hold")&gt;0,'MiT Strom Pipeline'!E41,"")</f>
        <v/>
      </c>
      <c r="F110" s="69" t="str">
        <f aca="false">IF(('MiT Strom Pipeline'!R41="offered")+('MiT Strom Pipeline'!R41="to be offered")+('MiT Strom Pipeline'!R41="on hold")&gt;0,IF(ISNUMBER('MiT Strom Pipeline'!I41),'MiT Strom Pipeline'!I41,0),"")</f>
        <v/>
      </c>
      <c r="G110" s="69" t="str">
        <f aca="false">IF(('MiT Strom Pipeline'!R41="offered")+('MiT Strom Pipeline'!R41="to be offered")+('MiT Strom Pipeline'!R41="on hold")&gt;0,IF(ISNUMBER('MiT Strom Pipeline'!Q41),'MiT Strom Pipeline'!Q41,0),"")</f>
        <v/>
      </c>
      <c r="H110" s="21" t="str">
        <f aca="false">IF(('MiT Strom Pipeline'!R41="offered")+('MiT Strom Pipeline'!R41="to be offered")+('MiT Strom Pipeline'!R41="on hold")&gt;0,'MiT Strom Pipeline'!R41,"")</f>
        <v/>
      </c>
      <c r="I110" s="21" t="str">
        <f aca="false">IF(('MiT Strom Pipeline'!R41="offered")+('MiT Strom Pipeline'!R41="to be offered")+('MiT Strom Pipeline'!R41="on hold")&gt;0,'MiT Strom Pipeline'!S41,"")</f>
        <v/>
      </c>
      <c r="J110" s="22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29" t="str">
        <f aca="false">IF(('MiT Strom Pipeline'!R42="offered")+('MiT Strom Pipeline'!R42="to be offered")+('MiT Strom Pipeline'!R42="on hold")&gt;0,IF(ISNUMBER('MiT Strom Pipeline'!A42),'MiT Strom Pipeline'!A42,""),"")</f>
        <v/>
      </c>
      <c r="B111" s="30" t="str">
        <f aca="false">IF(('MiT Strom Pipeline'!R42="offered")+('MiT Strom Pipeline'!R42="to be offered")+('MiT Strom Pipeline'!R42="on hold")&gt;0,'MiT Strom Pipeline'!B42,"")</f>
        <v/>
      </c>
      <c r="C111" s="29" t="str">
        <f aca="false">IF(('MiT Strom Pipeline'!R42="offered")+('MiT Strom Pipeline'!R42="to be offered")+('MiT Strom Pipeline'!R42="on hold")&gt;0,'MiT Strom Pipeline'!C42,"")</f>
        <v/>
      </c>
      <c r="D111" s="30" t="str">
        <f aca="false">IF(('MiT Strom Pipeline'!R42="offered")+('MiT Strom Pipeline'!R42="to be offered")+('MiT Strom Pipeline'!R42="on hold")&gt;0,'MiT Strom Pipeline'!D42,"")</f>
        <v/>
      </c>
      <c r="E111" s="30" t="str">
        <f aca="false">IF(('MiT Strom Pipeline'!R42="offered")+('MiT Strom Pipeline'!R42="to be offered")+('MiT Strom Pipeline'!R42="on hold")&gt;0,'MiT Strom Pipeline'!E42,"")</f>
        <v/>
      </c>
      <c r="F111" s="72" t="str">
        <f aca="false">IF(('MiT Strom Pipeline'!R42="offered")+('MiT Strom Pipeline'!R42="to be offered")+('MiT Strom Pipeline'!R42="on hold")&gt;0,IF(ISNUMBER('MiT Strom Pipeline'!I42),'MiT Strom Pipeline'!I42,0),"")</f>
        <v/>
      </c>
      <c r="G111" s="72" t="str">
        <f aca="false">IF(('MiT Strom Pipeline'!R42="offered")+('MiT Strom Pipeline'!R42="to be offered")+('MiT Strom Pipeline'!R42="on hold")&gt;0,IF(ISNUMBER('MiT Strom Pipeline'!Q42),'MiT Strom Pipeline'!Q42,0),"")</f>
        <v/>
      </c>
      <c r="H111" s="29" t="str">
        <f aca="false">IF(('MiT Strom Pipeline'!R42="offered")+('MiT Strom Pipeline'!R42="to be offered")+('MiT Strom Pipeline'!R42="on hold")&gt;0,'MiT Strom Pipeline'!R42,"")</f>
        <v/>
      </c>
      <c r="I111" s="29" t="str">
        <f aca="false">IF(('MiT Strom Pipeline'!R42="offered")+('MiT Strom Pipeline'!R42="to be offered")+('MiT Strom Pipeline'!R42="on hold")&gt;0,'MiT Strom Pipeline'!S42,"")</f>
        <v/>
      </c>
      <c r="J111" s="30" t="str">
        <f aca="false">IF(('MiT Strom Pipeline'!R42="offered")+('MiT Strom Pipeline'!R42="to be offered")+('MiT Strom Pipeline'!R42="on hold")&gt;0,IF(LEN('MiT Strom Pipeline'!V42)&gt;0,LEFT('MiT Strom Pipeline'!V42,55),""),"")</f>
        <v/>
      </c>
    </row>
    <row r="112" customFormat="false" ht="15.75" hidden="false" customHeight="true" outlineLevel="0" collapsed="false">
      <c r="A112" s="21" t="str">
        <f aca="false">IF(('MiT Strom Pipeline'!R43="offered")+('MiT Strom Pipeline'!R43="to be offered")+('MiT Strom Pipeline'!R43="on hold")&gt;0,IF(ISNUMBER('MiT Strom Pipeline'!A43),'MiT Strom Pipeline'!A43,""),"")</f>
        <v/>
      </c>
      <c r="B112" s="22" t="str">
        <f aca="false">IF(('MiT Strom Pipeline'!R43="offered")+('MiT Strom Pipeline'!R43="to be offered")+('MiT Strom Pipeline'!R43="on hold")&gt;0,'MiT Strom Pipeline'!B43,"")</f>
        <v/>
      </c>
      <c r="C112" s="21" t="str">
        <f aca="false">IF(('MiT Strom Pipeline'!R43="offered")+('MiT Strom Pipeline'!R43="to be offered")+('MiT Strom Pipeline'!R43="on hold")&gt;0,'MiT Strom Pipeline'!C43,"")</f>
        <v/>
      </c>
      <c r="D112" s="22" t="str">
        <f aca="false">IF(('MiT Strom Pipeline'!R43="offered")+('MiT Strom Pipeline'!R43="to be offered")+('MiT Strom Pipeline'!R43="on hold")&gt;0,'MiT Strom Pipeline'!D43,"")</f>
        <v/>
      </c>
      <c r="E112" s="22" t="str">
        <f aca="false">IF(('MiT Strom Pipeline'!R43="offered")+('MiT Strom Pipeline'!R43="to be offered")+('MiT Strom Pipeline'!R43="on hold")&gt;0,'MiT Strom Pipeline'!E43,"")</f>
        <v/>
      </c>
      <c r="F112" s="69" t="str">
        <f aca="false">IF(('MiT Strom Pipeline'!R43="offered")+('MiT Strom Pipeline'!R43="to be offered")+('MiT Strom Pipeline'!R43="on hold")&gt;0,IF(ISNUMBER('MiT Strom Pipeline'!I43),'MiT Strom Pipeline'!I43,0),"")</f>
        <v/>
      </c>
      <c r="G112" s="69" t="str">
        <f aca="false">IF(('MiT Strom Pipeline'!R43="offered")+('MiT Strom Pipeline'!R43="to be offered")+('MiT Strom Pipeline'!R43="on hold")&gt;0,IF(ISNUMBER('MiT Strom Pipeline'!Q43),'MiT Strom Pipeline'!Q43,0),"")</f>
        <v/>
      </c>
      <c r="H112" s="21" t="str">
        <f aca="false">IF(('MiT Strom Pipeline'!R43="offered")+('MiT Strom Pipeline'!R43="to be offered")+('MiT Strom Pipeline'!R43="on hold")&gt;0,'MiT Strom Pipeline'!R43,"")</f>
        <v/>
      </c>
      <c r="I112" s="21" t="str">
        <f aca="false">IF(('MiT Strom Pipeline'!R43="offered")+('MiT Strom Pipeline'!R43="to be offered")+('MiT Strom Pipeline'!R43="on hold")&gt;0,'MiT Strom Pipeline'!S43,"")</f>
        <v/>
      </c>
      <c r="J112" s="22" t="str">
        <f aca="false">IF(('MiT Strom Pipeline'!R43="offered")+('MiT Strom Pipeline'!R43="to be offered")+('MiT Strom Pipeline'!R43="on hold")&gt;0,IF(LEN('MiT Strom Pipeline'!V43)&gt;0,LEFT('MiT Strom Pipeline'!V43,55),""),"")</f>
        <v/>
      </c>
    </row>
    <row r="113" customFormat="false" ht="15.75" hidden="false" customHeight="true" outlineLevel="0" collapsed="false">
      <c r="A113" s="29" t="str">
        <f aca="false">IF(('MiT Strom Pipeline'!R44="offered")+('MiT Strom Pipeline'!R44="to be offered")+('MiT Strom Pipeline'!R44="on hold")&gt;0,IF(ISNUMBER('MiT Strom Pipeline'!A44),'MiT Strom Pipeline'!A44,""),"")</f>
        <v/>
      </c>
      <c r="B113" s="30" t="str">
        <f aca="false">IF(('MiT Strom Pipeline'!R44="offered")+('MiT Strom Pipeline'!R44="to be offered")+('MiT Strom Pipeline'!R44="on hold")&gt;0,'MiT Strom Pipeline'!B44,"")</f>
        <v/>
      </c>
      <c r="C113" s="29" t="str">
        <f aca="false">IF(('MiT Strom Pipeline'!R44="offered")+('MiT Strom Pipeline'!R44="to be offered")+('MiT Strom Pipeline'!R44="on hold")&gt;0,'MiT Strom Pipeline'!C44,"")</f>
        <v/>
      </c>
      <c r="D113" s="30" t="str">
        <f aca="false">IF(('MiT Strom Pipeline'!R44="offered")+('MiT Strom Pipeline'!R44="to be offered")+('MiT Strom Pipeline'!R44="on hold")&gt;0,'MiT Strom Pipeline'!D44,"")</f>
        <v/>
      </c>
      <c r="E113" s="30" t="str">
        <f aca="false">IF(('MiT Strom Pipeline'!R44="offered")+('MiT Strom Pipeline'!R44="to be offered")+('MiT Strom Pipeline'!R44="on hold")&gt;0,'MiT Strom Pipeline'!E44,"")</f>
        <v/>
      </c>
      <c r="F113" s="72" t="str">
        <f aca="false">IF(('MiT Strom Pipeline'!R44="offered")+('MiT Strom Pipeline'!R44="to be offered")+('MiT Strom Pipeline'!R44="on hold")&gt;0,IF(ISNUMBER('MiT Strom Pipeline'!I44),'MiT Strom Pipeline'!I44,0),"")</f>
        <v/>
      </c>
      <c r="G113" s="72" t="str">
        <f aca="false">IF(('MiT Strom Pipeline'!R44="offered")+('MiT Strom Pipeline'!R44="to be offered")+('MiT Strom Pipeline'!R44="on hold")&gt;0,IF(ISNUMBER('MiT Strom Pipeline'!Q44),'MiT Strom Pipeline'!Q44,0),"")</f>
        <v/>
      </c>
      <c r="H113" s="29" t="str">
        <f aca="false">IF(('MiT Strom Pipeline'!R44="offered")+('MiT Strom Pipeline'!R44="to be offered")+('MiT Strom Pipeline'!R44="on hold")&gt;0,'MiT Strom Pipeline'!R44,"")</f>
        <v/>
      </c>
      <c r="I113" s="29" t="str">
        <f aca="false">IF(('MiT Strom Pipeline'!R44="offered")+('MiT Strom Pipeline'!R44="to be offered")+('MiT Strom Pipeline'!R44="on hold")&gt;0,'MiT Strom Pipeline'!S44,"")</f>
        <v/>
      </c>
      <c r="J113" s="30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21" t="str">
        <f aca="false">IF(('MiT Strom Pipeline'!R45="offered")+('MiT Strom Pipeline'!R45="to be offered")+('MiT Strom Pipeline'!R45="on hold")&gt;0,IF(ISNUMBER('MiT Strom Pipeline'!A45),'MiT Strom Pipeline'!A45,""),"")</f>
        <v/>
      </c>
      <c r="B114" s="22" t="str">
        <f aca="false">IF(('MiT Strom Pipeline'!R45="offered")+('MiT Strom Pipeline'!R45="to be offered")+('MiT Strom Pipeline'!R45="on hold")&gt;0,'MiT Strom Pipeline'!B45,"")</f>
        <v/>
      </c>
      <c r="C114" s="21" t="str">
        <f aca="false">IF(('MiT Strom Pipeline'!R45="offered")+('MiT Strom Pipeline'!R45="to be offered")+('MiT Strom Pipeline'!R45="on hold")&gt;0,'MiT Strom Pipeline'!C45,"")</f>
        <v/>
      </c>
      <c r="D114" s="22" t="str">
        <f aca="false">IF(('MiT Strom Pipeline'!R45="offered")+('MiT Strom Pipeline'!R45="to be offered")+('MiT Strom Pipeline'!R45="on hold")&gt;0,'MiT Strom Pipeline'!D45,"")</f>
        <v/>
      </c>
      <c r="E114" s="22" t="str">
        <f aca="false">IF(('MiT Strom Pipeline'!R45="offered")+('MiT Strom Pipeline'!R45="to be offered")+('MiT Strom Pipeline'!R45="on hold")&gt;0,'MiT Strom Pipeline'!E45,"")</f>
        <v/>
      </c>
      <c r="F114" s="69" t="str">
        <f aca="false">IF(('MiT Strom Pipeline'!R45="offered")+('MiT Strom Pipeline'!R45="to be offered")+('MiT Strom Pipeline'!R45="on hold")&gt;0,IF(ISNUMBER('MiT Strom Pipeline'!I45),'MiT Strom Pipeline'!I45,0),"")</f>
        <v/>
      </c>
      <c r="G114" s="69" t="str">
        <f aca="false">IF(('MiT Strom Pipeline'!R45="offered")+('MiT Strom Pipeline'!R45="to be offered")+('MiT Strom Pipeline'!R45="on hold")&gt;0,IF(ISNUMBER('MiT Strom Pipeline'!Q45),'MiT Strom Pipeline'!Q45,0),"")</f>
        <v/>
      </c>
      <c r="H114" s="21" t="str">
        <f aca="false">IF(('MiT Strom Pipeline'!R45="offered")+('MiT Strom Pipeline'!R45="to be offered")+('MiT Strom Pipeline'!R45="on hold")&gt;0,'MiT Strom Pipeline'!R45,"")</f>
        <v/>
      </c>
      <c r="I114" s="21" t="str">
        <f aca="false">IF(('MiT Strom Pipeline'!R45="offered")+('MiT Strom Pipeline'!R45="to be offered")+('MiT Strom Pipeline'!R45="on hold")&gt;0,'MiT Strom Pipeline'!S45,"")</f>
        <v/>
      </c>
      <c r="J114" s="22" t="str">
        <f aca="false">IF(('MiT Strom Pipeline'!R45="offered")+('MiT Strom Pipeline'!R45="to be offered")+('MiT Strom Pipeline'!R45="on hold")&gt;0,IF(LEN('MiT Strom Pipeline'!V45)&gt;0,LEFT('MiT Strom Pipeline'!V45,55),""),"")</f>
        <v/>
      </c>
    </row>
    <row r="115" customFormat="false" ht="15.75" hidden="false" customHeight="true" outlineLevel="0" collapsed="false">
      <c r="A115" s="29" t="str">
        <f aca="false">IF(('MiT Strom Pipeline'!R46="offered")+('MiT Strom Pipeline'!R46="to be offered")+('MiT Strom Pipeline'!R46="on hold")&gt;0,IF(ISNUMBER('MiT Strom Pipeline'!A46),'MiT Strom Pipeline'!A46,""),"")</f>
        <v/>
      </c>
      <c r="B115" s="30" t="str">
        <f aca="false">IF(('MiT Strom Pipeline'!R46="offered")+('MiT Strom Pipeline'!R46="to be offered")+('MiT Strom Pipeline'!R46="on hold")&gt;0,'MiT Strom Pipeline'!B46,"")</f>
        <v/>
      </c>
      <c r="C115" s="29" t="str">
        <f aca="false">IF(('MiT Strom Pipeline'!R46="offered")+('MiT Strom Pipeline'!R46="to be offered")+('MiT Strom Pipeline'!R46="on hold")&gt;0,'MiT Strom Pipeline'!C46,"")</f>
        <v/>
      </c>
      <c r="D115" s="30" t="str">
        <f aca="false">IF(('MiT Strom Pipeline'!R46="offered")+('MiT Strom Pipeline'!R46="to be offered")+('MiT Strom Pipeline'!R46="on hold")&gt;0,'MiT Strom Pipeline'!D46,"")</f>
        <v/>
      </c>
      <c r="E115" s="30" t="str">
        <f aca="false">IF(('MiT Strom Pipeline'!R46="offered")+('MiT Strom Pipeline'!R46="to be offered")+('MiT Strom Pipeline'!R46="on hold")&gt;0,'MiT Strom Pipeline'!E46,"")</f>
        <v/>
      </c>
      <c r="F115" s="72" t="str">
        <f aca="false">IF(('MiT Strom Pipeline'!R46="offered")+('MiT Strom Pipeline'!R46="to be offered")+('MiT Strom Pipeline'!R46="on hold")&gt;0,IF(ISNUMBER('MiT Strom Pipeline'!I46),'MiT Strom Pipeline'!I46,0),"")</f>
        <v/>
      </c>
      <c r="G115" s="72" t="str">
        <f aca="false">IF(('MiT Strom Pipeline'!R46="offered")+('MiT Strom Pipeline'!R46="to be offered")+('MiT Strom Pipeline'!R46="on hold")&gt;0,IF(ISNUMBER('MiT Strom Pipeline'!Q46),'MiT Strom Pipeline'!Q46,0),"")</f>
        <v/>
      </c>
      <c r="H115" s="29" t="str">
        <f aca="false">IF(('MiT Strom Pipeline'!R46="offered")+('MiT Strom Pipeline'!R46="to be offered")+('MiT Strom Pipeline'!R46="on hold")&gt;0,'MiT Strom Pipeline'!R46,"")</f>
        <v/>
      </c>
      <c r="I115" s="29" t="str">
        <f aca="false">IF(('MiT Strom Pipeline'!R46="offered")+('MiT Strom Pipeline'!R46="to be offered")+('MiT Strom Pipeline'!R46="on hold")&gt;0,'MiT Strom Pipeline'!S46,"")</f>
        <v/>
      </c>
      <c r="J115" s="30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21" t="str">
        <f aca="false">IF(('MiT Strom Pipeline'!R47="offered")+('MiT Strom Pipeline'!R47="to be offered")+('MiT Strom Pipeline'!R47="on hold")&gt;0,IF(ISNUMBER('MiT Strom Pipeline'!A47),'MiT Strom Pipeline'!A47,""),"")</f>
        <v/>
      </c>
      <c r="B116" s="22" t="str">
        <f aca="false">IF(('MiT Strom Pipeline'!R47="offered")+('MiT Strom Pipeline'!R47="to be offered")+('MiT Strom Pipeline'!R47="on hold")&gt;0,'MiT Strom Pipeline'!B47,"")</f>
        <v/>
      </c>
      <c r="C116" s="21" t="str">
        <f aca="false">IF(('MiT Strom Pipeline'!R47="offered")+('MiT Strom Pipeline'!R47="to be offered")+('MiT Strom Pipeline'!R47="on hold")&gt;0,'MiT Strom Pipeline'!C47,"")</f>
        <v/>
      </c>
      <c r="D116" s="22" t="str">
        <f aca="false">IF(('MiT Strom Pipeline'!R47="offered")+('MiT Strom Pipeline'!R47="to be offered")+('MiT Strom Pipeline'!R47="on hold")&gt;0,'MiT Strom Pipeline'!D47,"")</f>
        <v/>
      </c>
      <c r="E116" s="22" t="str">
        <f aca="false">IF(('MiT Strom Pipeline'!R47="offered")+('MiT Strom Pipeline'!R47="to be offered")+('MiT Strom Pipeline'!R47="on hold")&gt;0,'MiT Strom Pipeline'!E47,"")</f>
        <v/>
      </c>
      <c r="F116" s="69" t="str">
        <f aca="false">IF(('MiT Strom Pipeline'!R47="offered")+('MiT Strom Pipeline'!R47="to be offered")+('MiT Strom Pipeline'!R47="on hold")&gt;0,IF(ISNUMBER('MiT Strom Pipeline'!I47),'MiT Strom Pipeline'!I47,0),"")</f>
        <v/>
      </c>
      <c r="G116" s="69" t="str">
        <f aca="false">IF(('MiT Strom Pipeline'!R47="offered")+('MiT Strom Pipeline'!R47="to be offered")+('MiT Strom Pipeline'!R47="on hold")&gt;0,IF(ISNUMBER('MiT Strom Pipeline'!Q47),'MiT Strom Pipeline'!Q47,0),"")</f>
        <v/>
      </c>
      <c r="H116" s="21" t="str">
        <f aca="false">IF(('MiT Strom Pipeline'!R47="offered")+('MiT Strom Pipeline'!R47="to be offered")+('MiT Strom Pipeline'!R47="on hold")&gt;0,'MiT Strom Pipeline'!R47,"")</f>
        <v/>
      </c>
      <c r="I116" s="21" t="str">
        <f aca="false">IF(('MiT Strom Pipeline'!R47="offered")+('MiT Strom Pipeline'!R47="to be offered")+('MiT Strom Pipeline'!R47="on hold")&gt;0,'MiT Strom Pipeline'!S47,"")</f>
        <v/>
      </c>
      <c r="J116" s="22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false" customHeight="true" outlineLevel="0" collapsed="false">
      <c r="A117" s="29" t="str">
        <f aca="false">IF(('MiT Strom Pipeline'!R48="offered")+('MiT Strom Pipeline'!R48="to be offered")+('MiT Strom Pipeline'!R48="on hold")&gt;0,IF(ISNUMBER('MiT Strom Pipeline'!A48),'MiT Strom Pipeline'!A48,""),"")</f>
        <v/>
      </c>
      <c r="B117" s="30" t="str">
        <f aca="false">IF(('MiT Strom Pipeline'!R48="offered")+('MiT Strom Pipeline'!R48="to be offered")+('MiT Strom Pipeline'!R48="on hold")&gt;0,'MiT Strom Pipeline'!B48,"")</f>
        <v/>
      </c>
      <c r="C117" s="29" t="str">
        <f aca="false">IF(('MiT Strom Pipeline'!R48="offered")+('MiT Strom Pipeline'!R48="to be offered")+('MiT Strom Pipeline'!R48="on hold")&gt;0,'MiT Strom Pipeline'!C48,"")</f>
        <v/>
      </c>
      <c r="D117" s="30" t="str">
        <f aca="false">IF(('MiT Strom Pipeline'!R48="offered")+('MiT Strom Pipeline'!R48="to be offered")+('MiT Strom Pipeline'!R48="on hold")&gt;0,'MiT Strom Pipeline'!D48,"")</f>
        <v/>
      </c>
      <c r="E117" s="30" t="str">
        <f aca="false">IF(('MiT Strom Pipeline'!R48="offered")+('MiT Strom Pipeline'!R48="to be offered")+('MiT Strom Pipeline'!R48="on hold")&gt;0,'MiT Strom Pipeline'!E48,"")</f>
        <v/>
      </c>
      <c r="F117" s="72" t="str">
        <f aca="false">IF(('MiT Strom Pipeline'!R48="offered")+('MiT Strom Pipeline'!R48="to be offered")+('MiT Strom Pipeline'!R48="on hold")&gt;0,IF(ISNUMBER('MiT Strom Pipeline'!I48),'MiT Strom Pipeline'!I48,0),"")</f>
        <v/>
      </c>
      <c r="G117" s="72" t="str">
        <f aca="false">IF(('MiT Strom Pipeline'!R48="offered")+('MiT Strom Pipeline'!R48="to be offered")+('MiT Strom Pipeline'!R48="on hold")&gt;0,IF(ISNUMBER('MiT Strom Pipeline'!Q48),'MiT Strom Pipeline'!Q48,0),"")</f>
        <v/>
      </c>
      <c r="H117" s="29" t="str">
        <f aca="false">IF(('MiT Strom Pipeline'!R48="offered")+('MiT Strom Pipeline'!R48="to be offered")+('MiT Strom Pipeline'!R48="on hold")&gt;0,'MiT Strom Pipeline'!R48,"")</f>
        <v/>
      </c>
      <c r="I117" s="29" t="str">
        <f aca="false">IF(('MiT Strom Pipeline'!R48="offered")+('MiT Strom Pipeline'!R48="to be offered")+('MiT Strom Pipeline'!R48="on hold")&gt;0,'MiT Strom Pipeline'!S48,"")</f>
        <v/>
      </c>
      <c r="J117" s="30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false" customHeight="true" outlineLevel="0" collapsed="false">
      <c r="A118" s="21" t="str">
        <f aca="false">IF(('MiT Strom Pipeline'!R49="offered")+('MiT Strom Pipeline'!R49="to be offered")+('MiT Strom Pipeline'!R49="on hold")&gt;0,IF(ISNUMBER('MiT Strom Pipeline'!A49),'MiT Strom Pipeline'!A49,""),"")</f>
        <v/>
      </c>
      <c r="B118" s="22" t="str">
        <f aca="false">IF(('MiT Strom Pipeline'!R49="offered")+('MiT Strom Pipeline'!R49="to be offered")+('MiT Strom Pipeline'!R49="on hold")&gt;0,'MiT Strom Pipeline'!B49,"")</f>
        <v/>
      </c>
      <c r="C118" s="21" t="str">
        <f aca="false">IF(('MiT Strom Pipeline'!R49="offered")+('MiT Strom Pipeline'!R49="to be offered")+('MiT Strom Pipeline'!R49="on hold")&gt;0,'MiT Strom Pipeline'!C49,"")</f>
        <v/>
      </c>
      <c r="D118" s="22" t="str">
        <f aca="false">IF(('MiT Strom Pipeline'!R49="offered")+('MiT Strom Pipeline'!R49="to be offered")+('MiT Strom Pipeline'!R49="on hold")&gt;0,'MiT Strom Pipeline'!D49,"")</f>
        <v/>
      </c>
      <c r="E118" s="22" t="str">
        <f aca="false">IF(('MiT Strom Pipeline'!R49="offered")+('MiT Strom Pipeline'!R49="to be offered")+('MiT Strom Pipeline'!R49="on hold")&gt;0,'MiT Strom Pipeline'!E49,"")</f>
        <v/>
      </c>
      <c r="F118" s="69" t="str">
        <f aca="false">IF(('MiT Strom Pipeline'!R49="offered")+('MiT Strom Pipeline'!R49="to be offered")+('MiT Strom Pipeline'!R49="on hold")&gt;0,IF(ISNUMBER('MiT Strom Pipeline'!I49),'MiT Strom Pipeline'!I49,0),"")</f>
        <v/>
      </c>
      <c r="G118" s="69" t="str">
        <f aca="false">IF(('MiT Strom Pipeline'!R49="offered")+('MiT Strom Pipeline'!R49="to be offered")+('MiT Strom Pipeline'!R49="on hold")&gt;0,IF(ISNUMBER('MiT Strom Pipeline'!Q49),'MiT Strom Pipeline'!Q49,0),"")</f>
        <v/>
      </c>
      <c r="H118" s="21" t="str">
        <f aca="false">IF(('MiT Strom Pipeline'!R49="offered")+('MiT Strom Pipeline'!R49="to be offered")+('MiT Strom Pipeline'!R49="on hold")&gt;0,'MiT Strom Pipeline'!R49,"")</f>
        <v/>
      </c>
      <c r="I118" s="21" t="str">
        <f aca="false">IF(('MiT Strom Pipeline'!R49="offered")+('MiT Strom Pipeline'!R49="to be offered")+('MiT Strom Pipeline'!R49="on hold")&gt;0,'MiT Strom Pipeline'!S49,"")</f>
        <v/>
      </c>
      <c r="J118" s="22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false" customHeight="true" outlineLevel="0" collapsed="false">
      <c r="A119" s="29" t="str">
        <f aca="false">IF(('MiT Strom Pipeline'!R50="offered")+('MiT Strom Pipeline'!R50="to be offered")+('MiT Strom Pipeline'!R50="on hold")&gt;0,IF(ISNUMBER('MiT Strom Pipeline'!A50),'MiT Strom Pipeline'!A50,""),"")</f>
        <v/>
      </c>
      <c r="B119" s="30" t="str">
        <f aca="false">IF(('MiT Strom Pipeline'!R50="offered")+('MiT Strom Pipeline'!R50="to be offered")+('MiT Strom Pipeline'!R50="on hold")&gt;0,'MiT Strom Pipeline'!B50,"")</f>
        <v/>
      </c>
      <c r="C119" s="29" t="str">
        <f aca="false">IF(('MiT Strom Pipeline'!R50="offered")+('MiT Strom Pipeline'!R50="to be offered")+('MiT Strom Pipeline'!R50="on hold")&gt;0,'MiT Strom Pipeline'!C50,"")</f>
        <v/>
      </c>
      <c r="D119" s="30" t="str">
        <f aca="false">IF(('MiT Strom Pipeline'!R50="offered")+('MiT Strom Pipeline'!R50="to be offered")+('MiT Strom Pipeline'!R50="on hold")&gt;0,'MiT Strom Pipeline'!D50,"")</f>
        <v/>
      </c>
      <c r="E119" s="30" t="str">
        <f aca="false">IF(('MiT Strom Pipeline'!R50="offered")+('MiT Strom Pipeline'!R50="to be offered")+('MiT Strom Pipeline'!R50="on hold")&gt;0,'MiT Strom Pipeline'!E50,"")</f>
        <v/>
      </c>
      <c r="F119" s="72" t="str">
        <f aca="false">IF(('MiT Strom Pipeline'!R50="offered")+('MiT Strom Pipeline'!R50="to be offered")+('MiT Strom Pipeline'!R50="on hold")&gt;0,IF(ISNUMBER('MiT Strom Pipeline'!I50),'MiT Strom Pipeline'!I50,0),"")</f>
        <v/>
      </c>
      <c r="G119" s="72" t="str">
        <f aca="false">IF(('MiT Strom Pipeline'!R50="offered")+('MiT Strom Pipeline'!R50="to be offered")+('MiT Strom Pipeline'!R50="on hold")&gt;0,IF(ISNUMBER('MiT Strom Pipeline'!Q50),'MiT Strom Pipeline'!Q50,0),"")</f>
        <v/>
      </c>
      <c r="H119" s="29" t="str">
        <f aca="false">IF(('MiT Strom Pipeline'!R50="offered")+('MiT Strom Pipeline'!R50="to be offered")+('MiT Strom Pipeline'!R50="on hold")&gt;0,'MiT Strom Pipeline'!R50,"")</f>
        <v/>
      </c>
      <c r="I119" s="29" t="str">
        <f aca="false">IF(('MiT Strom Pipeline'!R50="offered")+('MiT Strom Pipeline'!R50="to be offered")+('MiT Strom Pipeline'!R50="on hold")&gt;0,'MiT Strom Pipeline'!S50,"")</f>
        <v/>
      </c>
      <c r="J119" s="30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false" customHeight="true" outlineLevel="0" collapsed="false">
      <c r="A120" s="21" t="str">
        <f aca="false">IF(('MiT Strom Pipeline'!R51="offered")+('MiT Strom Pipeline'!R51="to be offered")+('MiT Strom Pipeline'!R51="on hold")&gt;0,IF(ISNUMBER('MiT Strom Pipeline'!A51),'MiT Strom Pipeline'!A51,""),"")</f>
        <v/>
      </c>
      <c r="B120" s="22" t="str">
        <f aca="false">IF(('MiT Strom Pipeline'!R51="offered")+('MiT Strom Pipeline'!R51="to be offered")+('MiT Strom Pipeline'!R51="on hold")&gt;0,'MiT Strom Pipeline'!B51,"")</f>
        <v/>
      </c>
      <c r="C120" s="21" t="str">
        <f aca="false">IF(('MiT Strom Pipeline'!R51="offered")+('MiT Strom Pipeline'!R51="to be offered")+('MiT Strom Pipeline'!R51="on hold")&gt;0,'MiT Strom Pipeline'!C51,"")</f>
        <v/>
      </c>
      <c r="D120" s="22" t="str">
        <f aca="false">IF(('MiT Strom Pipeline'!R51="offered")+('MiT Strom Pipeline'!R51="to be offered")+('MiT Strom Pipeline'!R51="on hold")&gt;0,'MiT Strom Pipeline'!D51,"")</f>
        <v/>
      </c>
      <c r="E120" s="22" t="str">
        <f aca="false">IF(('MiT Strom Pipeline'!R51="offered")+('MiT Strom Pipeline'!R51="to be offered")+('MiT Strom Pipeline'!R51="on hold")&gt;0,'MiT Strom Pipeline'!E51,"")</f>
        <v/>
      </c>
      <c r="F120" s="69" t="str">
        <f aca="false">IF(('MiT Strom Pipeline'!R51="offered")+('MiT Strom Pipeline'!R51="to be offered")+('MiT Strom Pipeline'!R51="on hold")&gt;0,IF(ISNUMBER('MiT Strom Pipeline'!I51),'MiT Strom Pipeline'!I51,0),"")</f>
        <v/>
      </c>
      <c r="G120" s="69" t="str">
        <f aca="false">IF(('MiT Strom Pipeline'!R51="offered")+('MiT Strom Pipeline'!R51="to be offered")+('MiT Strom Pipeline'!R51="on hold")&gt;0,IF(ISNUMBER('MiT Strom Pipeline'!Q51),'MiT Strom Pipeline'!Q51,0),"")</f>
        <v/>
      </c>
      <c r="H120" s="21" t="str">
        <f aca="false">IF(('MiT Strom Pipeline'!R51="offered")+('MiT Strom Pipeline'!R51="to be offered")+('MiT Strom Pipeline'!R51="on hold")&gt;0,'MiT Strom Pipeline'!R51,"")</f>
        <v/>
      </c>
      <c r="I120" s="21" t="str">
        <f aca="false">IF(('MiT Strom Pipeline'!R51="offered")+('MiT Strom Pipeline'!R51="to be offered")+('MiT Strom Pipeline'!R51="on hold")&gt;0,'MiT Strom Pipeline'!S51,"")</f>
        <v/>
      </c>
      <c r="J120" s="22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false" customHeight="true" outlineLevel="0" collapsed="false">
      <c r="A121" s="29" t="str">
        <f aca="false">IF(('MiT Strom Pipeline'!R52="offered")+('MiT Strom Pipeline'!R52="to be offered")+('MiT Strom Pipeline'!R52="on hold")&gt;0,IF(ISNUMBER('MiT Strom Pipeline'!A52),'MiT Strom Pipeline'!A52,""),"")</f>
        <v/>
      </c>
      <c r="B121" s="30" t="str">
        <f aca="false">IF(('MiT Strom Pipeline'!R52="offered")+('MiT Strom Pipeline'!R52="to be offered")+('MiT Strom Pipeline'!R52="on hold")&gt;0,'MiT Strom Pipeline'!B52,"")</f>
        <v/>
      </c>
      <c r="C121" s="29" t="str">
        <f aca="false">IF(('MiT Strom Pipeline'!R52="offered")+('MiT Strom Pipeline'!R52="to be offered")+('MiT Strom Pipeline'!R52="on hold")&gt;0,'MiT Strom Pipeline'!C52,"")</f>
        <v/>
      </c>
      <c r="D121" s="30" t="str">
        <f aca="false">IF(('MiT Strom Pipeline'!R52="offered")+('MiT Strom Pipeline'!R52="to be offered")+('MiT Strom Pipeline'!R52="on hold")&gt;0,'MiT Strom Pipeline'!D52,"")</f>
        <v/>
      </c>
      <c r="E121" s="30" t="str">
        <f aca="false">IF(('MiT Strom Pipeline'!R52="offered")+('MiT Strom Pipeline'!R52="to be offered")+('MiT Strom Pipeline'!R52="on hold")&gt;0,'MiT Strom Pipeline'!E52,"")</f>
        <v/>
      </c>
      <c r="F121" s="72" t="str">
        <f aca="false">IF(('MiT Strom Pipeline'!R52="offered")+('MiT Strom Pipeline'!R52="to be offered")+('MiT Strom Pipeline'!R52="on hold")&gt;0,IF(ISNUMBER('MiT Strom Pipeline'!I52),'MiT Strom Pipeline'!I52,0),"")</f>
        <v/>
      </c>
      <c r="G121" s="72" t="str">
        <f aca="false">IF(('MiT Strom Pipeline'!R52="offered")+('MiT Strom Pipeline'!R52="to be offered")+('MiT Strom Pipeline'!R52="on hold")&gt;0,IF(ISNUMBER('MiT Strom Pipeline'!Q52),'MiT Strom Pipeline'!Q52,0),"")</f>
        <v/>
      </c>
      <c r="H121" s="29" t="str">
        <f aca="false">IF(('MiT Strom Pipeline'!R52="offered")+('MiT Strom Pipeline'!R52="to be offered")+('MiT Strom Pipeline'!R52="on hold")&gt;0,'MiT Strom Pipeline'!R52,"")</f>
        <v/>
      </c>
      <c r="I121" s="29" t="str">
        <f aca="false">IF(('MiT Strom Pipeline'!R52="offered")+('MiT Strom Pipeline'!R52="to be offered")+('MiT Strom Pipeline'!R52="on hold")&gt;0,'MiT Strom Pipeline'!S52,"")</f>
        <v/>
      </c>
      <c r="J121" s="30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false" customHeight="true" outlineLevel="0" collapsed="false">
      <c r="A122" s="21" t="str">
        <f aca="false">IF(('MiT Strom Pipeline'!R53="offered")+('MiT Strom Pipeline'!R53="to be offered")+('MiT Strom Pipeline'!R53="on hold")&gt;0,IF(ISNUMBER('MiT Strom Pipeline'!A53),'MiT Strom Pipeline'!A53,""),"")</f>
        <v/>
      </c>
      <c r="B122" s="22" t="str">
        <f aca="false">IF(('MiT Strom Pipeline'!R53="offered")+('MiT Strom Pipeline'!R53="to be offered")+('MiT Strom Pipeline'!R53="on hold")&gt;0,'MiT Strom Pipeline'!B53,"")</f>
        <v/>
      </c>
      <c r="C122" s="21" t="str">
        <f aca="false">IF(('MiT Strom Pipeline'!R53="offered")+('MiT Strom Pipeline'!R53="to be offered")+('MiT Strom Pipeline'!R53="on hold")&gt;0,'MiT Strom Pipeline'!C53,"")</f>
        <v/>
      </c>
      <c r="D122" s="22" t="str">
        <f aca="false">IF(('MiT Strom Pipeline'!R53="offered")+('MiT Strom Pipeline'!R53="to be offered")+('MiT Strom Pipeline'!R53="on hold")&gt;0,'MiT Strom Pipeline'!D53,"")</f>
        <v/>
      </c>
      <c r="E122" s="22" t="str">
        <f aca="false">IF(('MiT Strom Pipeline'!R53="offered")+('MiT Strom Pipeline'!R53="to be offered")+('MiT Strom Pipeline'!R53="on hold")&gt;0,'MiT Strom Pipeline'!E53,"")</f>
        <v/>
      </c>
      <c r="F122" s="69" t="str">
        <f aca="false">IF(('MiT Strom Pipeline'!R53="offered")+('MiT Strom Pipeline'!R53="to be offered")+('MiT Strom Pipeline'!R53="on hold")&gt;0,IF(ISNUMBER('MiT Strom Pipeline'!I53),'MiT Strom Pipeline'!I53,0),"")</f>
        <v/>
      </c>
      <c r="G122" s="69" t="str">
        <f aca="false">IF(('MiT Strom Pipeline'!R53="offered")+('MiT Strom Pipeline'!R53="to be offered")+('MiT Strom Pipeline'!R53="on hold")&gt;0,IF(ISNUMBER('MiT Strom Pipeline'!Q53),'MiT Strom Pipeline'!Q53,0),"")</f>
        <v/>
      </c>
      <c r="H122" s="21" t="str">
        <f aca="false">IF(('MiT Strom Pipeline'!R53="offered")+('MiT Strom Pipeline'!R53="to be offered")+('MiT Strom Pipeline'!R53="on hold")&gt;0,'MiT Strom Pipeline'!R53,"")</f>
        <v/>
      </c>
      <c r="I122" s="21" t="str">
        <f aca="false">IF(('MiT Strom Pipeline'!R53="offered")+('MiT Strom Pipeline'!R53="to be offered")+('MiT Strom Pipeline'!R53="on hold")&gt;0,'MiT Strom Pipeline'!S53,"")</f>
        <v/>
      </c>
      <c r="J122" s="22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false" customHeight="true" outlineLevel="0" collapsed="false">
      <c r="A123" s="29" t="str">
        <f aca="false">IF(('MiT Strom Pipeline'!R54="offered")+('MiT Strom Pipeline'!R54="to be offered")+('MiT Strom Pipeline'!R54="on hold")&gt;0,IF(ISNUMBER('MiT Strom Pipeline'!A54),'MiT Strom Pipeline'!A54,""),"")</f>
        <v/>
      </c>
      <c r="B123" s="30" t="str">
        <f aca="false">IF(('MiT Strom Pipeline'!R54="offered")+('MiT Strom Pipeline'!R54="to be offered")+('MiT Strom Pipeline'!R54="on hold")&gt;0,'MiT Strom Pipeline'!B54,"")</f>
        <v/>
      </c>
      <c r="C123" s="29" t="str">
        <f aca="false">IF(('MiT Strom Pipeline'!R54="offered")+('MiT Strom Pipeline'!R54="to be offered")+('MiT Strom Pipeline'!R54="on hold")&gt;0,'MiT Strom Pipeline'!C54,"")</f>
        <v/>
      </c>
      <c r="D123" s="30" t="str">
        <f aca="false">IF(('MiT Strom Pipeline'!R54="offered")+('MiT Strom Pipeline'!R54="to be offered")+('MiT Strom Pipeline'!R54="on hold")&gt;0,'MiT Strom Pipeline'!D54,"")</f>
        <v/>
      </c>
      <c r="E123" s="30" t="str">
        <f aca="false">IF(('MiT Strom Pipeline'!R54="offered")+('MiT Strom Pipeline'!R54="to be offered")+('MiT Strom Pipeline'!R54="on hold")&gt;0,'MiT Strom Pipeline'!E54,"")</f>
        <v/>
      </c>
      <c r="F123" s="72" t="str">
        <f aca="false">IF(('MiT Strom Pipeline'!R54="offered")+('MiT Strom Pipeline'!R54="to be offered")+('MiT Strom Pipeline'!R54="on hold")&gt;0,IF(ISNUMBER('MiT Strom Pipeline'!I54),'MiT Strom Pipeline'!I54,0),"")</f>
        <v/>
      </c>
      <c r="G123" s="72" t="str">
        <f aca="false">IF(('MiT Strom Pipeline'!R54="offered")+('MiT Strom Pipeline'!R54="to be offered")+('MiT Strom Pipeline'!R54="on hold")&gt;0,IF(ISNUMBER('MiT Strom Pipeline'!Q54),'MiT Strom Pipeline'!Q54,0),"")</f>
        <v/>
      </c>
      <c r="H123" s="29" t="str">
        <f aca="false">IF(('MiT Strom Pipeline'!R54="offered")+('MiT Strom Pipeline'!R54="to be offered")+('MiT Strom Pipeline'!R54="on hold")&gt;0,'MiT Strom Pipeline'!R54,"")</f>
        <v/>
      </c>
      <c r="I123" s="29" t="str">
        <f aca="false">IF(('MiT Strom Pipeline'!R54="offered")+('MiT Strom Pipeline'!R54="to be offered")+('MiT Strom Pipeline'!R54="on hold")&gt;0,'MiT Strom Pipeline'!S54,"")</f>
        <v/>
      </c>
      <c r="J123" s="30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false" customHeight="true" outlineLevel="0" collapsed="false">
      <c r="A124" s="21" t="str">
        <f aca="false">IF(('MiT Strom Pipeline'!R55="offered")+('MiT Strom Pipeline'!R55="to be offered")+('MiT Strom Pipeline'!R55="on hold")&gt;0,IF(ISNUMBER('MiT Strom Pipeline'!A55),'MiT Strom Pipeline'!A55,""),"")</f>
        <v/>
      </c>
      <c r="B124" s="22" t="str">
        <f aca="false">IF(('MiT Strom Pipeline'!R55="offered")+('MiT Strom Pipeline'!R55="to be offered")+('MiT Strom Pipeline'!R55="on hold")&gt;0,'MiT Strom Pipeline'!B55,"")</f>
        <v/>
      </c>
      <c r="C124" s="21" t="str">
        <f aca="false">IF(('MiT Strom Pipeline'!R55="offered")+('MiT Strom Pipeline'!R55="to be offered")+('MiT Strom Pipeline'!R55="on hold")&gt;0,'MiT Strom Pipeline'!C55,"")</f>
        <v/>
      </c>
      <c r="D124" s="22" t="str">
        <f aca="false">IF(('MiT Strom Pipeline'!R55="offered")+('MiT Strom Pipeline'!R55="to be offered")+('MiT Strom Pipeline'!R55="on hold")&gt;0,'MiT Strom Pipeline'!D55,"")</f>
        <v/>
      </c>
      <c r="E124" s="22" t="str">
        <f aca="false">IF(('MiT Strom Pipeline'!R55="offered")+('MiT Strom Pipeline'!R55="to be offered")+('MiT Strom Pipeline'!R55="on hold")&gt;0,'MiT Strom Pipeline'!E55,"")</f>
        <v/>
      </c>
      <c r="F124" s="69" t="str">
        <f aca="false">IF(('MiT Strom Pipeline'!R55="offered")+('MiT Strom Pipeline'!R55="to be offered")+('MiT Strom Pipeline'!R55="on hold")&gt;0,IF(ISNUMBER('MiT Strom Pipeline'!I55),'MiT Strom Pipeline'!I55,0),"")</f>
        <v/>
      </c>
      <c r="G124" s="69" t="str">
        <f aca="false">IF(('MiT Strom Pipeline'!R55="offered")+('MiT Strom Pipeline'!R55="to be offered")+('MiT Strom Pipeline'!R55="on hold")&gt;0,IF(ISNUMBER('MiT Strom Pipeline'!Q55),'MiT Strom Pipeline'!Q55,0),"")</f>
        <v/>
      </c>
      <c r="H124" s="21" t="str">
        <f aca="false">IF(('MiT Strom Pipeline'!R55="offered")+('MiT Strom Pipeline'!R55="to be offered")+('MiT Strom Pipeline'!R55="on hold")&gt;0,'MiT Strom Pipeline'!R55,"")</f>
        <v/>
      </c>
      <c r="I124" s="21" t="str">
        <f aca="false">IF(('MiT Strom Pipeline'!R55="offered")+('MiT Strom Pipeline'!R55="to be offered")+('MiT Strom Pipeline'!R55="on hold")&gt;0,'MiT Strom Pipeline'!S55,"")</f>
        <v/>
      </c>
      <c r="J124" s="22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false" customHeight="true" outlineLevel="0" collapsed="false">
      <c r="A125" s="29" t="str">
        <f aca="false">IF(('MiT Strom Pipeline'!R56="offered")+('MiT Strom Pipeline'!R56="to be offered")+('MiT Strom Pipeline'!R56="on hold")&gt;0,IF(ISNUMBER('MiT Strom Pipeline'!A56),'MiT Strom Pipeline'!A56,""),"")</f>
        <v/>
      </c>
      <c r="B125" s="30" t="str">
        <f aca="false">IF(('MiT Strom Pipeline'!R56="offered")+('MiT Strom Pipeline'!R56="to be offered")+('MiT Strom Pipeline'!R56="on hold")&gt;0,'MiT Strom Pipeline'!B56,"")</f>
        <v/>
      </c>
      <c r="C125" s="29" t="str">
        <f aca="false">IF(('MiT Strom Pipeline'!R56="offered")+('MiT Strom Pipeline'!R56="to be offered")+('MiT Strom Pipeline'!R56="on hold")&gt;0,'MiT Strom Pipeline'!C56,"")</f>
        <v/>
      </c>
      <c r="D125" s="30" t="str">
        <f aca="false">IF(('MiT Strom Pipeline'!R56="offered")+('MiT Strom Pipeline'!R56="to be offered")+('MiT Strom Pipeline'!R56="on hold")&gt;0,'MiT Strom Pipeline'!D56,"")</f>
        <v/>
      </c>
      <c r="E125" s="30" t="str">
        <f aca="false">IF(('MiT Strom Pipeline'!R56="offered")+('MiT Strom Pipeline'!R56="to be offered")+('MiT Strom Pipeline'!R56="on hold")&gt;0,'MiT Strom Pipeline'!E56,"")</f>
        <v/>
      </c>
      <c r="F125" s="72" t="str">
        <f aca="false">IF(('MiT Strom Pipeline'!R56="offered")+('MiT Strom Pipeline'!R56="to be offered")+('MiT Strom Pipeline'!R56="on hold")&gt;0,IF(ISNUMBER('MiT Strom Pipeline'!I56),'MiT Strom Pipeline'!I56,0),"")</f>
        <v/>
      </c>
      <c r="G125" s="72" t="str">
        <f aca="false">IF(('MiT Strom Pipeline'!R56="offered")+('MiT Strom Pipeline'!R56="to be offered")+('MiT Strom Pipeline'!R56="on hold")&gt;0,IF(ISNUMBER('MiT Strom Pipeline'!Q56),'MiT Strom Pipeline'!Q56,0),"")</f>
        <v/>
      </c>
      <c r="H125" s="29" t="str">
        <f aca="false">IF(('MiT Strom Pipeline'!R56="offered")+('MiT Strom Pipeline'!R56="to be offered")+('MiT Strom Pipeline'!R56="on hold")&gt;0,'MiT Strom Pipeline'!R56,"")</f>
        <v/>
      </c>
      <c r="I125" s="29" t="str">
        <f aca="false">IF(('MiT Strom Pipeline'!R56="offered")+('MiT Strom Pipeline'!R56="to be offered")+('MiT Strom Pipeline'!R56="on hold")&gt;0,'MiT Strom Pipeline'!S56,"")</f>
        <v/>
      </c>
      <c r="J125" s="30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false" customHeight="true" outlineLevel="0" collapsed="false">
      <c r="A126" s="21" t="str">
        <f aca="false">IF(('MiT Strom Pipeline'!R57="offered")+('MiT Strom Pipeline'!R57="to be offered")+('MiT Strom Pipeline'!R57="on hold")&gt;0,IF(ISNUMBER('MiT Strom Pipeline'!A57),'MiT Strom Pipeline'!A57,""),"")</f>
        <v/>
      </c>
      <c r="B126" s="22" t="str">
        <f aca="false">IF(('MiT Strom Pipeline'!R57="offered")+('MiT Strom Pipeline'!R57="to be offered")+('MiT Strom Pipeline'!R57="on hold")&gt;0,'MiT Strom Pipeline'!B57,"")</f>
        <v/>
      </c>
      <c r="C126" s="21" t="str">
        <f aca="false">IF(('MiT Strom Pipeline'!R57="offered")+('MiT Strom Pipeline'!R57="to be offered")+('MiT Strom Pipeline'!R57="on hold")&gt;0,'MiT Strom Pipeline'!C57,"")</f>
        <v/>
      </c>
      <c r="D126" s="22" t="str">
        <f aca="false">IF(('MiT Strom Pipeline'!R57="offered")+('MiT Strom Pipeline'!R57="to be offered")+('MiT Strom Pipeline'!R57="on hold")&gt;0,'MiT Strom Pipeline'!D57,"")</f>
        <v/>
      </c>
      <c r="E126" s="22" t="str">
        <f aca="false">IF(('MiT Strom Pipeline'!R57="offered")+('MiT Strom Pipeline'!R57="to be offered")+('MiT Strom Pipeline'!R57="on hold")&gt;0,'MiT Strom Pipeline'!E57,"")</f>
        <v/>
      </c>
      <c r="F126" s="69" t="str">
        <f aca="false">IF(('MiT Strom Pipeline'!R57="offered")+('MiT Strom Pipeline'!R57="to be offered")+('MiT Strom Pipeline'!R57="on hold")&gt;0,IF(ISNUMBER('MiT Strom Pipeline'!I57),'MiT Strom Pipeline'!I57,0),"")</f>
        <v/>
      </c>
      <c r="G126" s="69" t="str">
        <f aca="false">IF(('MiT Strom Pipeline'!R57="offered")+('MiT Strom Pipeline'!R57="to be offered")+('MiT Strom Pipeline'!R57="on hold")&gt;0,IF(ISNUMBER('MiT Strom Pipeline'!Q57),'MiT Strom Pipeline'!Q57,0),"")</f>
        <v/>
      </c>
      <c r="H126" s="21" t="str">
        <f aca="false">IF(('MiT Strom Pipeline'!R57="offered")+('MiT Strom Pipeline'!R57="to be offered")+('MiT Strom Pipeline'!R57="on hold")&gt;0,'MiT Strom Pipeline'!R57,"")</f>
        <v/>
      </c>
      <c r="I126" s="21" t="str">
        <f aca="false">IF(('MiT Strom Pipeline'!R57="offered")+('MiT Strom Pipeline'!R57="to be offered")+('MiT Strom Pipeline'!R57="on hold")&gt;0,'MiT Strom Pipeline'!S57,"")</f>
        <v/>
      </c>
      <c r="J126" s="22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false" customHeight="true" outlineLevel="0" collapsed="false">
      <c r="A127" s="29" t="str">
        <f aca="false">IF(('MiT Strom Pipeline'!R58="offered")+('MiT Strom Pipeline'!R58="to be offered")+('MiT Strom Pipeline'!R58="on hold")&gt;0,IF(ISNUMBER('MiT Strom Pipeline'!A58),'MiT Strom Pipeline'!A58,""),"")</f>
        <v/>
      </c>
      <c r="B127" s="30" t="str">
        <f aca="false">IF(('MiT Strom Pipeline'!R58="offered")+('MiT Strom Pipeline'!R58="to be offered")+('MiT Strom Pipeline'!R58="on hold")&gt;0,'MiT Strom Pipeline'!B58,"")</f>
        <v/>
      </c>
      <c r="C127" s="29" t="str">
        <f aca="false">IF(('MiT Strom Pipeline'!R58="offered")+('MiT Strom Pipeline'!R58="to be offered")+('MiT Strom Pipeline'!R58="on hold")&gt;0,'MiT Strom Pipeline'!C58,"")</f>
        <v/>
      </c>
      <c r="D127" s="30" t="str">
        <f aca="false">IF(('MiT Strom Pipeline'!R58="offered")+('MiT Strom Pipeline'!R58="to be offered")+('MiT Strom Pipeline'!R58="on hold")&gt;0,'MiT Strom Pipeline'!D58,"")</f>
        <v/>
      </c>
      <c r="E127" s="30" t="str">
        <f aca="false">IF(('MiT Strom Pipeline'!R58="offered")+('MiT Strom Pipeline'!R58="to be offered")+('MiT Strom Pipeline'!R58="on hold")&gt;0,'MiT Strom Pipeline'!E58,"")</f>
        <v/>
      </c>
      <c r="F127" s="72" t="str">
        <f aca="false">IF(('MiT Strom Pipeline'!R58="offered")+('MiT Strom Pipeline'!R58="to be offered")+('MiT Strom Pipeline'!R58="on hold")&gt;0,IF(ISNUMBER('MiT Strom Pipeline'!I58),'MiT Strom Pipeline'!I58,0),"")</f>
        <v/>
      </c>
      <c r="G127" s="72" t="str">
        <f aca="false">IF(('MiT Strom Pipeline'!R58="offered")+('MiT Strom Pipeline'!R58="to be offered")+('MiT Strom Pipeline'!R58="on hold")&gt;0,IF(ISNUMBER('MiT Strom Pipeline'!Q58),'MiT Strom Pipeline'!Q58,0),"")</f>
        <v/>
      </c>
      <c r="H127" s="29" t="str">
        <f aca="false">IF(('MiT Strom Pipeline'!R58="offered")+('MiT Strom Pipeline'!R58="to be offered")+('MiT Strom Pipeline'!R58="on hold")&gt;0,'MiT Strom Pipeline'!R58,"")</f>
        <v/>
      </c>
      <c r="I127" s="29" t="str">
        <f aca="false">IF(('MiT Strom Pipeline'!R58="offered")+('MiT Strom Pipeline'!R58="to be offered")+('MiT Strom Pipeline'!R58="on hold")&gt;0,'MiT Strom Pipeline'!S58,"")</f>
        <v/>
      </c>
      <c r="J127" s="30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false" customHeight="true" outlineLevel="0" collapsed="false">
      <c r="A128" s="21" t="str">
        <f aca="false">IF(('MiT Strom Pipeline'!R59="offered")+('MiT Strom Pipeline'!R59="to be offered")+('MiT Strom Pipeline'!R59="on hold")&gt;0,IF(ISNUMBER('MiT Strom Pipeline'!A59),'MiT Strom Pipeline'!A59,""),"")</f>
        <v/>
      </c>
      <c r="B128" s="22" t="str">
        <f aca="false">IF(('MiT Strom Pipeline'!R59="offered")+('MiT Strom Pipeline'!R59="to be offered")+('MiT Strom Pipeline'!R59="on hold")&gt;0,'MiT Strom Pipeline'!B59,"")</f>
        <v/>
      </c>
      <c r="C128" s="21" t="str">
        <f aca="false">IF(('MiT Strom Pipeline'!R59="offered")+('MiT Strom Pipeline'!R59="to be offered")+('MiT Strom Pipeline'!R59="on hold")&gt;0,'MiT Strom Pipeline'!C59,"")</f>
        <v/>
      </c>
      <c r="D128" s="22" t="str">
        <f aca="false">IF(('MiT Strom Pipeline'!R59="offered")+('MiT Strom Pipeline'!R59="to be offered")+('MiT Strom Pipeline'!R59="on hold")&gt;0,'MiT Strom Pipeline'!D59,"")</f>
        <v/>
      </c>
      <c r="E128" s="22" t="str">
        <f aca="false">IF(('MiT Strom Pipeline'!R59="offered")+('MiT Strom Pipeline'!R59="to be offered")+('MiT Strom Pipeline'!R59="on hold")&gt;0,'MiT Strom Pipeline'!E59,"")</f>
        <v/>
      </c>
      <c r="F128" s="69" t="str">
        <f aca="false">IF(('MiT Strom Pipeline'!R59="offered")+('MiT Strom Pipeline'!R59="to be offered")+('MiT Strom Pipeline'!R59="on hold")&gt;0,IF(ISNUMBER('MiT Strom Pipeline'!I59),'MiT Strom Pipeline'!I59,0),"")</f>
        <v/>
      </c>
      <c r="G128" s="69" t="str">
        <f aca="false">IF(('MiT Strom Pipeline'!R59="offered")+('MiT Strom Pipeline'!R59="to be offered")+('MiT Strom Pipeline'!R59="on hold")&gt;0,IF(ISNUMBER('MiT Strom Pipeline'!Q59),'MiT Strom Pipeline'!Q59,0),"")</f>
        <v/>
      </c>
      <c r="H128" s="21" t="str">
        <f aca="false">IF(('MiT Strom Pipeline'!R59="offered")+('MiT Strom Pipeline'!R59="to be offered")+('MiT Strom Pipeline'!R59="on hold")&gt;0,'MiT Strom Pipeline'!R59,"")</f>
        <v/>
      </c>
      <c r="I128" s="21" t="str">
        <f aca="false">IF(('MiT Strom Pipeline'!R59="offered")+('MiT Strom Pipeline'!R59="to be offered")+('MiT Strom Pipeline'!R59="on hold")&gt;0,'MiT Strom Pipeline'!S59,"")</f>
        <v/>
      </c>
      <c r="J128" s="22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false" customHeight="true" outlineLevel="0" collapsed="false">
      <c r="A129" s="29" t="str">
        <f aca="false">IF(('MiT Strom Pipeline'!R60="offered")+('MiT Strom Pipeline'!R60="to be offered")+('MiT Strom Pipeline'!R60="on hold")&gt;0,IF(ISNUMBER('MiT Strom Pipeline'!A60),'MiT Strom Pipeline'!A60,""),"")</f>
        <v/>
      </c>
      <c r="B129" s="30" t="str">
        <f aca="false">IF(('MiT Strom Pipeline'!R60="offered")+('MiT Strom Pipeline'!R60="to be offered")+('MiT Strom Pipeline'!R60="on hold")&gt;0,'MiT Strom Pipeline'!B60,"")</f>
        <v/>
      </c>
      <c r="C129" s="29" t="str">
        <f aca="false">IF(('MiT Strom Pipeline'!R60="offered")+('MiT Strom Pipeline'!R60="to be offered")+('MiT Strom Pipeline'!R60="on hold")&gt;0,'MiT Strom Pipeline'!C60,"")</f>
        <v/>
      </c>
      <c r="D129" s="30" t="str">
        <f aca="false">IF(('MiT Strom Pipeline'!R60="offered")+('MiT Strom Pipeline'!R60="to be offered")+('MiT Strom Pipeline'!R60="on hold")&gt;0,'MiT Strom Pipeline'!D60,"")</f>
        <v/>
      </c>
      <c r="E129" s="30" t="str">
        <f aca="false">IF(('MiT Strom Pipeline'!R60="offered")+('MiT Strom Pipeline'!R60="to be offered")+('MiT Strom Pipeline'!R60="on hold")&gt;0,'MiT Strom Pipeline'!E60,"")</f>
        <v/>
      </c>
      <c r="F129" s="72" t="str">
        <f aca="false">IF(('MiT Strom Pipeline'!R60="offered")+('MiT Strom Pipeline'!R60="to be offered")+('MiT Strom Pipeline'!R60="on hold")&gt;0,IF(ISNUMBER('MiT Strom Pipeline'!I60),'MiT Strom Pipeline'!I60,0),"")</f>
        <v/>
      </c>
      <c r="G129" s="72" t="str">
        <f aca="false">IF(('MiT Strom Pipeline'!R60="offered")+('MiT Strom Pipeline'!R60="to be offered")+('MiT Strom Pipeline'!R60="on hold")&gt;0,IF(ISNUMBER('MiT Strom Pipeline'!Q60),'MiT Strom Pipeline'!Q60,0),"")</f>
        <v/>
      </c>
      <c r="H129" s="29" t="str">
        <f aca="false">IF(('MiT Strom Pipeline'!R60="offered")+('MiT Strom Pipeline'!R60="to be offered")+('MiT Strom Pipeline'!R60="on hold")&gt;0,'MiT Strom Pipeline'!R60,"")</f>
        <v/>
      </c>
      <c r="I129" s="29" t="str">
        <f aca="false">IF(('MiT Strom Pipeline'!R60="offered")+('MiT Strom Pipeline'!R60="to be offered")+('MiT Strom Pipeline'!R60="on hold")&gt;0,'MiT Strom Pipeline'!S60,"")</f>
        <v/>
      </c>
      <c r="J129" s="30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false" customHeight="true" outlineLevel="0" collapsed="false">
      <c r="A130" s="21" t="str">
        <f aca="false">IF(('MiT Strom Pipeline'!R61="offered")+('MiT Strom Pipeline'!R61="to be offered")+('MiT Strom Pipeline'!R61="on hold")&gt;0,IF(ISNUMBER('MiT Strom Pipeline'!A61),'MiT Strom Pipeline'!A61,""),"")</f>
        <v/>
      </c>
      <c r="B130" s="22" t="str">
        <f aca="false">IF(('MiT Strom Pipeline'!R61="offered")+('MiT Strom Pipeline'!R61="to be offered")+('MiT Strom Pipeline'!R61="on hold")&gt;0,'MiT Strom Pipeline'!B61,"")</f>
        <v/>
      </c>
      <c r="C130" s="21" t="str">
        <f aca="false">IF(('MiT Strom Pipeline'!R61="offered")+('MiT Strom Pipeline'!R61="to be offered")+('MiT Strom Pipeline'!R61="on hold")&gt;0,'MiT Strom Pipeline'!C61,"")</f>
        <v/>
      </c>
      <c r="D130" s="22" t="str">
        <f aca="false">IF(('MiT Strom Pipeline'!R61="offered")+('MiT Strom Pipeline'!R61="to be offered")+('MiT Strom Pipeline'!R61="on hold")&gt;0,'MiT Strom Pipeline'!D61,"")</f>
        <v/>
      </c>
      <c r="E130" s="22" t="str">
        <f aca="false">IF(('MiT Strom Pipeline'!R61="offered")+('MiT Strom Pipeline'!R61="to be offered")+('MiT Strom Pipeline'!R61="on hold")&gt;0,'MiT Strom Pipeline'!E61,"")</f>
        <v/>
      </c>
      <c r="F130" s="69" t="str">
        <f aca="false">IF(('MiT Strom Pipeline'!R61="offered")+('MiT Strom Pipeline'!R61="to be offered")+('MiT Strom Pipeline'!R61="on hold")&gt;0,IF(ISNUMBER('MiT Strom Pipeline'!I61),'MiT Strom Pipeline'!I61,0),"")</f>
        <v/>
      </c>
      <c r="G130" s="69" t="str">
        <f aca="false">IF(('MiT Strom Pipeline'!R61="offered")+('MiT Strom Pipeline'!R61="to be offered")+('MiT Strom Pipeline'!R61="on hold")&gt;0,IF(ISNUMBER('MiT Strom Pipeline'!Q61),'MiT Strom Pipeline'!Q61,0),"")</f>
        <v/>
      </c>
      <c r="H130" s="21" t="str">
        <f aca="false">IF(('MiT Strom Pipeline'!R61="offered")+('MiT Strom Pipeline'!R61="to be offered")+('MiT Strom Pipeline'!R61="on hold")&gt;0,'MiT Strom Pipeline'!R61,"")</f>
        <v/>
      </c>
      <c r="I130" s="21" t="str">
        <f aca="false">IF(('MiT Strom Pipeline'!R61="offered")+('MiT Strom Pipeline'!R61="to be offered")+('MiT Strom Pipeline'!R61="on hold")&gt;0,'MiT Strom Pipeline'!S61,"")</f>
        <v/>
      </c>
      <c r="J130" s="22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false" customHeight="true" outlineLevel="0" collapsed="false">
      <c r="A131" s="29" t="str">
        <f aca="false">IF(('MiT Strom Pipeline'!R62="offered")+('MiT Strom Pipeline'!R62="to be offered")+('MiT Strom Pipeline'!R62="on hold")&gt;0,IF(ISNUMBER('MiT Strom Pipeline'!A62),'MiT Strom Pipeline'!A62,""),"")</f>
        <v/>
      </c>
      <c r="B131" s="30" t="str">
        <f aca="false">IF(('MiT Strom Pipeline'!R62="offered")+('MiT Strom Pipeline'!R62="to be offered")+('MiT Strom Pipeline'!R62="on hold")&gt;0,'MiT Strom Pipeline'!B62,"")</f>
        <v/>
      </c>
      <c r="C131" s="29" t="str">
        <f aca="false">IF(('MiT Strom Pipeline'!R62="offered")+('MiT Strom Pipeline'!R62="to be offered")+('MiT Strom Pipeline'!R62="on hold")&gt;0,'MiT Strom Pipeline'!C62,"")</f>
        <v/>
      </c>
      <c r="D131" s="30" t="str">
        <f aca="false">IF(('MiT Strom Pipeline'!R62="offered")+('MiT Strom Pipeline'!R62="to be offered")+('MiT Strom Pipeline'!R62="on hold")&gt;0,'MiT Strom Pipeline'!D62,"")</f>
        <v/>
      </c>
      <c r="E131" s="30" t="str">
        <f aca="false">IF(('MiT Strom Pipeline'!R62="offered")+('MiT Strom Pipeline'!R62="to be offered")+('MiT Strom Pipeline'!R62="on hold")&gt;0,'MiT Strom Pipeline'!E62,"")</f>
        <v/>
      </c>
      <c r="F131" s="72" t="str">
        <f aca="false">IF(('MiT Strom Pipeline'!R62="offered")+('MiT Strom Pipeline'!R62="to be offered")+('MiT Strom Pipeline'!R62="on hold")&gt;0,IF(ISNUMBER('MiT Strom Pipeline'!I62),'MiT Strom Pipeline'!I62,0),"")</f>
        <v/>
      </c>
      <c r="G131" s="72" t="str">
        <f aca="false">IF(('MiT Strom Pipeline'!R62="offered")+('MiT Strom Pipeline'!R62="to be offered")+('MiT Strom Pipeline'!R62="on hold")&gt;0,IF(ISNUMBER('MiT Strom Pipeline'!Q62),'MiT Strom Pipeline'!Q62,0),"")</f>
        <v/>
      </c>
      <c r="H131" s="29" t="str">
        <f aca="false">IF(('MiT Strom Pipeline'!R62="offered")+('MiT Strom Pipeline'!R62="to be offered")+('MiT Strom Pipeline'!R62="on hold")&gt;0,'MiT Strom Pipeline'!R62,"")</f>
        <v/>
      </c>
      <c r="I131" s="29" t="str">
        <f aca="false">IF(('MiT Strom Pipeline'!R62="offered")+('MiT Strom Pipeline'!R62="to be offered")+('MiT Strom Pipeline'!R62="on hold")&gt;0,'MiT Strom Pipeline'!S62,"")</f>
        <v/>
      </c>
      <c r="J131" s="30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false" customHeight="true" outlineLevel="0" collapsed="false">
      <c r="A132" s="21" t="str">
        <f aca="false">IF(('MiT Strom Pipeline'!R63="offered")+('MiT Strom Pipeline'!R63="to be offered")+('MiT Strom Pipeline'!R63="on hold")&gt;0,IF(ISNUMBER('MiT Strom Pipeline'!A63),'MiT Strom Pipeline'!A63,""),"")</f>
        <v/>
      </c>
      <c r="B132" s="22" t="str">
        <f aca="false">IF(('MiT Strom Pipeline'!R63="offered")+('MiT Strom Pipeline'!R63="to be offered")+('MiT Strom Pipeline'!R63="on hold")&gt;0,'MiT Strom Pipeline'!B63,"")</f>
        <v/>
      </c>
      <c r="C132" s="21" t="str">
        <f aca="false">IF(('MiT Strom Pipeline'!R63="offered")+('MiT Strom Pipeline'!R63="to be offered")+('MiT Strom Pipeline'!R63="on hold")&gt;0,'MiT Strom Pipeline'!C63,"")</f>
        <v/>
      </c>
      <c r="D132" s="22" t="str">
        <f aca="false">IF(('MiT Strom Pipeline'!R63="offered")+('MiT Strom Pipeline'!R63="to be offered")+('MiT Strom Pipeline'!R63="on hold")&gt;0,'MiT Strom Pipeline'!D63,"")</f>
        <v/>
      </c>
      <c r="E132" s="22" t="str">
        <f aca="false">IF(('MiT Strom Pipeline'!R63="offered")+('MiT Strom Pipeline'!R63="to be offered")+('MiT Strom Pipeline'!R63="on hold")&gt;0,'MiT Strom Pipeline'!E63,"")</f>
        <v/>
      </c>
      <c r="F132" s="69" t="str">
        <f aca="false">IF(('MiT Strom Pipeline'!R63="offered")+('MiT Strom Pipeline'!R63="to be offered")+('MiT Strom Pipeline'!R63="on hold")&gt;0,IF(ISNUMBER('MiT Strom Pipeline'!I63),'MiT Strom Pipeline'!I63,0),"")</f>
        <v/>
      </c>
      <c r="G132" s="69" t="str">
        <f aca="false">IF(('MiT Strom Pipeline'!R63="offered")+('MiT Strom Pipeline'!R63="to be offered")+('MiT Strom Pipeline'!R63="on hold")&gt;0,IF(ISNUMBER('MiT Strom Pipeline'!Q63),'MiT Strom Pipeline'!Q63,0),"")</f>
        <v/>
      </c>
      <c r="H132" s="21" t="str">
        <f aca="false">IF(('MiT Strom Pipeline'!R63="offered")+('MiT Strom Pipeline'!R63="to be offered")+('MiT Strom Pipeline'!R63="on hold")&gt;0,'MiT Strom Pipeline'!R63,"")</f>
        <v/>
      </c>
      <c r="I132" s="21" t="str">
        <f aca="false">IF(('MiT Strom Pipeline'!R63="offered")+('MiT Strom Pipeline'!R63="to be offered")+('MiT Strom Pipeline'!R63="on hold")&gt;0,'MiT Strom Pipeline'!S63,"")</f>
        <v/>
      </c>
      <c r="J132" s="22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false" customHeight="true" outlineLevel="0" collapsed="false">
      <c r="A133" s="29" t="str">
        <f aca="false">IF(('MiT Strom Pipeline'!R64="offered")+('MiT Strom Pipeline'!R64="to be offered")+('MiT Strom Pipeline'!R64="on hold")&gt;0,IF(ISNUMBER('MiT Strom Pipeline'!A64),'MiT Strom Pipeline'!A64,""),"")</f>
        <v/>
      </c>
      <c r="B133" s="30" t="str">
        <f aca="false">IF(('MiT Strom Pipeline'!R64="offered")+('MiT Strom Pipeline'!R64="to be offered")+('MiT Strom Pipeline'!R64="on hold")&gt;0,'MiT Strom Pipeline'!B64,"")</f>
        <v/>
      </c>
      <c r="C133" s="29" t="str">
        <f aca="false">IF(('MiT Strom Pipeline'!R64="offered")+('MiT Strom Pipeline'!R64="to be offered")+('MiT Strom Pipeline'!R64="on hold")&gt;0,'MiT Strom Pipeline'!C64,"")</f>
        <v/>
      </c>
      <c r="D133" s="30" t="str">
        <f aca="false">IF(('MiT Strom Pipeline'!R64="offered")+('MiT Strom Pipeline'!R64="to be offered")+('MiT Strom Pipeline'!R64="on hold")&gt;0,'MiT Strom Pipeline'!D64,"")</f>
        <v/>
      </c>
      <c r="E133" s="30" t="str">
        <f aca="false">IF(('MiT Strom Pipeline'!R64="offered")+('MiT Strom Pipeline'!R64="to be offered")+('MiT Strom Pipeline'!R64="on hold")&gt;0,'MiT Strom Pipeline'!E64,"")</f>
        <v/>
      </c>
      <c r="F133" s="72" t="str">
        <f aca="false">IF(('MiT Strom Pipeline'!R64="offered")+('MiT Strom Pipeline'!R64="to be offered")+('MiT Strom Pipeline'!R64="on hold")&gt;0,IF(ISNUMBER('MiT Strom Pipeline'!I64),'MiT Strom Pipeline'!I64,0),"")</f>
        <v/>
      </c>
      <c r="G133" s="72" t="str">
        <f aca="false">IF(('MiT Strom Pipeline'!R64="offered")+('MiT Strom Pipeline'!R64="to be offered")+('MiT Strom Pipeline'!R64="on hold")&gt;0,IF(ISNUMBER('MiT Strom Pipeline'!Q64),'MiT Strom Pipeline'!Q64,0),"")</f>
        <v/>
      </c>
      <c r="H133" s="29" t="str">
        <f aca="false">IF(('MiT Strom Pipeline'!R64="offered")+('MiT Strom Pipeline'!R64="to be offered")+('MiT Strom Pipeline'!R64="on hold")&gt;0,'MiT Strom Pipeline'!R64,"")</f>
        <v/>
      </c>
      <c r="I133" s="29" t="str">
        <f aca="false">IF(('MiT Strom Pipeline'!R64="offered")+('MiT Strom Pipeline'!R64="to be offered")+('MiT Strom Pipeline'!R64="on hold")&gt;0,'MiT Strom Pipeline'!S64,"")</f>
        <v/>
      </c>
      <c r="J133" s="30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false" customHeight="true" outlineLevel="0" collapsed="false">
      <c r="A134" s="21" t="str">
        <f aca="false">IF(('MiT Strom Pipeline'!R65="offered")+('MiT Strom Pipeline'!R65="to be offered")+('MiT Strom Pipeline'!R65="on hold")&gt;0,IF(ISNUMBER('MiT Strom Pipeline'!A65),'MiT Strom Pipeline'!A65,""),"")</f>
        <v/>
      </c>
      <c r="B134" s="22" t="str">
        <f aca="false">IF(('MiT Strom Pipeline'!R65="offered")+('MiT Strom Pipeline'!R65="to be offered")+('MiT Strom Pipeline'!R65="on hold")&gt;0,'MiT Strom Pipeline'!B65,"")</f>
        <v/>
      </c>
      <c r="C134" s="21" t="str">
        <f aca="false">IF(('MiT Strom Pipeline'!R65="offered")+('MiT Strom Pipeline'!R65="to be offered")+('MiT Strom Pipeline'!R65="on hold")&gt;0,'MiT Strom Pipeline'!C65,"")</f>
        <v/>
      </c>
      <c r="D134" s="22" t="str">
        <f aca="false">IF(('MiT Strom Pipeline'!R65="offered")+('MiT Strom Pipeline'!R65="to be offered")+('MiT Strom Pipeline'!R65="on hold")&gt;0,'MiT Strom Pipeline'!D65,"")</f>
        <v/>
      </c>
      <c r="E134" s="22" t="str">
        <f aca="false">IF(('MiT Strom Pipeline'!R65="offered")+('MiT Strom Pipeline'!R65="to be offered")+('MiT Strom Pipeline'!R65="on hold")&gt;0,'MiT Strom Pipeline'!E65,"")</f>
        <v/>
      </c>
      <c r="F134" s="69" t="str">
        <f aca="false">IF(('MiT Strom Pipeline'!R65="offered")+('MiT Strom Pipeline'!R65="to be offered")+('MiT Strom Pipeline'!R65="on hold")&gt;0,IF(ISNUMBER('MiT Strom Pipeline'!I65),'MiT Strom Pipeline'!I65,0),"")</f>
        <v/>
      </c>
      <c r="G134" s="69" t="str">
        <f aca="false">IF(('MiT Strom Pipeline'!R65="offered")+('MiT Strom Pipeline'!R65="to be offered")+('MiT Strom Pipeline'!R65="on hold")&gt;0,IF(ISNUMBER('MiT Strom Pipeline'!Q65),'MiT Strom Pipeline'!Q65,0),"")</f>
        <v/>
      </c>
      <c r="H134" s="21" t="str">
        <f aca="false">IF(('MiT Strom Pipeline'!R65="offered")+('MiT Strom Pipeline'!R65="to be offered")+('MiT Strom Pipeline'!R65="on hold")&gt;0,'MiT Strom Pipeline'!R65,"")</f>
        <v/>
      </c>
      <c r="I134" s="21" t="str">
        <f aca="false">IF(('MiT Strom Pipeline'!R65="offered")+('MiT Strom Pipeline'!R65="to be offered")+('MiT Strom Pipeline'!R65="on hold")&gt;0,'MiT Strom Pipeline'!S65,"")</f>
        <v/>
      </c>
      <c r="J134" s="22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false" customHeight="true" outlineLevel="0" collapsed="false">
      <c r="A135" s="33" t="str">
        <f aca="false">IF(('MiT Strom Pipeline'!R66="offered")+('MiT Strom Pipeline'!R66="to be offered")+('MiT Strom Pipeline'!R66="on hold")&gt;0,IF(ISNUMBER('MiT Strom Pipeline'!A66),'MiT Strom Pipeline'!A66,""),"")</f>
        <v/>
      </c>
      <c r="B135" s="34" t="str">
        <f aca="false">IF(('MiT Strom Pipeline'!R66="offered")+('MiT Strom Pipeline'!R66="to be offered")+('MiT Strom Pipeline'!R66="on hold")&gt;0,'MiT Strom Pipeline'!B66,"")</f>
        <v/>
      </c>
      <c r="C135" s="34"/>
      <c r="D135" s="34"/>
      <c r="E135" s="34"/>
      <c r="F135" s="73" t="str">
        <f aca="false">IF(('MiT Strom Pipeline'!R66="offered")+('MiT Strom Pipeline'!R66="to be offered")+('MiT Strom Pipeline'!R66="on hold")&gt;0,IF(ISNUMBER('MiT Strom Pipeline'!I66),'MiT Strom Pipeline'!I66,0),"")</f>
        <v/>
      </c>
      <c r="G135" s="74" t="str">
        <f aca="false">IF(('MiT Strom Pipeline'!R66="offered")+('MiT Strom Pipeline'!R66="to be offered")+('MiT Strom Pipeline'!R66="on hold")&gt;0,IF(ISNUMBER('MiT Strom Pipeline'!Q66),'MiT Strom Pipeline'!Q66,0),"")</f>
        <v/>
      </c>
      <c r="H135" s="33" t="str">
        <f aca="false">IF(('MiT Strom Pipeline'!R66="offered")+('MiT Strom Pipeline'!R66="to be offered")+('MiT Strom Pipeline'!R66="on hold")&gt;0,'MiT Strom Pipeline'!R66,"")</f>
        <v/>
      </c>
      <c r="I135" s="33" t="str">
        <f aca="false">IF(('MiT Strom Pipeline'!R66="offered")+('MiT Strom Pipeline'!R66="to be offered")+('MiT Strom Pipeline'!R66="on hold")&gt;0,'MiT Strom Pipeline'!S66,"")</f>
        <v/>
      </c>
      <c r="J135" s="33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false" customHeight="true" outlineLevel="0" collapsed="false">
      <c r="A136" s="0" t="str">
        <f aca="false">IF(('MiT Strom Pipeline'!R67="offered")+('MiT Strom Pipeline'!R67="to be offered")+('MiT Strom Pipeline'!R67="on hold")&gt;0,IF(ISNUMBER('MiT Strom Pipeline'!A67),'MiT Strom Pipeline'!A67,""),"")</f>
        <v/>
      </c>
      <c r="B136" s="0" t="str">
        <f aca="false">IF(('MiT Strom Pipeline'!R67="offered")+('MiT Strom Pipeline'!R67="to be offered")+('MiT Strom Pipeline'!R67="on hold")&gt;0,'MiT Strom Pipeline'!B67,"")</f>
        <v/>
      </c>
      <c r="C136" s="0" t="str">
        <f aca="false">IF(('MiT Strom Pipeline'!R67="offered")+('MiT Strom Pipeline'!R67="to be offered")+('MiT Strom Pipeline'!R67="on hold")&gt;0,'MiT Strom Pipeline'!C67,"")</f>
        <v/>
      </c>
      <c r="D136" s="0" t="str">
        <f aca="false">IF(('MiT Strom Pipeline'!R67="offered")+('MiT Strom Pipeline'!R67="to be offered")+('MiT Strom Pipeline'!R67="on hold")&gt;0,'MiT Strom Pipeline'!D67,"")</f>
        <v/>
      </c>
      <c r="E136" s="0" t="str">
        <f aca="false">IF(('MiT Strom Pipeline'!R67="offered")+('MiT Strom Pipeline'!R67="to be offered")+('MiT Strom Pipeline'!R67="on hold")&gt;0,'MiT Strom Pipeline'!E67,"")</f>
        <v/>
      </c>
      <c r="F136" s="52" t="str">
        <f aca="false">IF(('MiT Strom Pipeline'!R67="offered")+('MiT Strom Pipeline'!R67="to be offered")+('MiT Strom Pipeline'!R67="on hold")&gt;0,IF(ISNUMBER('MiT Strom Pipeline'!I67),'MiT Strom Pipeline'!I67,0),"")</f>
        <v/>
      </c>
      <c r="G136" s="52" t="str">
        <f aca="false">IF(('MiT Strom Pipeline'!R67="offered")+('MiT Strom Pipeline'!R67="to be offered")+('MiT Strom Pipeline'!R67="on hold")&gt;0,IF(ISNUMBER('MiT Strom Pipeline'!Q67),'MiT Strom Pipeline'!Q67,0),"")</f>
        <v/>
      </c>
      <c r="H136" s="0" t="str">
        <f aca="false">IF(('MiT Strom Pipeline'!R67="offered")+('MiT Strom Pipeline'!R67="to be offered")+('MiT Strom Pipeline'!R67="on hold")&gt;0,'MiT Strom Pipeline'!R67,"")</f>
        <v/>
      </c>
      <c r="I136" s="0" t="str">
        <f aca="false">IF(('MiT Strom Pipeline'!R67="offered")+('MiT Strom Pipeline'!R67="to be offered")+('MiT Strom Pipeline'!R67="on hold")&gt;0,'MiT Strom Pipeline'!S67,"")</f>
        <v/>
      </c>
      <c r="J136" s="0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false" customHeight="true" outlineLevel="0" collapsed="false">
      <c r="A137" s="36" t="s">
        <v>18</v>
      </c>
      <c r="B137" s="36"/>
      <c r="C137" s="36"/>
      <c r="D137" s="36"/>
      <c r="E137" s="36"/>
      <c r="F137" s="36"/>
      <c r="G137" s="36"/>
      <c r="H137" s="36"/>
      <c r="I137" s="36"/>
      <c r="J137" s="36"/>
    </row>
    <row r="138" customFormat="false" ht="19.5" hidden="false" customHeight="true" outlineLevel="0" collapsed="false">
      <c r="A138" s="15" t="s">
        <v>6</v>
      </c>
      <c r="B138" s="16" t="s">
        <v>7</v>
      </c>
      <c r="C138" s="15" t="s">
        <v>8</v>
      </c>
      <c r="D138" s="16" t="s">
        <v>9</v>
      </c>
      <c r="E138" s="16" t="s">
        <v>10</v>
      </c>
      <c r="F138" s="67" t="s">
        <v>11</v>
      </c>
      <c r="G138" s="67" t="s">
        <v>12</v>
      </c>
      <c r="H138" s="15" t="s">
        <v>14</v>
      </c>
      <c r="I138" s="15" t="s">
        <v>15</v>
      </c>
      <c r="J138" s="16" t="s">
        <v>16</v>
      </c>
    </row>
    <row r="139" customFormat="false" ht="15.75" hidden="false" customHeight="true" outlineLevel="0" collapsed="false">
      <c r="A139" s="37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38" t="str">
        <f aca="false">IF(('MiT Strom Pipeline'!R6="follow-up")+('MiT Strom Pipeline'!R6="Evaluation")+('MiT Strom Pipeline'!R6="tbd")+('MiT Strom Pipeline'!R6="In evaluation")&gt;0,'MiT Strom Pipeline'!B6,"")</f>
        <v/>
      </c>
      <c r="C139" s="37" t="str">
        <f aca="false">IF(('MiT Strom Pipeline'!R6="follow-up")+('MiT Strom Pipeline'!R6="Evaluation")+('MiT Strom Pipeline'!R6="tbd")+('MiT Strom Pipeline'!R6="In evaluation")&gt;0,'MiT Strom Pipeline'!C6,"")</f>
        <v/>
      </c>
      <c r="D139" s="38" t="str">
        <f aca="false">IF(('MiT Strom Pipeline'!R6="follow-up")+('MiT Strom Pipeline'!R6="Evaluation")+('MiT Strom Pipeline'!R6="tbd")+('MiT Strom Pipeline'!R6="In evaluation")&gt;0,'MiT Strom Pipeline'!D6,"")</f>
        <v/>
      </c>
      <c r="E139" s="38" t="str">
        <f aca="false">IF(('MiT Strom Pipeline'!R6="follow-up")+('MiT Strom Pipeline'!R6="Evaluation")+('MiT Strom Pipeline'!R6="tbd")+('MiT Strom Pipeline'!R6="In evaluation")&gt;0,'MiT Strom Pipeline'!E6,"")</f>
        <v/>
      </c>
      <c r="F139" s="75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75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37" t="str">
        <f aca="false">IF(('MiT Strom Pipeline'!R6="follow-up")+('MiT Strom Pipeline'!R6="Evaluation")+('MiT Strom Pipeline'!R6="tbd")+('MiT Strom Pipeline'!R6="In evaluation")&gt;0,'MiT Strom Pipeline'!R6,"")</f>
        <v/>
      </c>
      <c r="I139" s="37" t="str">
        <f aca="false">IF(('MiT Strom Pipeline'!R6="follow-up")+('MiT Strom Pipeline'!R6="Evaluation")+('MiT Strom Pipeline'!R6="tbd")+('MiT Strom Pipeline'!R6="In evaluation")&gt;0,'MiT Strom Pipeline'!S6,"")</f>
        <v/>
      </c>
      <c r="J139" s="38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false" customHeight="true" outlineLevel="0" collapsed="false">
      <c r="A140" s="21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22" t="str">
        <f aca="false">IF(('MiT Strom Pipeline'!R7="follow-up")+('MiT Strom Pipeline'!R7="Evaluation")+('MiT Strom Pipeline'!R7="tbd")+('MiT Strom Pipeline'!R7="In evaluation")&gt;0,'MiT Strom Pipeline'!B7,"")</f>
        <v/>
      </c>
      <c r="C140" s="21" t="str">
        <f aca="false">IF(('MiT Strom Pipeline'!R7="follow-up")+('MiT Strom Pipeline'!R7="Evaluation")+('MiT Strom Pipeline'!R7="tbd")+('MiT Strom Pipeline'!R7="In evaluation")&gt;0,'MiT Strom Pipeline'!C7,"")</f>
        <v/>
      </c>
      <c r="D140" s="22" t="str">
        <f aca="false">IF(('MiT Strom Pipeline'!R7="follow-up")+('MiT Strom Pipeline'!R7="Evaluation")+('MiT Strom Pipeline'!R7="tbd")+('MiT Strom Pipeline'!R7="In evaluation")&gt;0,'MiT Strom Pipeline'!D7,"")</f>
        <v/>
      </c>
      <c r="E140" s="22" t="str">
        <f aca="false">IF(('MiT Strom Pipeline'!R7="follow-up")+('MiT Strom Pipeline'!R7="Evaluation")+('MiT Strom Pipeline'!R7="tbd")+('MiT Strom Pipeline'!R7="In evaluation")&gt;0,'MiT Strom Pipeline'!E7,"")</f>
        <v/>
      </c>
      <c r="F140" s="69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69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21" t="str">
        <f aca="false">IF(('MiT Strom Pipeline'!R7="follow-up")+('MiT Strom Pipeline'!R7="Evaluation")+('MiT Strom Pipeline'!R7="tbd")+('MiT Strom Pipeline'!R7="In evaluation")&gt;0,'MiT Strom Pipeline'!R7,"")</f>
        <v/>
      </c>
      <c r="I140" s="21" t="str">
        <f aca="false">IF(('MiT Strom Pipeline'!R7="follow-up")+('MiT Strom Pipeline'!R7="Evaluation")+('MiT Strom Pipeline'!R7="tbd")+('MiT Strom Pipeline'!R7="In evaluation")&gt;0,'MiT Strom Pipeline'!S7,"")</f>
        <v/>
      </c>
      <c r="J140" s="22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false" customHeight="true" outlineLevel="0" collapsed="false">
      <c r="A141" s="37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38" t="str">
        <f aca="false">IF(('MiT Strom Pipeline'!R8="follow-up")+('MiT Strom Pipeline'!R8="Evaluation")+('MiT Strom Pipeline'!R8="tbd")+('MiT Strom Pipeline'!R8="In evaluation")&gt;0,'MiT Strom Pipeline'!B8,"")</f>
        <v/>
      </c>
      <c r="C141" s="37" t="str">
        <f aca="false">IF(('MiT Strom Pipeline'!R8="follow-up")+('MiT Strom Pipeline'!R8="Evaluation")+('MiT Strom Pipeline'!R8="tbd")+('MiT Strom Pipeline'!R8="In evaluation")&gt;0,'MiT Strom Pipeline'!C8,"")</f>
        <v/>
      </c>
      <c r="D141" s="38" t="str">
        <f aca="false">IF(('MiT Strom Pipeline'!R8="follow-up")+('MiT Strom Pipeline'!R8="Evaluation")+('MiT Strom Pipeline'!R8="tbd")+('MiT Strom Pipeline'!R8="In evaluation")&gt;0,'MiT Strom Pipeline'!D8,"")</f>
        <v/>
      </c>
      <c r="E141" s="38" t="str">
        <f aca="false">IF(('MiT Strom Pipeline'!R8="follow-up")+('MiT Strom Pipeline'!R8="Evaluation")+('MiT Strom Pipeline'!R8="tbd")+('MiT Strom Pipeline'!R8="In evaluation")&gt;0,'MiT Strom Pipeline'!E8,"")</f>
        <v/>
      </c>
      <c r="F141" s="75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75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37" t="str">
        <f aca="false">IF(('MiT Strom Pipeline'!R8="follow-up")+('MiT Strom Pipeline'!R8="Evaluation")+('MiT Strom Pipeline'!R8="tbd")+('MiT Strom Pipeline'!R8="In evaluation")&gt;0,'MiT Strom Pipeline'!R8,"")</f>
        <v/>
      </c>
      <c r="I141" s="37" t="str">
        <f aca="false">IF(('MiT Strom Pipeline'!R8="follow-up")+('MiT Strom Pipeline'!R8="Evaluation")+('MiT Strom Pipeline'!R8="tbd")+('MiT Strom Pipeline'!R8="In evaluation")&gt;0,'MiT Strom Pipeline'!S8,"")</f>
        <v/>
      </c>
      <c r="J141" s="38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false" customHeight="true" outlineLevel="0" collapsed="false">
      <c r="A142" s="21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22" t="str">
        <f aca="false">IF(('MiT Strom Pipeline'!R9="follow-up")+('MiT Strom Pipeline'!R9="Evaluation")+('MiT Strom Pipeline'!R9="tbd")+('MiT Strom Pipeline'!R9="In evaluation")&gt;0,'MiT Strom Pipeline'!B9,"")</f>
        <v/>
      </c>
      <c r="C142" s="21" t="str">
        <f aca="false">IF(('MiT Strom Pipeline'!R9="follow-up")+('MiT Strom Pipeline'!R9="Evaluation")+('MiT Strom Pipeline'!R9="tbd")+('MiT Strom Pipeline'!R9="In evaluation")&gt;0,'MiT Strom Pipeline'!C9,"")</f>
        <v/>
      </c>
      <c r="D142" s="22" t="str">
        <f aca="false">IF(('MiT Strom Pipeline'!R9="follow-up")+('MiT Strom Pipeline'!R9="Evaluation")+('MiT Strom Pipeline'!R9="tbd")+('MiT Strom Pipeline'!R9="In evaluation")&gt;0,'MiT Strom Pipeline'!D9,"")</f>
        <v/>
      </c>
      <c r="E142" s="22" t="str">
        <f aca="false">IF(('MiT Strom Pipeline'!R9="follow-up")+('MiT Strom Pipeline'!R9="Evaluation")+('MiT Strom Pipeline'!R9="tbd")+('MiT Strom Pipeline'!R9="In evaluation")&gt;0,'MiT Strom Pipeline'!E9,"")</f>
        <v/>
      </c>
      <c r="F142" s="69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69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21" t="str">
        <f aca="false">IF(('MiT Strom Pipeline'!R9="follow-up")+('MiT Strom Pipeline'!R9="Evaluation")+('MiT Strom Pipeline'!R9="tbd")+('MiT Strom Pipeline'!R9="In evaluation")&gt;0,'MiT Strom Pipeline'!R9,"")</f>
        <v/>
      </c>
      <c r="I142" s="21" t="str">
        <f aca="false">IF(('MiT Strom Pipeline'!R9="follow-up")+('MiT Strom Pipeline'!R9="Evaluation")+('MiT Strom Pipeline'!R9="tbd")+('MiT Strom Pipeline'!R9="In evaluation")&gt;0,'MiT Strom Pipeline'!S9,"")</f>
        <v/>
      </c>
      <c r="J142" s="22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false" customHeight="true" outlineLevel="0" collapsed="false">
      <c r="A143" s="37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38" t="str">
        <f aca="false">IF(('MiT Strom Pipeline'!R10="follow-up")+('MiT Strom Pipeline'!R10="Evaluation")+('MiT Strom Pipeline'!R10="tbd")+('MiT Strom Pipeline'!R10="In evaluation")&gt;0,'MiT Strom Pipeline'!B10,"")</f>
        <v/>
      </c>
      <c r="C143" s="37" t="str">
        <f aca="false">IF(('MiT Strom Pipeline'!R10="follow-up")+('MiT Strom Pipeline'!R10="Evaluation")+('MiT Strom Pipeline'!R10="tbd")+('MiT Strom Pipeline'!R10="In evaluation")&gt;0,'MiT Strom Pipeline'!C10,"")</f>
        <v/>
      </c>
      <c r="D143" s="38" t="str">
        <f aca="false">IF(('MiT Strom Pipeline'!R10="follow-up")+('MiT Strom Pipeline'!R10="Evaluation")+('MiT Strom Pipeline'!R10="tbd")+('MiT Strom Pipeline'!R10="In evaluation")&gt;0,'MiT Strom Pipeline'!D10,"")</f>
        <v/>
      </c>
      <c r="E143" s="38" t="str">
        <f aca="false">IF(('MiT Strom Pipeline'!R10="follow-up")+('MiT Strom Pipeline'!R10="Evaluation")+('MiT Strom Pipeline'!R10="tbd")+('MiT Strom Pipeline'!R10="In evaluation")&gt;0,'MiT Strom Pipeline'!E10,"")</f>
        <v/>
      </c>
      <c r="F143" s="75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75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37" t="str">
        <f aca="false">IF(('MiT Strom Pipeline'!R10="follow-up")+('MiT Strom Pipeline'!R10="Evaluation")+('MiT Strom Pipeline'!R10="tbd")+('MiT Strom Pipeline'!R10="In evaluation")&gt;0,'MiT Strom Pipeline'!R10,"")</f>
        <v/>
      </c>
      <c r="I143" s="37" t="str">
        <f aca="false">IF(('MiT Strom Pipeline'!R10="follow-up")+('MiT Strom Pipeline'!R10="Evaluation")+('MiT Strom Pipeline'!R10="tbd")+('MiT Strom Pipeline'!R10="In evaluation")&gt;0,'MiT Strom Pipeline'!S10,"")</f>
        <v/>
      </c>
      <c r="J143" s="38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false" customHeight="true" outlineLevel="0" collapsed="false">
      <c r="A144" s="21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22" t="str">
        <f aca="false">IF(('MiT Strom Pipeline'!R11="follow-up")+('MiT Strom Pipeline'!R11="Evaluation")+('MiT Strom Pipeline'!R11="tbd")+('MiT Strom Pipeline'!R11="In evaluation")&gt;0,'MiT Strom Pipeline'!B11,"")</f>
        <v/>
      </c>
      <c r="C144" s="21" t="str">
        <f aca="false">IF(('MiT Strom Pipeline'!R11="follow-up")+('MiT Strom Pipeline'!R11="Evaluation")+('MiT Strom Pipeline'!R11="tbd")+('MiT Strom Pipeline'!R11="In evaluation")&gt;0,'MiT Strom Pipeline'!C11,"")</f>
        <v/>
      </c>
      <c r="D144" s="22" t="str">
        <f aca="false">IF(('MiT Strom Pipeline'!R11="follow-up")+('MiT Strom Pipeline'!R11="Evaluation")+('MiT Strom Pipeline'!R11="tbd")+('MiT Strom Pipeline'!R11="In evaluation")&gt;0,'MiT Strom Pipeline'!D11,"")</f>
        <v/>
      </c>
      <c r="E144" s="22" t="str">
        <f aca="false">IF(('MiT Strom Pipeline'!R11="follow-up")+('MiT Strom Pipeline'!R11="Evaluation")+('MiT Strom Pipeline'!R11="tbd")+('MiT Strom Pipeline'!R11="In evaluation")&gt;0,'MiT Strom Pipeline'!E11,"")</f>
        <v/>
      </c>
      <c r="F144" s="69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69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21" t="str">
        <f aca="false">IF(('MiT Strom Pipeline'!R11="follow-up")+('MiT Strom Pipeline'!R11="Evaluation")+('MiT Strom Pipeline'!R11="tbd")+('MiT Strom Pipeline'!R11="In evaluation")&gt;0,'MiT Strom Pipeline'!R11,"")</f>
        <v/>
      </c>
      <c r="I144" s="21" t="str">
        <f aca="false">IF(('MiT Strom Pipeline'!R11="follow-up")+('MiT Strom Pipeline'!R11="Evaluation")+('MiT Strom Pipeline'!R11="tbd")+('MiT Strom Pipeline'!R11="In evaluation")&gt;0,'MiT Strom Pipeline'!S11,"")</f>
        <v/>
      </c>
      <c r="J144" s="22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37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38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37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38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38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75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75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37" t="str">
        <f aca="false">IF(('MiT Strom Pipeline'!R12="follow-up")+('MiT Strom Pipeline'!R12="Evaluation")+('MiT Strom Pipeline'!R12="tbd")+('MiT Strom Pipeline'!R12="In evaluation")&gt;0,'MiT Strom Pipeline'!R12,"")</f>
        <v>follow-up</v>
      </c>
      <c r="I145" s="37" t="n">
        <f aca="false">IF(('MiT Strom Pipeline'!R12="follow-up")+('MiT Strom Pipeline'!R12="Evaluation")+('MiT Strom Pipeline'!R12="tbd")+('MiT Strom Pipeline'!R12="In evaluation")&gt;0,'MiT Strom Pipeline'!S12,"")</f>
        <v>50</v>
      </c>
      <c r="J145" s="38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21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22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21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22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22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69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69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21" t="str">
        <f aca="false">IF(('MiT Strom Pipeline'!R13="follow-up")+('MiT Strom Pipeline'!R13="Evaluation")+('MiT Strom Pipeline'!R13="tbd")+('MiT Strom Pipeline'!R13="In evaluation")&gt;0,'MiT Strom Pipeline'!R13,"")</f>
        <v>follow-up</v>
      </c>
      <c r="I146" s="21" t="n">
        <f aca="false">IF(('MiT Strom Pipeline'!R13="follow-up")+('MiT Strom Pipeline'!R13="Evaluation")+('MiT Strom Pipeline'!R13="tbd")+('MiT Strom Pipeline'!R13="In evaluation")&gt;0,'MiT Strom Pipeline'!S13,"")</f>
        <v>10</v>
      </c>
      <c r="J146" s="22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false" customHeight="true" outlineLevel="0" collapsed="false">
      <c r="A147" s="37" t="n">
        <f aca="false">IF(('MiT Strom Pipeline'!R14="follow-up")+('MiT Strom Pipeline'!R14="Evaluation")+('MiT Strom Pipeline'!R14="tbd")+('MiT Strom Pipeline'!R14="In evaluation")&gt;0,IF(ISNUMBER('MiT Strom Pipeline'!A14),'MiT Strom Pipeline'!A14,""),"")</f>
        <v>10</v>
      </c>
      <c r="B147" s="38" t="str">
        <f aca="false">IF(('MiT Strom Pipeline'!R14="follow-up")+('MiT Strom Pipeline'!R14="Evaluation")+('MiT Strom Pipeline'!R14="tbd")+('MiT Strom Pipeline'!R14="In evaluation")&gt;0,'MiT Strom Pipeline'!B14,"")</f>
        <v>Murg Flums Energie</v>
      </c>
      <c r="C147" s="37" t="str">
        <f aca="false">IF(('MiT Strom Pipeline'!R14="follow-up")+('MiT Strom Pipeline'!R14="Evaluation")+('MiT Strom Pipeline'!R14="tbd")+('MiT Strom Pipeline'!R14="In evaluation")&gt;0,'MiT Strom Pipeline'!C14,"")</f>
        <v>SG</v>
      </c>
      <c r="D147" s="38" t="str">
        <f aca="false">IF(('MiT Strom Pipeline'!R14="follow-up")+('MiT Strom Pipeline'!R14="Evaluation")+('MiT Strom Pipeline'!R14="tbd")+('MiT Strom Pipeline'!R14="In evaluation")&gt;0,'MiT Strom Pipeline'!D14,"")</f>
        <v>EVU / Energie</v>
      </c>
      <c r="E147" s="38" t="str">
        <f aca="false">IF(('MiT Strom Pipeline'!R14="follow-up")+('MiT Strom Pipeline'!R14="Evaluation")+('MiT Strom Pipeline'!R14="tbd")+('MiT Strom Pipeline'!R14="In evaluation")&gt;0,'MiT Strom Pipeline'!E14,"")</f>
        <v>250 kVA Generator</v>
      </c>
      <c r="F147" s="75" t="n">
        <f aca="false">IF(('MiT Strom Pipeline'!R14="follow-up")+('MiT Strom Pipeline'!R14="Evaluation")+('MiT Strom Pipeline'!R14="tbd")+('MiT Strom Pipeline'!R14="In evaluation")&gt;0,IF(ISNUMBER('MiT Strom Pipeline'!I14),'MiT Strom Pipeline'!I14,0),"")</f>
        <v>96658.69</v>
      </c>
      <c r="G147" s="75" t="n">
        <f aca="false">IF(('MiT Strom Pipeline'!R14="follow-up")+('MiT Strom Pipeline'!R14="Evaluation")+('MiT Strom Pipeline'!R14="tbd")+('MiT Strom Pipeline'!R14="In evaluation")&gt;0,IF(ISNUMBER('MiT Strom Pipeline'!Q14),'MiT Strom Pipeline'!Q14,0),"")</f>
        <v>48329.345</v>
      </c>
      <c r="H147" s="37" t="str">
        <f aca="false">IF(('MiT Strom Pipeline'!R14="follow-up")+('MiT Strom Pipeline'!R14="Evaluation")+('MiT Strom Pipeline'!R14="tbd")+('MiT Strom Pipeline'!R14="In evaluation")&gt;0,'MiT Strom Pipeline'!R14,"")</f>
        <v>follow-up</v>
      </c>
      <c r="I147" s="37" t="n">
        <f aca="false">IF(('MiT Strom Pipeline'!R14="follow-up")+('MiT Strom Pipeline'!R14="Evaluation")+('MiT Strom Pipeline'!R14="tbd")+('MiT Strom Pipeline'!R14="In evaluation")&gt;0,'MiT Strom Pipeline'!S14,"")</f>
        <v>0.5</v>
      </c>
      <c r="J147" s="38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>Bedarfsanalyse, NEA-Konzept vorschlagen, Termin vor Ort</v>
      </c>
    </row>
    <row r="148" customFormat="false" ht="15.75" hidden="false" customHeight="true" outlineLevel="0" collapsed="false">
      <c r="A148" s="21" t="n">
        <f aca="false">IF(('MiT Strom Pipeline'!R15="follow-up")+('MiT Strom Pipeline'!R15="Evaluation")+('MiT Strom Pipeline'!R15="tbd")+('MiT Strom Pipeline'!R15="In evaluation")&gt;0,IF(ISNUMBER('MiT Strom Pipeline'!A15),'MiT Strom Pipeline'!A15,""),"")</f>
        <v>11</v>
      </c>
      <c r="B148" s="22" t="str">
        <f aca="false">IF(('MiT Strom Pipeline'!R15="follow-up")+('MiT Strom Pipeline'!R15="Evaluation")+('MiT Strom Pipeline'!R15="tbd")+('MiT Strom Pipeline'!R15="In evaluation")&gt;0,'MiT Strom Pipeline'!B15,"")</f>
        <v>Burkhalter Technics AG</v>
      </c>
      <c r="C148" s="21" t="str">
        <f aca="false">IF(('MiT Strom Pipeline'!R15="follow-up")+('MiT Strom Pipeline'!R15="Evaluation")+('MiT Strom Pipeline'!R15="tbd")+('MiT Strom Pipeline'!R15="In evaluation")&gt;0,'MiT Strom Pipeline'!C15,"")</f>
        <v>ZH</v>
      </c>
      <c r="D148" s="22" t="str">
        <f aca="false">IF(('MiT Strom Pipeline'!R15="follow-up")+('MiT Strom Pipeline'!R15="Evaluation")+('MiT Strom Pipeline'!R15="tbd")+('MiT Strom Pipeline'!R15="In evaluation")&gt;0,'MiT Strom Pipeline'!D15,"")</f>
        <v>Elektroinstallation</v>
      </c>
      <c r="E148" s="22" t="str">
        <f aca="false">IF(('MiT Strom Pipeline'!R15="follow-up")+('MiT Strom Pipeline'!R15="Evaluation")+('MiT Strom Pipeline'!R15="tbd")+('MiT Strom Pipeline'!R15="In evaluation")&gt;0,'MiT Strom Pipeline'!E15,"")</f>
        <v>150 kVA Generator</v>
      </c>
      <c r="F148" s="69" t="n">
        <f aca="false">IF(('MiT Strom Pipeline'!R15="follow-up")+('MiT Strom Pipeline'!R15="Evaluation")+('MiT Strom Pipeline'!R15="tbd")+('MiT Strom Pipeline'!R15="In evaluation")&gt;0,IF(ISNUMBER('MiT Strom Pipeline'!I15),'MiT Strom Pipeline'!I15,0),"")</f>
        <v>0</v>
      </c>
      <c r="G148" s="69" t="n">
        <f aca="false">IF(('MiT Strom Pipeline'!R15="follow-up")+('MiT Strom Pipeline'!R15="Evaluation")+('MiT Strom Pipeline'!R15="tbd")+('MiT Strom Pipeline'!R15="In evaluation")&gt;0,IF(ISNUMBER('MiT Strom Pipeline'!Q15),'MiT Strom Pipeline'!Q15,0),"")</f>
        <v>0</v>
      </c>
      <c r="H148" s="21" t="str">
        <f aca="false">IF(('MiT Strom Pipeline'!R15="follow-up")+('MiT Strom Pipeline'!R15="Evaluation")+('MiT Strom Pipeline'!R15="tbd")+('MiT Strom Pipeline'!R15="In evaluation")&gt;0,'MiT Strom Pipeline'!R15,"")</f>
        <v>Evaluation</v>
      </c>
      <c r="I148" s="21" t="str">
        <f aca="false">IF(('MiT Strom Pipeline'!R15="follow-up")+('MiT Strom Pipeline'!R15="Evaluation")+('MiT Strom Pipeline'!R15="tbd")+('MiT Strom Pipeline'!R15="In evaluation")&gt;0,'MiT Strom Pipeline'!S15,"")</f>
        <v>40%</v>
      </c>
      <c r="J148" s="22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>Angebot finalisieren – CBM-Beziehung nutzen, Abrufberei</v>
      </c>
    </row>
    <row r="149" customFormat="false" ht="15.75" hidden="false" customHeight="true" outlineLevel="0" collapsed="false">
      <c r="A149" s="37" t="n">
        <f aca="false">IF(('MiT Strom Pipeline'!R16="follow-up")+('MiT Strom Pipeline'!R16="Evaluation")+('MiT Strom Pipeline'!R16="tbd")+('MiT Strom Pipeline'!R16="In evaluation")&gt;0,IF(ISNUMBER('MiT Strom Pipeline'!A16),'MiT Strom Pipeline'!A16,""),"")</f>
        <v>12</v>
      </c>
      <c r="B149" s="38" t="str">
        <f aca="false">IF(('MiT Strom Pipeline'!R16="follow-up")+('MiT Strom Pipeline'!R16="Evaluation")+('MiT Strom Pipeline'!R16="tbd")+('MiT Strom Pipeline'!R16="In evaluation")&gt;0,'MiT Strom Pipeline'!B16,"")</f>
        <v>Show-Concept.ch AG</v>
      </c>
      <c r="C149" s="37" t="str">
        <f aca="false">IF(('MiT Strom Pipeline'!R16="follow-up")+('MiT Strom Pipeline'!R16="Evaluation")+('MiT Strom Pipeline'!R16="tbd")+('MiT Strom Pipeline'!R16="In evaluation")&gt;0,'MiT Strom Pipeline'!C16,"")</f>
        <v>ZH</v>
      </c>
      <c r="D149" s="38" t="str">
        <f aca="false">IF(('MiT Strom Pipeline'!R16="follow-up")+('MiT Strom Pipeline'!R16="Evaluation")+('MiT Strom Pipeline'!R16="tbd")+('MiT Strom Pipeline'!R16="In evaluation")&gt;0,'MiT Strom Pipeline'!D16,"")</f>
        <v>Events / Medien</v>
      </c>
      <c r="E149" s="38" t="str">
        <f aca="false">IF(('MiT Strom Pipeline'!R16="follow-up")+('MiT Strom Pipeline'!R16="Evaluation")+('MiT Strom Pipeline'!R16="tbd")+('MiT Strom Pipeline'!R16="In evaluation")&gt;0,'MiT Strom Pipeline'!E16,"")</f>
        <v>200 kW Lastbank</v>
      </c>
      <c r="F149" s="75" t="n">
        <f aca="false">IF(('MiT Strom Pipeline'!R16="follow-up")+('MiT Strom Pipeline'!R16="Evaluation")+('MiT Strom Pipeline'!R16="tbd")+('MiT Strom Pipeline'!R16="In evaluation")&gt;0,IF(ISNUMBER('MiT Strom Pipeline'!I16),'MiT Strom Pipeline'!I16,0),"")</f>
        <v>0</v>
      </c>
      <c r="G149" s="75" t="n">
        <f aca="false">IF(('MiT Strom Pipeline'!R16="follow-up")+('MiT Strom Pipeline'!R16="Evaluation")+('MiT Strom Pipeline'!R16="tbd")+('MiT Strom Pipeline'!R16="In evaluation")&gt;0,IF(ISNUMBER('MiT Strom Pipeline'!Q16),'MiT Strom Pipeline'!Q16,0),"")</f>
        <v>0</v>
      </c>
      <c r="H149" s="37" t="str">
        <f aca="false">IF(('MiT Strom Pipeline'!R16="follow-up")+('MiT Strom Pipeline'!R16="Evaluation")+('MiT Strom Pipeline'!R16="tbd")+('MiT Strom Pipeline'!R16="In evaluation")&gt;0,'MiT Strom Pipeline'!R16,"")</f>
        <v>Evaluation</v>
      </c>
      <c r="I149" s="37" t="str">
        <f aca="false">IF(('MiT Strom Pipeline'!R16="follow-up")+('MiT Strom Pipeline'!R16="Evaluation")+('MiT Strom Pipeline'!R16="tbd")+('MiT Strom Pipeline'!R16="In evaluation")&gt;0,'MiT Strom Pipeline'!S16,"")</f>
        <v>35%</v>
      </c>
      <c r="J149" s="38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>Use-Case klären – Lastbank oder Generator?</v>
      </c>
    </row>
    <row r="150" customFormat="false" ht="15.75" hidden="false" customHeight="true" outlineLevel="0" collapsed="false">
      <c r="A150" s="21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22" t="str">
        <f aca="false">IF(('MiT Strom Pipeline'!R17="follow-up")+('MiT Strom Pipeline'!R17="Evaluation")+('MiT Strom Pipeline'!R17="tbd")+('MiT Strom Pipeline'!R17="In evaluation")&gt;0,'MiT Strom Pipeline'!B17,"")</f>
        <v/>
      </c>
      <c r="C150" s="21" t="str">
        <f aca="false">IF(('MiT Strom Pipeline'!R17="follow-up")+('MiT Strom Pipeline'!R17="Evaluation")+('MiT Strom Pipeline'!R17="tbd")+('MiT Strom Pipeline'!R17="In evaluation")&gt;0,'MiT Strom Pipeline'!C17,"")</f>
        <v/>
      </c>
      <c r="D150" s="22" t="str">
        <f aca="false">IF(('MiT Strom Pipeline'!R17="follow-up")+('MiT Strom Pipeline'!R17="Evaluation")+('MiT Strom Pipeline'!R17="tbd")+('MiT Strom Pipeline'!R17="In evaluation")&gt;0,'MiT Strom Pipeline'!D17,"")</f>
        <v/>
      </c>
      <c r="E150" s="22" t="str">
        <f aca="false">IF(('MiT Strom Pipeline'!R17="follow-up")+('MiT Strom Pipeline'!R17="Evaluation")+('MiT Strom Pipeline'!R17="tbd")+('MiT Strom Pipeline'!R17="In evaluation")&gt;0,'MiT Strom Pipeline'!E17,"")</f>
        <v/>
      </c>
      <c r="F150" s="69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69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21" t="str">
        <f aca="false">IF(('MiT Strom Pipeline'!R17="follow-up")+('MiT Strom Pipeline'!R17="Evaluation")+('MiT Strom Pipeline'!R17="tbd")+('MiT Strom Pipeline'!R17="In evaluation")&gt;0,'MiT Strom Pipeline'!R17,"")</f>
        <v/>
      </c>
      <c r="I150" s="21" t="str">
        <f aca="false">IF(('MiT Strom Pipeline'!R17="follow-up")+('MiT Strom Pipeline'!R17="Evaluation")+('MiT Strom Pipeline'!R17="tbd")+('MiT Strom Pipeline'!R17="In evaluation")&gt;0,'MiT Strom Pipeline'!S17,"")</f>
        <v/>
      </c>
      <c r="J150" s="22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false" customHeight="true" outlineLevel="0" collapsed="false">
      <c r="A151" s="37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38" t="str">
        <f aca="false">IF(('MiT Strom Pipeline'!R18="follow-up")+('MiT Strom Pipeline'!R18="Evaluation")+('MiT Strom Pipeline'!R18="tbd")+('MiT Strom Pipeline'!R18="In evaluation")&gt;0,'MiT Strom Pipeline'!B18,"")</f>
        <v/>
      </c>
      <c r="C151" s="37" t="str">
        <f aca="false">IF(('MiT Strom Pipeline'!R18="follow-up")+('MiT Strom Pipeline'!R18="Evaluation")+('MiT Strom Pipeline'!R18="tbd")+('MiT Strom Pipeline'!R18="In evaluation")&gt;0,'MiT Strom Pipeline'!C18,"")</f>
        <v/>
      </c>
      <c r="D151" s="38" t="str">
        <f aca="false">IF(('MiT Strom Pipeline'!R18="follow-up")+('MiT Strom Pipeline'!R18="Evaluation")+('MiT Strom Pipeline'!R18="tbd")+('MiT Strom Pipeline'!R18="In evaluation")&gt;0,'MiT Strom Pipeline'!D18,"")</f>
        <v/>
      </c>
      <c r="E151" s="38" t="str">
        <f aca="false">IF(('MiT Strom Pipeline'!R18="follow-up")+('MiT Strom Pipeline'!R18="Evaluation")+('MiT Strom Pipeline'!R18="tbd")+('MiT Strom Pipeline'!R18="In evaluation")&gt;0,'MiT Strom Pipeline'!E18,"")</f>
        <v/>
      </c>
      <c r="F151" s="75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75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37" t="str">
        <f aca="false">IF(('MiT Strom Pipeline'!R18="follow-up")+('MiT Strom Pipeline'!R18="Evaluation")+('MiT Strom Pipeline'!R18="tbd")+('MiT Strom Pipeline'!R18="In evaluation")&gt;0,'MiT Strom Pipeline'!R18,"")</f>
        <v/>
      </c>
      <c r="I151" s="37" t="str">
        <f aca="false">IF(('MiT Strom Pipeline'!R18="follow-up")+('MiT Strom Pipeline'!R18="Evaluation")+('MiT Strom Pipeline'!R18="tbd")+('MiT Strom Pipeline'!R18="In evaluation")&gt;0,'MiT Strom Pipeline'!S18,"")</f>
        <v/>
      </c>
      <c r="J151" s="38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false" customHeight="true" outlineLevel="0" collapsed="false">
      <c r="A152" s="21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22" t="str">
        <f aca="false">IF(('MiT Strom Pipeline'!R19="follow-up")+('MiT Strom Pipeline'!R19="Evaluation")+('MiT Strom Pipeline'!R19="tbd")+('MiT Strom Pipeline'!R19="In evaluation")&gt;0,'MiT Strom Pipeline'!B19,"")</f>
        <v/>
      </c>
      <c r="C152" s="21" t="str">
        <f aca="false">IF(('MiT Strom Pipeline'!R19="follow-up")+('MiT Strom Pipeline'!R19="Evaluation")+('MiT Strom Pipeline'!R19="tbd")+('MiT Strom Pipeline'!R19="In evaluation")&gt;0,'MiT Strom Pipeline'!C19,"")</f>
        <v/>
      </c>
      <c r="D152" s="22" t="str">
        <f aca="false">IF(('MiT Strom Pipeline'!R19="follow-up")+('MiT Strom Pipeline'!R19="Evaluation")+('MiT Strom Pipeline'!R19="tbd")+('MiT Strom Pipeline'!R19="In evaluation")&gt;0,'MiT Strom Pipeline'!D19,"")</f>
        <v/>
      </c>
      <c r="E152" s="22" t="str">
        <f aca="false">IF(('MiT Strom Pipeline'!R19="follow-up")+('MiT Strom Pipeline'!R19="Evaluation")+('MiT Strom Pipeline'!R19="tbd")+('MiT Strom Pipeline'!R19="In evaluation")&gt;0,'MiT Strom Pipeline'!E19,"")</f>
        <v/>
      </c>
      <c r="F152" s="69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69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21" t="str">
        <f aca="false">IF(('MiT Strom Pipeline'!R19="follow-up")+('MiT Strom Pipeline'!R19="Evaluation")+('MiT Strom Pipeline'!R19="tbd")+('MiT Strom Pipeline'!R19="In evaluation")&gt;0,'MiT Strom Pipeline'!R19,"")</f>
        <v/>
      </c>
      <c r="I152" s="21" t="str">
        <f aca="false">IF(('MiT Strom Pipeline'!R19="follow-up")+('MiT Strom Pipeline'!R19="Evaluation")+('MiT Strom Pipeline'!R19="tbd")+('MiT Strom Pipeline'!R19="In evaluation")&gt;0,'MiT Strom Pipeline'!S19,"")</f>
        <v/>
      </c>
      <c r="J152" s="22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false" customHeight="true" outlineLevel="0" collapsed="false">
      <c r="A153" s="37" t="n">
        <f aca="false">IF(('MiT Strom Pipeline'!R20="follow-up")+('MiT Strom Pipeline'!R20="Evaluation")+('MiT Strom Pipeline'!R20="tbd")+('MiT Strom Pipeline'!R20="In evaluation")&gt;0,IF(ISNUMBER('MiT Strom Pipeline'!A20),'MiT Strom Pipeline'!A20,""),"")</f>
        <v>14</v>
      </c>
      <c r="B153" s="38" t="str">
        <f aca="false">IF(('MiT Strom Pipeline'!R20="follow-up")+('MiT Strom Pipeline'!R20="Evaluation")+('MiT Strom Pipeline'!R20="tbd")+('MiT Strom Pipeline'!R20="In evaluation")&gt;0,'MiT Strom Pipeline'!B20,"")</f>
        <v>Trafag AG</v>
      </c>
      <c r="C153" s="37" t="str">
        <f aca="false">IF(('MiT Strom Pipeline'!R20="follow-up")+('MiT Strom Pipeline'!R20="Evaluation")+('MiT Strom Pipeline'!R20="tbd")+('MiT Strom Pipeline'!R20="In evaluation")&gt;0,'MiT Strom Pipeline'!C20,"")</f>
        <v>ZH</v>
      </c>
      <c r="D153" s="38" t="str">
        <f aca="false">IF(('MiT Strom Pipeline'!R20="follow-up")+('MiT Strom Pipeline'!R20="Evaluation")+('MiT Strom Pipeline'!R20="tbd")+('MiT Strom Pipeline'!R20="In evaluation")&gt;0,'MiT Strom Pipeline'!D20,"")</f>
        <v>Industrie / Messtechnik</v>
      </c>
      <c r="E153" s="38" t="str">
        <f aca="false">IF(('MiT Strom Pipeline'!R20="follow-up")+('MiT Strom Pipeline'!R20="Evaluation")+('MiT Strom Pipeline'!R20="tbd")+('MiT Strom Pipeline'!R20="In evaluation")&gt;0,'MiT Strom Pipeline'!E20,"")</f>
        <v>Kombi 450 kVA Generator / BESS 500 kVA</v>
      </c>
      <c r="F153" s="75" t="n">
        <f aca="false">IF(('MiT Strom Pipeline'!R20="follow-up")+('MiT Strom Pipeline'!R20="Evaluation")+('MiT Strom Pipeline'!R20="tbd")+('MiT Strom Pipeline'!R20="In evaluation")&gt;0,IF(ISNUMBER('MiT Strom Pipeline'!I20),'MiT Strom Pipeline'!I20,0),"")</f>
        <v>37444</v>
      </c>
      <c r="G153" s="75" t="n">
        <f aca="false">IF(('MiT Strom Pipeline'!R20="follow-up")+('MiT Strom Pipeline'!R20="Evaluation")+('MiT Strom Pipeline'!R20="tbd")+('MiT Strom Pipeline'!R20="In evaluation")&gt;0,IF(ISNUMBER('MiT Strom Pipeline'!Q20),'MiT Strom Pipeline'!Q20,0),"")</f>
        <v>18722</v>
      </c>
      <c r="H153" s="37" t="str">
        <f aca="false">IF(('MiT Strom Pipeline'!R20="follow-up")+('MiT Strom Pipeline'!R20="Evaluation")+('MiT Strom Pipeline'!R20="tbd")+('MiT Strom Pipeline'!R20="In evaluation")&gt;0,'MiT Strom Pipeline'!R20,"")</f>
        <v>Evaluation</v>
      </c>
      <c r="I153" s="37" t="n">
        <f aca="false">IF(('MiT Strom Pipeline'!R20="follow-up")+('MiT Strom Pipeline'!R20="Evaluation")+('MiT Strom Pipeline'!R20="tbd")+('MiT Strom Pipeline'!R20="In evaluation")&gt;0,'MiT Strom Pipeline'!S20,"")</f>
        <v>0.5</v>
      </c>
      <c r="J153" s="38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>Angebot vorbereiten – PQ-Argument für Messtechnik, Stef</v>
      </c>
    </row>
    <row r="154" customFormat="false" ht="15.75" hidden="false" customHeight="true" outlineLevel="0" collapsed="false">
      <c r="A154" s="21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22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21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22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22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69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69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21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I154" s="21" t="str">
        <f aca="false">IF(('MiT Strom Pipeline'!R21="follow-up")+('MiT Strom Pipeline'!R21="Evaluation")+('MiT Strom Pipeline'!R21="tbd")+('MiT Strom Pipeline'!R21="In evaluation")&gt;0,'MiT Strom Pipeline'!S21,"")</f>
        <v>20%</v>
      </c>
      <c r="J154" s="22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false" customHeight="true" outlineLevel="0" collapsed="false">
      <c r="A155" s="37" t="n">
        <f aca="false">IF(('MiT Strom Pipeline'!R22="follow-up")+('MiT Strom Pipeline'!R22="Evaluation")+('MiT Strom Pipeline'!R22="tbd")+('MiT Strom Pipeline'!R22="In evaluation")&gt;0,IF(ISNUMBER('MiT Strom Pipeline'!A22),'MiT Strom Pipeline'!A22,""),"")</f>
        <v>16</v>
      </c>
      <c r="B155" s="38" t="str">
        <f aca="false">IF(('MiT Strom Pipeline'!R22="follow-up")+('MiT Strom Pipeline'!R22="Evaluation")+('MiT Strom Pipeline'!R22="tbd")+('MiT Strom Pipeline'!R22="In evaluation")&gt;0,'MiT Strom Pipeline'!B22,"")</f>
        <v>Etavis Gossenbacher AG</v>
      </c>
      <c r="C155" s="37" t="str">
        <f aca="false">IF(('MiT Strom Pipeline'!R22="follow-up")+('MiT Strom Pipeline'!R22="Evaluation")+('MiT Strom Pipeline'!R22="tbd")+('MiT Strom Pipeline'!R22="In evaluation")&gt;0,'MiT Strom Pipeline'!C22,"")</f>
        <v>ZH</v>
      </c>
      <c r="D155" s="38" t="str">
        <f aca="false">IF(('MiT Strom Pipeline'!R22="follow-up")+('MiT Strom Pipeline'!R22="Evaluation")+('MiT Strom Pipeline'!R22="tbd")+('MiT Strom Pipeline'!R22="In evaluation")&gt;0,'MiT Strom Pipeline'!D22,"")</f>
        <v>Elektroinstallation</v>
      </c>
      <c r="E155" s="38" t="str">
        <f aca="false">IF(('MiT Strom Pipeline'!R22="follow-up")+('MiT Strom Pipeline'!R22="Evaluation")+('MiT Strom Pipeline'!R22="tbd")+('MiT Strom Pipeline'!R22="In evaluation")&gt;0,'MiT Strom Pipeline'!E22,"")</f>
        <v>30 kVA USV/Generator</v>
      </c>
      <c r="F155" s="75" t="n">
        <f aca="false">IF(('MiT Strom Pipeline'!R22="follow-up")+('MiT Strom Pipeline'!R22="Evaluation")+('MiT Strom Pipeline'!R22="tbd")+('MiT Strom Pipeline'!R22="In evaluation")&gt;0,IF(ISNUMBER('MiT Strom Pipeline'!I22),'MiT Strom Pipeline'!I22,0),"")</f>
        <v>0</v>
      </c>
      <c r="G155" s="75" t="n">
        <f aca="false">IF(('MiT Strom Pipeline'!R22="follow-up")+('MiT Strom Pipeline'!R22="Evaluation")+('MiT Strom Pipeline'!R22="tbd")+('MiT Strom Pipeline'!R22="In evaluation")&gt;0,IF(ISNUMBER('MiT Strom Pipeline'!Q22),'MiT Strom Pipeline'!Q22,0),"")</f>
        <v>0</v>
      </c>
      <c r="H155" s="37" t="str">
        <f aca="false">IF(('MiT Strom Pipeline'!R22="follow-up")+('MiT Strom Pipeline'!R22="Evaluation")+('MiT Strom Pipeline'!R22="tbd")+('MiT Strom Pipeline'!R22="In evaluation")&gt;0,'MiT Strom Pipeline'!R22,"")</f>
        <v>tbd</v>
      </c>
      <c r="I155" s="37" t="str">
        <f aca="false">IF(('MiT Strom Pipeline'!R22="follow-up")+('MiT Strom Pipeline'!R22="Evaluation")+('MiT Strom Pipeline'!R22="tbd")+('MiT Strom Pipeline'!R22="In evaluation")&gt;0,'MiT Strom Pipeline'!S22,"")</f>
        <v>30%</v>
      </c>
      <c r="J155" s="38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>Erstkontakt vertiefen – Bedarf qualifizieren</v>
      </c>
    </row>
    <row r="156" customFormat="false" ht="15.75" hidden="false" customHeight="true" outlineLevel="0" collapsed="false">
      <c r="A156" s="21" t="n">
        <f aca="false">IF(('MiT Strom Pipeline'!R23="follow-up")+('MiT Strom Pipeline'!R23="Evaluation")+('MiT Strom Pipeline'!R23="tbd")+('MiT Strom Pipeline'!R23="In evaluation")&gt;0,IF(ISNUMBER('MiT Strom Pipeline'!A23),'MiT Strom Pipeline'!A23,""),"")</f>
        <v>17</v>
      </c>
      <c r="B156" s="22" t="str">
        <f aca="false">IF(('MiT Strom Pipeline'!R23="follow-up")+('MiT Strom Pipeline'!R23="Evaluation")+('MiT Strom Pipeline'!R23="tbd")+('MiT Strom Pipeline'!R23="In evaluation")&gt;0,'MiT Strom Pipeline'!B23,"")</f>
        <v>MAS ETH Architektur</v>
      </c>
      <c r="C156" s="21" t="str">
        <f aca="false">IF(('MiT Strom Pipeline'!R23="follow-up")+('MiT Strom Pipeline'!R23="Evaluation")+('MiT Strom Pipeline'!R23="tbd")+('MiT Strom Pipeline'!R23="In evaluation")&gt;0,'MiT Strom Pipeline'!C23,"")</f>
        <v>ZH</v>
      </c>
      <c r="D156" s="22" t="str">
        <f aca="false">IF(('MiT Strom Pipeline'!R23="follow-up")+('MiT Strom Pipeline'!R23="Evaluation")+('MiT Strom Pipeline'!R23="tbd")+('MiT Strom Pipeline'!R23="In evaluation")&gt;0,'MiT Strom Pipeline'!D23,"")</f>
        <v>Bildung / Forschung</v>
      </c>
      <c r="E156" s="22" t="str">
        <f aca="false">IF(('MiT Strom Pipeline'!R23="follow-up")+('MiT Strom Pipeline'!R23="Evaluation")+('MiT Strom Pipeline'!R23="tbd")+('MiT Strom Pipeline'!R23="In evaluation")&gt;0,'MiT Strom Pipeline'!E23,"")</f>
        <v>tbd</v>
      </c>
      <c r="F156" s="69" t="n">
        <f aca="false">IF(('MiT Strom Pipeline'!R23="follow-up")+('MiT Strom Pipeline'!R23="Evaluation")+('MiT Strom Pipeline'!R23="tbd")+('MiT Strom Pipeline'!R23="In evaluation")&gt;0,IF(ISNUMBER('MiT Strom Pipeline'!I23),'MiT Strom Pipeline'!I23,0),"")</f>
        <v>0</v>
      </c>
      <c r="G156" s="69" t="n">
        <f aca="false">IF(('MiT Strom Pipeline'!R23="follow-up")+('MiT Strom Pipeline'!R23="Evaluation")+('MiT Strom Pipeline'!R23="tbd")+('MiT Strom Pipeline'!R23="In evaluation")&gt;0,IF(ISNUMBER('MiT Strom Pipeline'!Q23),'MiT Strom Pipeline'!Q23,0),"")</f>
        <v>0</v>
      </c>
      <c r="H156" s="21" t="str">
        <f aca="false">IF(('MiT Strom Pipeline'!R23="follow-up")+('MiT Strom Pipeline'!R23="Evaluation")+('MiT Strom Pipeline'!R23="tbd")+('MiT Strom Pipeline'!R23="In evaluation")&gt;0,'MiT Strom Pipeline'!R23,"")</f>
        <v>tbd</v>
      </c>
      <c r="I156" s="21" t="str">
        <f aca="false">IF(('MiT Strom Pipeline'!R23="follow-up")+('MiT Strom Pipeline'!R23="Evaluation")+('MiT Strom Pipeline'!R23="tbd")+('MiT Strom Pipeline'!R23="In evaluation")&gt;0,'MiT Strom Pipeline'!S23,"")</f>
        <v>20%</v>
      </c>
      <c r="J156" s="22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>Bedarf qualifizieren oder disqualifizieren</v>
      </c>
    </row>
    <row r="157" customFormat="false" ht="15.75" hidden="false" customHeight="true" outlineLevel="0" collapsed="false">
      <c r="A157" s="37" t="n">
        <f aca="false">IF(('MiT Strom Pipeline'!R24="follow-up")+('MiT Strom Pipeline'!R24="Evaluation")+('MiT Strom Pipeline'!R24="tbd")+('MiT Strom Pipeline'!R24="In evaluation")&gt;0,IF(ISNUMBER('MiT Strom Pipeline'!A24),'MiT Strom Pipeline'!A24,""),"")</f>
        <v>18</v>
      </c>
      <c r="B157" s="38" t="str">
        <f aca="false">IF(('MiT Strom Pipeline'!R24="follow-up")+('MiT Strom Pipeline'!R24="Evaluation")+('MiT Strom Pipeline'!R24="tbd")+('MiT Strom Pipeline'!R24="In evaluation")&gt;0,'MiT Strom Pipeline'!B24,"")</f>
        <v>FIP ISA</v>
      </c>
      <c r="C157" s="37" t="str">
        <f aca="false">IF(('MiT Strom Pipeline'!R24="follow-up")+('MiT Strom Pipeline'!R24="Evaluation")+('MiT Strom Pipeline'!R24="tbd")+('MiT Strom Pipeline'!R24="In evaluation")&gt;0,'MiT Strom Pipeline'!C24,"")</f>
        <v>tbd</v>
      </c>
      <c r="D157" s="38" t="str">
        <f aca="false">IF(('MiT Strom Pipeline'!R24="follow-up")+('MiT Strom Pipeline'!R24="Evaluation")+('MiT Strom Pipeline'!R24="tbd")+('MiT Strom Pipeline'!R24="In evaluation")&gt;0,'MiT Strom Pipeline'!D24,"")</f>
        <v>tbd</v>
      </c>
      <c r="E157" s="38" t="str">
        <f aca="false">IF(('MiT Strom Pipeline'!R24="follow-up")+('MiT Strom Pipeline'!R24="Evaluation")+('MiT Strom Pipeline'!R24="tbd")+('MiT Strom Pipeline'!R24="In evaluation")&gt;0,'MiT Strom Pipeline'!E24,"")</f>
        <v>tbd</v>
      </c>
      <c r="F157" s="75" t="n">
        <f aca="false">IF(('MiT Strom Pipeline'!R24="follow-up")+('MiT Strom Pipeline'!R24="Evaluation")+('MiT Strom Pipeline'!R24="tbd")+('MiT Strom Pipeline'!R24="In evaluation")&gt;0,IF(ISNUMBER('MiT Strom Pipeline'!I24),'MiT Strom Pipeline'!I24,0),"")</f>
        <v>0</v>
      </c>
      <c r="G157" s="75" t="n">
        <f aca="false">IF(('MiT Strom Pipeline'!R24="follow-up")+('MiT Strom Pipeline'!R24="Evaluation")+('MiT Strom Pipeline'!R24="tbd")+('MiT Strom Pipeline'!R24="In evaluation")&gt;0,IF(ISNUMBER('MiT Strom Pipeline'!Q24),'MiT Strom Pipeline'!Q24,0),"")</f>
        <v>0</v>
      </c>
      <c r="H157" s="37" t="str">
        <f aca="false">IF(('MiT Strom Pipeline'!R24="follow-up")+('MiT Strom Pipeline'!R24="Evaluation")+('MiT Strom Pipeline'!R24="tbd")+('MiT Strom Pipeline'!R24="In evaluation")&gt;0,'MiT Strom Pipeline'!R24,"")</f>
        <v>tbd</v>
      </c>
      <c r="I157" s="37" t="str">
        <f aca="false">IF(('MiT Strom Pipeline'!R24="follow-up")+('MiT Strom Pipeline'!R24="Evaluation")+('MiT Strom Pipeline'!R24="tbd")+('MiT Strom Pipeline'!R24="In evaluation")&gt;0,'MiT Strom Pipeline'!S24,"")</f>
        <v>20%</v>
      </c>
      <c r="J157" s="38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>Recherche + Erstkontakt – Firma und Bedarf verstehen</v>
      </c>
    </row>
    <row r="158" customFormat="false" ht="15.75" hidden="false" customHeight="true" outlineLevel="0" collapsed="false">
      <c r="A158" s="21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22" t="str">
        <f aca="false">IF(('MiT Strom Pipeline'!R25="follow-up")+('MiT Strom Pipeline'!R25="Evaluation")+('MiT Strom Pipeline'!R25="tbd")+('MiT Strom Pipeline'!R25="In evaluation")&gt;0,'MiT Strom Pipeline'!B25,"")</f>
        <v/>
      </c>
      <c r="C158" s="21" t="str">
        <f aca="false">IF(('MiT Strom Pipeline'!R25="follow-up")+('MiT Strom Pipeline'!R25="Evaluation")+('MiT Strom Pipeline'!R25="tbd")+('MiT Strom Pipeline'!R25="In evaluation")&gt;0,'MiT Strom Pipeline'!C25,"")</f>
        <v/>
      </c>
      <c r="D158" s="22" t="str">
        <f aca="false">IF(('MiT Strom Pipeline'!R25="follow-up")+('MiT Strom Pipeline'!R25="Evaluation")+('MiT Strom Pipeline'!R25="tbd")+('MiT Strom Pipeline'!R25="In evaluation")&gt;0,'MiT Strom Pipeline'!D25,"")</f>
        <v/>
      </c>
      <c r="E158" s="22" t="str">
        <f aca="false">IF(('MiT Strom Pipeline'!R25="follow-up")+('MiT Strom Pipeline'!R25="Evaluation")+('MiT Strom Pipeline'!R25="tbd")+('MiT Strom Pipeline'!R25="In evaluation")&gt;0,'MiT Strom Pipeline'!E25,"")</f>
        <v/>
      </c>
      <c r="F158" s="69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69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21" t="str">
        <f aca="false">IF(('MiT Strom Pipeline'!R25="follow-up")+('MiT Strom Pipeline'!R25="Evaluation")+('MiT Strom Pipeline'!R25="tbd")+('MiT Strom Pipeline'!R25="In evaluation")&gt;0,'MiT Strom Pipeline'!R25,"")</f>
        <v/>
      </c>
      <c r="I158" s="21" t="str">
        <f aca="false">IF(('MiT Strom Pipeline'!R25="follow-up")+('MiT Strom Pipeline'!R25="Evaluation")+('MiT Strom Pipeline'!R25="tbd")+('MiT Strom Pipeline'!R25="In evaluation")&gt;0,'MiT Strom Pipeline'!S25,"")</f>
        <v/>
      </c>
      <c r="J158" s="22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false" customHeight="true" outlineLevel="0" collapsed="false">
      <c r="A159" s="37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38" t="str">
        <f aca="false">IF(('MiT Strom Pipeline'!R26="follow-up")+('MiT Strom Pipeline'!R26="Evaluation")+('MiT Strom Pipeline'!R26="tbd")+('MiT Strom Pipeline'!R26="In evaluation")&gt;0,'MiT Strom Pipeline'!B26,"")</f>
        <v/>
      </c>
      <c r="C159" s="37" t="str">
        <f aca="false">IF(('MiT Strom Pipeline'!R26="follow-up")+('MiT Strom Pipeline'!R26="Evaluation")+('MiT Strom Pipeline'!R26="tbd")+('MiT Strom Pipeline'!R26="In evaluation")&gt;0,'MiT Strom Pipeline'!C26,"")</f>
        <v/>
      </c>
      <c r="D159" s="38" t="str">
        <f aca="false">IF(('MiT Strom Pipeline'!R26="follow-up")+('MiT Strom Pipeline'!R26="Evaluation")+('MiT Strom Pipeline'!R26="tbd")+('MiT Strom Pipeline'!R26="In evaluation")&gt;0,'MiT Strom Pipeline'!D26,"")</f>
        <v/>
      </c>
      <c r="E159" s="38" t="str">
        <f aca="false">IF(('MiT Strom Pipeline'!R26="follow-up")+('MiT Strom Pipeline'!R26="Evaluation")+('MiT Strom Pipeline'!R26="tbd")+('MiT Strom Pipeline'!R26="In evaluation")&gt;0,'MiT Strom Pipeline'!E26,"")</f>
        <v/>
      </c>
      <c r="F159" s="75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75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37" t="str">
        <f aca="false">IF(('MiT Strom Pipeline'!R26="follow-up")+('MiT Strom Pipeline'!R26="Evaluation")+('MiT Strom Pipeline'!R26="tbd")+('MiT Strom Pipeline'!R26="In evaluation")&gt;0,'MiT Strom Pipeline'!R26,"")</f>
        <v/>
      </c>
      <c r="I159" s="37" t="str">
        <f aca="false">IF(('MiT Strom Pipeline'!R26="follow-up")+('MiT Strom Pipeline'!R26="Evaluation")+('MiT Strom Pipeline'!R26="tbd")+('MiT Strom Pipeline'!R26="In evaluation")&gt;0,'MiT Strom Pipeline'!S26,"")</f>
        <v/>
      </c>
      <c r="J159" s="38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false" customHeight="true" outlineLevel="0" collapsed="false">
      <c r="A160" s="21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22" t="str">
        <f aca="false">IF(('MiT Strom Pipeline'!R27="follow-up")+('MiT Strom Pipeline'!R27="Evaluation")+('MiT Strom Pipeline'!R27="tbd")+('MiT Strom Pipeline'!R27="In evaluation")&gt;0,'MiT Strom Pipeline'!B27,"")</f>
        <v/>
      </c>
      <c r="C160" s="21" t="str">
        <f aca="false">IF(('MiT Strom Pipeline'!R27="follow-up")+('MiT Strom Pipeline'!R27="Evaluation")+('MiT Strom Pipeline'!R27="tbd")+('MiT Strom Pipeline'!R27="In evaluation")&gt;0,'MiT Strom Pipeline'!C27,"")</f>
        <v/>
      </c>
      <c r="D160" s="22" t="str">
        <f aca="false">IF(('MiT Strom Pipeline'!R27="follow-up")+('MiT Strom Pipeline'!R27="Evaluation")+('MiT Strom Pipeline'!R27="tbd")+('MiT Strom Pipeline'!R27="In evaluation")&gt;0,'MiT Strom Pipeline'!D27,"")</f>
        <v/>
      </c>
      <c r="E160" s="22" t="str">
        <f aca="false">IF(('MiT Strom Pipeline'!R27="follow-up")+('MiT Strom Pipeline'!R27="Evaluation")+('MiT Strom Pipeline'!R27="tbd")+('MiT Strom Pipeline'!R27="In evaluation")&gt;0,'MiT Strom Pipeline'!E27,"")</f>
        <v/>
      </c>
      <c r="F160" s="69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69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21" t="str">
        <f aca="false">IF(('MiT Strom Pipeline'!R27="follow-up")+('MiT Strom Pipeline'!R27="Evaluation")+('MiT Strom Pipeline'!R27="tbd")+('MiT Strom Pipeline'!R27="In evaluation")&gt;0,'MiT Strom Pipeline'!R27,"")</f>
        <v/>
      </c>
      <c r="I160" s="21" t="str">
        <f aca="false">IF(('MiT Strom Pipeline'!R27="follow-up")+('MiT Strom Pipeline'!R27="Evaluation")+('MiT Strom Pipeline'!R27="tbd")+('MiT Strom Pipeline'!R27="In evaluation")&gt;0,'MiT Strom Pipeline'!S27,"")</f>
        <v/>
      </c>
      <c r="J160" s="22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false" customHeight="true" outlineLevel="0" collapsed="false">
      <c r="A161" s="37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38" t="str">
        <f aca="false">IF(('MiT Strom Pipeline'!R28="follow-up")+('MiT Strom Pipeline'!R28="Evaluation")+('MiT Strom Pipeline'!R28="tbd")+('MiT Strom Pipeline'!R28="In evaluation")&gt;0,'MiT Strom Pipeline'!B28,"")</f>
        <v/>
      </c>
      <c r="C161" s="37" t="str">
        <f aca="false">IF(('MiT Strom Pipeline'!R28="follow-up")+('MiT Strom Pipeline'!R28="Evaluation")+('MiT Strom Pipeline'!R28="tbd")+('MiT Strom Pipeline'!R28="In evaluation")&gt;0,'MiT Strom Pipeline'!C28,"")</f>
        <v/>
      </c>
      <c r="D161" s="38" t="str">
        <f aca="false">IF(('MiT Strom Pipeline'!R28="follow-up")+('MiT Strom Pipeline'!R28="Evaluation")+('MiT Strom Pipeline'!R28="tbd")+('MiT Strom Pipeline'!R28="In evaluation")&gt;0,'MiT Strom Pipeline'!D28,"")</f>
        <v/>
      </c>
      <c r="E161" s="38" t="str">
        <f aca="false">IF(('MiT Strom Pipeline'!R28="follow-up")+('MiT Strom Pipeline'!R28="Evaluation")+('MiT Strom Pipeline'!R28="tbd")+('MiT Strom Pipeline'!R28="In evaluation")&gt;0,'MiT Strom Pipeline'!E28,"")</f>
        <v/>
      </c>
      <c r="F161" s="75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75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37" t="str">
        <f aca="false">IF(('MiT Strom Pipeline'!R28="follow-up")+('MiT Strom Pipeline'!R28="Evaluation")+('MiT Strom Pipeline'!R28="tbd")+('MiT Strom Pipeline'!R28="In evaluation")&gt;0,'MiT Strom Pipeline'!R28,"")</f>
        <v/>
      </c>
      <c r="I161" s="37" t="str">
        <f aca="false">IF(('MiT Strom Pipeline'!R28="follow-up")+('MiT Strom Pipeline'!R28="Evaluation")+('MiT Strom Pipeline'!R28="tbd")+('MiT Strom Pipeline'!R28="In evaluation")&gt;0,'MiT Strom Pipeline'!S28,"")</f>
        <v/>
      </c>
      <c r="J161" s="38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21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22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21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22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22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69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69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21" t="str">
        <f aca="false">IF(('MiT Strom Pipeline'!R29="follow-up")+('MiT Strom Pipeline'!R29="Evaluation")+('MiT Strom Pipeline'!R29="tbd")+('MiT Strom Pipeline'!R29="In evaluation")&gt;0,'MiT Strom Pipeline'!R29,"")</f>
        <v>Evaluation</v>
      </c>
      <c r="I162" s="21" t="n">
        <f aca="false">IF(('MiT Strom Pipeline'!R29="follow-up")+('MiT Strom Pipeline'!R29="Evaluation")+('MiT Strom Pipeline'!R29="tbd")+('MiT Strom Pipeline'!R29="In evaluation")&gt;0,'MiT Strom Pipeline'!S29,"")</f>
        <v>0.1</v>
      </c>
      <c r="J162" s="22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37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38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37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38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38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75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75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37" t="str">
        <f aca="false">IF(('MiT Strom Pipeline'!R30="follow-up")+('MiT Strom Pipeline'!R30="Evaluation")+('MiT Strom Pipeline'!R30="tbd")+('MiT Strom Pipeline'!R30="In evaluation")&gt;0,'MiT Strom Pipeline'!R30,"")</f>
        <v>Evaluation</v>
      </c>
      <c r="I163" s="37" t="str">
        <f aca="false">IF(('MiT Strom Pipeline'!R30="follow-up")+('MiT Strom Pipeline'!R30="Evaluation")+('MiT Strom Pipeline'!R30="tbd")+('MiT Strom Pipeline'!R30="In evaluation")&gt;0,'MiT Strom Pipeline'!S30,"")</f>
        <v>tbd</v>
      </c>
      <c r="J163" s="38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false" customHeight="true" outlineLevel="0" collapsed="false">
      <c r="A164" s="21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22" t="str">
        <f aca="false">IF(('MiT Strom Pipeline'!R31="follow-up")+('MiT Strom Pipeline'!R31="Evaluation")+('MiT Strom Pipeline'!R31="tbd")+('MiT Strom Pipeline'!R31="In evaluation")&gt;0,'MiT Strom Pipeline'!B31,"")</f>
        <v/>
      </c>
      <c r="C164" s="21" t="str">
        <f aca="false">IF(('MiT Strom Pipeline'!R31="follow-up")+('MiT Strom Pipeline'!R31="Evaluation")+('MiT Strom Pipeline'!R31="tbd")+('MiT Strom Pipeline'!R31="In evaluation")&gt;0,'MiT Strom Pipeline'!C31,"")</f>
        <v/>
      </c>
      <c r="D164" s="22" t="str">
        <f aca="false">IF(('MiT Strom Pipeline'!R31="follow-up")+('MiT Strom Pipeline'!R31="Evaluation")+('MiT Strom Pipeline'!R31="tbd")+('MiT Strom Pipeline'!R31="In evaluation")&gt;0,'MiT Strom Pipeline'!D31,"")</f>
        <v/>
      </c>
      <c r="E164" s="22" t="str">
        <f aca="false">IF(('MiT Strom Pipeline'!R31="follow-up")+('MiT Strom Pipeline'!R31="Evaluation")+('MiT Strom Pipeline'!R31="tbd")+('MiT Strom Pipeline'!R31="In evaluation")&gt;0,'MiT Strom Pipeline'!E31,"")</f>
        <v/>
      </c>
      <c r="F164" s="69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69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21" t="str">
        <f aca="false">IF(('MiT Strom Pipeline'!R31="follow-up")+('MiT Strom Pipeline'!R31="Evaluation")+('MiT Strom Pipeline'!R31="tbd")+('MiT Strom Pipeline'!R31="In evaluation")&gt;0,'MiT Strom Pipeline'!R31,"")</f>
        <v/>
      </c>
      <c r="I164" s="21" t="str">
        <f aca="false">IF(('MiT Strom Pipeline'!R31="follow-up")+('MiT Strom Pipeline'!R31="Evaluation")+('MiT Strom Pipeline'!R31="tbd")+('MiT Strom Pipeline'!R31="In evaluation")&gt;0,'MiT Strom Pipeline'!S31,"")</f>
        <v/>
      </c>
      <c r="J164" s="22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false" customHeight="true" outlineLevel="0" collapsed="false">
      <c r="A165" s="37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38" t="str">
        <f aca="false">IF(('MiT Strom Pipeline'!R32="follow-up")+('MiT Strom Pipeline'!R32="Evaluation")+('MiT Strom Pipeline'!R32="tbd")+('MiT Strom Pipeline'!R32="In evaluation")&gt;0,'MiT Strom Pipeline'!B32,"")</f>
        <v/>
      </c>
      <c r="C165" s="37" t="str">
        <f aca="false">IF(('MiT Strom Pipeline'!R32="follow-up")+('MiT Strom Pipeline'!R32="Evaluation")+('MiT Strom Pipeline'!R32="tbd")+('MiT Strom Pipeline'!R32="In evaluation")&gt;0,'MiT Strom Pipeline'!C32,"")</f>
        <v/>
      </c>
      <c r="D165" s="38" t="str">
        <f aca="false">IF(('MiT Strom Pipeline'!R32="follow-up")+('MiT Strom Pipeline'!R32="Evaluation")+('MiT Strom Pipeline'!R32="tbd")+('MiT Strom Pipeline'!R32="In evaluation")&gt;0,'MiT Strom Pipeline'!D32,"")</f>
        <v/>
      </c>
      <c r="E165" s="38" t="str">
        <f aca="false">IF(('MiT Strom Pipeline'!R32="follow-up")+('MiT Strom Pipeline'!R32="Evaluation")+('MiT Strom Pipeline'!R32="tbd")+('MiT Strom Pipeline'!R32="In evaluation")&gt;0,'MiT Strom Pipeline'!E32,"")</f>
        <v/>
      </c>
      <c r="F165" s="75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75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37" t="str">
        <f aca="false">IF(('MiT Strom Pipeline'!R32="follow-up")+('MiT Strom Pipeline'!R32="Evaluation")+('MiT Strom Pipeline'!R32="tbd")+('MiT Strom Pipeline'!R32="In evaluation")&gt;0,'MiT Strom Pipeline'!R32,"")</f>
        <v/>
      </c>
      <c r="I165" s="37" t="str">
        <f aca="false">IF(('MiT Strom Pipeline'!R32="follow-up")+('MiT Strom Pipeline'!R32="Evaluation")+('MiT Strom Pipeline'!R32="tbd")+('MiT Strom Pipeline'!R32="In evaluation")&gt;0,'MiT Strom Pipeline'!S32,"")</f>
        <v/>
      </c>
      <c r="J165" s="38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false" customHeight="true" outlineLevel="0" collapsed="false">
      <c r="A166" s="21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22" t="str">
        <f aca="false">IF(('MiT Strom Pipeline'!R33="follow-up")+('MiT Strom Pipeline'!R33="Evaluation")+('MiT Strom Pipeline'!R33="tbd")+('MiT Strom Pipeline'!R33="In evaluation")&gt;0,'MiT Strom Pipeline'!B33,"")</f>
        <v/>
      </c>
      <c r="C166" s="21" t="str">
        <f aca="false">IF(('MiT Strom Pipeline'!R33="follow-up")+('MiT Strom Pipeline'!R33="Evaluation")+('MiT Strom Pipeline'!R33="tbd")+('MiT Strom Pipeline'!R33="In evaluation")&gt;0,'MiT Strom Pipeline'!C33,"")</f>
        <v/>
      </c>
      <c r="D166" s="22" t="str">
        <f aca="false">IF(('MiT Strom Pipeline'!R33="follow-up")+('MiT Strom Pipeline'!R33="Evaluation")+('MiT Strom Pipeline'!R33="tbd")+('MiT Strom Pipeline'!R33="In evaluation")&gt;0,'MiT Strom Pipeline'!D33,"")</f>
        <v/>
      </c>
      <c r="E166" s="22" t="str">
        <f aca="false">IF(('MiT Strom Pipeline'!R33="follow-up")+('MiT Strom Pipeline'!R33="Evaluation")+('MiT Strom Pipeline'!R33="tbd")+('MiT Strom Pipeline'!R33="In evaluation")&gt;0,'MiT Strom Pipeline'!E33,"")</f>
        <v/>
      </c>
      <c r="F166" s="69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69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21" t="str">
        <f aca="false">IF(('MiT Strom Pipeline'!R33="follow-up")+('MiT Strom Pipeline'!R33="Evaluation")+('MiT Strom Pipeline'!R33="tbd")+('MiT Strom Pipeline'!R33="In evaluation")&gt;0,'MiT Strom Pipeline'!R33,"")</f>
        <v/>
      </c>
      <c r="I166" s="21" t="str">
        <f aca="false">IF(('MiT Strom Pipeline'!R33="follow-up")+('MiT Strom Pipeline'!R33="Evaluation")+('MiT Strom Pipeline'!R33="tbd")+('MiT Strom Pipeline'!R33="In evaluation")&gt;0,'MiT Strom Pipeline'!S33,"")</f>
        <v/>
      </c>
      <c r="J166" s="22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false" customHeight="true" outlineLevel="0" collapsed="false">
      <c r="A167" s="37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38" t="str">
        <f aca="false">IF(('MiT Strom Pipeline'!R34="follow-up")+('MiT Strom Pipeline'!R34="Evaluation")+('MiT Strom Pipeline'!R34="tbd")+('MiT Strom Pipeline'!R34="In evaluation")&gt;0,'MiT Strom Pipeline'!B34,"")</f>
        <v/>
      </c>
      <c r="C167" s="37" t="str">
        <f aca="false">IF(('MiT Strom Pipeline'!R34="follow-up")+('MiT Strom Pipeline'!R34="Evaluation")+('MiT Strom Pipeline'!R34="tbd")+('MiT Strom Pipeline'!R34="In evaluation")&gt;0,'MiT Strom Pipeline'!C34,"")</f>
        <v/>
      </c>
      <c r="D167" s="38" t="str">
        <f aca="false">IF(('MiT Strom Pipeline'!R34="follow-up")+('MiT Strom Pipeline'!R34="Evaluation")+('MiT Strom Pipeline'!R34="tbd")+('MiT Strom Pipeline'!R34="In evaluation")&gt;0,'MiT Strom Pipeline'!D34,"")</f>
        <v/>
      </c>
      <c r="E167" s="38" t="str">
        <f aca="false">IF(('MiT Strom Pipeline'!R34="follow-up")+('MiT Strom Pipeline'!R34="Evaluation")+('MiT Strom Pipeline'!R34="tbd")+('MiT Strom Pipeline'!R34="In evaluation")&gt;0,'MiT Strom Pipeline'!E34,"")</f>
        <v/>
      </c>
      <c r="F167" s="75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75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37" t="str">
        <f aca="false">IF(('MiT Strom Pipeline'!R34="follow-up")+('MiT Strom Pipeline'!R34="Evaluation")+('MiT Strom Pipeline'!R34="tbd")+('MiT Strom Pipeline'!R34="In evaluation")&gt;0,'MiT Strom Pipeline'!R34,"")</f>
        <v/>
      </c>
      <c r="I167" s="37" t="str">
        <f aca="false">IF(('MiT Strom Pipeline'!R34="follow-up")+('MiT Strom Pipeline'!R34="Evaluation")+('MiT Strom Pipeline'!R34="tbd")+('MiT Strom Pipeline'!R34="In evaluation")&gt;0,'MiT Strom Pipeline'!S34,"")</f>
        <v/>
      </c>
      <c r="J167" s="38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false" customHeight="true" outlineLevel="0" collapsed="false">
      <c r="A168" s="21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22" t="str">
        <f aca="false">IF(('MiT Strom Pipeline'!R35="follow-up")+('MiT Strom Pipeline'!R35="Evaluation")+('MiT Strom Pipeline'!R35="tbd")+('MiT Strom Pipeline'!R35="In evaluation")&gt;0,'MiT Strom Pipeline'!B35,"")</f>
        <v/>
      </c>
      <c r="C168" s="21" t="str">
        <f aca="false">IF(('MiT Strom Pipeline'!R35="follow-up")+('MiT Strom Pipeline'!R35="Evaluation")+('MiT Strom Pipeline'!R35="tbd")+('MiT Strom Pipeline'!R35="In evaluation")&gt;0,'MiT Strom Pipeline'!C35,"")</f>
        <v/>
      </c>
      <c r="D168" s="22" t="str">
        <f aca="false">IF(('MiT Strom Pipeline'!R35="follow-up")+('MiT Strom Pipeline'!R35="Evaluation")+('MiT Strom Pipeline'!R35="tbd")+('MiT Strom Pipeline'!R35="In evaluation")&gt;0,'MiT Strom Pipeline'!D35,"")</f>
        <v/>
      </c>
      <c r="E168" s="22" t="str">
        <f aca="false">IF(('MiT Strom Pipeline'!R35="follow-up")+('MiT Strom Pipeline'!R35="Evaluation")+('MiT Strom Pipeline'!R35="tbd")+('MiT Strom Pipeline'!R35="In evaluation")&gt;0,'MiT Strom Pipeline'!E35,"")</f>
        <v/>
      </c>
      <c r="F168" s="69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69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21" t="str">
        <f aca="false">IF(('MiT Strom Pipeline'!R35="follow-up")+('MiT Strom Pipeline'!R35="Evaluation")+('MiT Strom Pipeline'!R35="tbd")+('MiT Strom Pipeline'!R35="In evaluation")&gt;0,'MiT Strom Pipeline'!R35,"")</f>
        <v/>
      </c>
      <c r="I168" s="21" t="str">
        <f aca="false">IF(('MiT Strom Pipeline'!R35="follow-up")+('MiT Strom Pipeline'!R35="Evaluation")+('MiT Strom Pipeline'!R35="tbd")+('MiT Strom Pipeline'!R35="In evaluation")&gt;0,'MiT Strom Pipeline'!S35,"")</f>
        <v/>
      </c>
      <c r="J168" s="22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false" customHeight="true" outlineLevel="0" collapsed="false">
      <c r="A169" s="37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38" t="str">
        <f aca="false">IF(('MiT Strom Pipeline'!R36="follow-up")+('MiT Strom Pipeline'!R36="Evaluation")+('MiT Strom Pipeline'!R36="tbd")+('MiT Strom Pipeline'!R36="In evaluation")&gt;0,'MiT Strom Pipeline'!B36,"")</f>
        <v/>
      </c>
      <c r="C169" s="37" t="str">
        <f aca="false">IF(('MiT Strom Pipeline'!R36="follow-up")+('MiT Strom Pipeline'!R36="Evaluation")+('MiT Strom Pipeline'!R36="tbd")+('MiT Strom Pipeline'!R36="In evaluation")&gt;0,'MiT Strom Pipeline'!C36,"")</f>
        <v/>
      </c>
      <c r="D169" s="38" t="str">
        <f aca="false">IF(('MiT Strom Pipeline'!R36="follow-up")+('MiT Strom Pipeline'!R36="Evaluation")+('MiT Strom Pipeline'!R36="tbd")+('MiT Strom Pipeline'!R36="In evaluation")&gt;0,'MiT Strom Pipeline'!D36,"")</f>
        <v/>
      </c>
      <c r="E169" s="38" t="str">
        <f aca="false">IF(('MiT Strom Pipeline'!R36="follow-up")+('MiT Strom Pipeline'!R36="Evaluation")+('MiT Strom Pipeline'!R36="tbd")+('MiT Strom Pipeline'!R36="In evaluation")&gt;0,'MiT Strom Pipeline'!E36,"")</f>
        <v/>
      </c>
      <c r="F169" s="75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75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37" t="str">
        <f aca="false">IF(('MiT Strom Pipeline'!R36="follow-up")+('MiT Strom Pipeline'!R36="Evaluation")+('MiT Strom Pipeline'!R36="tbd")+('MiT Strom Pipeline'!R36="In evaluation")&gt;0,'MiT Strom Pipeline'!R36,"")</f>
        <v/>
      </c>
      <c r="I169" s="37" t="str">
        <f aca="false">IF(('MiT Strom Pipeline'!R36="follow-up")+('MiT Strom Pipeline'!R36="Evaluation")+('MiT Strom Pipeline'!R36="tbd")+('MiT Strom Pipeline'!R36="In evaluation")&gt;0,'MiT Strom Pipeline'!S36,"")</f>
        <v/>
      </c>
      <c r="J169" s="38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false" customHeight="true" outlineLevel="0" collapsed="false">
      <c r="A170" s="21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22" t="str">
        <f aca="false">IF(('MiT Strom Pipeline'!R37="follow-up")+('MiT Strom Pipeline'!R37="Evaluation")+('MiT Strom Pipeline'!R37="tbd")+('MiT Strom Pipeline'!R37="In evaluation")&gt;0,'MiT Strom Pipeline'!B37,"")</f>
        <v/>
      </c>
      <c r="C170" s="21" t="str">
        <f aca="false">IF(('MiT Strom Pipeline'!R37="follow-up")+('MiT Strom Pipeline'!R37="Evaluation")+('MiT Strom Pipeline'!R37="tbd")+('MiT Strom Pipeline'!R37="In evaluation")&gt;0,'MiT Strom Pipeline'!C37,"")</f>
        <v/>
      </c>
      <c r="D170" s="22" t="str">
        <f aca="false">IF(('MiT Strom Pipeline'!R37="follow-up")+('MiT Strom Pipeline'!R37="Evaluation")+('MiT Strom Pipeline'!R37="tbd")+('MiT Strom Pipeline'!R37="In evaluation")&gt;0,'MiT Strom Pipeline'!D37,"")</f>
        <v/>
      </c>
      <c r="E170" s="22" t="str">
        <f aca="false">IF(('MiT Strom Pipeline'!R37="follow-up")+('MiT Strom Pipeline'!R37="Evaluation")+('MiT Strom Pipeline'!R37="tbd")+('MiT Strom Pipeline'!R37="In evaluation")&gt;0,'MiT Strom Pipeline'!E37,"")</f>
        <v/>
      </c>
      <c r="F170" s="69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69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21" t="str">
        <f aca="false">IF(('MiT Strom Pipeline'!R37="follow-up")+('MiT Strom Pipeline'!R37="Evaluation")+('MiT Strom Pipeline'!R37="tbd")+('MiT Strom Pipeline'!R37="In evaluation")&gt;0,'MiT Strom Pipeline'!R37,"")</f>
        <v/>
      </c>
      <c r="I170" s="21" t="str">
        <f aca="false">IF(('MiT Strom Pipeline'!R37="follow-up")+('MiT Strom Pipeline'!R37="Evaluation")+('MiT Strom Pipeline'!R37="tbd")+('MiT Strom Pipeline'!R37="In evaluation")&gt;0,'MiT Strom Pipeline'!S37,"")</f>
        <v/>
      </c>
      <c r="J170" s="22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37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38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37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38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38" t="str">
        <f aca="false">IF(('MiT Strom Pipeline'!R38="follow-up")+('MiT Strom Pipeline'!R38="Evaluation")+('MiT Strom Pipeline'!R38="tbd")+('MiT Strom Pipeline'!R38="In evaluation")&gt;0,'MiT Strom Pipeline'!E38,"")</f>
        <v>tbd</v>
      </c>
      <c r="F171" s="75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0</v>
      </c>
      <c r="G171" s="75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0</v>
      </c>
      <c r="H171" s="37" t="str">
        <f aca="false">IF(('MiT Strom Pipeline'!R38="follow-up")+('MiT Strom Pipeline'!R38="Evaluation")+('MiT Strom Pipeline'!R38="tbd")+('MiT Strom Pipeline'!R38="In evaluation")&gt;0,'MiT Strom Pipeline'!R38,"")</f>
        <v>tbd</v>
      </c>
      <c r="I171" s="37" t="n">
        <f aca="false">IF(('MiT Strom Pipeline'!R38="follow-up")+('MiT Strom Pipeline'!R38="Evaluation")+('MiT Strom Pipeline'!R38="tbd")+('MiT Strom Pipeline'!R38="In evaluation")&gt;0,'MiT Strom Pipeline'!S38,"")</f>
        <v>0.1</v>
      </c>
      <c r="J171" s="38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tbd</v>
      </c>
    </row>
    <row r="172" customFormat="false" ht="15.75" hidden="false" customHeight="true" outlineLevel="0" collapsed="false">
      <c r="A172" s="21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22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21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22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22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69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69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21" t="str">
        <f aca="false">IF(('MiT Strom Pipeline'!R39="follow-up")+('MiT Strom Pipeline'!R39="Evaluation")+('MiT Strom Pipeline'!R39="tbd")+('MiT Strom Pipeline'!R39="In evaluation")&gt;0,'MiT Strom Pipeline'!R39,"")</f>
        <v>tbd</v>
      </c>
      <c r="I172" s="21" t="n">
        <f aca="false">IF(('MiT Strom Pipeline'!R39="follow-up")+('MiT Strom Pipeline'!R39="Evaluation")+('MiT Strom Pipeline'!R39="tbd")+('MiT Strom Pipeline'!R39="In evaluation")&gt;0,'MiT Strom Pipeline'!S39,"")</f>
        <v>0.1</v>
      </c>
      <c r="J172" s="22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tbd</v>
      </c>
    </row>
    <row r="173" customFormat="false" ht="15.75" hidden="false" customHeight="true" outlineLevel="0" collapsed="false">
      <c r="A173" s="37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38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37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38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38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75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75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37" t="str">
        <f aca="false">IF(('MiT Strom Pipeline'!R40="follow-up")+('MiT Strom Pipeline'!R40="Evaluation")+('MiT Strom Pipeline'!R40="tbd")+('MiT Strom Pipeline'!R40="In evaluation")&gt;0,'MiT Strom Pipeline'!R40,"")</f>
        <v>tbd</v>
      </c>
      <c r="I173" s="37" t="n">
        <f aca="false">IF(('MiT Strom Pipeline'!R40="follow-up")+('MiT Strom Pipeline'!R40="Evaluation")+('MiT Strom Pipeline'!R40="tbd")+('MiT Strom Pipeline'!R40="In evaluation")&gt;0,'MiT Strom Pipeline'!S40,"")</f>
        <v>0.1</v>
      </c>
      <c r="J173" s="38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tbd</v>
      </c>
    </row>
    <row r="174" customFormat="false" ht="15.75" hidden="false" customHeight="true" outlineLevel="0" collapsed="false">
      <c r="A174" s="21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22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21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22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22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69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69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21" t="str">
        <f aca="false">IF(('MiT Strom Pipeline'!R41="follow-up")+('MiT Strom Pipeline'!R41="Evaluation")+('MiT Strom Pipeline'!R41="tbd")+('MiT Strom Pipeline'!R41="In evaluation")&gt;0,'MiT Strom Pipeline'!R41,"")</f>
        <v>tbd</v>
      </c>
      <c r="I174" s="21" t="n">
        <f aca="false">IF(('MiT Strom Pipeline'!R41="follow-up")+('MiT Strom Pipeline'!R41="Evaluation")+('MiT Strom Pipeline'!R41="tbd")+('MiT Strom Pipeline'!R41="In evaluation")&gt;0,'MiT Strom Pipeline'!S41,"")</f>
        <v>0.1</v>
      </c>
      <c r="J174" s="22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tbd</v>
      </c>
    </row>
    <row r="175" customFormat="false" ht="15.75" hidden="false" customHeight="true" outlineLevel="0" collapsed="false">
      <c r="A175" s="37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38" t="str">
        <f aca="false">IF(('MiT Strom Pipeline'!R42="follow-up")+('MiT Strom Pipeline'!R42="Evaluation")+('MiT Strom Pipeline'!R42="tbd")+('MiT Strom Pipeline'!R42="In evaluation")&gt;0,'MiT Strom Pipeline'!B42,"")</f>
        <v/>
      </c>
      <c r="C175" s="37" t="str">
        <f aca="false">IF(('MiT Strom Pipeline'!R42="follow-up")+('MiT Strom Pipeline'!R42="Evaluation")+('MiT Strom Pipeline'!R42="tbd")+('MiT Strom Pipeline'!R42="In evaluation")&gt;0,'MiT Strom Pipeline'!C42,"")</f>
        <v/>
      </c>
      <c r="D175" s="38" t="str">
        <f aca="false">IF(('MiT Strom Pipeline'!R42="follow-up")+('MiT Strom Pipeline'!R42="Evaluation")+('MiT Strom Pipeline'!R42="tbd")+('MiT Strom Pipeline'!R42="In evaluation")&gt;0,'MiT Strom Pipeline'!D42,"")</f>
        <v/>
      </c>
      <c r="E175" s="38" t="str">
        <f aca="false">IF(('MiT Strom Pipeline'!R42="follow-up")+('MiT Strom Pipeline'!R42="Evaluation")+('MiT Strom Pipeline'!R42="tbd")+('MiT Strom Pipeline'!R42="In evaluation")&gt;0,'MiT Strom Pipeline'!E42,"")</f>
        <v/>
      </c>
      <c r="F175" s="75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75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37" t="str">
        <f aca="false">IF(('MiT Strom Pipeline'!R42="follow-up")+('MiT Strom Pipeline'!R42="Evaluation")+('MiT Strom Pipeline'!R42="tbd")+('MiT Strom Pipeline'!R42="In evaluation")&gt;0,'MiT Strom Pipeline'!R42,"")</f>
        <v/>
      </c>
      <c r="I175" s="37" t="str">
        <f aca="false">IF(('MiT Strom Pipeline'!R42="follow-up")+('MiT Strom Pipeline'!R42="Evaluation")+('MiT Strom Pipeline'!R42="tbd")+('MiT Strom Pipeline'!R42="In evaluation")&gt;0,'MiT Strom Pipeline'!S42,"")</f>
        <v/>
      </c>
      <c r="J175" s="38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false" customHeight="true" outlineLevel="0" collapsed="false">
      <c r="A176" s="21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22" t="str">
        <f aca="false">IF(('MiT Strom Pipeline'!R43="follow-up")+('MiT Strom Pipeline'!R43="Evaluation")+('MiT Strom Pipeline'!R43="tbd")+('MiT Strom Pipeline'!R43="In evaluation")&gt;0,'MiT Strom Pipeline'!B43,"")</f>
        <v/>
      </c>
      <c r="C176" s="21" t="str">
        <f aca="false">IF(('MiT Strom Pipeline'!R43="follow-up")+('MiT Strom Pipeline'!R43="Evaluation")+('MiT Strom Pipeline'!R43="tbd")+('MiT Strom Pipeline'!R43="In evaluation")&gt;0,'MiT Strom Pipeline'!C43,"")</f>
        <v/>
      </c>
      <c r="D176" s="22" t="str">
        <f aca="false">IF(('MiT Strom Pipeline'!R43="follow-up")+('MiT Strom Pipeline'!R43="Evaluation")+('MiT Strom Pipeline'!R43="tbd")+('MiT Strom Pipeline'!R43="In evaluation")&gt;0,'MiT Strom Pipeline'!D43,"")</f>
        <v/>
      </c>
      <c r="E176" s="22" t="str">
        <f aca="false">IF(('MiT Strom Pipeline'!R43="follow-up")+('MiT Strom Pipeline'!R43="Evaluation")+('MiT Strom Pipeline'!R43="tbd")+('MiT Strom Pipeline'!R43="In evaluation")&gt;0,'MiT Strom Pipeline'!E43,"")</f>
        <v/>
      </c>
      <c r="F176" s="69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69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21" t="str">
        <f aca="false">IF(('MiT Strom Pipeline'!R43="follow-up")+('MiT Strom Pipeline'!R43="Evaluation")+('MiT Strom Pipeline'!R43="tbd")+('MiT Strom Pipeline'!R43="In evaluation")&gt;0,'MiT Strom Pipeline'!R43,"")</f>
        <v/>
      </c>
      <c r="I176" s="21" t="str">
        <f aca="false">IF(('MiT Strom Pipeline'!R43="follow-up")+('MiT Strom Pipeline'!R43="Evaluation")+('MiT Strom Pipeline'!R43="tbd")+('MiT Strom Pipeline'!R43="In evaluation")&gt;0,'MiT Strom Pipeline'!S43,"")</f>
        <v/>
      </c>
      <c r="J176" s="22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false" customHeight="true" outlineLevel="0" collapsed="false">
      <c r="A177" s="37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38" t="str">
        <f aca="false">IF(('MiT Strom Pipeline'!R44="follow-up")+('MiT Strom Pipeline'!R44="Evaluation")+('MiT Strom Pipeline'!R44="tbd")+('MiT Strom Pipeline'!R44="In evaluation")&gt;0,'MiT Strom Pipeline'!B44,"")</f>
        <v/>
      </c>
      <c r="C177" s="37" t="str">
        <f aca="false">IF(('MiT Strom Pipeline'!R44="follow-up")+('MiT Strom Pipeline'!R44="Evaluation")+('MiT Strom Pipeline'!R44="tbd")+('MiT Strom Pipeline'!R44="In evaluation")&gt;0,'MiT Strom Pipeline'!C44,"")</f>
        <v/>
      </c>
      <c r="D177" s="38" t="str">
        <f aca="false">IF(('MiT Strom Pipeline'!R44="follow-up")+('MiT Strom Pipeline'!R44="Evaluation")+('MiT Strom Pipeline'!R44="tbd")+('MiT Strom Pipeline'!R44="In evaluation")&gt;0,'MiT Strom Pipeline'!D44,"")</f>
        <v/>
      </c>
      <c r="E177" s="38" t="str">
        <f aca="false">IF(('MiT Strom Pipeline'!R44="follow-up")+('MiT Strom Pipeline'!R44="Evaluation")+('MiT Strom Pipeline'!R44="tbd")+('MiT Strom Pipeline'!R44="In evaluation")&gt;0,'MiT Strom Pipeline'!E44,"")</f>
        <v/>
      </c>
      <c r="F177" s="75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75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37" t="str">
        <f aca="false">IF(('MiT Strom Pipeline'!R44="follow-up")+('MiT Strom Pipeline'!R44="Evaluation")+('MiT Strom Pipeline'!R44="tbd")+('MiT Strom Pipeline'!R44="In evaluation")&gt;0,'MiT Strom Pipeline'!R44,"")</f>
        <v/>
      </c>
      <c r="I177" s="37" t="str">
        <f aca="false">IF(('MiT Strom Pipeline'!R44="follow-up")+('MiT Strom Pipeline'!R44="Evaluation")+('MiT Strom Pipeline'!R44="tbd")+('MiT Strom Pipeline'!R44="In evaluation")&gt;0,'MiT Strom Pipeline'!S44,"")</f>
        <v/>
      </c>
      <c r="J177" s="38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false" customHeight="true" outlineLevel="0" collapsed="false">
      <c r="A178" s="21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22" t="str">
        <f aca="false">IF(('MiT Strom Pipeline'!R45="follow-up")+('MiT Strom Pipeline'!R45="Evaluation")+('MiT Strom Pipeline'!R45="tbd")+('MiT Strom Pipeline'!R45="In evaluation")&gt;0,'MiT Strom Pipeline'!B45,"")</f>
        <v/>
      </c>
      <c r="C178" s="21" t="str">
        <f aca="false">IF(('MiT Strom Pipeline'!R45="follow-up")+('MiT Strom Pipeline'!R45="Evaluation")+('MiT Strom Pipeline'!R45="tbd")+('MiT Strom Pipeline'!R45="In evaluation")&gt;0,'MiT Strom Pipeline'!C45,"")</f>
        <v/>
      </c>
      <c r="D178" s="22" t="str">
        <f aca="false">IF(('MiT Strom Pipeline'!R45="follow-up")+('MiT Strom Pipeline'!R45="Evaluation")+('MiT Strom Pipeline'!R45="tbd")+('MiT Strom Pipeline'!R45="In evaluation")&gt;0,'MiT Strom Pipeline'!D45,"")</f>
        <v/>
      </c>
      <c r="E178" s="22" t="str">
        <f aca="false">IF(('MiT Strom Pipeline'!R45="follow-up")+('MiT Strom Pipeline'!R45="Evaluation")+('MiT Strom Pipeline'!R45="tbd")+('MiT Strom Pipeline'!R45="In evaluation")&gt;0,'MiT Strom Pipeline'!E45,"")</f>
        <v/>
      </c>
      <c r="F178" s="69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69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21" t="str">
        <f aca="false">IF(('MiT Strom Pipeline'!R45="follow-up")+('MiT Strom Pipeline'!R45="Evaluation")+('MiT Strom Pipeline'!R45="tbd")+('MiT Strom Pipeline'!R45="In evaluation")&gt;0,'MiT Strom Pipeline'!R45,"")</f>
        <v/>
      </c>
      <c r="I178" s="21" t="str">
        <f aca="false">IF(('MiT Strom Pipeline'!R45="follow-up")+('MiT Strom Pipeline'!R45="Evaluation")+('MiT Strom Pipeline'!R45="tbd")+('MiT Strom Pipeline'!R45="In evaluation")&gt;0,'MiT Strom Pipeline'!S45,"")</f>
        <v/>
      </c>
      <c r="J178" s="22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false" customHeight="true" outlineLevel="0" collapsed="false">
      <c r="A179" s="37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38" t="str">
        <f aca="false">IF(('MiT Strom Pipeline'!R46="follow-up")+('MiT Strom Pipeline'!R46="Evaluation")+('MiT Strom Pipeline'!R46="tbd")+('MiT Strom Pipeline'!R46="In evaluation")&gt;0,'MiT Strom Pipeline'!B46,"")</f>
        <v/>
      </c>
      <c r="C179" s="37" t="str">
        <f aca="false">IF(('MiT Strom Pipeline'!R46="follow-up")+('MiT Strom Pipeline'!R46="Evaluation")+('MiT Strom Pipeline'!R46="tbd")+('MiT Strom Pipeline'!R46="In evaluation")&gt;0,'MiT Strom Pipeline'!C46,"")</f>
        <v/>
      </c>
      <c r="D179" s="38" t="str">
        <f aca="false">IF(('MiT Strom Pipeline'!R46="follow-up")+('MiT Strom Pipeline'!R46="Evaluation")+('MiT Strom Pipeline'!R46="tbd")+('MiT Strom Pipeline'!R46="In evaluation")&gt;0,'MiT Strom Pipeline'!D46,"")</f>
        <v/>
      </c>
      <c r="E179" s="38" t="str">
        <f aca="false">IF(('MiT Strom Pipeline'!R46="follow-up")+('MiT Strom Pipeline'!R46="Evaluation")+('MiT Strom Pipeline'!R46="tbd")+('MiT Strom Pipeline'!R46="In evaluation")&gt;0,'MiT Strom Pipeline'!E46,"")</f>
        <v/>
      </c>
      <c r="F179" s="75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75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37" t="str">
        <f aca="false">IF(('MiT Strom Pipeline'!R46="follow-up")+('MiT Strom Pipeline'!R46="Evaluation")+('MiT Strom Pipeline'!R46="tbd")+('MiT Strom Pipeline'!R46="In evaluation")&gt;0,'MiT Strom Pipeline'!R46,"")</f>
        <v/>
      </c>
      <c r="I179" s="37" t="str">
        <f aca="false">IF(('MiT Strom Pipeline'!R46="follow-up")+('MiT Strom Pipeline'!R46="Evaluation")+('MiT Strom Pipeline'!R46="tbd")+('MiT Strom Pipeline'!R46="In evaluation")&gt;0,'MiT Strom Pipeline'!S46,"")</f>
        <v/>
      </c>
      <c r="J179" s="38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false" customHeight="true" outlineLevel="0" collapsed="false">
      <c r="A180" s="21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22" t="str">
        <f aca="false">IF(('MiT Strom Pipeline'!R47="follow-up")+('MiT Strom Pipeline'!R47="Evaluation")+('MiT Strom Pipeline'!R47="tbd")+('MiT Strom Pipeline'!R47="In evaluation")&gt;0,'MiT Strom Pipeline'!B47,"")</f>
        <v/>
      </c>
      <c r="C180" s="21" t="str">
        <f aca="false">IF(('MiT Strom Pipeline'!R47="follow-up")+('MiT Strom Pipeline'!R47="Evaluation")+('MiT Strom Pipeline'!R47="tbd")+('MiT Strom Pipeline'!R47="In evaluation")&gt;0,'MiT Strom Pipeline'!C47,"")</f>
        <v/>
      </c>
      <c r="D180" s="22" t="str">
        <f aca="false">IF(('MiT Strom Pipeline'!R47="follow-up")+('MiT Strom Pipeline'!R47="Evaluation")+('MiT Strom Pipeline'!R47="tbd")+('MiT Strom Pipeline'!R47="In evaluation")&gt;0,'MiT Strom Pipeline'!D47,"")</f>
        <v/>
      </c>
      <c r="E180" s="22" t="str">
        <f aca="false">IF(('MiT Strom Pipeline'!R47="follow-up")+('MiT Strom Pipeline'!R47="Evaluation")+('MiT Strom Pipeline'!R47="tbd")+('MiT Strom Pipeline'!R47="In evaluation")&gt;0,'MiT Strom Pipeline'!E47,"")</f>
        <v/>
      </c>
      <c r="F180" s="69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69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21" t="str">
        <f aca="false">IF(('MiT Strom Pipeline'!R47="follow-up")+('MiT Strom Pipeline'!R47="Evaluation")+('MiT Strom Pipeline'!R47="tbd")+('MiT Strom Pipeline'!R47="In evaluation")&gt;0,'MiT Strom Pipeline'!R47,"")</f>
        <v/>
      </c>
      <c r="I180" s="21" t="str">
        <f aca="false">IF(('MiT Strom Pipeline'!R47="follow-up")+('MiT Strom Pipeline'!R47="Evaluation")+('MiT Strom Pipeline'!R47="tbd")+('MiT Strom Pipeline'!R47="In evaluation")&gt;0,'MiT Strom Pipeline'!S47,"")</f>
        <v/>
      </c>
      <c r="J180" s="22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false" customHeight="true" outlineLevel="0" collapsed="false">
      <c r="A181" s="37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38" t="str">
        <f aca="false">IF(('MiT Strom Pipeline'!R48="follow-up")+('MiT Strom Pipeline'!R48="Evaluation")+('MiT Strom Pipeline'!R48="tbd")+('MiT Strom Pipeline'!R48="In evaluation")&gt;0,'MiT Strom Pipeline'!B48,"")</f>
        <v/>
      </c>
      <c r="C181" s="37" t="str">
        <f aca="false">IF(('MiT Strom Pipeline'!R48="follow-up")+('MiT Strom Pipeline'!R48="Evaluation")+('MiT Strom Pipeline'!R48="tbd")+('MiT Strom Pipeline'!R48="In evaluation")&gt;0,'MiT Strom Pipeline'!C48,"")</f>
        <v/>
      </c>
      <c r="D181" s="38" t="str">
        <f aca="false">IF(('MiT Strom Pipeline'!R48="follow-up")+('MiT Strom Pipeline'!R48="Evaluation")+('MiT Strom Pipeline'!R48="tbd")+('MiT Strom Pipeline'!R48="In evaluation")&gt;0,'MiT Strom Pipeline'!D48,"")</f>
        <v/>
      </c>
      <c r="E181" s="38" t="str">
        <f aca="false">IF(('MiT Strom Pipeline'!R48="follow-up")+('MiT Strom Pipeline'!R48="Evaluation")+('MiT Strom Pipeline'!R48="tbd")+('MiT Strom Pipeline'!R48="In evaluation")&gt;0,'MiT Strom Pipeline'!E48,"")</f>
        <v/>
      </c>
      <c r="F181" s="75" t="str">
        <f aca="false">IF(('MiT Strom Pipeline'!R48="follow-up")+('MiT Strom Pipeline'!R48="Evaluation")+('MiT Strom Pipeline'!R48="tbd")+('MiT Strom Pipeline'!R48="In evaluation")&gt;0,IF(ISNUMBER('MiT Strom Pipeline'!I48),'MiT Strom Pipeline'!I48,0),"")</f>
        <v/>
      </c>
      <c r="G181" s="75" t="str">
        <f aca="false">IF(('MiT Strom Pipeline'!R48="follow-up")+('MiT Strom Pipeline'!R48="Evaluation")+('MiT Strom Pipeline'!R48="tbd")+('MiT Strom Pipeline'!R48="In evaluation")&gt;0,IF(ISNUMBER('MiT Strom Pipeline'!Q48),'MiT Strom Pipeline'!Q48,0),"")</f>
        <v/>
      </c>
      <c r="H181" s="37" t="str">
        <f aca="false">IF(('MiT Strom Pipeline'!R48="follow-up")+('MiT Strom Pipeline'!R48="Evaluation")+('MiT Strom Pipeline'!R48="tbd")+('MiT Strom Pipeline'!R48="In evaluation")&gt;0,'MiT Strom Pipeline'!R48,"")</f>
        <v/>
      </c>
      <c r="I181" s="37" t="str">
        <f aca="false">IF(('MiT Strom Pipeline'!R48="follow-up")+('MiT Strom Pipeline'!R48="Evaluation")+('MiT Strom Pipeline'!R48="tbd")+('MiT Strom Pipeline'!R48="In evaluation")&gt;0,'MiT Strom Pipeline'!S48,"")</f>
        <v/>
      </c>
      <c r="J181" s="38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/>
      </c>
    </row>
    <row r="182" customFormat="false" ht="15.75" hidden="false" customHeight="true" outlineLevel="0" collapsed="false">
      <c r="A182" s="21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22" t="str">
        <f aca="false">IF(('MiT Strom Pipeline'!R49="follow-up")+('MiT Strom Pipeline'!R49="Evaluation")+('MiT Strom Pipeline'!R49="tbd")+('MiT Strom Pipeline'!R49="In evaluation")&gt;0,'MiT Strom Pipeline'!B49,"")</f>
        <v/>
      </c>
      <c r="C182" s="21" t="str">
        <f aca="false">IF(('MiT Strom Pipeline'!R49="follow-up")+('MiT Strom Pipeline'!R49="Evaluation")+('MiT Strom Pipeline'!R49="tbd")+('MiT Strom Pipeline'!R49="In evaluation")&gt;0,'MiT Strom Pipeline'!C49,"")</f>
        <v/>
      </c>
      <c r="D182" s="22" t="str">
        <f aca="false">IF(('MiT Strom Pipeline'!R49="follow-up")+('MiT Strom Pipeline'!R49="Evaluation")+('MiT Strom Pipeline'!R49="tbd")+('MiT Strom Pipeline'!R49="In evaluation")&gt;0,'MiT Strom Pipeline'!D49,"")</f>
        <v/>
      </c>
      <c r="E182" s="22" t="str">
        <f aca="false">IF(('MiT Strom Pipeline'!R49="follow-up")+('MiT Strom Pipeline'!R49="Evaluation")+('MiT Strom Pipeline'!R49="tbd")+('MiT Strom Pipeline'!R49="In evaluation")&gt;0,'MiT Strom Pipeline'!E49,"")</f>
        <v/>
      </c>
      <c r="F182" s="69" t="str">
        <f aca="false">IF(('MiT Strom Pipeline'!R49="follow-up")+('MiT Strom Pipeline'!R49="Evaluation")+('MiT Strom Pipeline'!R49="tbd")+('MiT Strom Pipeline'!R49="In evaluation")&gt;0,IF(ISNUMBER('MiT Strom Pipeline'!I49),'MiT Strom Pipeline'!I49,0),"")</f>
        <v/>
      </c>
      <c r="G182" s="69" t="str">
        <f aca="false">IF(('MiT Strom Pipeline'!R49="follow-up")+('MiT Strom Pipeline'!R49="Evaluation")+('MiT Strom Pipeline'!R49="tbd")+('MiT Strom Pipeline'!R49="In evaluation")&gt;0,IF(ISNUMBER('MiT Strom Pipeline'!Q49),'MiT Strom Pipeline'!Q49,0),"")</f>
        <v/>
      </c>
      <c r="H182" s="21" t="str">
        <f aca="false">IF(('MiT Strom Pipeline'!R49="follow-up")+('MiT Strom Pipeline'!R49="Evaluation")+('MiT Strom Pipeline'!R49="tbd")+('MiT Strom Pipeline'!R49="In evaluation")&gt;0,'MiT Strom Pipeline'!R49,"")</f>
        <v/>
      </c>
      <c r="I182" s="21" t="str">
        <f aca="false">IF(('MiT Strom Pipeline'!R49="follow-up")+('MiT Strom Pipeline'!R49="Evaluation")+('MiT Strom Pipeline'!R49="tbd")+('MiT Strom Pipeline'!R49="In evaluation")&gt;0,'MiT Strom Pipeline'!S49,"")</f>
        <v/>
      </c>
      <c r="J182" s="22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false" customHeight="true" outlineLevel="0" collapsed="false">
      <c r="A183" s="37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38" t="str">
        <f aca="false">IF(('MiT Strom Pipeline'!R50="follow-up")+('MiT Strom Pipeline'!R50="Evaluation")+('MiT Strom Pipeline'!R50="tbd")+('MiT Strom Pipeline'!R50="In evaluation")&gt;0,'MiT Strom Pipeline'!B50,"")</f>
        <v/>
      </c>
      <c r="C183" s="37" t="str">
        <f aca="false">IF(('MiT Strom Pipeline'!R50="follow-up")+('MiT Strom Pipeline'!R50="Evaluation")+('MiT Strom Pipeline'!R50="tbd")+('MiT Strom Pipeline'!R50="In evaluation")&gt;0,'MiT Strom Pipeline'!C50,"")</f>
        <v/>
      </c>
      <c r="D183" s="38" t="str">
        <f aca="false">IF(('MiT Strom Pipeline'!R50="follow-up")+('MiT Strom Pipeline'!R50="Evaluation")+('MiT Strom Pipeline'!R50="tbd")+('MiT Strom Pipeline'!R50="In evaluation")&gt;0,'MiT Strom Pipeline'!D50,"")</f>
        <v/>
      </c>
      <c r="E183" s="38" t="str">
        <f aca="false">IF(('MiT Strom Pipeline'!R50="follow-up")+('MiT Strom Pipeline'!R50="Evaluation")+('MiT Strom Pipeline'!R50="tbd")+('MiT Strom Pipeline'!R50="In evaluation")&gt;0,'MiT Strom Pipeline'!E50,"")</f>
        <v/>
      </c>
      <c r="F183" s="75" t="str">
        <f aca="false">IF(('MiT Strom Pipeline'!R50="follow-up")+('MiT Strom Pipeline'!R50="Evaluation")+('MiT Strom Pipeline'!R50="tbd")+('MiT Strom Pipeline'!R50="In evaluation")&gt;0,IF(ISNUMBER('MiT Strom Pipeline'!I50),'MiT Strom Pipeline'!I50,0),"")</f>
        <v/>
      </c>
      <c r="G183" s="75" t="str">
        <f aca="false">IF(('MiT Strom Pipeline'!R50="follow-up")+('MiT Strom Pipeline'!R50="Evaluation")+('MiT Strom Pipeline'!R50="tbd")+('MiT Strom Pipeline'!R50="In evaluation")&gt;0,IF(ISNUMBER('MiT Strom Pipeline'!Q50),'MiT Strom Pipeline'!Q50,0),"")</f>
        <v/>
      </c>
      <c r="H183" s="37" t="str">
        <f aca="false">IF(('MiT Strom Pipeline'!R50="follow-up")+('MiT Strom Pipeline'!R50="Evaluation")+('MiT Strom Pipeline'!R50="tbd")+('MiT Strom Pipeline'!R50="In evaluation")&gt;0,'MiT Strom Pipeline'!R50,"")</f>
        <v/>
      </c>
      <c r="I183" s="37" t="str">
        <f aca="false">IF(('MiT Strom Pipeline'!R50="follow-up")+('MiT Strom Pipeline'!R50="Evaluation")+('MiT Strom Pipeline'!R50="tbd")+('MiT Strom Pipeline'!R50="In evaluation")&gt;0,'MiT Strom Pipeline'!S50,"")</f>
        <v/>
      </c>
      <c r="J183" s="38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false" customHeight="true" outlineLevel="0" collapsed="false">
      <c r="A184" s="21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22" t="str">
        <f aca="false">IF(('MiT Strom Pipeline'!R51="follow-up")+('MiT Strom Pipeline'!R51="Evaluation")+('MiT Strom Pipeline'!R51="tbd")+('MiT Strom Pipeline'!R51="In evaluation")&gt;0,'MiT Strom Pipeline'!B51,"")</f>
        <v/>
      </c>
      <c r="C184" s="21" t="str">
        <f aca="false">IF(('MiT Strom Pipeline'!R51="follow-up")+('MiT Strom Pipeline'!R51="Evaluation")+('MiT Strom Pipeline'!R51="tbd")+('MiT Strom Pipeline'!R51="In evaluation")&gt;0,'MiT Strom Pipeline'!C51,"")</f>
        <v/>
      </c>
      <c r="D184" s="22" t="str">
        <f aca="false">IF(('MiT Strom Pipeline'!R51="follow-up")+('MiT Strom Pipeline'!R51="Evaluation")+('MiT Strom Pipeline'!R51="tbd")+('MiT Strom Pipeline'!R51="In evaluation")&gt;0,'MiT Strom Pipeline'!D51,"")</f>
        <v/>
      </c>
      <c r="E184" s="22" t="str">
        <f aca="false">IF(('MiT Strom Pipeline'!R51="follow-up")+('MiT Strom Pipeline'!R51="Evaluation")+('MiT Strom Pipeline'!R51="tbd")+('MiT Strom Pipeline'!R51="In evaluation")&gt;0,'MiT Strom Pipeline'!E51,"")</f>
        <v/>
      </c>
      <c r="F184" s="69" t="str">
        <f aca="false">IF(('MiT Strom Pipeline'!R51="follow-up")+('MiT Strom Pipeline'!R51="Evaluation")+('MiT Strom Pipeline'!R51="tbd")+('MiT Strom Pipeline'!R51="In evaluation")&gt;0,IF(ISNUMBER('MiT Strom Pipeline'!I51),'MiT Strom Pipeline'!I51,0),"")</f>
        <v/>
      </c>
      <c r="G184" s="69" t="str">
        <f aca="false">IF(('MiT Strom Pipeline'!R51="follow-up")+('MiT Strom Pipeline'!R51="Evaluation")+('MiT Strom Pipeline'!R51="tbd")+('MiT Strom Pipeline'!R51="In evaluation")&gt;0,IF(ISNUMBER('MiT Strom Pipeline'!Q51),'MiT Strom Pipeline'!Q51,0),"")</f>
        <v/>
      </c>
      <c r="H184" s="21" t="str">
        <f aca="false">IF(('MiT Strom Pipeline'!R51="follow-up")+('MiT Strom Pipeline'!R51="Evaluation")+('MiT Strom Pipeline'!R51="tbd")+('MiT Strom Pipeline'!R51="In evaluation")&gt;0,'MiT Strom Pipeline'!R51,"")</f>
        <v/>
      </c>
      <c r="I184" s="21" t="str">
        <f aca="false">IF(('MiT Strom Pipeline'!R51="follow-up")+('MiT Strom Pipeline'!R51="Evaluation")+('MiT Strom Pipeline'!R51="tbd")+('MiT Strom Pipeline'!R51="In evaluation")&gt;0,'MiT Strom Pipeline'!S51,"")</f>
        <v/>
      </c>
      <c r="J184" s="22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false" customHeight="true" outlineLevel="0" collapsed="false">
      <c r="A185" s="37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38" t="str">
        <f aca="false">IF(('MiT Strom Pipeline'!R52="follow-up")+('MiT Strom Pipeline'!R52="Evaluation")+('MiT Strom Pipeline'!R52="tbd")+('MiT Strom Pipeline'!R52="In evaluation")&gt;0,'MiT Strom Pipeline'!B52,"")</f>
        <v/>
      </c>
      <c r="C185" s="37" t="str">
        <f aca="false">IF(('MiT Strom Pipeline'!R52="follow-up")+('MiT Strom Pipeline'!R52="Evaluation")+('MiT Strom Pipeline'!R52="tbd")+('MiT Strom Pipeline'!R52="In evaluation")&gt;0,'MiT Strom Pipeline'!C52,"")</f>
        <v/>
      </c>
      <c r="D185" s="38" t="str">
        <f aca="false">IF(('MiT Strom Pipeline'!R52="follow-up")+('MiT Strom Pipeline'!R52="Evaluation")+('MiT Strom Pipeline'!R52="tbd")+('MiT Strom Pipeline'!R52="In evaluation")&gt;0,'MiT Strom Pipeline'!D52,"")</f>
        <v/>
      </c>
      <c r="E185" s="38" t="str">
        <f aca="false">IF(('MiT Strom Pipeline'!R52="follow-up")+('MiT Strom Pipeline'!R52="Evaluation")+('MiT Strom Pipeline'!R52="tbd")+('MiT Strom Pipeline'!R52="In evaluation")&gt;0,'MiT Strom Pipeline'!E52,"")</f>
        <v/>
      </c>
      <c r="F185" s="75" t="str">
        <f aca="false">IF(('MiT Strom Pipeline'!R52="follow-up")+('MiT Strom Pipeline'!R52="Evaluation")+('MiT Strom Pipeline'!R52="tbd")+('MiT Strom Pipeline'!R52="In evaluation")&gt;0,IF(ISNUMBER('MiT Strom Pipeline'!I52),'MiT Strom Pipeline'!I52,0),"")</f>
        <v/>
      </c>
      <c r="G185" s="75" t="str">
        <f aca="false">IF(('MiT Strom Pipeline'!R52="follow-up")+('MiT Strom Pipeline'!R52="Evaluation")+('MiT Strom Pipeline'!R52="tbd")+('MiT Strom Pipeline'!R52="In evaluation")&gt;0,IF(ISNUMBER('MiT Strom Pipeline'!Q52),'MiT Strom Pipeline'!Q52,0),"")</f>
        <v/>
      </c>
      <c r="H185" s="37" t="str">
        <f aca="false">IF(('MiT Strom Pipeline'!R52="follow-up")+('MiT Strom Pipeline'!R52="Evaluation")+('MiT Strom Pipeline'!R52="tbd")+('MiT Strom Pipeline'!R52="In evaluation")&gt;0,'MiT Strom Pipeline'!R52,"")</f>
        <v/>
      </c>
      <c r="I185" s="37" t="str">
        <f aca="false">IF(('MiT Strom Pipeline'!R52="follow-up")+('MiT Strom Pipeline'!R52="Evaluation")+('MiT Strom Pipeline'!R52="tbd")+('MiT Strom Pipeline'!R52="In evaluation")&gt;0,'MiT Strom Pipeline'!S52,"")</f>
        <v/>
      </c>
      <c r="J185" s="38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false" customHeight="true" outlineLevel="0" collapsed="false">
      <c r="A186" s="21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22" t="str">
        <f aca="false">IF(('MiT Strom Pipeline'!R53="follow-up")+('MiT Strom Pipeline'!R53="Evaluation")+('MiT Strom Pipeline'!R53="tbd")+('MiT Strom Pipeline'!R53="In evaluation")&gt;0,'MiT Strom Pipeline'!B53,"")</f>
        <v/>
      </c>
      <c r="C186" s="21" t="str">
        <f aca="false">IF(('MiT Strom Pipeline'!R53="follow-up")+('MiT Strom Pipeline'!R53="Evaluation")+('MiT Strom Pipeline'!R53="tbd")+('MiT Strom Pipeline'!R53="In evaluation")&gt;0,'MiT Strom Pipeline'!C53,"")</f>
        <v/>
      </c>
      <c r="D186" s="22" t="str">
        <f aca="false">IF(('MiT Strom Pipeline'!R53="follow-up")+('MiT Strom Pipeline'!R53="Evaluation")+('MiT Strom Pipeline'!R53="tbd")+('MiT Strom Pipeline'!R53="In evaluation")&gt;0,'MiT Strom Pipeline'!D53,"")</f>
        <v/>
      </c>
      <c r="E186" s="22" t="str">
        <f aca="false">IF(('MiT Strom Pipeline'!R53="follow-up")+('MiT Strom Pipeline'!R53="Evaluation")+('MiT Strom Pipeline'!R53="tbd")+('MiT Strom Pipeline'!R53="In evaluation")&gt;0,'MiT Strom Pipeline'!E53,"")</f>
        <v/>
      </c>
      <c r="F186" s="69" t="str">
        <f aca="false">IF(('MiT Strom Pipeline'!R53="follow-up")+('MiT Strom Pipeline'!R53="Evaluation")+('MiT Strom Pipeline'!R53="tbd")+('MiT Strom Pipeline'!R53="In evaluation")&gt;0,IF(ISNUMBER('MiT Strom Pipeline'!I53),'MiT Strom Pipeline'!I53,0),"")</f>
        <v/>
      </c>
      <c r="G186" s="69" t="str">
        <f aca="false">IF(('MiT Strom Pipeline'!R53="follow-up")+('MiT Strom Pipeline'!R53="Evaluation")+('MiT Strom Pipeline'!R53="tbd")+('MiT Strom Pipeline'!R53="In evaluation")&gt;0,IF(ISNUMBER('MiT Strom Pipeline'!Q53),'MiT Strom Pipeline'!Q53,0),"")</f>
        <v/>
      </c>
      <c r="H186" s="21" t="str">
        <f aca="false">IF(('MiT Strom Pipeline'!R53="follow-up")+('MiT Strom Pipeline'!R53="Evaluation")+('MiT Strom Pipeline'!R53="tbd")+('MiT Strom Pipeline'!R53="In evaluation")&gt;0,'MiT Strom Pipeline'!R53,"")</f>
        <v/>
      </c>
      <c r="I186" s="21" t="str">
        <f aca="false">IF(('MiT Strom Pipeline'!R53="follow-up")+('MiT Strom Pipeline'!R53="Evaluation")+('MiT Strom Pipeline'!R53="tbd")+('MiT Strom Pipeline'!R53="In evaluation")&gt;0,'MiT Strom Pipeline'!S53,"")</f>
        <v/>
      </c>
      <c r="J186" s="22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false" customHeight="true" outlineLevel="0" collapsed="false">
      <c r="A187" s="37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38" t="str">
        <f aca="false">IF(('MiT Strom Pipeline'!R54="follow-up")+('MiT Strom Pipeline'!R54="Evaluation")+('MiT Strom Pipeline'!R54="tbd")+('MiT Strom Pipeline'!R54="In evaluation")&gt;0,'MiT Strom Pipeline'!B54,"")</f>
        <v/>
      </c>
      <c r="C187" s="37" t="str">
        <f aca="false">IF(('MiT Strom Pipeline'!R54="follow-up")+('MiT Strom Pipeline'!R54="Evaluation")+('MiT Strom Pipeline'!R54="tbd")+('MiT Strom Pipeline'!R54="In evaluation")&gt;0,'MiT Strom Pipeline'!C54,"")</f>
        <v/>
      </c>
      <c r="D187" s="38" t="str">
        <f aca="false">IF(('MiT Strom Pipeline'!R54="follow-up")+('MiT Strom Pipeline'!R54="Evaluation")+('MiT Strom Pipeline'!R54="tbd")+('MiT Strom Pipeline'!R54="In evaluation")&gt;0,'MiT Strom Pipeline'!D54,"")</f>
        <v/>
      </c>
      <c r="E187" s="38" t="str">
        <f aca="false">IF(('MiT Strom Pipeline'!R54="follow-up")+('MiT Strom Pipeline'!R54="Evaluation")+('MiT Strom Pipeline'!R54="tbd")+('MiT Strom Pipeline'!R54="In evaluation")&gt;0,'MiT Strom Pipeline'!E54,"")</f>
        <v/>
      </c>
      <c r="F187" s="75" t="str">
        <f aca="false">IF(('MiT Strom Pipeline'!R54="follow-up")+('MiT Strom Pipeline'!R54="Evaluation")+('MiT Strom Pipeline'!R54="tbd")+('MiT Strom Pipeline'!R54="In evaluation")&gt;0,IF(ISNUMBER('MiT Strom Pipeline'!I54),'MiT Strom Pipeline'!I54,0),"")</f>
        <v/>
      </c>
      <c r="G187" s="75" t="str">
        <f aca="false">IF(('MiT Strom Pipeline'!R54="follow-up")+('MiT Strom Pipeline'!R54="Evaluation")+('MiT Strom Pipeline'!R54="tbd")+('MiT Strom Pipeline'!R54="In evaluation")&gt;0,IF(ISNUMBER('MiT Strom Pipeline'!Q54),'MiT Strom Pipeline'!Q54,0),"")</f>
        <v/>
      </c>
      <c r="H187" s="37" t="str">
        <f aca="false">IF(('MiT Strom Pipeline'!R54="follow-up")+('MiT Strom Pipeline'!R54="Evaluation")+('MiT Strom Pipeline'!R54="tbd")+('MiT Strom Pipeline'!R54="In evaluation")&gt;0,'MiT Strom Pipeline'!R54,"")</f>
        <v/>
      </c>
      <c r="I187" s="37" t="str">
        <f aca="false">IF(('MiT Strom Pipeline'!R54="follow-up")+('MiT Strom Pipeline'!R54="Evaluation")+('MiT Strom Pipeline'!R54="tbd")+('MiT Strom Pipeline'!R54="In evaluation")&gt;0,'MiT Strom Pipeline'!S54,"")</f>
        <v/>
      </c>
      <c r="J187" s="38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false" customHeight="true" outlineLevel="0" collapsed="false">
      <c r="A188" s="21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22" t="str">
        <f aca="false">IF(('MiT Strom Pipeline'!R55="follow-up")+('MiT Strom Pipeline'!R55="Evaluation")+('MiT Strom Pipeline'!R55="tbd")+('MiT Strom Pipeline'!R55="In evaluation")&gt;0,'MiT Strom Pipeline'!B55,"")</f>
        <v/>
      </c>
      <c r="C188" s="21" t="str">
        <f aca="false">IF(('MiT Strom Pipeline'!R55="follow-up")+('MiT Strom Pipeline'!R55="Evaluation")+('MiT Strom Pipeline'!R55="tbd")+('MiT Strom Pipeline'!R55="In evaluation")&gt;0,'MiT Strom Pipeline'!C55,"")</f>
        <v/>
      </c>
      <c r="D188" s="22" t="str">
        <f aca="false">IF(('MiT Strom Pipeline'!R55="follow-up")+('MiT Strom Pipeline'!R55="Evaluation")+('MiT Strom Pipeline'!R55="tbd")+('MiT Strom Pipeline'!R55="In evaluation")&gt;0,'MiT Strom Pipeline'!D55,"")</f>
        <v/>
      </c>
      <c r="E188" s="22" t="str">
        <f aca="false">IF(('MiT Strom Pipeline'!R55="follow-up")+('MiT Strom Pipeline'!R55="Evaluation")+('MiT Strom Pipeline'!R55="tbd")+('MiT Strom Pipeline'!R55="In evaluation")&gt;0,'MiT Strom Pipeline'!E55,"")</f>
        <v/>
      </c>
      <c r="F188" s="69" t="str">
        <f aca="false">IF(('MiT Strom Pipeline'!R55="follow-up")+('MiT Strom Pipeline'!R55="Evaluation")+('MiT Strom Pipeline'!R55="tbd")+('MiT Strom Pipeline'!R55="In evaluation")&gt;0,IF(ISNUMBER('MiT Strom Pipeline'!I55),'MiT Strom Pipeline'!I55,0),"")</f>
        <v/>
      </c>
      <c r="G188" s="69" t="str">
        <f aca="false">IF(('MiT Strom Pipeline'!R55="follow-up")+('MiT Strom Pipeline'!R55="Evaluation")+('MiT Strom Pipeline'!R55="tbd")+('MiT Strom Pipeline'!R55="In evaluation")&gt;0,IF(ISNUMBER('MiT Strom Pipeline'!Q55),'MiT Strom Pipeline'!Q55,0),"")</f>
        <v/>
      </c>
      <c r="H188" s="21" t="str">
        <f aca="false">IF(('MiT Strom Pipeline'!R55="follow-up")+('MiT Strom Pipeline'!R55="Evaluation")+('MiT Strom Pipeline'!R55="tbd")+('MiT Strom Pipeline'!R55="In evaluation")&gt;0,'MiT Strom Pipeline'!R55,"")</f>
        <v/>
      </c>
      <c r="I188" s="21" t="str">
        <f aca="false">IF(('MiT Strom Pipeline'!R55="follow-up")+('MiT Strom Pipeline'!R55="Evaluation")+('MiT Strom Pipeline'!R55="tbd")+('MiT Strom Pipeline'!R55="In evaluation")&gt;0,'MiT Strom Pipeline'!S55,"")</f>
        <v/>
      </c>
      <c r="J188" s="22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false" customHeight="true" outlineLevel="0" collapsed="false">
      <c r="A189" s="37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38" t="str">
        <f aca="false">IF(('MiT Strom Pipeline'!R56="follow-up")+('MiT Strom Pipeline'!R56="Evaluation")+('MiT Strom Pipeline'!R56="tbd")+('MiT Strom Pipeline'!R56="In evaluation")&gt;0,'MiT Strom Pipeline'!B56,"")</f>
        <v/>
      </c>
      <c r="C189" s="37" t="str">
        <f aca="false">IF(('MiT Strom Pipeline'!R56="follow-up")+('MiT Strom Pipeline'!R56="Evaluation")+('MiT Strom Pipeline'!R56="tbd")+('MiT Strom Pipeline'!R56="In evaluation")&gt;0,'MiT Strom Pipeline'!C56,"")</f>
        <v/>
      </c>
      <c r="D189" s="38" t="str">
        <f aca="false">IF(('MiT Strom Pipeline'!R56="follow-up")+('MiT Strom Pipeline'!R56="Evaluation")+('MiT Strom Pipeline'!R56="tbd")+('MiT Strom Pipeline'!R56="In evaluation")&gt;0,'MiT Strom Pipeline'!D56,"")</f>
        <v/>
      </c>
      <c r="E189" s="38" t="str">
        <f aca="false">IF(('MiT Strom Pipeline'!R56="follow-up")+('MiT Strom Pipeline'!R56="Evaluation")+('MiT Strom Pipeline'!R56="tbd")+('MiT Strom Pipeline'!R56="In evaluation")&gt;0,'MiT Strom Pipeline'!E56,"")</f>
        <v/>
      </c>
      <c r="F189" s="75" t="str">
        <f aca="false">IF(('MiT Strom Pipeline'!R56="follow-up")+('MiT Strom Pipeline'!R56="Evaluation")+('MiT Strom Pipeline'!R56="tbd")+('MiT Strom Pipeline'!R56="In evaluation")&gt;0,IF(ISNUMBER('MiT Strom Pipeline'!I56),'MiT Strom Pipeline'!I56,0),"")</f>
        <v/>
      </c>
      <c r="G189" s="75" t="str">
        <f aca="false">IF(('MiT Strom Pipeline'!R56="follow-up")+('MiT Strom Pipeline'!R56="Evaluation")+('MiT Strom Pipeline'!R56="tbd")+('MiT Strom Pipeline'!R56="In evaluation")&gt;0,IF(ISNUMBER('MiT Strom Pipeline'!Q56),'MiT Strom Pipeline'!Q56,0),"")</f>
        <v/>
      </c>
      <c r="H189" s="37" t="str">
        <f aca="false">IF(('MiT Strom Pipeline'!R56="follow-up")+('MiT Strom Pipeline'!R56="Evaluation")+('MiT Strom Pipeline'!R56="tbd")+('MiT Strom Pipeline'!R56="In evaluation")&gt;0,'MiT Strom Pipeline'!R56,"")</f>
        <v/>
      </c>
      <c r="I189" s="37" t="str">
        <f aca="false">IF(('MiT Strom Pipeline'!R56="follow-up")+('MiT Strom Pipeline'!R56="Evaluation")+('MiT Strom Pipeline'!R56="tbd")+('MiT Strom Pipeline'!R56="In evaluation")&gt;0,'MiT Strom Pipeline'!S56,"")</f>
        <v/>
      </c>
      <c r="J189" s="38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false" customHeight="true" outlineLevel="0" collapsed="false">
      <c r="A190" s="21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22" t="str">
        <f aca="false">IF(('MiT Strom Pipeline'!R57="follow-up")+('MiT Strom Pipeline'!R57="Evaluation")+('MiT Strom Pipeline'!R57="tbd")+('MiT Strom Pipeline'!R57="In evaluation")&gt;0,'MiT Strom Pipeline'!B57,"")</f>
        <v/>
      </c>
      <c r="C190" s="21" t="str">
        <f aca="false">IF(('MiT Strom Pipeline'!R57="follow-up")+('MiT Strom Pipeline'!R57="Evaluation")+('MiT Strom Pipeline'!R57="tbd")+('MiT Strom Pipeline'!R57="In evaluation")&gt;0,'MiT Strom Pipeline'!C57,"")</f>
        <v/>
      </c>
      <c r="D190" s="22" t="str">
        <f aca="false">IF(('MiT Strom Pipeline'!R57="follow-up")+('MiT Strom Pipeline'!R57="Evaluation")+('MiT Strom Pipeline'!R57="tbd")+('MiT Strom Pipeline'!R57="In evaluation")&gt;0,'MiT Strom Pipeline'!D57,"")</f>
        <v/>
      </c>
      <c r="E190" s="22" t="str">
        <f aca="false">IF(('MiT Strom Pipeline'!R57="follow-up")+('MiT Strom Pipeline'!R57="Evaluation")+('MiT Strom Pipeline'!R57="tbd")+('MiT Strom Pipeline'!R57="In evaluation")&gt;0,'MiT Strom Pipeline'!E57,"")</f>
        <v/>
      </c>
      <c r="F190" s="69" t="str">
        <f aca="false">IF(('MiT Strom Pipeline'!R57="follow-up")+('MiT Strom Pipeline'!R57="Evaluation")+('MiT Strom Pipeline'!R57="tbd")+('MiT Strom Pipeline'!R57="In evaluation")&gt;0,IF(ISNUMBER('MiT Strom Pipeline'!I57),'MiT Strom Pipeline'!I57,0),"")</f>
        <v/>
      </c>
      <c r="G190" s="69" t="str">
        <f aca="false">IF(('MiT Strom Pipeline'!R57="follow-up")+('MiT Strom Pipeline'!R57="Evaluation")+('MiT Strom Pipeline'!R57="tbd")+('MiT Strom Pipeline'!R57="In evaluation")&gt;0,IF(ISNUMBER('MiT Strom Pipeline'!Q57),'MiT Strom Pipeline'!Q57,0),"")</f>
        <v/>
      </c>
      <c r="H190" s="21" t="str">
        <f aca="false">IF(('MiT Strom Pipeline'!R57="follow-up")+('MiT Strom Pipeline'!R57="Evaluation")+('MiT Strom Pipeline'!R57="tbd")+('MiT Strom Pipeline'!R57="In evaluation")&gt;0,'MiT Strom Pipeline'!R57,"")</f>
        <v/>
      </c>
      <c r="I190" s="21" t="str">
        <f aca="false">IF(('MiT Strom Pipeline'!R57="follow-up")+('MiT Strom Pipeline'!R57="Evaluation")+('MiT Strom Pipeline'!R57="tbd")+('MiT Strom Pipeline'!R57="In evaluation")&gt;0,'MiT Strom Pipeline'!S57,"")</f>
        <v/>
      </c>
      <c r="J190" s="22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false" customHeight="true" outlineLevel="0" collapsed="false">
      <c r="A191" s="37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38" t="str">
        <f aca="false">IF(('MiT Strom Pipeline'!R58="follow-up")+('MiT Strom Pipeline'!R58="Evaluation")+('MiT Strom Pipeline'!R58="tbd")+('MiT Strom Pipeline'!R58="In evaluation")&gt;0,'MiT Strom Pipeline'!B58,"")</f>
        <v/>
      </c>
      <c r="C191" s="37" t="str">
        <f aca="false">IF(('MiT Strom Pipeline'!R58="follow-up")+('MiT Strom Pipeline'!R58="Evaluation")+('MiT Strom Pipeline'!R58="tbd")+('MiT Strom Pipeline'!R58="In evaluation")&gt;0,'MiT Strom Pipeline'!C58,"")</f>
        <v/>
      </c>
      <c r="D191" s="38" t="str">
        <f aca="false">IF(('MiT Strom Pipeline'!R58="follow-up")+('MiT Strom Pipeline'!R58="Evaluation")+('MiT Strom Pipeline'!R58="tbd")+('MiT Strom Pipeline'!R58="In evaluation")&gt;0,'MiT Strom Pipeline'!D58,"")</f>
        <v/>
      </c>
      <c r="E191" s="38" t="str">
        <f aca="false">IF(('MiT Strom Pipeline'!R58="follow-up")+('MiT Strom Pipeline'!R58="Evaluation")+('MiT Strom Pipeline'!R58="tbd")+('MiT Strom Pipeline'!R58="In evaluation")&gt;0,'MiT Strom Pipeline'!E58,"")</f>
        <v/>
      </c>
      <c r="F191" s="75" t="str">
        <f aca="false">IF(('MiT Strom Pipeline'!R58="follow-up")+('MiT Strom Pipeline'!R58="Evaluation")+('MiT Strom Pipeline'!R58="tbd")+('MiT Strom Pipeline'!R58="In evaluation")&gt;0,IF(ISNUMBER('MiT Strom Pipeline'!I58),'MiT Strom Pipeline'!I58,0),"")</f>
        <v/>
      </c>
      <c r="G191" s="75" t="str">
        <f aca="false">IF(('MiT Strom Pipeline'!R58="follow-up")+('MiT Strom Pipeline'!R58="Evaluation")+('MiT Strom Pipeline'!R58="tbd")+('MiT Strom Pipeline'!R58="In evaluation")&gt;0,IF(ISNUMBER('MiT Strom Pipeline'!Q58),'MiT Strom Pipeline'!Q58,0),"")</f>
        <v/>
      </c>
      <c r="H191" s="37" t="str">
        <f aca="false">IF(('MiT Strom Pipeline'!R58="follow-up")+('MiT Strom Pipeline'!R58="Evaluation")+('MiT Strom Pipeline'!R58="tbd")+('MiT Strom Pipeline'!R58="In evaluation")&gt;0,'MiT Strom Pipeline'!R58,"")</f>
        <v/>
      </c>
      <c r="I191" s="37" t="str">
        <f aca="false">IF(('MiT Strom Pipeline'!R58="follow-up")+('MiT Strom Pipeline'!R58="Evaluation")+('MiT Strom Pipeline'!R58="tbd")+('MiT Strom Pipeline'!R58="In evaluation")&gt;0,'MiT Strom Pipeline'!S58,"")</f>
        <v/>
      </c>
      <c r="J191" s="38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false" customHeight="true" outlineLevel="0" collapsed="false">
      <c r="A192" s="21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22" t="str">
        <f aca="false">IF(('MiT Strom Pipeline'!R59="follow-up")+('MiT Strom Pipeline'!R59="Evaluation")+('MiT Strom Pipeline'!R59="tbd")+('MiT Strom Pipeline'!R59="In evaluation")&gt;0,'MiT Strom Pipeline'!B59,"")</f>
        <v/>
      </c>
      <c r="C192" s="21" t="str">
        <f aca="false">IF(('MiT Strom Pipeline'!R59="follow-up")+('MiT Strom Pipeline'!R59="Evaluation")+('MiT Strom Pipeline'!R59="tbd")+('MiT Strom Pipeline'!R59="In evaluation")&gt;0,'MiT Strom Pipeline'!C59,"")</f>
        <v/>
      </c>
      <c r="D192" s="22" t="str">
        <f aca="false">IF(('MiT Strom Pipeline'!R59="follow-up")+('MiT Strom Pipeline'!R59="Evaluation")+('MiT Strom Pipeline'!R59="tbd")+('MiT Strom Pipeline'!R59="In evaluation")&gt;0,'MiT Strom Pipeline'!D59,"")</f>
        <v/>
      </c>
      <c r="E192" s="22" t="str">
        <f aca="false">IF(('MiT Strom Pipeline'!R59="follow-up")+('MiT Strom Pipeline'!R59="Evaluation")+('MiT Strom Pipeline'!R59="tbd")+('MiT Strom Pipeline'!R59="In evaluation")&gt;0,'MiT Strom Pipeline'!E59,"")</f>
        <v/>
      </c>
      <c r="F192" s="69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69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21" t="str">
        <f aca="false">IF(('MiT Strom Pipeline'!R59="follow-up")+('MiT Strom Pipeline'!R59="Evaluation")+('MiT Strom Pipeline'!R59="tbd")+('MiT Strom Pipeline'!R59="In evaluation")&gt;0,'MiT Strom Pipeline'!R59,"")</f>
        <v/>
      </c>
      <c r="I192" s="21" t="str">
        <f aca="false">IF(('MiT Strom Pipeline'!R59="follow-up")+('MiT Strom Pipeline'!R59="Evaluation")+('MiT Strom Pipeline'!R59="tbd")+('MiT Strom Pipeline'!R59="In evaluation")&gt;0,'MiT Strom Pipeline'!S59,"")</f>
        <v/>
      </c>
      <c r="J192" s="22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false" customHeight="true" outlineLevel="0" collapsed="false">
      <c r="A193" s="37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38" t="str">
        <f aca="false">IF(('MiT Strom Pipeline'!R60="follow-up")+('MiT Strom Pipeline'!R60="Evaluation")+('MiT Strom Pipeline'!R60="tbd")+('MiT Strom Pipeline'!R60="In evaluation")&gt;0,'MiT Strom Pipeline'!B60,"")</f>
        <v/>
      </c>
      <c r="C193" s="37" t="str">
        <f aca="false">IF(('MiT Strom Pipeline'!R60="follow-up")+('MiT Strom Pipeline'!R60="Evaluation")+('MiT Strom Pipeline'!R60="tbd")+('MiT Strom Pipeline'!R60="In evaluation")&gt;0,'MiT Strom Pipeline'!C60,"")</f>
        <v/>
      </c>
      <c r="D193" s="38" t="str">
        <f aca="false">IF(('MiT Strom Pipeline'!R60="follow-up")+('MiT Strom Pipeline'!R60="Evaluation")+('MiT Strom Pipeline'!R60="tbd")+('MiT Strom Pipeline'!R60="In evaluation")&gt;0,'MiT Strom Pipeline'!D60,"")</f>
        <v/>
      </c>
      <c r="E193" s="38" t="str">
        <f aca="false">IF(('MiT Strom Pipeline'!R60="follow-up")+('MiT Strom Pipeline'!R60="Evaluation")+('MiT Strom Pipeline'!R60="tbd")+('MiT Strom Pipeline'!R60="In evaluation")&gt;0,'MiT Strom Pipeline'!E60,"")</f>
        <v/>
      </c>
      <c r="F193" s="75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75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37" t="str">
        <f aca="false">IF(('MiT Strom Pipeline'!R60="follow-up")+('MiT Strom Pipeline'!R60="Evaluation")+('MiT Strom Pipeline'!R60="tbd")+('MiT Strom Pipeline'!R60="In evaluation")&gt;0,'MiT Strom Pipeline'!R60,"")</f>
        <v/>
      </c>
      <c r="I193" s="37" t="str">
        <f aca="false">IF(('MiT Strom Pipeline'!R60="follow-up")+('MiT Strom Pipeline'!R60="Evaluation")+('MiT Strom Pipeline'!R60="tbd")+('MiT Strom Pipeline'!R60="In evaluation")&gt;0,'MiT Strom Pipeline'!S60,"")</f>
        <v/>
      </c>
      <c r="J193" s="38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false" customHeight="true" outlineLevel="0" collapsed="false">
      <c r="A194" s="21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22" t="str">
        <f aca="false">IF(('MiT Strom Pipeline'!R61="follow-up")+('MiT Strom Pipeline'!R61="Evaluation")+('MiT Strom Pipeline'!R61="tbd")+('MiT Strom Pipeline'!R61="In evaluation")&gt;0,'MiT Strom Pipeline'!B61,"")</f>
        <v/>
      </c>
      <c r="C194" s="21" t="str">
        <f aca="false">IF(('MiT Strom Pipeline'!R61="follow-up")+('MiT Strom Pipeline'!R61="Evaluation")+('MiT Strom Pipeline'!R61="tbd")+('MiT Strom Pipeline'!R61="In evaluation")&gt;0,'MiT Strom Pipeline'!C61,"")</f>
        <v/>
      </c>
      <c r="D194" s="22" t="str">
        <f aca="false">IF(('MiT Strom Pipeline'!R61="follow-up")+('MiT Strom Pipeline'!R61="Evaluation")+('MiT Strom Pipeline'!R61="tbd")+('MiT Strom Pipeline'!R61="In evaluation")&gt;0,'MiT Strom Pipeline'!D61,"")</f>
        <v/>
      </c>
      <c r="E194" s="22" t="str">
        <f aca="false">IF(('MiT Strom Pipeline'!R61="follow-up")+('MiT Strom Pipeline'!R61="Evaluation")+('MiT Strom Pipeline'!R61="tbd")+('MiT Strom Pipeline'!R61="In evaluation")&gt;0,'MiT Strom Pipeline'!E61,"")</f>
        <v/>
      </c>
      <c r="F194" s="69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69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21" t="str">
        <f aca="false">IF(('MiT Strom Pipeline'!R61="follow-up")+('MiT Strom Pipeline'!R61="Evaluation")+('MiT Strom Pipeline'!R61="tbd")+('MiT Strom Pipeline'!R61="In evaluation")&gt;0,'MiT Strom Pipeline'!R61,"")</f>
        <v/>
      </c>
      <c r="I194" s="21" t="str">
        <f aca="false">IF(('MiT Strom Pipeline'!R61="follow-up")+('MiT Strom Pipeline'!R61="Evaluation")+('MiT Strom Pipeline'!R61="tbd")+('MiT Strom Pipeline'!R61="In evaluation")&gt;0,'MiT Strom Pipeline'!S61,"")</f>
        <v/>
      </c>
      <c r="J194" s="22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false" customHeight="true" outlineLevel="0" collapsed="false">
      <c r="A195" s="37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38" t="str">
        <f aca="false">IF(('MiT Strom Pipeline'!R62="follow-up")+('MiT Strom Pipeline'!R62="Evaluation")+('MiT Strom Pipeline'!R62="tbd")+('MiT Strom Pipeline'!R62="In evaluation")&gt;0,'MiT Strom Pipeline'!B62,"")</f>
        <v/>
      </c>
      <c r="C195" s="37" t="str">
        <f aca="false">IF(('MiT Strom Pipeline'!R62="follow-up")+('MiT Strom Pipeline'!R62="Evaluation")+('MiT Strom Pipeline'!R62="tbd")+('MiT Strom Pipeline'!R62="In evaluation")&gt;0,'MiT Strom Pipeline'!C62,"")</f>
        <v/>
      </c>
      <c r="D195" s="38" t="str">
        <f aca="false">IF(('MiT Strom Pipeline'!R62="follow-up")+('MiT Strom Pipeline'!R62="Evaluation")+('MiT Strom Pipeline'!R62="tbd")+('MiT Strom Pipeline'!R62="In evaluation")&gt;0,'MiT Strom Pipeline'!D62,"")</f>
        <v/>
      </c>
      <c r="E195" s="38" t="str">
        <f aca="false">IF(('MiT Strom Pipeline'!R62="follow-up")+('MiT Strom Pipeline'!R62="Evaluation")+('MiT Strom Pipeline'!R62="tbd")+('MiT Strom Pipeline'!R62="In evaluation")&gt;0,'MiT Strom Pipeline'!E62,"")</f>
        <v/>
      </c>
      <c r="F195" s="75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75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37" t="str">
        <f aca="false">IF(('MiT Strom Pipeline'!R62="follow-up")+('MiT Strom Pipeline'!R62="Evaluation")+('MiT Strom Pipeline'!R62="tbd")+('MiT Strom Pipeline'!R62="In evaluation")&gt;0,'MiT Strom Pipeline'!R62,"")</f>
        <v/>
      </c>
      <c r="I195" s="37" t="str">
        <f aca="false">IF(('MiT Strom Pipeline'!R62="follow-up")+('MiT Strom Pipeline'!R62="Evaluation")+('MiT Strom Pipeline'!R62="tbd")+('MiT Strom Pipeline'!R62="In evaluation")&gt;0,'MiT Strom Pipeline'!S62,"")</f>
        <v/>
      </c>
      <c r="J195" s="38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false" customHeight="true" outlineLevel="0" collapsed="false">
      <c r="A196" s="21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22" t="str">
        <f aca="false">IF(('MiT Strom Pipeline'!R63="follow-up")+('MiT Strom Pipeline'!R63="Evaluation")+('MiT Strom Pipeline'!R63="tbd")+('MiT Strom Pipeline'!R63="In evaluation")&gt;0,'MiT Strom Pipeline'!B63,"")</f>
        <v/>
      </c>
      <c r="C196" s="21" t="str">
        <f aca="false">IF(('MiT Strom Pipeline'!R63="follow-up")+('MiT Strom Pipeline'!R63="Evaluation")+('MiT Strom Pipeline'!R63="tbd")+('MiT Strom Pipeline'!R63="In evaluation")&gt;0,'MiT Strom Pipeline'!C63,"")</f>
        <v/>
      </c>
      <c r="D196" s="22" t="str">
        <f aca="false">IF(('MiT Strom Pipeline'!R63="follow-up")+('MiT Strom Pipeline'!R63="Evaluation")+('MiT Strom Pipeline'!R63="tbd")+('MiT Strom Pipeline'!R63="In evaluation")&gt;0,'MiT Strom Pipeline'!D63,"")</f>
        <v/>
      </c>
      <c r="E196" s="22" t="str">
        <f aca="false">IF(('MiT Strom Pipeline'!R63="follow-up")+('MiT Strom Pipeline'!R63="Evaluation")+('MiT Strom Pipeline'!R63="tbd")+('MiT Strom Pipeline'!R63="In evaluation")&gt;0,'MiT Strom Pipeline'!E63,"")</f>
        <v/>
      </c>
      <c r="F196" s="69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69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21" t="str">
        <f aca="false">IF(('MiT Strom Pipeline'!R63="follow-up")+('MiT Strom Pipeline'!R63="Evaluation")+('MiT Strom Pipeline'!R63="tbd")+('MiT Strom Pipeline'!R63="In evaluation")&gt;0,'MiT Strom Pipeline'!R63,"")</f>
        <v/>
      </c>
      <c r="I196" s="21" t="str">
        <f aca="false">IF(('MiT Strom Pipeline'!R63="follow-up")+('MiT Strom Pipeline'!R63="Evaluation")+('MiT Strom Pipeline'!R63="tbd")+('MiT Strom Pipeline'!R63="In evaluation")&gt;0,'MiT Strom Pipeline'!S63,"")</f>
        <v/>
      </c>
      <c r="J196" s="22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false" customHeight="true" outlineLevel="0" collapsed="false">
      <c r="A197" s="37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38" t="str">
        <f aca="false">IF(('MiT Strom Pipeline'!R64="follow-up")+('MiT Strom Pipeline'!R64="Evaluation")+('MiT Strom Pipeline'!R64="tbd")+('MiT Strom Pipeline'!R64="In evaluation")&gt;0,'MiT Strom Pipeline'!B64,"")</f>
        <v/>
      </c>
      <c r="C197" s="37" t="str">
        <f aca="false">IF(('MiT Strom Pipeline'!R64="follow-up")+('MiT Strom Pipeline'!R64="Evaluation")+('MiT Strom Pipeline'!R64="tbd")+('MiT Strom Pipeline'!R64="In evaluation")&gt;0,'MiT Strom Pipeline'!C64,"")</f>
        <v/>
      </c>
      <c r="D197" s="38" t="str">
        <f aca="false">IF(('MiT Strom Pipeline'!R64="follow-up")+('MiT Strom Pipeline'!R64="Evaluation")+('MiT Strom Pipeline'!R64="tbd")+('MiT Strom Pipeline'!R64="In evaluation")&gt;0,'MiT Strom Pipeline'!D64,"")</f>
        <v/>
      </c>
      <c r="E197" s="38" t="str">
        <f aca="false">IF(('MiT Strom Pipeline'!R64="follow-up")+('MiT Strom Pipeline'!R64="Evaluation")+('MiT Strom Pipeline'!R64="tbd")+('MiT Strom Pipeline'!R64="In evaluation")&gt;0,'MiT Strom Pipeline'!E64,"")</f>
        <v/>
      </c>
      <c r="F197" s="75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75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37" t="str">
        <f aca="false">IF(('MiT Strom Pipeline'!R64="follow-up")+('MiT Strom Pipeline'!R64="Evaluation")+('MiT Strom Pipeline'!R64="tbd")+('MiT Strom Pipeline'!R64="In evaluation")&gt;0,'MiT Strom Pipeline'!R64,"")</f>
        <v/>
      </c>
      <c r="I197" s="37" t="str">
        <f aca="false">IF(('MiT Strom Pipeline'!R64="follow-up")+('MiT Strom Pipeline'!R64="Evaluation")+('MiT Strom Pipeline'!R64="tbd")+('MiT Strom Pipeline'!R64="In evaluation")&gt;0,'MiT Strom Pipeline'!S64,"")</f>
        <v/>
      </c>
      <c r="J197" s="38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false" customHeight="true" outlineLevel="0" collapsed="false">
      <c r="A198" s="21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22" t="str">
        <f aca="false">IF(('MiT Strom Pipeline'!R65="follow-up")+('MiT Strom Pipeline'!R65="Evaluation")+('MiT Strom Pipeline'!R65="tbd")+('MiT Strom Pipeline'!R65="In evaluation")&gt;0,'MiT Strom Pipeline'!B65,"")</f>
        <v/>
      </c>
      <c r="C198" s="21" t="str">
        <f aca="false">IF(('MiT Strom Pipeline'!R65="follow-up")+('MiT Strom Pipeline'!R65="Evaluation")+('MiT Strom Pipeline'!R65="tbd")+('MiT Strom Pipeline'!R65="In evaluation")&gt;0,'MiT Strom Pipeline'!C65,"")</f>
        <v/>
      </c>
      <c r="D198" s="22" t="str">
        <f aca="false">IF(('MiT Strom Pipeline'!R65="follow-up")+('MiT Strom Pipeline'!R65="Evaluation")+('MiT Strom Pipeline'!R65="tbd")+('MiT Strom Pipeline'!R65="In evaluation")&gt;0,'MiT Strom Pipeline'!D65,"")</f>
        <v/>
      </c>
      <c r="E198" s="22" t="str">
        <f aca="false">IF(('MiT Strom Pipeline'!R65="follow-up")+('MiT Strom Pipeline'!R65="Evaluation")+('MiT Strom Pipeline'!R65="tbd")+('MiT Strom Pipeline'!R65="In evaluation")&gt;0,'MiT Strom Pipeline'!E65,"")</f>
        <v/>
      </c>
      <c r="F198" s="69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69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21" t="str">
        <f aca="false">IF(('MiT Strom Pipeline'!R65="follow-up")+('MiT Strom Pipeline'!R65="Evaluation")+('MiT Strom Pipeline'!R65="tbd")+('MiT Strom Pipeline'!R65="In evaluation")&gt;0,'MiT Strom Pipeline'!R65,"")</f>
        <v/>
      </c>
      <c r="I198" s="21" t="str">
        <f aca="false">IF(('MiT Strom Pipeline'!R65="follow-up")+('MiT Strom Pipeline'!R65="Evaluation")+('MiT Strom Pipeline'!R65="tbd")+('MiT Strom Pipeline'!R65="In evaluation")&gt;0,'MiT Strom Pipeline'!S65,"")</f>
        <v/>
      </c>
      <c r="J198" s="22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false" customHeight="true" outlineLevel="0" collapsed="false">
      <c r="A199" s="40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41" t="str">
        <f aca="false">IF(('MiT Strom Pipeline'!R66="follow-up")+('MiT Strom Pipeline'!R66="Evaluation")+('MiT Strom Pipeline'!R66="tbd")+('MiT Strom Pipeline'!R66="In evaluation")&gt;0,'MiT Strom Pipeline'!B66,"")</f>
        <v/>
      </c>
      <c r="C199" s="41"/>
      <c r="D199" s="41"/>
      <c r="E199" s="41"/>
      <c r="F199" s="76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77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40" t="str">
        <f aca="false">IF(('MiT Strom Pipeline'!R66="follow-up")+('MiT Strom Pipeline'!R66="Evaluation")+('MiT Strom Pipeline'!R66="tbd")+('MiT Strom Pipeline'!R66="In evaluation")&gt;0,'MiT Strom Pipeline'!R66,"")</f>
        <v/>
      </c>
      <c r="I199" s="40" t="str">
        <f aca="false">IF(('MiT Strom Pipeline'!R66="follow-up")+('MiT Strom Pipeline'!R66="Evaluation")+('MiT Strom Pipeline'!R66="tbd")+('MiT Strom Pipeline'!R66="In evaluation")&gt;0,'MiT Strom Pipeline'!S66,"")</f>
        <v/>
      </c>
      <c r="J199" s="40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false" customHeight="true" outlineLevel="0" collapsed="false">
      <c r="A200" s="0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0" t="str">
        <f aca="false">IF(('MiT Strom Pipeline'!R67="follow-up")+('MiT Strom Pipeline'!R67="Evaluation")+('MiT Strom Pipeline'!R67="tbd")+('MiT Strom Pipeline'!R67="In evaluation")&gt;0,'MiT Strom Pipeline'!B67,"")</f>
        <v/>
      </c>
      <c r="C200" s="0" t="str">
        <f aca="false">IF(('MiT Strom Pipeline'!R67="follow-up")+('MiT Strom Pipeline'!R67="Evaluation")+('MiT Strom Pipeline'!R67="tbd")+('MiT Strom Pipeline'!R67="In evaluation")&gt;0,'MiT Strom Pipeline'!C67,"")</f>
        <v/>
      </c>
      <c r="D200" s="0" t="str">
        <f aca="false">IF(('MiT Strom Pipeline'!R67="follow-up")+('MiT Strom Pipeline'!R67="Evaluation")+('MiT Strom Pipeline'!R67="tbd")+('MiT Strom Pipeline'!R67="In evaluation")&gt;0,'MiT Strom Pipeline'!D67,"")</f>
        <v/>
      </c>
      <c r="E200" s="0" t="str">
        <f aca="false">IF(('MiT Strom Pipeline'!R67="follow-up")+('MiT Strom Pipeline'!R67="Evaluation")+('MiT Strom Pipeline'!R67="tbd")+('MiT Strom Pipeline'!R67="In evaluation")&gt;0,'MiT Strom Pipeline'!E67,"")</f>
        <v/>
      </c>
      <c r="F200" s="52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52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0" t="str">
        <f aca="false">IF(('MiT Strom Pipeline'!R67="follow-up")+('MiT Strom Pipeline'!R67="Evaluation")+('MiT Strom Pipeline'!R67="tbd")+('MiT Strom Pipeline'!R67="In evaluation")&gt;0,'MiT Strom Pipeline'!R67,"")</f>
        <v/>
      </c>
      <c r="I200" s="0" t="str">
        <f aca="false">IF(('MiT Strom Pipeline'!R67="follow-up")+('MiT Strom Pipeline'!R67="Evaluation")+('MiT Strom Pipeline'!R67="tbd")+('MiT Strom Pipeline'!R67="In evaluation")&gt;0,'MiT Strom Pipeline'!S67,"")</f>
        <v/>
      </c>
      <c r="J200" s="0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false" customHeight="true" outlineLevel="0" collapsed="false">
      <c r="A201" s="43" t="s">
        <v>31</v>
      </c>
      <c r="B201" s="43"/>
      <c r="C201" s="43"/>
      <c r="D201" s="43"/>
      <c r="E201" s="43"/>
      <c r="F201" s="78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G201" s="79"/>
      <c r="H201" s="45"/>
      <c r="I201" s="45"/>
      <c r="J201" s="45"/>
    </row>
    <row r="202" customFormat="false" ht="18" hidden="false" customHeight="true" outlineLevel="0" collapsed="false">
      <c r="A202" s="46" t="s">
        <v>20</v>
      </c>
      <c r="B202" s="46"/>
      <c r="C202" s="46"/>
      <c r="D202" s="46"/>
      <c r="E202" s="46"/>
      <c r="F202" s="80" t="n">
        <f aca="false">SUMIFS('MiT Strom Pipeline'!I$6:I$904,'MiT Strom Pipeline'!R$6:R$904,"WON")</f>
        <v>333100</v>
      </c>
      <c r="G202" s="81"/>
      <c r="H202" s="48"/>
      <c r="I202" s="48"/>
      <c r="J202" s="48"/>
    </row>
    <row r="203" customFormat="false" ht="18" hidden="false" customHeight="true" outlineLevel="0" collapsed="false">
      <c r="A203" s="46" t="s">
        <v>21</v>
      </c>
      <c r="B203" s="46"/>
      <c r="C203" s="46"/>
      <c r="D203" s="46"/>
      <c r="E203" s="46"/>
      <c r="F203" s="82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G203" s="81"/>
      <c r="H203" s="48"/>
      <c r="I203" s="48"/>
      <c r="J203" s="48"/>
    </row>
    <row r="204" customFormat="false" ht="18" hidden="false" customHeight="true" outlineLevel="0" collapsed="false">
      <c r="A204" s="46" t="s">
        <v>22</v>
      </c>
      <c r="B204" s="46"/>
      <c r="C204" s="46"/>
      <c r="D204" s="46"/>
      <c r="E204" s="46"/>
      <c r="F204" s="83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G204" s="81"/>
      <c r="H204" s="48"/>
      <c r="I204" s="48"/>
      <c r="J204" s="48"/>
    </row>
    <row r="206" customFormat="false" ht="13.5" hidden="false" customHeight="true" outlineLevel="0" collapsed="false">
      <c r="A206" s="51" t="s">
        <v>23</v>
      </c>
      <c r="B206" s="51"/>
      <c r="C206" s="51"/>
      <c r="D206" s="51"/>
      <c r="E206" s="51"/>
      <c r="F206" s="51"/>
      <c r="G206" s="51"/>
      <c r="H206" s="51"/>
      <c r="I206" s="51"/>
      <c r="J206" s="51"/>
    </row>
  </sheetData>
  <mergeCells count="26">
    <mergeCell ref="A1:J1"/>
    <mergeCell ref="A2:J2"/>
    <mergeCell ref="A3:J3"/>
    <mergeCell ref="A5:C5"/>
    <mergeCell ref="D5:F5"/>
    <mergeCell ref="G5:H5"/>
    <mergeCell ref="I5:J5"/>
    <mergeCell ref="A6:C6"/>
    <mergeCell ref="D6:F6"/>
    <mergeCell ref="G6:H6"/>
    <mergeCell ref="I6:J6"/>
    <mergeCell ref="A7:C7"/>
    <mergeCell ref="D7:F7"/>
    <mergeCell ref="G7:H7"/>
    <mergeCell ref="I7:J7"/>
    <mergeCell ref="A9:J9"/>
    <mergeCell ref="B71:E71"/>
    <mergeCell ref="A73:J73"/>
    <mergeCell ref="B135:E135"/>
    <mergeCell ref="A137:J137"/>
    <mergeCell ref="B199:E199"/>
    <mergeCell ref="A201:E201"/>
    <mergeCell ref="A202:E202"/>
    <mergeCell ref="A203:E203"/>
    <mergeCell ref="A204:E204"/>
    <mergeCell ref="A206:J2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1A7A4A"/>
    <pageSetUpPr fitToPage="false"/>
  </sheetPr>
  <dimension ref="A1:X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16" activePane="bottomRight" state="frozen"/>
      <selection pane="topLeft" activeCell="A1" activeCellId="0" sqref="A1"/>
      <selection pane="topRight" activeCell="B1" activeCellId="0" sqref="B1"/>
      <selection pane="bottomLeft" activeCell="A16" activeCellId="0" sqref="A16"/>
      <selection pane="bottomRight" activeCell="E28" activeCellId="0" sqref="E28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7"/>
    <col collapsed="false" customWidth="true" hidden="false" outlineLevel="0" max="4" min="4" style="0" width="22"/>
    <col collapsed="false" customWidth="true" hidden="false" outlineLevel="0" max="5" min="5" style="0" width="32"/>
    <col collapsed="false" customWidth="true" hidden="false" outlineLevel="0" max="6" min="6" style="0" width="21.86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52" width="14"/>
    <col collapsed="false" customWidth="true" hidden="false" outlineLevel="0" max="10" min="10" style="52" width="12"/>
    <col collapsed="false" customWidth="true" hidden="false" outlineLevel="0" max="14" min="11" style="52" width="11"/>
    <col collapsed="false" customWidth="true" hidden="false" outlineLevel="0" max="15" min="15" style="52" width="12"/>
    <col collapsed="false" customWidth="true" hidden="false" outlineLevel="0" max="16" min="16" style="0" width="9"/>
    <col collapsed="false" customWidth="true" hidden="false" outlineLevel="0" max="17" min="17" style="52" width="14"/>
    <col collapsed="false" customWidth="true" hidden="false" outlineLevel="0" max="18" min="18" style="0" width="16"/>
    <col collapsed="false" customWidth="true" hidden="false" outlineLevel="0" max="19" min="19" style="0" width="9"/>
    <col collapsed="false" customWidth="true" hidden="false" outlineLevel="0" max="20" min="20" style="0" width="14"/>
    <col collapsed="false" customWidth="true" hidden="false" outlineLevel="0" max="21" min="21" style="0" width="35"/>
    <col collapsed="false" customWidth="true" hidden="false" outlineLevel="0" max="22" min="22" style="0" width="145.86"/>
    <col collapsed="false" customWidth="true" hidden="false" outlineLevel="0" max="23" min="23" style="0" width="17.29"/>
    <col collapsed="false" customWidth="true" hidden="false" outlineLevel="0" max="24" min="24" style="0" width="117.14"/>
  </cols>
  <sheetData>
    <row r="1" customFormat="false" ht="36" hidden="false" customHeight="true" outlineLevel="0" collapsed="false">
      <c r="A1" s="84" t="s">
        <v>32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customFormat="false" ht="15.75" hidden="false" customHeight="true" outlineLevel="0" collapsed="false">
      <c r="A2" s="85" t="s">
        <v>33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customFormat="false" ht="25.5" hidden="false" customHeight="true" outlineLevel="0" collapsed="false">
      <c r="A4" s="86" t="s">
        <v>34</v>
      </c>
      <c r="B4" s="86"/>
      <c r="C4" s="87" t="n">
        <f aca="false">SUMIFS(I$6:I$904,R$6:R$904,"WON")</f>
        <v>333100</v>
      </c>
      <c r="D4" s="87"/>
      <c r="E4" s="87"/>
      <c r="F4" s="87"/>
      <c r="G4" s="88" t="s">
        <v>35</v>
      </c>
      <c r="H4" s="88"/>
      <c r="I4" s="89" t="n">
        <f aca="false">COUNTIF(R$6:R$904,"WON")+COUNTIF(R$6:R$904,"offered")+COUNTIF(R$6:R$904,"to be offered")+COUNTIF(R$6:R$904,"on hold")+COUNTIF(R$6:R$904,"follow-up")+COUNTIF(R$6:R$904,"Evaluation")+COUNTIF(R$6:R$904,"tbd")+COUNTIF(R$6:R$904,"In evaluation")</f>
        <v>32</v>
      </c>
      <c r="J4" s="89"/>
      <c r="K4" s="89"/>
      <c r="L4" s="89"/>
      <c r="M4" s="90" t="s">
        <v>36</v>
      </c>
      <c r="N4" s="90"/>
      <c r="O4" s="89" t="n">
        <f aca="false">SUMIFS(I$6:I$904,R$6:R$904,"offered")+SUMIFS(I$6:I$904,R$6:R$904,"to be offered")+SUMIFS(I$6:I$904,R$6:R$904,"on hold")</f>
        <v>3866028.62</v>
      </c>
      <c r="P4" s="89"/>
      <c r="Q4" s="89"/>
      <c r="R4" s="89"/>
      <c r="S4" s="91" t="s">
        <v>37</v>
      </c>
      <c r="T4" s="91"/>
      <c r="U4" s="92" t="n">
        <f aca="false">SUMIFS(I$6:I$904,R$6:R$904,"follow-up")+SUMIFS(I$6:I$904,R$6:R$904,"Evaluation")+SUMIFS(I$6:I$904,R$6:R$904,"tbd")+SUMIFS(I$6:I$904,R$6:R$904,"In evaluation")</f>
        <v>672987.69</v>
      </c>
      <c r="V4" s="92"/>
      <c r="W4" s="92"/>
      <c r="X4" s="92"/>
    </row>
    <row r="5" customFormat="false" ht="30" hidden="false" customHeight="true" outlineLevel="0" collapsed="false">
      <c r="A5" s="93" t="s">
        <v>6</v>
      </c>
      <c r="B5" s="93" t="s">
        <v>7</v>
      </c>
      <c r="C5" s="93" t="s">
        <v>8</v>
      </c>
      <c r="D5" s="93" t="s">
        <v>9</v>
      </c>
      <c r="E5" s="93" t="s">
        <v>10</v>
      </c>
      <c r="F5" s="93" t="s">
        <v>38</v>
      </c>
      <c r="G5" s="93" t="s">
        <v>39</v>
      </c>
      <c r="H5" s="93" t="s">
        <v>40</v>
      </c>
      <c r="I5" s="94" t="s">
        <v>41</v>
      </c>
      <c r="J5" s="94" t="s">
        <v>42</v>
      </c>
      <c r="K5" s="94" t="s">
        <v>43</v>
      </c>
      <c r="L5" s="94" t="s">
        <v>44</v>
      </c>
      <c r="M5" s="94" t="s">
        <v>45</v>
      </c>
      <c r="N5" s="94" t="s">
        <v>46</v>
      </c>
      <c r="O5" s="94" t="s">
        <v>47</v>
      </c>
      <c r="P5" s="93" t="s">
        <v>48</v>
      </c>
      <c r="Q5" s="94" t="s">
        <v>49</v>
      </c>
      <c r="R5" s="93" t="s">
        <v>14</v>
      </c>
      <c r="S5" s="93" t="s">
        <v>50</v>
      </c>
      <c r="T5" s="93" t="s">
        <v>51</v>
      </c>
      <c r="U5" s="93" t="s">
        <v>52</v>
      </c>
      <c r="V5" s="93" t="s">
        <v>16</v>
      </c>
      <c r="W5" s="93" t="s">
        <v>53</v>
      </c>
      <c r="X5" s="93" t="s">
        <v>54</v>
      </c>
    </row>
    <row r="6" customFormat="false" ht="19.5" hidden="true" customHeight="true" outlineLevel="0" collapsed="false">
      <c r="A6" s="95" t="n">
        <v>1</v>
      </c>
      <c r="B6" s="96" t="s">
        <v>55</v>
      </c>
      <c r="C6" s="95" t="s">
        <v>56</v>
      </c>
      <c r="D6" s="96" t="s">
        <v>57</v>
      </c>
      <c r="E6" s="96" t="s">
        <v>58</v>
      </c>
      <c r="F6" s="97" t="n">
        <v>1600</v>
      </c>
      <c r="G6" s="95" t="s">
        <v>59</v>
      </c>
      <c r="H6" s="98" t="s">
        <v>60</v>
      </c>
      <c r="I6" s="97" t="n">
        <v>310000</v>
      </c>
      <c r="J6" s="97" t="n">
        <v>195000</v>
      </c>
      <c r="K6" s="97" t="n">
        <v>8000</v>
      </c>
      <c r="L6" s="97" t="n">
        <v>12000</v>
      </c>
      <c r="M6" s="97" t="n">
        <v>15000</v>
      </c>
      <c r="N6" s="97" t="n">
        <v>5000</v>
      </c>
      <c r="O6" s="99" t="n">
        <f aca="false">IFERROR(I6-(J6+K6+L6+M6+N6),"")</f>
        <v>75000</v>
      </c>
      <c r="P6" s="99" t="n">
        <f aca="false">IFERROR(O6/I6,"")</f>
        <v>0.241935483870968</v>
      </c>
      <c r="Q6" s="99" t="n">
        <f aca="false">IFERROR(IF(OR(I6="",S6="",S6="tbd"),"tbd",I6*IF(S6&lt;=1,S6,S6/100)),"–")</f>
        <v>3100</v>
      </c>
      <c r="R6" s="100" t="s">
        <v>61</v>
      </c>
      <c r="S6" s="95" t="s">
        <v>62</v>
      </c>
      <c r="T6" s="96" t="s">
        <v>63</v>
      </c>
      <c r="U6" s="96" t="s">
        <v>64</v>
      </c>
      <c r="V6" s="96" t="s">
        <v>65</v>
      </c>
      <c r="W6" s="95" t="s">
        <v>66</v>
      </c>
      <c r="X6" s="96" t="s">
        <v>67</v>
      </c>
    </row>
    <row r="7" customFormat="false" ht="19.5" hidden="true" customHeight="true" outlineLevel="0" collapsed="false">
      <c r="A7" s="95" t="n">
        <v>2</v>
      </c>
      <c r="B7" s="96" t="s">
        <v>68</v>
      </c>
      <c r="C7" s="95" t="s">
        <v>69</v>
      </c>
      <c r="D7" s="96" t="s">
        <v>70</v>
      </c>
      <c r="E7" s="96" t="s">
        <v>71</v>
      </c>
      <c r="F7" s="97" t="n">
        <v>240</v>
      </c>
      <c r="G7" s="95" t="s">
        <v>72</v>
      </c>
      <c r="H7" s="98" t="s">
        <v>73</v>
      </c>
      <c r="I7" s="97" t="n">
        <v>13100</v>
      </c>
      <c r="J7" s="97" t="n">
        <v>7500</v>
      </c>
      <c r="K7" s="97" t="n">
        <v>800</v>
      </c>
      <c r="L7" s="97" t="n">
        <v>600</v>
      </c>
      <c r="M7" s="97" t="n">
        <v>900</v>
      </c>
      <c r="N7" s="97" t="n">
        <v>300</v>
      </c>
      <c r="O7" s="99" t="n">
        <f aca="false">IFERROR(I7-(J7+K7+L7+M7+N7),"")</f>
        <v>3000</v>
      </c>
      <c r="P7" s="99" t="n">
        <f aca="false">IFERROR(O7/I7,"")</f>
        <v>0.229007633587786</v>
      </c>
      <c r="Q7" s="99" t="n">
        <f aca="false">IFERROR(IF(OR(I7="",S7="",S7="tbd"),"tbd",I7*IF(S7&lt;=1,S7,S7/100)),"–")</f>
        <v>131</v>
      </c>
      <c r="R7" s="100" t="s">
        <v>61</v>
      </c>
      <c r="S7" s="95" t="s">
        <v>62</v>
      </c>
      <c r="T7" s="96" t="s">
        <v>74</v>
      </c>
      <c r="U7" s="96" t="s">
        <v>75</v>
      </c>
      <c r="V7" s="96" t="s">
        <v>76</v>
      </c>
      <c r="W7" s="95" t="s">
        <v>66</v>
      </c>
      <c r="X7" s="96" t="s">
        <v>77</v>
      </c>
    </row>
    <row r="8" customFormat="false" ht="19.5" hidden="true" customHeight="true" outlineLevel="0" collapsed="false">
      <c r="A8" s="95" t="n">
        <v>3</v>
      </c>
      <c r="B8" s="96" t="s">
        <v>78</v>
      </c>
      <c r="C8" s="95" t="s">
        <v>56</v>
      </c>
      <c r="D8" s="96" t="s">
        <v>79</v>
      </c>
      <c r="E8" s="96" t="s">
        <v>80</v>
      </c>
      <c r="F8" s="97" t="n">
        <v>600</v>
      </c>
      <c r="G8" s="95" t="s">
        <v>72</v>
      </c>
      <c r="H8" s="95" t="s">
        <v>81</v>
      </c>
      <c r="I8" s="97" t="n">
        <v>10000</v>
      </c>
      <c r="J8" s="99"/>
      <c r="K8" s="99"/>
      <c r="L8" s="99"/>
      <c r="M8" s="99"/>
      <c r="N8" s="99"/>
      <c r="O8" s="99" t="n">
        <f aca="false">IFERROR(I8-(J8+K8+L8+M8+N8),"")</f>
        <v>10000</v>
      </c>
      <c r="P8" s="99" t="n">
        <f aca="false">IFERROR(O8/I8,"")</f>
        <v>1</v>
      </c>
      <c r="Q8" s="99" t="n">
        <f aca="false">IFERROR(IF(OR(I8="",S8="",S8="tbd"),"tbd",I8*IF(S8&lt;=1,S8,S8/100)),"–")</f>
        <v>100</v>
      </c>
      <c r="R8" s="100" t="s">
        <v>61</v>
      </c>
      <c r="S8" s="95" t="s">
        <v>62</v>
      </c>
      <c r="T8" s="96" t="s">
        <v>82</v>
      </c>
      <c r="U8" s="96" t="s">
        <v>83</v>
      </c>
      <c r="V8" s="96" t="s">
        <v>84</v>
      </c>
      <c r="W8" s="95" t="s">
        <v>66</v>
      </c>
      <c r="X8" s="96" t="s">
        <v>85</v>
      </c>
    </row>
    <row r="9" customFormat="false" ht="19.5" hidden="false" customHeight="true" outlineLevel="0" collapsed="false">
      <c r="A9" s="21" t="n">
        <v>4</v>
      </c>
      <c r="B9" s="22" t="s">
        <v>86</v>
      </c>
      <c r="C9" s="101" t="s">
        <v>87</v>
      </c>
      <c r="D9" s="22" t="s">
        <v>88</v>
      </c>
      <c r="E9" s="22" t="s">
        <v>89</v>
      </c>
      <c r="F9" s="23" t="n">
        <v>500</v>
      </c>
      <c r="G9" s="21" t="s">
        <v>90</v>
      </c>
      <c r="H9" s="21" t="s">
        <v>91</v>
      </c>
      <c r="I9" s="69" t="n">
        <v>150000</v>
      </c>
      <c r="J9" s="69" t="n">
        <v>88000</v>
      </c>
      <c r="K9" s="69" t="n">
        <v>4500</v>
      </c>
      <c r="L9" s="69" t="n">
        <v>7000</v>
      </c>
      <c r="M9" s="69" t="n">
        <v>9000</v>
      </c>
      <c r="N9" s="69" t="n">
        <v>2000</v>
      </c>
      <c r="O9" s="69" t="n">
        <f aca="false">IFERROR(I9-(J9+K9+L9+M9+N9),"")</f>
        <v>39500</v>
      </c>
      <c r="P9" s="102" t="n">
        <f aca="false">IFERROR(O9/I9,"")</f>
        <v>0.263333333333333</v>
      </c>
      <c r="Q9" s="69" t="n">
        <f aca="false">IFERROR(IF(OR(I9="",S9="",S9="tbd"),"tbd",I9*IF(S9&lt;=1,S9,S9/100)),"–")</f>
        <v>1350</v>
      </c>
      <c r="R9" s="103" t="s">
        <v>92</v>
      </c>
      <c r="S9" s="21" t="s">
        <v>93</v>
      </c>
      <c r="T9" s="104" t="s">
        <v>74</v>
      </c>
      <c r="U9" s="22" t="s">
        <v>94</v>
      </c>
      <c r="V9" s="22" t="s">
        <v>95</v>
      </c>
      <c r="W9" s="105" t="n">
        <v>46143</v>
      </c>
      <c r="X9" s="22" t="s">
        <v>96</v>
      </c>
    </row>
    <row r="10" customFormat="false" ht="19.5" hidden="false" customHeight="true" outlineLevel="0" collapsed="false">
      <c r="A10" s="106" t="n">
        <v>6</v>
      </c>
      <c r="B10" s="107" t="s">
        <v>97</v>
      </c>
      <c r="C10" s="106" t="s">
        <v>98</v>
      </c>
      <c r="D10" s="107" t="s">
        <v>99</v>
      </c>
      <c r="E10" s="107" t="s">
        <v>100</v>
      </c>
      <c r="F10" s="108" t="n">
        <v>1000</v>
      </c>
      <c r="G10" s="106" t="s">
        <v>101</v>
      </c>
      <c r="H10" s="109" t="s">
        <v>102</v>
      </c>
      <c r="I10" s="110" t="n">
        <v>390000</v>
      </c>
      <c r="J10" s="110" t="n">
        <v>240000</v>
      </c>
      <c r="K10" s="110" t="n">
        <v>6000</v>
      </c>
      <c r="L10" s="110"/>
      <c r="M10" s="110" t="n">
        <v>18000</v>
      </c>
      <c r="N10" s="110" t="n">
        <v>8000</v>
      </c>
      <c r="O10" s="110" t="n">
        <f aca="false">IFERROR(I10-(J10+K10+L10+M10+N10),"")</f>
        <v>118000</v>
      </c>
      <c r="P10" s="111" t="n">
        <f aca="false">IFERROR(O10/I10,"")</f>
        <v>0.302564102564103</v>
      </c>
      <c r="Q10" s="110" t="n">
        <f aca="false">IFERROR(IF(OR(I10="",S10="",S10="tbd"),"tbd",I10*IF(S10&lt;=1,S10,S10/100)),"–")</f>
        <v>1950</v>
      </c>
      <c r="R10" s="112" t="s">
        <v>103</v>
      </c>
      <c r="S10" s="106" t="s">
        <v>104</v>
      </c>
      <c r="T10" s="107" t="s">
        <v>74</v>
      </c>
      <c r="U10" s="107" t="s">
        <v>105</v>
      </c>
      <c r="V10" s="107" t="s">
        <v>106</v>
      </c>
      <c r="W10" s="113" t="n">
        <v>46143</v>
      </c>
      <c r="X10" s="107" t="s">
        <v>107</v>
      </c>
    </row>
    <row r="11" customFormat="false" ht="19.5" hidden="true" customHeight="true" outlineLevel="0" collapsed="false">
      <c r="A11" s="114" t="n">
        <v>7</v>
      </c>
      <c r="B11" s="115" t="s">
        <v>108</v>
      </c>
      <c r="C11" s="114" t="s">
        <v>56</v>
      </c>
      <c r="D11" s="115" t="s">
        <v>109</v>
      </c>
      <c r="E11" s="115" t="s">
        <v>110</v>
      </c>
      <c r="F11" s="116" t="n">
        <v>1000</v>
      </c>
      <c r="G11" s="114" t="s">
        <v>111</v>
      </c>
      <c r="H11" s="117" t="s">
        <v>102</v>
      </c>
      <c r="I11" s="116" t="n">
        <v>41000</v>
      </c>
      <c r="J11" s="116" t="n">
        <v>24000</v>
      </c>
      <c r="K11" s="116" t="n">
        <v>2000</v>
      </c>
      <c r="L11" s="116" t="n">
        <v>2500</v>
      </c>
      <c r="M11" s="116" t="n">
        <v>3000</v>
      </c>
      <c r="N11" s="116" t="n">
        <v>500</v>
      </c>
      <c r="O11" s="118" t="n">
        <f aca="false">IFERROR(I11-(J11+K11+L11+M11+N11),"")</f>
        <v>9000</v>
      </c>
      <c r="P11" s="118" t="n">
        <f aca="false">IFERROR(O11/I11,"")</f>
        <v>0.219512195121951</v>
      </c>
      <c r="Q11" s="118" t="n">
        <f aca="false">IFERROR(IF(OR(I11="",S11="",S11="tbd"),"tbd",I11*IF(S11&lt;=1,S11,S11/100)),"–")</f>
        <v>20500</v>
      </c>
      <c r="R11" s="119" t="s">
        <v>112</v>
      </c>
      <c r="S11" s="114" t="n">
        <v>50</v>
      </c>
      <c r="T11" s="115" t="s">
        <v>82</v>
      </c>
      <c r="U11" s="115" t="s">
        <v>113</v>
      </c>
      <c r="V11" s="115" t="s">
        <v>114</v>
      </c>
      <c r="W11" s="120" t="n">
        <v>46143</v>
      </c>
      <c r="X11" s="115" t="s">
        <v>115</v>
      </c>
    </row>
    <row r="12" customFormat="false" ht="19.5" hidden="false" customHeight="true" outlineLevel="0" collapsed="false">
      <c r="A12" s="106" t="n">
        <v>8</v>
      </c>
      <c r="B12" s="107" t="s">
        <v>116</v>
      </c>
      <c r="C12" s="106" t="s">
        <v>117</v>
      </c>
      <c r="D12" s="107" t="s">
        <v>118</v>
      </c>
      <c r="E12" s="107" t="s">
        <v>119</v>
      </c>
      <c r="F12" s="108" t="n">
        <v>750</v>
      </c>
      <c r="G12" s="106" t="s">
        <v>120</v>
      </c>
      <c r="H12" s="109" t="s">
        <v>121</v>
      </c>
      <c r="I12" s="110" t="n">
        <v>38885</v>
      </c>
      <c r="J12" s="110" t="n">
        <v>22000</v>
      </c>
      <c r="K12" s="110" t="n">
        <v>2500</v>
      </c>
      <c r="L12" s="110" t="n">
        <v>3500</v>
      </c>
      <c r="M12" s="110" t="n">
        <v>3000</v>
      </c>
      <c r="N12" s="110" t="n">
        <v>800</v>
      </c>
      <c r="O12" s="110" t="n">
        <f aca="false">IFERROR(I12-(J12+K12+L12+M12+N12),"")</f>
        <v>7085</v>
      </c>
      <c r="P12" s="111" t="n">
        <f aca="false">IFERROR(O12/I12,"")</f>
        <v>0.182203934679182</v>
      </c>
      <c r="Q12" s="110" t="n">
        <f aca="false">IFERROR(IF(OR(I12="",S12="",S12="tbd"),"tbd",I12*IF(S12&lt;=1,S12,S12/100)),"–")</f>
        <v>19442.5</v>
      </c>
      <c r="R12" s="121" t="s">
        <v>122</v>
      </c>
      <c r="S12" s="106" t="n">
        <v>50</v>
      </c>
      <c r="T12" s="107" t="s">
        <v>74</v>
      </c>
      <c r="U12" s="107" t="s">
        <v>123</v>
      </c>
      <c r="V12" s="107" t="s">
        <v>124</v>
      </c>
      <c r="W12" s="113" t="n">
        <v>46143</v>
      </c>
      <c r="X12" s="107" t="s">
        <v>125</v>
      </c>
    </row>
    <row r="13" customFormat="false" ht="19.5" hidden="false" customHeight="true" outlineLevel="0" collapsed="false">
      <c r="A13" s="21" t="n">
        <v>9</v>
      </c>
      <c r="B13" s="22" t="s">
        <v>126</v>
      </c>
      <c r="C13" s="101" t="s">
        <v>56</v>
      </c>
      <c r="D13" s="22" t="s">
        <v>127</v>
      </c>
      <c r="E13" s="22" t="s">
        <v>128</v>
      </c>
      <c r="F13" s="23" t="n">
        <v>600</v>
      </c>
      <c r="G13" s="21" t="s">
        <v>129</v>
      </c>
      <c r="H13" s="21" t="s">
        <v>130</v>
      </c>
      <c r="I13" s="69" t="n">
        <v>500000</v>
      </c>
      <c r="J13" s="69" t="n">
        <v>300000</v>
      </c>
      <c r="K13" s="69" t="n">
        <v>5000</v>
      </c>
      <c r="L13" s="69" t="n">
        <v>25000</v>
      </c>
      <c r="M13" s="69" t="n">
        <v>30000</v>
      </c>
      <c r="N13" s="69" t="n">
        <v>10000</v>
      </c>
      <c r="O13" s="69" t="n">
        <f aca="false">IFERROR(I13-(J13+K13+L13+M13+N13),"")</f>
        <v>130000</v>
      </c>
      <c r="P13" s="102" t="n">
        <f aca="false">IFERROR(O13/I13,"")</f>
        <v>0.26</v>
      </c>
      <c r="Q13" s="69" t="n">
        <f aca="false">IFERROR(IF(OR(I13="",S13="",S13="tbd"),"tbd",I13*IF(S13&lt;=1,S13,S13/100)),"–")</f>
        <v>50000</v>
      </c>
      <c r="R13" s="121" t="s">
        <v>122</v>
      </c>
      <c r="S13" s="21" t="n">
        <v>10</v>
      </c>
      <c r="T13" s="104" t="s">
        <v>74</v>
      </c>
      <c r="U13" s="22" t="s">
        <v>131</v>
      </c>
      <c r="V13" s="22" t="s">
        <v>132</v>
      </c>
      <c r="W13" s="105" t="n">
        <v>46143</v>
      </c>
      <c r="X13" s="22" t="s">
        <v>133</v>
      </c>
    </row>
    <row r="14" customFormat="false" ht="19.5" hidden="false" customHeight="true" outlineLevel="0" collapsed="false">
      <c r="A14" s="106" t="n">
        <v>10</v>
      </c>
      <c r="B14" s="107" t="s">
        <v>134</v>
      </c>
      <c r="C14" s="106" t="s">
        <v>135</v>
      </c>
      <c r="D14" s="107" t="s">
        <v>109</v>
      </c>
      <c r="E14" s="107" t="s">
        <v>136</v>
      </c>
      <c r="F14" s="108" t="n">
        <v>250</v>
      </c>
      <c r="G14" s="106" t="s">
        <v>137</v>
      </c>
      <c r="H14" s="106" t="s">
        <v>138</v>
      </c>
      <c r="I14" s="110" t="n">
        <v>96658.69</v>
      </c>
      <c r="J14" s="110" t="n">
        <v>83232</v>
      </c>
      <c r="K14" s="110" t="n">
        <v>3100</v>
      </c>
      <c r="L14" s="110" t="s">
        <v>81</v>
      </c>
      <c r="M14" s="110" t="n">
        <v>870</v>
      </c>
      <c r="N14" s="110" t="n">
        <v>2214</v>
      </c>
      <c r="O14" s="110" t="str">
        <f aca="false">IFERROR(I14-(J14+K14+L14+M14+N14),"")</f>
        <v/>
      </c>
      <c r="P14" s="111" t="str">
        <f aca="false">IFERROR(O14/I14,"")</f>
        <v/>
      </c>
      <c r="Q14" s="110" t="n">
        <f aca="false">IFERROR(IF(OR(I14="",S14="",S14="tbd"),"tbd",I14*IF(S14&lt;=1,S14,S14/100)),"–")</f>
        <v>48329.345</v>
      </c>
      <c r="R14" s="103" t="s">
        <v>122</v>
      </c>
      <c r="S14" s="106" t="n">
        <v>0.5</v>
      </c>
      <c r="T14" s="107" t="s">
        <v>74</v>
      </c>
      <c r="U14" s="107" t="s">
        <v>139</v>
      </c>
      <c r="V14" s="107" t="s">
        <v>140</v>
      </c>
      <c r="W14" s="113" t="n">
        <v>46136</v>
      </c>
      <c r="X14" s="107" t="s">
        <v>141</v>
      </c>
    </row>
    <row r="15" customFormat="false" ht="19.5" hidden="false" customHeight="true" outlineLevel="0" collapsed="false">
      <c r="A15" s="21" t="n">
        <v>11</v>
      </c>
      <c r="B15" s="22" t="s">
        <v>142</v>
      </c>
      <c r="C15" s="101" t="s">
        <v>56</v>
      </c>
      <c r="D15" s="22" t="s">
        <v>143</v>
      </c>
      <c r="E15" s="22" t="s">
        <v>144</v>
      </c>
      <c r="F15" s="23" t="n">
        <v>150</v>
      </c>
      <c r="G15" s="21" t="s">
        <v>145</v>
      </c>
      <c r="H15" s="122" t="s">
        <v>146</v>
      </c>
      <c r="I15" s="69"/>
      <c r="J15" s="69"/>
      <c r="K15" s="69"/>
      <c r="L15" s="69"/>
      <c r="M15" s="69"/>
      <c r="N15" s="69"/>
      <c r="O15" s="69" t="n">
        <f aca="false">IFERROR(I15-(J15+K15+L15+M15+N15),"")</f>
        <v>0</v>
      </c>
      <c r="P15" s="102" t="str">
        <f aca="false">IFERROR(O15/I15,"")</f>
        <v/>
      </c>
      <c r="Q15" s="69" t="str">
        <f aca="false">IFERROR(IF(OR(I15="",S15="",S15="tbd"),"tbd",I15*IF(S15&lt;=1,S15,S15/100)),"–")</f>
        <v>tbd</v>
      </c>
      <c r="R15" s="123" t="s">
        <v>147</v>
      </c>
      <c r="S15" s="21" t="s">
        <v>148</v>
      </c>
      <c r="T15" s="104" t="s">
        <v>149</v>
      </c>
      <c r="U15" s="22" t="s">
        <v>150</v>
      </c>
      <c r="V15" s="22" t="s">
        <v>151</v>
      </c>
      <c r="W15" s="105" t="n">
        <v>46143</v>
      </c>
      <c r="X15" s="22" t="s">
        <v>152</v>
      </c>
    </row>
    <row r="16" customFormat="false" ht="19.5" hidden="false" customHeight="true" outlineLevel="0" collapsed="false">
      <c r="A16" s="106" t="n">
        <v>12</v>
      </c>
      <c r="B16" s="107" t="s">
        <v>153</v>
      </c>
      <c r="C16" s="106" t="s">
        <v>56</v>
      </c>
      <c r="D16" s="107" t="s">
        <v>154</v>
      </c>
      <c r="E16" s="107" t="s">
        <v>155</v>
      </c>
      <c r="F16" s="108" t="n">
        <v>200</v>
      </c>
      <c r="G16" s="106" t="s">
        <v>81</v>
      </c>
      <c r="H16" s="106" t="s">
        <v>81</v>
      </c>
      <c r="I16" s="110"/>
      <c r="J16" s="110"/>
      <c r="K16" s="110"/>
      <c r="L16" s="110"/>
      <c r="M16" s="110"/>
      <c r="N16" s="110"/>
      <c r="O16" s="110" t="n">
        <f aca="false">IFERROR(I16-(J16+K16+L16+M16+N16),"")</f>
        <v>0</v>
      </c>
      <c r="P16" s="111" t="str">
        <f aca="false">IFERROR(O16/I16,"")</f>
        <v/>
      </c>
      <c r="Q16" s="110" t="str">
        <f aca="false">IFERROR(IF(OR(I16="",S16="",S16="tbd"),"tbd",I16*IF(S16&lt;=1,S16,S16/100)),"–")</f>
        <v>tbd</v>
      </c>
      <c r="R16" s="123" t="s">
        <v>147</v>
      </c>
      <c r="S16" s="106" t="s">
        <v>156</v>
      </c>
      <c r="T16" s="107" t="s">
        <v>74</v>
      </c>
      <c r="U16" s="107" t="s">
        <v>157</v>
      </c>
      <c r="V16" s="107" t="s">
        <v>158</v>
      </c>
      <c r="W16" s="113" t="n">
        <v>46143</v>
      </c>
      <c r="X16" s="107" t="s">
        <v>159</v>
      </c>
    </row>
    <row r="17" customFormat="false" ht="19.5" hidden="false" customHeight="true" outlineLevel="0" collapsed="false">
      <c r="A17" s="21" t="n">
        <v>13</v>
      </c>
      <c r="B17" s="22" t="s">
        <v>160</v>
      </c>
      <c r="C17" s="101" t="s">
        <v>56</v>
      </c>
      <c r="D17" s="22" t="s">
        <v>161</v>
      </c>
      <c r="E17" s="22" t="s">
        <v>100</v>
      </c>
      <c r="F17" s="23" t="n">
        <v>1000</v>
      </c>
      <c r="G17" s="21" t="s">
        <v>137</v>
      </c>
      <c r="H17" s="122" t="n">
        <v>46204</v>
      </c>
      <c r="I17" s="69" t="n">
        <v>365003</v>
      </c>
      <c r="J17" s="69" t="n">
        <v>326376</v>
      </c>
      <c r="K17" s="69" t="n">
        <v>6900</v>
      </c>
      <c r="L17" s="69" t="s">
        <v>162</v>
      </c>
      <c r="M17" s="69" t="n">
        <v>1160</v>
      </c>
      <c r="N17" s="69" t="n">
        <v>480</v>
      </c>
      <c r="O17" s="69" t="str">
        <f aca="false">IFERROR(I17-(J17+K17+L17+M17+N17),"")</f>
        <v/>
      </c>
      <c r="P17" s="102" t="str">
        <f aca="false">IFERROR(O17/I17,"")</f>
        <v/>
      </c>
      <c r="Q17" s="69" t="n">
        <f aca="false">IFERROR(IF(OR(I17="",S17="",S17="tbd"),"tbd",I17*IF(S17&lt;=1,S17,S17/100)),"–")</f>
        <v>182501.5</v>
      </c>
      <c r="R17" s="103" t="s">
        <v>92</v>
      </c>
      <c r="S17" s="21" t="n">
        <v>50</v>
      </c>
      <c r="T17" s="104" t="s">
        <v>74</v>
      </c>
      <c r="U17" s="22" t="s">
        <v>163</v>
      </c>
      <c r="V17" s="22" t="s">
        <v>164</v>
      </c>
      <c r="W17" s="105" t="n">
        <v>46143</v>
      </c>
      <c r="X17" s="22" t="s">
        <v>165</v>
      </c>
    </row>
    <row r="18" customFormat="false" ht="19.5" hidden="false" customHeight="true" outlineLevel="0" collapsed="false">
      <c r="A18" s="106" t="n">
        <v>14</v>
      </c>
      <c r="B18" s="107" t="s">
        <v>166</v>
      </c>
      <c r="C18" s="106" t="s">
        <v>56</v>
      </c>
      <c r="D18" s="107" t="s">
        <v>167</v>
      </c>
      <c r="E18" s="107" t="s">
        <v>168</v>
      </c>
      <c r="F18" s="108" t="n">
        <v>450</v>
      </c>
      <c r="G18" s="106" t="s">
        <v>81</v>
      </c>
      <c r="H18" s="106" t="s">
        <v>81</v>
      </c>
      <c r="I18" s="110" t="n">
        <v>17300</v>
      </c>
      <c r="J18" s="110"/>
      <c r="K18" s="110"/>
      <c r="L18" s="110"/>
      <c r="M18" s="110"/>
      <c r="N18" s="110"/>
      <c r="O18" s="110" t="n">
        <f aca="false">IFERROR(I18-(J18+K18+L18+M18+N18),"")</f>
        <v>17300</v>
      </c>
      <c r="P18" s="111" t="n">
        <f aca="false">IFERROR(O18/I18,"")</f>
        <v>1</v>
      </c>
      <c r="Q18" s="110" t="n">
        <f aca="false">IFERROR(IF(OR(I18="",S18="",S18="tbd"),"tbd",I18*IF(S18&lt;=1,S18,S18/100)),"–")</f>
        <v>8650</v>
      </c>
      <c r="R18" s="103" t="s">
        <v>92</v>
      </c>
      <c r="S18" s="106" t="n">
        <v>0.5</v>
      </c>
      <c r="T18" s="107" t="s">
        <v>74</v>
      </c>
      <c r="U18" s="107" t="s">
        <v>169</v>
      </c>
      <c r="V18" s="107" t="s">
        <v>170</v>
      </c>
      <c r="W18" s="113" t="n">
        <v>46143</v>
      </c>
      <c r="X18" s="107" t="s">
        <v>171</v>
      </c>
    </row>
    <row r="19" customFormat="false" ht="19.5" hidden="false" customHeight="true" outlineLevel="0" collapsed="false">
      <c r="A19" s="21" t="n">
        <v>14</v>
      </c>
      <c r="B19" s="22" t="s">
        <v>166</v>
      </c>
      <c r="C19" s="101" t="s">
        <v>56</v>
      </c>
      <c r="D19" s="22" t="s">
        <v>167</v>
      </c>
      <c r="E19" s="22" t="s">
        <v>172</v>
      </c>
      <c r="F19" s="23" t="n">
        <v>450</v>
      </c>
      <c r="G19" s="21" t="s">
        <v>81</v>
      </c>
      <c r="H19" s="21" t="s">
        <v>81</v>
      </c>
      <c r="I19" s="69" t="n">
        <v>21025</v>
      </c>
      <c r="J19" s="69"/>
      <c r="K19" s="69"/>
      <c r="L19" s="69"/>
      <c r="M19" s="69"/>
      <c r="N19" s="69"/>
      <c r="O19" s="69" t="n">
        <f aca="false">IFERROR(I19-(J19+K19+L19+M19+N19),"")</f>
        <v>21025</v>
      </c>
      <c r="P19" s="102" t="n">
        <f aca="false">IFERROR(O19/I19,"")</f>
        <v>1</v>
      </c>
      <c r="Q19" s="69" t="n">
        <f aca="false">IFERROR(IF(OR(I19="",S19="",S19="tbd"),"tbd",I19*IF(S19&lt;=1,S19,S19/100)),"–")</f>
        <v>10512.5</v>
      </c>
      <c r="R19" s="103" t="s">
        <v>92</v>
      </c>
      <c r="S19" s="21" t="n">
        <v>0.5</v>
      </c>
      <c r="T19" s="104" t="s">
        <v>74</v>
      </c>
      <c r="U19" s="22" t="s">
        <v>169</v>
      </c>
      <c r="V19" s="22" t="s">
        <v>170</v>
      </c>
      <c r="W19" s="105" t="n">
        <v>46143</v>
      </c>
      <c r="X19" s="22" t="s">
        <v>171</v>
      </c>
    </row>
    <row r="20" customFormat="false" ht="19.5" hidden="false" customHeight="true" outlineLevel="0" collapsed="false">
      <c r="A20" s="106" t="n">
        <v>14</v>
      </c>
      <c r="B20" s="107" t="s">
        <v>166</v>
      </c>
      <c r="C20" s="106" t="s">
        <v>56</v>
      </c>
      <c r="D20" s="107" t="s">
        <v>167</v>
      </c>
      <c r="E20" s="107" t="s">
        <v>173</v>
      </c>
      <c r="F20" s="108" t="n">
        <v>450</v>
      </c>
      <c r="G20" s="106" t="s">
        <v>81</v>
      </c>
      <c r="H20" s="106" t="s">
        <v>81</v>
      </c>
      <c r="I20" s="110" t="n">
        <v>37444</v>
      </c>
      <c r="J20" s="110"/>
      <c r="K20" s="110"/>
      <c r="L20" s="110"/>
      <c r="M20" s="110"/>
      <c r="N20" s="110"/>
      <c r="O20" s="110" t="n">
        <f aca="false">IFERROR(I20-(J20+K20+L20+M20+N20),"")</f>
        <v>37444</v>
      </c>
      <c r="P20" s="111" t="n">
        <f aca="false">IFERROR(O20/I20,"")</f>
        <v>1</v>
      </c>
      <c r="Q20" s="110" t="n">
        <f aca="false">IFERROR(IF(OR(I20="",S20="",S20="tbd"),"tbd",I20*IF(S20&lt;=1,S20,S20/100)),"–")</f>
        <v>18722</v>
      </c>
      <c r="R20" s="123" t="s">
        <v>147</v>
      </c>
      <c r="S20" s="106" t="n">
        <v>0.5</v>
      </c>
      <c r="T20" s="107" t="s">
        <v>74</v>
      </c>
      <c r="U20" s="107" t="s">
        <v>169</v>
      </c>
      <c r="V20" s="107" t="s">
        <v>170</v>
      </c>
      <c r="W20" s="113" t="n">
        <v>46143</v>
      </c>
      <c r="X20" s="107" t="s">
        <v>171</v>
      </c>
    </row>
    <row r="21" customFormat="false" ht="19.5" hidden="false" customHeight="true" outlineLevel="0" collapsed="false">
      <c r="A21" s="21" t="n">
        <v>15</v>
      </c>
      <c r="B21" s="22" t="s">
        <v>174</v>
      </c>
      <c r="C21" s="101" t="s">
        <v>175</v>
      </c>
      <c r="D21" s="22" t="s">
        <v>176</v>
      </c>
      <c r="E21" s="22" t="s">
        <v>177</v>
      </c>
      <c r="F21" s="102"/>
      <c r="G21" s="21" t="s">
        <v>178</v>
      </c>
      <c r="H21" s="21" t="s">
        <v>81</v>
      </c>
      <c r="I21" s="69"/>
      <c r="J21" s="69"/>
      <c r="K21" s="69"/>
      <c r="L21" s="69"/>
      <c r="M21" s="69"/>
      <c r="N21" s="69"/>
      <c r="O21" s="69" t="n">
        <f aca="false">IFERROR(I21-(J21+K21+L21+M21+N21),"")</f>
        <v>0</v>
      </c>
      <c r="P21" s="102" t="str">
        <f aca="false">IFERROR(O21/I21,"")</f>
        <v/>
      </c>
      <c r="Q21" s="69" t="str">
        <f aca="false">IFERROR(IF(OR(I21="",S21="",S21="tbd"),"tbd",I21*IF(S21&lt;=1,S21,S21/100)),"–")</f>
        <v>tbd</v>
      </c>
      <c r="R21" s="123" t="s">
        <v>179</v>
      </c>
      <c r="S21" s="21" t="s">
        <v>180</v>
      </c>
      <c r="T21" s="104" t="s">
        <v>74</v>
      </c>
      <c r="U21" s="22" t="s">
        <v>181</v>
      </c>
      <c r="V21" s="22" t="s">
        <v>182</v>
      </c>
      <c r="W21" s="105" t="n">
        <v>46143</v>
      </c>
      <c r="X21" s="22" t="s">
        <v>183</v>
      </c>
    </row>
    <row r="22" customFormat="false" ht="19.5" hidden="false" customHeight="true" outlineLevel="0" collapsed="false">
      <c r="A22" s="106" t="n">
        <v>16</v>
      </c>
      <c r="B22" s="107" t="s">
        <v>184</v>
      </c>
      <c r="C22" s="106" t="s">
        <v>56</v>
      </c>
      <c r="D22" s="107" t="s">
        <v>143</v>
      </c>
      <c r="E22" s="107" t="s">
        <v>185</v>
      </c>
      <c r="F22" s="108" t="n">
        <v>30</v>
      </c>
      <c r="G22" s="106" t="s">
        <v>186</v>
      </c>
      <c r="H22" s="106" t="s">
        <v>81</v>
      </c>
      <c r="I22" s="110"/>
      <c r="J22" s="110"/>
      <c r="K22" s="110"/>
      <c r="L22" s="110"/>
      <c r="M22" s="110"/>
      <c r="N22" s="110"/>
      <c r="O22" s="110" t="n">
        <f aca="false">IFERROR(I22-(J22+K22+L22+M22+N22),"")</f>
        <v>0</v>
      </c>
      <c r="P22" s="111" t="str">
        <f aca="false">IFERROR(O22/I22,"")</f>
        <v/>
      </c>
      <c r="Q22" s="110" t="str">
        <f aca="false">IFERROR(IF(OR(I22="",S22="",S22="tbd"),"tbd",I22*IF(S22&lt;=1,S22,S22/100)),"–")</f>
        <v>tbd</v>
      </c>
      <c r="R22" s="124" t="s">
        <v>81</v>
      </c>
      <c r="S22" s="106" t="s">
        <v>187</v>
      </c>
      <c r="T22" s="107" t="s">
        <v>74</v>
      </c>
      <c r="U22" s="107" t="s">
        <v>188</v>
      </c>
      <c r="V22" s="107" t="s">
        <v>189</v>
      </c>
      <c r="W22" s="113" t="n">
        <v>46143</v>
      </c>
      <c r="X22" s="107" t="s">
        <v>190</v>
      </c>
    </row>
    <row r="23" customFormat="false" ht="19.5" hidden="false" customHeight="true" outlineLevel="0" collapsed="false">
      <c r="A23" s="21" t="n">
        <v>17</v>
      </c>
      <c r="B23" s="22" t="s">
        <v>191</v>
      </c>
      <c r="C23" s="101" t="s">
        <v>56</v>
      </c>
      <c r="D23" s="22" t="s">
        <v>192</v>
      </c>
      <c r="E23" s="22" t="s">
        <v>81</v>
      </c>
      <c r="F23" s="102"/>
      <c r="G23" s="21" t="s">
        <v>81</v>
      </c>
      <c r="H23" s="21" t="s">
        <v>81</v>
      </c>
      <c r="I23" s="69"/>
      <c r="J23" s="69"/>
      <c r="K23" s="69"/>
      <c r="L23" s="69"/>
      <c r="M23" s="69"/>
      <c r="N23" s="69"/>
      <c r="O23" s="69" t="n">
        <f aca="false">IFERROR(I23-(J23+K23+L23+M23+N23),"")</f>
        <v>0</v>
      </c>
      <c r="P23" s="102" t="str">
        <f aca="false">IFERROR(O23/I23,"")</f>
        <v/>
      </c>
      <c r="Q23" s="69" t="str">
        <f aca="false">IFERROR(IF(OR(I23="",S23="",S23="tbd"),"tbd",I23*IF(S23&lt;=1,S23,S23/100)),"–")</f>
        <v>tbd</v>
      </c>
      <c r="R23" s="124" t="s">
        <v>81</v>
      </c>
      <c r="S23" s="21" t="s">
        <v>180</v>
      </c>
      <c r="T23" s="104" t="s">
        <v>74</v>
      </c>
      <c r="U23" s="22" t="s">
        <v>81</v>
      </c>
      <c r="V23" s="22" t="s">
        <v>193</v>
      </c>
      <c r="W23" s="105" t="n">
        <v>46143</v>
      </c>
      <c r="X23" s="22" t="s">
        <v>194</v>
      </c>
    </row>
    <row r="24" customFormat="false" ht="19.5" hidden="false" customHeight="true" outlineLevel="0" collapsed="false">
      <c r="A24" s="106" t="n">
        <v>18</v>
      </c>
      <c r="B24" s="107" t="s">
        <v>195</v>
      </c>
      <c r="C24" s="106" t="s">
        <v>81</v>
      </c>
      <c r="D24" s="107" t="s">
        <v>81</v>
      </c>
      <c r="E24" s="107" t="s">
        <v>81</v>
      </c>
      <c r="F24" s="111"/>
      <c r="G24" s="106" t="s">
        <v>81</v>
      </c>
      <c r="H24" s="106" t="s">
        <v>81</v>
      </c>
      <c r="I24" s="110"/>
      <c r="J24" s="110"/>
      <c r="K24" s="110"/>
      <c r="L24" s="110"/>
      <c r="M24" s="110"/>
      <c r="N24" s="110"/>
      <c r="O24" s="110" t="n">
        <f aca="false">IFERROR(I24-(J24+K24+L24+M24+N24),"")</f>
        <v>0</v>
      </c>
      <c r="P24" s="111" t="str">
        <f aca="false">IFERROR(O24/I24,"")</f>
        <v/>
      </c>
      <c r="Q24" s="110" t="str">
        <f aca="false">IFERROR(IF(OR(I24="",S24="",S24="tbd"),"tbd",I24*IF(S24&lt;=1,S24,S24/100)),"–")</f>
        <v>tbd</v>
      </c>
      <c r="R24" s="124" t="s">
        <v>81</v>
      </c>
      <c r="S24" s="106" t="s">
        <v>180</v>
      </c>
      <c r="T24" s="107" t="s">
        <v>74</v>
      </c>
      <c r="U24" s="107" t="s">
        <v>81</v>
      </c>
      <c r="V24" s="107" t="s">
        <v>196</v>
      </c>
      <c r="W24" s="113" t="n">
        <v>46143</v>
      </c>
      <c r="X24" s="107" t="s">
        <v>197</v>
      </c>
    </row>
    <row r="25" customFormat="false" ht="19.5" hidden="true" customHeight="true" outlineLevel="0" collapsed="false">
      <c r="A25" s="114" t="n">
        <v>19</v>
      </c>
      <c r="B25" s="115" t="s">
        <v>198</v>
      </c>
      <c r="C25" s="114" t="s">
        <v>69</v>
      </c>
      <c r="D25" s="115" t="s">
        <v>199</v>
      </c>
      <c r="E25" s="115" t="s">
        <v>200</v>
      </c>
      <c r="F25" s="116" t="n">
        <v>1500</v>
      </c>
      <c r="G25" s="114" t="s">
        <v>201</v>
      </c>
      <c r="H25" s="117" t="s">
        <v>202</v>
      </c>
      <c r="I25" s="116" t="n">
        <v>48950</v>
      </c>
      <c r="J25" s="118"/>
      <c r="K25" s="118"/>
      <c r="L25" s="118"/>
      <c r="M25" s="118"/>
      <c r="N25" s="118"/>
      <c r="O25" s="118" t="n">
        <f aca="false">IFERROR(I25-(J25+K25+L25+M25+N25),"")</f>
        <v>48950</v>
      </c>
      <c r="P25" s="118" t="n">
        <f aca="false">IFERROR(O25/I25,"")</f>
        <v>1</v>
      </c>
      <c r="Q25" s="118" t="n">
        <f aca="false">IFERROR(IF(OR(I25="",S25="",S25="tbd"),"tbd",I25*IF(S25&lt;=1,S25,S25/100)),"–")</f>
        <v>0</v>
      </c>
      <c r="R25" s="119" t="s">
        <v>112</v>
      </c>
      <c r="S25" s="114" t="s">
        <v>203</v>
      </c>
      <c r="T25" s="115" t="s">
        <v>74</v>
      </c>
      <c r="U25" s="115" t="s">
        <v>66</v>
      </c>
      <c r="V25" s="115" t="s">
        <v>204</v>
      </c>
      <c r="W25" s="120" t="n">
        <v>46143</v>
      </c>
      <c r="X25" s="115" t="s">
        <v>205</v>
      </c>
    </row>
    <row r="26" customFormat="false" ht="19.5" hidden="true" customHeight="true" outlineLevel="0" collapsed="false">
      <c r="A26" s="114" t="n">
        <v>20</v>
      </c>
      <c r="B26" s="115" t="s">
        <v>206</v>
      </c>
      <c r="C26" s="114" t="s">
        <v>207</v>
      </c>
      <c r="D26" s="115" t="s">
        <v>208</v>
      </c>
      <c r="E26" s="115" t="s">
        <v>136</v>
      </c>
      <c r="F26" s="116" t="n">
        <v>250</v>
      </c>
      <c r="G26" s="114" t="s">
        <v>186</v>
      </c>
      <c r="H26" s="117" t="s">
        <v>209</v>
      </c>
      <c r="I26" s="116" t="n">
        <v>39000</v>
      </c>
      <c r="J26" s="118"/>
      <c r="K26" s="118"/>
      <c r="L26" s="118"/>
      <c r="M26" s="118"/>
      <c r="N26" s="118"/>
      <c r="O26" s="118" t="n">
        <f aca="false">IFERROR(I26-(J26+K26+L26+M26+N26),"")</f>
        <v>39000</v>
      </c>
      <c r="P26" s="118" t="n">
        <f aca="false">IFERROR(O26/I26,"")</f>
        <v>1</v>
      </c>
      <c r="Q26" s="118" t="n">
        <f aca="false">IFERROR(IF(OR(I26="",S26="",S26="tbd"),"tbd",I26*IF(S26&lt;=1,S26,S26/100)),"–")</f>
        <v>0</v>
      </c>
      <c r="R26" s="125" t="s">
        <v>210</v>
      </c>
      <c r="S26" s="114" t="s">
        <v>203</v>
      </c>
      <c r="T26" s="115" t="s">
        <v>74</v>
      </c>
      <c r="U26" s="115" t="s">
        <v>66</v>
      </c>
      <c r="V26" s="115" t="s">
        <v>211</v>
      </c>
      <c r="W26" s="120" t="n">
        <v>46143</v>
      </c>
      <c r="X26" s="115" t="s">
        <v>212</v>
      </c>
    </row>
    <row r="27" customFormat="false" ht="19.5" hidden="true" customHeight="true" outlineLevel="0" collapsed="false">
      <c r="A27" s="95" t="n">
        <v>21</v>
      </c>
      <c r="B27" s="96" t="s">
        <v>213</v>
      </c>
      <c r="C27" s="95" t="s">
        <v>214</v>
      </c>
      <c r="D27" s="96" t="s">
        <v>154</v>
      </c>
      <c r="E27" s="96" t="s">
        <v>215</v>
      </c>
      <c r="F27" s="97" t="n">
        <v>150</v>
      </c>
      <c r="G27" s="95" t="s">
        <v>216</v>
      </c>
      <c r="H27" s="98" t="n">
        <v>46179</v>
      </c>
      <c r="I27" s="99" t="s">
        <v>217</v>
      </c>
      <c r="J27" s="99" t="s">
        <v>217</v>
      </c>
      <c r="K27" s="99" t="s">
        <v>217</v>
      </c>
      <c r="L27" s="99" t="s">
        <v>217</v>
      </c>
      <c r="M27" s="99" t="s">
        <v>217</v>
      </c>
      <c r="N27" s="99" t="s">
        <v>217</v>
      </c>
      <c r="O27" s="99" t="str">
        <f aca="false">IFERROR(I27-(J27+K27+L27+M27+N27),"")</f>
        <v/>
      </c>
      <c r="P27" s="99" t="str">
        <f aca="false">IFERROR(O27/I27,"")</f>
        <v/>
      </c>
      <c r="Q27" s="99" t="str">
        <f aca="false">IFERROR(IF(OR(I27="",S27="",S27="tbd"),"tbd",I27*IF(S27&lt;=1,S27,S27/100)),"–")</f>
        <v>–</v>
      </c>
      <c r="R27" s="100" t="s">
        <v>61</v>
      </c>
      <c r="S27" s="95" t="n">
        <v>1</v>
      </c>
      <c r="T27" s="96" t="s">
        <v>74</v>
      </c>
      <c r="U27" s="96" t="s">
        <v>188</v>
      </c>
      <c r="V27" s="126" t="s">
        <v>218</v>
      </c>
      <c r="W27" s="127" t="n">
        <v>46113</v>
      </c>
      <c r="X27" s="96" t="s">
        <v>219</v>
      </c>
    </row>
    <row r="28" customFormat="false" ht="19.5" hidden="false" customHeight="true" outlineLevel="0" collapsed="false">
      <c r="A28" s="106" t="n">
        <v>22</v>
      </c>
      <c r="B28" s="107" t="s">
        <v>220</v>
      </c>
      <c r="C28" s="106" t="s">
        <v>214</v>
      </c>
      <c r="D28" s="107" t="s">
        <v>221</v>
      </c>
      <c r="E28" s="107" t="s">
        <v>222</v>
      </c>
      <c r="F28" s="108" t="n">
        <v>400</v>
      </c>
      <c r="G28" s="106" t="s">
        <v>72</v>
      </c>
      <c r="H28" s="109" t="n">
        <v>46204</v>
      </c>
      <c r="I28" s="110"/>
      <c r="J28" s="110"/>
      <c r="K28" s="110"/>
      <c r="L28" s="110"/>
      <c r="M28" s="110"/>
      <c r="N28" s="110"/>
      <c r="O28" s="110" t="n">
        <f aca="false">IFERROR(I28-(J28+K28+L28+M28+N28),"")</f>
        <v>0</v>
      </c>
      <c r="P28" s="111" t="str">
        <f aca="false">IFERROR(O28/I28,"")</f>
        <v/>
      </c>
      <c r="Q28" s="110" t="str">
        <f aca="false">IFERROR(IF(OR(I28="",S28="",S28="tbd"),"tbd",I28*IF(S28&lt;=1,S28,S28/100)),"–")</f>
        <v>tbd</v>
      </c>
      <c r="R28" s="103" t="s">
        <v>92</v>
      </c>
      <c r="S28" s="106" t="n">
        <v>0.5</v>
      </c>
      <c r="T28" s="107" t="s">
        <v>74</v>
      </c>
      <c r="U28" s="107" t="s">
        <v>223</v>
      </c>
      <c r="V28" s="107" t="s">
        <v>224</v>
      </c>
      <c r="W28" s="113" t="n">
        <v>46143</v>
      </c>
      <c r="X28" s="107" t="s">
        <v>225</v>
      </c>
    </row>
    <row r="29" customFormat="false" ht="19.5" hidden="false" customHeight="true" outlineLevel="0" collapsed="false">
      <c r="A29" s="21" t="n">
        <v>23</v>
      </c>
      <c r="B29" s="22" t="s">
        <v>226</v>
      </c>
      <c r="C29" s="101" t="s">
        <v>227</v>
      </c>
      <c r="D29" s="22" t="s">
        <v>143</v>
      </c>
      <c r="E29" s="22" t="s">
        <v>228</v>
      </c>
      <c r="F29" s="23" t="n">
        <v>30</v>
      </c>
      <c r="G29" s="21" t="s">
        <v>81</v>
      </c>
      <c r="H29" s="21" t="s">
        <v>81</v>
      </c>
      <c r="I29" s="69"/>
      <c r="J29" s="69"/>
      <c r="K29" s="69"/>
      <c r="L29" s="69"/>
      <c r="M29" s="69"/>
      <c r="N29" s="69"/>
      <c r="O29" s="69" t="n">
        <f aca="false">IFERROR(I29-(J29+K29+L29+M29+N29),"")</f>
        <v>0</v>
      </c>
      <c r="P29" s="102" t="str">
        <f aca="false">IFERROR(O29/I29,"")</f>
        <v/>
      </c>
      <c r="Q29" s="69" t="str">
        <f aca="false">IFERROR(IF(OR(I29="",S29="",S29="tbd"),"tbd",I29*IF(S29&lt;=1,S29,S29/100)),"–")</f>
        <v>tbd</v>
      </c>
      <c r="R29" s="123" t="s">
        <v>147</v>
      </c>
      <c r="S29" s="21" t="n">
        <v>0.1</v>
      </c>
      <c r="T29" s="104" t="s">
        <v>63</v>
      </c>
      <c r="U29" s="22"/>
      <c r="V29" s="22" t="s">
        <v>229</v>
      </c>
      <c r="W29" s="105" t="n">
        <v>46143</v>
      </c>
      <c r="X29" s="22" t="s">
        <v>230</v>
      </c>
    </row>
    <row r="30" customFormat="false" ht="19.5" hidden="false" customHeight="true" outlineLevel="0" collapsed="false">
      <c r="A30" s="106" t="n">
        <v>24</v>
      </c>
      <c r="B30" s="107" t="s">
        <v>231</v>
      </c>
      <c r="C30" s="106" t="s">
        <v>56</v>
      </c>
      <c r="D30" s="107" t="s">
        <v>232</v>
      </c>
      <c r="E30" s="107" t="s">
        <v>233</v>
      </c>
      <c r="F30" s="111" t="s">
        <v>81</v>
      </c>
      <c r="G30" s="106" t="s">
        <v>81</v>
      </c>
      <c r="H30" s="106" t="s">
        <v>81</v>
      </c>
      <c r="I30" s="110"/>
      <c r="J30" s="110"/>
      <c r="K30" s="110"/>
      <c r="L30" s="110"/>
      <c r="M30" s="110"/>
      <c r="N30" s="110"/>
      <c r="O30" s="110" t="n">
        <f aca="false">IFERROR(I30-(J30+K30+L30+M30+N30),"")</f>
        <v>0</v>
      </c>
      <c r="P30" s="111" t="str">
        <f aca="false">IFERROR(O30/I30,"")</f>
        <v/>
      </c>
      <c r="Q30" s="110" t="str">
        <f aca="false">IFERROR(IF(OR(I30="",S30="",S30="tbd"),"tbd",I30*IF(S30&lt;=1,S30,S30/100)),"–")</f>
        <v>tbd</v>
      </c>
      <c r="R30" s="123" t="s">
        <v>147</v>
      </c>
      <c r="S30" s="106" t="s">
        <v>81</v>
      </c>
      <c r="T30" s="107" t="s">
        <v>63</v>
      </c>
      <c r="U30" s="107" t="s">
        <v>234</v>
      </c>
      <c r="V30" s="107" t="s">
        <v>229</v>
      </c>
      <c r="W30" s="113" t="n">
        <v>46143</v>
      </c>
      <c r="X30" s="107" t="s">
        <v>230</v>
      </c>
    </row>
    <row r="31" customFormat="false" ht="19.5" hidden="false" customHeight="true" outlineLevel="0" collapsed="false">
      <c r="A31" s="21" t="n">
        <v>25</v>
      </c>
      <c r="B31" s="22" t="s">
        <v>235</v>
      </c>
      <c r="C31" s="101" t="s">
        <v>69</v>
      </c>
      <c r="D31" s="22" t="s">
        <v>143</v>
      </c>
      <c r="E31" s="22" t="s">
        <v>236</v>
      </c>
      <c r="F31" s="102" t="s">
        <v>237</v>
      </c>
      <c r="G31" s="21" t="s">
        <v>72</v>
      </c>
      <c r="H31" s="122" t="n">
        <v>46427</v>
      </c>
      <c r="I31" s="69" t="n">
        <v>117860</v>
      </c>
      <c r="J31" s="69" t="n">
        <f aca="false">22000+44000+120+60</f>
        <v>66180</v>
      </c>
      <c r="K31" s="69" t="n">
        <v>4000</v>
      </c>
      <c r="L31" s="69" t="s">
        <v>162</v>
      </c>
      <c r="M31" s="69" t="n">
        <v>24000</v>
      </c>
      <c r="N31" s="69" t="n">
        <f aca="false">4800+8400</f>
        <v>13200</v>
      </c>
      <c r="O31" s="69" t="str">
        <f aca="false">IFERROR(I31-(J31+K31+L31+M31+N31),"")</f>
        <v/>
      </c>
      <c r="P31" s="102" t="str">
        <f aca="false">IFERROR(O31/I31,"")</f>
        <v/>
      </c>
      <c r="Q31" s="69" t="n">
        <f aca="false">IFERROR(IF(OR(I31="",S31="",S31="tbd"),"tbd",I31*IF(S31&lt;=1,S31,S31/100)),"–")</f>
        <v>58930</v>
      </c>
      <c r="R31" s="103" t="s">
        <v>92</v>
      </c>
      <c r="S31" s="21" t="n">
        <v>0.5</v>
      </c>
      <c r="T31" s="104" t="s">
        <v>63</v>
      </c>
      <c r="U31" s="22" t="s">
        <v>163</v>
      </c>
      <c r="V31" s="24" t="s">
        <v>218</v>
      </c>
      <c r="W31" s="105" t="n">
        <v>46143</v>
      </c>
      <c r="X31" s="22" t="s">
        <v>238</v>
      </c>
    </row>
    <row r="32" customFormat="false" ht="19.5" hidden="false" customHeight="true" outlineLevel="0" collapsed="false">
      <c r="A32" s="106" t="n">
        <v>25</v>
      </c>
      <c r="B32" s="107" t="s">
        <v>235</v>
      </c>
      <c r="C32" s="106" t="s">
        <v>69</v>
      </c>
      <c r="D32" s="107" t="s">
        <v>143</v>
      </c>
      <c r="E32" s="107" t="s">
        <v>239</v>
      </c>
      <c r="F32" s="111" t="s">
        <v>240</v>
      </c>
      <c r="G32" s="106" t="s">
        <v>72</v>
      </c>
      <c r="H32" s="109" t="n">
        <v>46427</v>
      </c>
      <c r="I32" s="110" t="n">
        <v>102800</v>
      </c>
      <c r="J32" s="110" t="n">
        <f aca="false">23600+6000+22000+12000+1240+600+56+44+60</f>
        <v>65600</v>
      </c>
      <c r="K32" s="110" t="n">
        <v>4000</v>
      </c>
      <c r="L32" s="110" t="s">
        <v>162</v>
      </c>
      <c r="M32" s="110" t="n">
        <v>24000</v>
      </c>
      <c r="N32" s="110" t="n">
        <f aca="false">4800+8400</f>
        <v>13200</v>
      </c>
      <c r="O32" s="110" t="str">
        <f aca="false">IFERROR(I32-(J32+K32+L32+M32+N32),"")</f>
        <v/>
      </c>
      <c r="P32" s="111" t="str">
        <f aca="false">IFERROR(O32/I32,"")</f>
        <v/>
      </c>
      <c r="Q32" s="110" t="n">
        <f aca="false">IFERROR(IF(OR(I32="",S32="",S32="tbd"),"tbd",I32*IF(S32&lt;=1,S32,S32/100)),"–")</f>
        <v>51400</v>
      </c>
      <c r="R32" s="103" t="s">
        <v>92</v>
      </c>
      <c r="S32" s="106" t="n">
        <v>0.5</v>
      </c>
      <c r="T32" s="107" t="s">
        <v>63</v>
      </c>
      <c r="U32" s="107" t="s">
        <v>163</v>
      </c>
      <c r="V32" s="128" t="s">
        <v>218</v>
      </c>
      <c r="W32" s="113" t="n">
        <v>46143</v>
      </c>
      <c r="X32" s="107" t="s">
        <v>238</v>
      </c>
    </row>
    <row r="33" customFormat="false" ht="19.5" hidden="false" customHeight="true" outlineLevel="0" collapsed="false">
      <c r="A33" s="21" t="n">
        <v>26</v>
      </c>
      <c r="B33" s="22" t="s">
        <v>241</v>
      </c>
      <c r="C33" s="101" t="s">
        <v>135</v>
      </c>
      <c r="D33" s="22" t="s">
        <v>242</v>
      </c>
      <c r="E33" s="22" t="s">
        <v>243</v>
      </c>
      <c r="F33" s="23" t="n">
        <v>200</v>
      </c>
      <c r="G33" s="21" t="n">
        <v>0</v>
      </c>
      <c r="H33" s="21" t="n">
        <v>0</v>
      </c>
      <c r="I33" s="69" t="n">
        <v>0</v>
      </c>
      <c r="J33" s="69" t="n">
        <v>0</v>
      </c>
      <c r="K33" s="69" t="n">
        <v>0</v>
      </c>
      <c r="L33" s="69" t="n">
        <v>0</v>
      </c>
      <c r="M33" s="69" t="n">
        <v>0</v>
      </c>
      <c r="N33" s="69" t="n">
        <v>0</v>
      </c>
      <c r="O33" s="69" t="n">
        <f aca="false">IFERROR(I33-(J33+K33+L33+M33+N33),"")</f>
        <v>0</v>
      </c>
      <c r="P33" s="102" t="str">
        <f aca="false">IFERROR(O33/I33,"")</f>
        <v/>
      </c>
      <c r="Q33" s="69" t="n">
        <f aca="false">IFERROR(IF(OR(I33="",S33="",S33="tbd"),"tbd",I33*IF(S33&lt;=1,S33,S33/100)),"–")</f>
        <v>0</v>
      </c>
      <c r="R33" s="121" t="s">
        <v>112</v>
      </c>
      <c r="S33" s="21" t="n">
        <v>0.5</v>
      </c>
      <c r="T33" s="104" t="s">
        <v>63</v>
      </c>
      <c r="U33" s="22" t="s">
        <v>223</v>
      </c>
      <c r="V33" s="22" t="s">
        <v>244</v>
      </c>
      <c r="W33" s="105" t="n">
        <v>46162</v>
      </c>
      <c r="X33" s="22" t="s">
        <v>245</v>
      </c>
    </row>
    <row r="34" customFormat="false" ht="19.5" hidden="false" customHeight="true" outlineLevel="0" collapsed="false">
      <c r="A34" s="106" t="n">
        <v>27</v>
      </c>
      <c r="B34" s="107" t="s">
        <v>246</v>
      </c>
      <c r="C34" s="106" t="s">
        <v>214</v>
      </c>
      <c r="D34" s="107" t="s">
        <v>247</v>
      </c>
      <c r="E34" s="107" t="s">
        <v>248</v>
      </c>
      <c r="F34" s="111" t="s">
        <v>249</v>
      </c>
      <c r="G34" s="106" t="s">
        <v>250</v>
      </c>
      <c r="H34" s="106" t="s">
        <v>81</v>
      </c>
      <c r="I34" s="110" t="n">
        <f aca="false">416100+7665+2190</f>
        <v>425955</v>
      </c>
      <c r="J34" s="110" t="n">
        <v>416100</v>
      </c>
      <c r="K34" s="110" t="n">
        <v>7620</v>
      </c>
      <c r="L34" s="110" t="s">
        <v>162</v>
      </c>
      <c r="M34" s="110" t="s">
        <v>162</v>
      </c>
      <c r="N34" s="110" t="s">
        <v>162</v>
      </c>
      <c r="O34" s="110" t="str">
        <f aca="false">IFERROR(I34-(J34+K34+L34+M34+N34),"")</f>
        <v/>
      </c>
      <c r="P34" s="111" t="str">
        <f aca="false">IFERROR(O34/I34,"")</f>
        <v/>
      </c>
      <c r="Q34" s="110" t="n">
        <f aca="false">IFERROR(IF(OR(I34="",S34="",S34="tbd"),"tbd",I34*IF(S34&lt;=1,S34,S34/100)),"–")</f>
        <v>212977.5</v>
      </c>
      <c r="R34" s="103" t="s">
        <v>92</v>
      </c>
      <c r="S34" s="106" t="n">
        <v>0.5</v>
      </c>
      <c r="T34" s="107" t="s">
        <v>251</v>
      </c>
      <c r="U34" s="107" t="s">
        <v>163</v>
      </c>
      <c r="V34" s="128" t="s">
        <v>218</v>
      </c>
      <c r="W34" s="106" t="s">
        <v>252</v>
      </c>
      <c r="X34" s="107" t="s">
        <v>238</v>
      </c>
    </row>
    <row r="35" customFormat="false" ht="19.5" hidden="false" customHeight="true" outlineLevel="0" collapsed="false">
      <c r="A35" s="21" t="n">
        <v>27</v>
      </c>
      <c r="B35" s="22" t="s">
        <v>246</v>
      </c>
      <c r="C35" s="101" t="s">
        <v>214</v>
      </c>
      <c r="D35" s="22" t="s">
        <v>247</v>
      </c>
      <c r="E35" s="22" t="s">
        <v>253</v>
      </c>
      <c r="F35" s="102" t="s">
        <v>254</v>
      </c>
      <c r="G35" s="21" t="s">
        <v>250</v>
      </c>
      <c r="H35" s="21" t="s">
        <v>81</v>
      </c>
      <c r="I35" s="69" t="n">
        <f aca="false">873810+15330+2190</f>
        <v>891330</v>
      </c>
      <c r="J35" s="69" t="n">
        <v>873810</v>
      </c>
      <c r="K35" s="69" t="n">
        <v>7620</v>
      </c>
      <c r="L35" s="69" t="s">
        <v>162</v>
      </c>
      <c r="M35" s="69" t="s">
        <v>162</v>
      </c>
      <c r="N35" s="69" t="s">
        <v>162</v>
      </c>
      <c r="O35" s="69" t="str">
        <f aca="false">IFERROR(I35-(J35+K35+L35+M35+N35),"")</f>
        <v/>
      </c>
      <c r="P35" s="102" t="str">
        <f aca="false">IFERROR(O35/I35,"")</f>
        <v/>
      </c>
      <c r="Q35" s="69" t="n">
        <f aca="false">IFERROR(IF(OR(I35="",S35="",S35="tbd"),"tbd",I35*IF(S35&lt;=1,S35,S35/100)),"–")</f>
        <v>445665</v>
      </c>
      <c r="R35" s="103" t="s">
        <v>92</v>
      </c>
      <c r="S35" s="21" t="n">
        <v>0.5</v>
      </c>
      <c r="T35" s="104" t="s">
        <v>251</v>
      </c>
      <c r="U35" s="22" t="s">
        <v>163</v>
      </c>
      <c r="V35" s="24" t="s">
        <v>218</v>
      </c>
      <c r="W35" s="21" t="s">
        <v>252</v>
      </c>
      <c r="X35" s="22" t="s">
        <v>238</v>
      </c>
    </row>
    <row r="36" customFormat="false" ht="19.5" hidden="false" customHeight="true" outlineLevel="0" collapsed="false">
      <c r="A36" s="106" t="n">
        <v>27</v>
      </c>
      <c r="B36" s="107" t="s">
        <v>246</v>
      </c>
      <c r="C36" s="106" t="s">
        <v>214</v>
      </c>
      <c r="D36" s="107" t="s">
        <v>247</v>
      </c>
      <c r="E36" s="107" t="s">
        <v>255</v>
      </c>
      <c r="F36" s="111" t="s">
        <v>256</v>
      </c>
      <c r="G36" s="106" t="s">
        <v>250</v>
      </c>
      <c r="H36" s="106" t="s">
        <v>81</v>
      </c>
      <c r="I36" s="110" t="n">
        <f aca="false">1289910+15330+2190</f>
        <v>1307430</v>
      </c>
      <c r="J36" s="110" t="n">
        <v>1289910</v>
      </c>
      <c r="K36" s="110" t="n">
        <v>7620</v>
      </c>
      <c r="L36" s="110" t="s">
        <v>162</v>
      </c>
      <c r="M36" s="110" t="s">
        <v>162</v>
      </c>
      <c r="N36" s="110" t="s">
        <v>162</v>
      </c>
      <c r="O36" s="110" t="str">
        <f aca="false">IFERROR(I36-(J36+K36+L36+M36+N36),"")</f>
        <v/>
      </c>
      <c r="P36" s="111" t="str">
        <f aca="false">IFERROR(O36/I36,"")</f>
        <v/>
      </c>
      <c r="Q36" s="110" t="n">
        <f aca="false">IFERROR(IF(OR(I36="",S36="",S36="tbd"),"tbd",I36*IF(S36&lt;=1,S36,S36/100)),"–")</f>
        <v>653715</v>
      </c>
      <c r="R36" s="103" t="s">
        <v>92</v>
      </c>
      <c r="S36" s="106" t="n">
        <v>0.5</v>
      </c>
      <c r="T36" s="107" t="s">
        <v>251</v>
      </c>
      <c r="U36" s="107" t="s">
        <v>163</v>
      </c>
      <c r="V36" s="128" t="s">
        <v>218</v>
      </c>
      <c r="W36" s="106" t="s">
        <v>252</v>
      </c>
      <c r="X36" s="107" t="s">
        <v>238</v>
      </c>
    </row>
    <row r="37" customFormat="false" ht="19.5" hidden="false" customHeight="true" outlineLevel="0" collapsed="false">
      <c r="A37" s="21" t="n">
        <v>28</v>
      </c>
      <c r="B37" s="22" t="s">
        <v>257</v>
      </c>
      <c r="C37" s="101" t="s">
        <v>227</v>
      </c>
      <c r="D37" s="22" t="s">
        <v>258</v>
      </c>
      <c r="E37" s="22" t="s">
        <v>259</v>
      </c>
      <c r="F37" s="23" t="n">
        <v>3000</v>
      </c>
      <c r="G37" s="21" t="s">
        <v>260</v>
      </c>
      <c r="H37" s="122" t="n">
        <v>46030</v>
      </c>
      <c r="I37" s="69" t="n">
        <v>77325.62</v>
      </c>
      <c r="J37" s="69" t="n">
        <v>54334.56</v>
      </c>
      <c r="K37" s="69" t="s">
        <v>81</v>
      </c>
      <c r="L37" s="69" t="s">
        <v>261</v>
      </c>
      <c r="M37" s="69" t="n">
        <v>10353</v>
      </c>
      <c r="N37" s="69" t="n">
        <v>6844</v>
      </c>
      <c r="O37" s="69" t="str">
        <f aca="false">IFERROR(I37-(J37+K37+L37+M37+N37),"")</f>
        <v/>
      </c>
      <c r="P37" s="102" t="str">
        <f aca="false">IFERROR(O37/I37,"")</f>
        <v/>
      </c>
      <c r="Q37" s="69" t="n">
        <f aca="false">IFERROR(IF(OR(I37="",S37="",S37="tbd"),"tbd",I37*IF(S37&lt;=1,S37,S37/100)),"–")</f>
        <v>38662.81</v>
      </c>
      <c r="R37" s="103" t="s">
        <v>92</v>
      </c>
      <c r="S37" s="21" t="n">
        <v>0.5</v>
      </c>
      <c r="T37" s="104" t="s">
        <v>251</v>
      </c>
      <c r="U37" s="22" t="s">
        <v>75</v>
      </c>
      <c r="V37" s="22" t="s">
        <v>262</v>
      </c>
      <c r="W37" s="21" t="s">
        <v>263</v>
      </c>
      <c r="X37" s="22" t="s">
        <v>264</v>
      </c>
    </row>
    <row r="38" customFormat="false" ht="19.5" hidden="false" customHeight="true" outlineLevel="0" collapsed="false">
      <c r="A38" s="106" t="n">
        <v>29</v>
      </c>
      <c r="B38" s="107" t="s">
        <v>265</v>
      </c>
      <c r="C38" s="106" t="s">
        <v>266</v>
      </c>
      <c r="D38" s="107" t="s">
        <v>258</v>
      </c>
      <c r="E38" s="107" t="s">
        <v>81</v>
      </c>
      <c r="F38" s="111" t="s">
        <v>81</v>
      </c>
      <c r="G38" s="106" t="s">
        <v>81</v>
      </c>
      <c r="H38" s="106" t="s">
        <v>81</v>
      </c>
      <c r="I38" s="110" t="s">
        <v>81</v>
      </c>
      <c r="J38" s="110" t="s">
        <v>81</v>
      </c>
      <c r="K38" s="110" t="s">
        <v>81</v>
      </c>
      <c r="L38" s="110" t="s">
        <v>81</v>
      </c>
      <c r="M38" s="110" t="s">
        <v>81</v>
      </c>
      <c r="N38" s="110" t="s">
        <v>81</v>
      </c>
      <c r="O38" s="110" t="str">
        <f aca="false">IFERROR(I38-(J38+K38+L38+M38+N38),"")</f>
        <v/>
      </c>
      <c r="P38" s="111" t="str">
        <f aca="false">IFERROR(O38/I38,"")</f>
        <v/>
      </c>
      <c r="Q38" s="110" t="str">
        <f aca="false">IFERROR(IF(OR(I38="",S38="",S38="tbd"),"tbd",I38*IF(S38&lt;=1,S38,S38/100)),"–")</f>
        <v>–</v>
      </c>
      <c r="R38" s="124" t="s">
        <v>81</v>
      </c>
      <c r="S38" s="106" t="n">
        <v>0.1</v>
      </c>
      <c r="T38" s="107" t="s">
        <v>63</v>
      </c>
      <c r="U38" s="107" t="s">
        <v>81</v>
      </c>
      <c r="V38" s="107" t="s">
        <v>81</v>
      </c>
      <c r="W38" s="106" t="s">
        <v>252</v>
      </c>
      <c r="X38" s="107" t="s">
        <v>81</v>
      </c>
    </row>
    <row r="39" customFormat="false" ht="19.5" hidden="false" customHeight="true" outlineLevel="0" collapsed="false">
      <c r="A39" s="21" t="n">
        <v>30</v>
      </c>
      <c r="B39" s="22" t="s">
        <v>267</v>
      </c>
      <c r="C39" s="101" t="s">
        <v>207</v>
      </c>
      <c r="D39" s="22" t="s">
        <v>247</v>
      </c>
      <c r="E39" s="22" t="s">
        <v>81</v>
      </c>
      <c r="F39" s="102" t="s">
        <v>81</v>
      </c>
      <c r="G39" s="21" t="s">
        <v>81</v>
      </c>
      <c r="H39" s="21" t="s">
        <v>81</v>
      </c>
      <c r="I39" s="69" t="s">
        <v>81</v>
      </c>
      <c r="J39" s="69" t="s">
        <v>81</v>
      </c>
      <c r="K39" s="69" t="s">
        <v>81</v>
      </c>
      <c r="L39" s="69" t="s">
        <v>81</v>
      </c>
      <c r="M39" s="69" t="s">
        <v>81</v>
      </c>
      <c r="N39" s="69" t="s">
        <v>81</v>
      </c>
      <c r="O39" s="69" t="str">
        <f aca="false">IFERROR(I39-(J39+K39+L39+M39+N39),"")</f>
        <v/>
      </c>
      <c r="P39" s="102" t="str">
        <f aca="false">IFERROR(O39/I39,"")</f>
        <v/>
      </c>
      <c r="Q39" s="69" t="str">
        <f aca="false">IFERROR(IF(OR(I39="",S39="",S39="tbd"),"tbd",I39*IF(S39&lt;=1,S39,S39/100)),"–")</f>
        <v>–</v>
      </c>
      <c r="R39" s="124" t="s">
        <v>81</v>
      </c>
      <c r="S39" s="21" t="n">
        <v>0.1</v>
      </c>
      <c r="T39" s="104" t="s">
        <v>63</v>
      </c>
      <c r="U39" s="22" t="s">
        <v>81</v>
      </c>
      <c r="V39" s="22" t="s">
        <v>81</v>
      </c>
      <c r="W39" s="21" t="s">
        <v>252</v>
      </c>
      <c r="X39" s="22" t="s">
        <v>81</v>
      </c>
    </row>
    <row r="40" customFormat="false" ht="19.5" hidden="false" customHeight="true" outlineLevel="0" collapsed="false">
      <c r="A40" s="106" t="n">
        <v>31</v>
      </c>
      <c r="B40" s="107" t="s">
        <v>268</v>
      </c>
      <c r="C40" s="106" t="s">
        <v>268</v>
      </c>
      <c r="D40" s="107" t="s">
        <v>247</v>
      </c>
      <c r="E40" s="107" t="s">
        <v>81</v>
      </c>
      <c r="F40" s="111" t="s">
        <v>81</v>
      </c>
      <c r="G40" s="106" t="s">
        <v>81</v>
      </c>
      <c r="H40" s="106" t="s">
        <v>81</v>
      </c>
      <c r="I40" s="110" t="s">
        <v>81</v>
      </c>
      <c r="J40" s="110" t="s">
        <v>81</v>
      </c>
      <c r="K40" s="110" t="s">
        <v>81</v>
      </c>
      <c r="L40" s="110" t="s">
        <v>81</v>
      </c>
      <c r="M40" s="110" t="s">
        <v>81</v>
      </c>
      <c r="N40" s="110" t="s">
        <v>81</v>
      </c>
      <c r="O40" s="110" t="str">
        <f aca="false">IFERROR(I40-(J40+K40+L40+M40+N40),"")</f>
        <v/>
      </c>
      <c r="P40" s="111" t="str">
        <f aca="false">IFERROR(O40/I40,"")</f>
        <v/>
      </c>
      <c r="Q40" s="110" t="str">
        <f aca="false">IFERROR(IF(OR(I40="",S40="",S40="tbd"),"tbd",I40*IF(S40&lt;=1,S40,S40/100)),"–")</f>
        <v>–</v>
      </c>
      <c r="R40" s="124" t="s">
        <v>81</v>
      </c>
      <c r="S40" s="106" t="n">
        <v>0.1</v>
      </c>
      <c r="T40" s="107" t="s">
        <v>63</v>
      </c>
      <c r="U40" s="107" t="s">
        <v>81</v>
      </c>
      <c r="V40" s="107" t="s">
        <v>81</v>
      </c>
      <c r="W40" s="106" t="s">
        <v>252</v>
      </c>
      <c r="X40" s="107" t="s">
        <v>81</v>
      </c>
    </row>
    <row r="41" customFormat="false" ht="19.5" hidden="false" customHeight="true" outlineLevel="0" collapsed="false">
      <c r="A41" s="21" t="n">
        <v>32</v>
      </c>
      <c r="B41" s="22" t="s">
        <v>269</v>
      </c>
      <c r="C41" s="101" t="s">
        <v>268</v>
      </c>
      <c r="D41" s="22" t="s">
        <v>247</v>
      </c>
      <c r="E41" s="22" t="s">
        <v>81</v>
      </c>
      <c r="F41" s="102" t="s">
        <v>81</v>
      </c>
      <c r="G41" s="21" t="s">
        <v>81</v>
      </c>
      <c r="H41" s="21" t="s">
        <v>81</v>
      </c>
      <c r="I41" s="69" t="s">
        <v>81</v>
      </c>
      <c r="J41" s="69" t="s">
        <v>81</v>
      </c>
      <c r="K41" s="69" t="s">
        <v>81</v>
      </c>
      <c r="L41" s="69" t="s">
        <v>81</v>
      </c>
      <c r="M41" s="69" t="s">
        <v>81</v>
      </c>
      <c r="N41" s="69" t="s">
        <v>81</v>
      </c>
      <c r="O41" s="69" t="str">
        <f aca="false">IFERROR(I41-(J41+K41+L41+M41+N41),"")</f>
        <v/>
      </c>
      <c r="P41" s="102" t="str">
        <f aca="false">IFERROR(O41/I41,"")</f>
        <v/>
      </c>
      <c r="Q41" s="69" t="str">
        <f aca="false">IFERROR(IF(OR(I41="",S41="",S41="tbd"),"tbd",I41*IF(S41&lt;=1,S41,S41/100)),"–")</f>
        <v>–</v>
      </c>
      <c r="R41" s="124" t="s">
        <v>81</v>
      </c>
      <c r="S41" s="21" t="n">
        <v>0.1</v>
      </c>
      <c r="T41" s="104" t="s">
        <v>63</v>
      </c>
      <c r="U41" s="22" t="s">
        <v>81</v>
      </c>
      <c r="V41" s="22" t="s">
        <v>81</v>
      </c>
      <c r="W41" s="21" t="s">
        <v>252</v>
      </c>
      <c r="X41" s="22" t="s">
        <v>81</v>
      </c>
    </row>
    <row r="42" customFormat="false" ht="15" hidden="true" customHeight="true" outlineLevel="0" collapsed="false">
      <c r="A42" s="106"/>
      <c r="B42" s="107"/>
      <c r="C42" s="106"/>
      <c r="D42" s="107"/>
      <c r="E42" s="107"/>
      <c r="F42" s="108"/>
      <c r="G42" s="106"/>
      <c r="H42" s="109"/>
      <c r="I42" s="108"/>
      <c r="J42" s="108"/>
      <c r="K42" s="108"/>
      <c r="L42" s="108"/>
      <c r="M42" s="108"/>
      <c r="N42" s="108"/>
      <c r="O42" s="111" t="n">
        <f aca="false">IFERROR(I42-(J42+K42+L42+M42+N42),"")</f>
        <v>0</v>
      </c>
      <c r="P42" s="111" t="str">
        <f aca="false">IFERROR(O42/I42,"")</f>
        <v/>
      </c>
      <c r="Q42" s="111" t="str">
        <f aca="false">IFERROR(IF(OR(I42="",S42="",S42="tbd"),"tbd",I42*IF(S42&lt;=1,S42,S42/100)),"–")</f>
        <v>tbd</v>
      </c>
      <c r="R42" s="106"/>
      <c r="S42" s="106"/>
      <c r="T42" s="107"/>
      <c r="U42" s="107"/>
      <c r="V42" s="107"/>
      <c r="W42" s="106"/>
      <c r="X42" s="107"/>
    </row>
    <row r="43" customFormat="false" ht="15" hidden="true" customHeight="true" outlineLevel="0" collapsed="false">
      <c r="A43" s="106"/>
      <c r="B43" s="107"/>
      <c r="C43" s="106"/>
      <c r="D43" s="107"/>
      <c r="E43" s="107"/>
      <c r="F43" s="108"/>
      <c r="G43" s="106"/>
      <c r="H43" s="109"/>
      <c r="I43" s="108"/>
      <c r="J43" s="108"/>
      <c r="K43" s="108"/>
      <c r="L43" s="108"/>
      <c r="M43" s="108"/>
      <c r="N43" s="108"/>
      <c r="O43" s="111" t="n">
        <f aca="false">IFERROR(I43-(J43+K43+L43+M43+N43),"")</f>
        <v>0</v>
      </c>
      <c r="P43" s="111" t="str">
        <f aca="false">IFERROR(O43/I43,"")</f>
        <v/>
      </c>
      <c r="Q43" s="111" t="str">
        <f aca="false">IFERROR(IF(OR(I43="",S43="",S43="tbd"),"tbd",I43*IF(S43&lt;=1,S43,S43/100)),"–")</f>
        <v>tbd</v>
      </c>
      <c r="R43" s="106"/>
      <c r="S43" s="106"/>
      <c r="T43" s="107"/>
      <c r="U43" s="107"/>
      <c r="V43" s="107"/>
      <c r="W43" s="106"/>
      <c r="X43" s="107"/>
    </row>
    <row r="44" customFormat="false" ht="15" hidden="true" customHeight="true" outlineLevel="0" collapsed="false">
      <c r="A44" s="106"/>
      <c r="B44" s="107"/>
      <c r="C44" s="106"/>
      <c r="D44" s="107"/>
      <c r="E44" s="107"/>
      <c r="F44" s="108"/>
      <c r="G44" s="106"/>
      <c r="H44" s="109"/>
      <c r="I44" s="108"/>
      <c r="J44" s="108"/>
      <c r="K44" s="108"/>
      <c r="L44" s="108"/>
      <c r="M44" s="108"/>
      <c r="N44" s="108"/>
      <c r="O44" s="111" t="n">
        <f aca="false">IFERROR(I44-(J44+K44+L44+M44+N44),"")</f>
        <v>0</v>
      </c>
      <c r="P44" s="111" t="str">
        <f aca="false">IFERROR(O44/I44,"")</f>
        <v/>
      </c>
      <c r="Q44" s="111" t="str">
        <f aca="false">IFERROR(IF(OR(I44="",S44="",S44="tbd"),"tbd",I44*IF(S44&lt;=1,S44,S44/100)),"–")</f>
        <v>tbd</v>
      </c>
      <c r="R44" s="106"/>
      <c r="S44" s="106"/>
      <c r="T44" s="107"/>
      <c r="U44" s="107"/>
      <c r="V44" s="107"/>
      <c r="W44" s="106"/>
      <c r="X44" s="107"/>
    </row>
    <row r="45" customFormat="false" ht="15" hidden="true" customHeight="true" outlineLevel="0" collapsed="false">
      <c r="A45" s="106"/>
      <c r="B45" s="107"/>
      <c r="C45" s="106"/>
      <c r="D45" s="107"/>
      <c r="E45" s="107"/>
      <c r="F45" s="108"/>
      <c r="G45" s="106"/>
      <c r="H45" s="109"/>
      <c r="I45" s="108"/>
      <c r="J45" s="108"/>
      <c r="K45" s="108"/>
      <c r="L45" s="108"/>
      <c r="M45" s="108"/>
      <c r="N45" s="108"/>
      <c r="O45" s="111" t="n">
        <f aca="false">IFERROR(I45-(J45+K45+L45+M45+N45),"")</f>
        <v>0</v>
      </c>
      <c r="P45" s="111" t="str">
        <f aca="false">IFERROR(O45/I45,"")</f>
        <v/>
      </c>
      <c r="Q45" s="111" t="str">
        <f aca="false">IFERROR(IF(OR(I45="",S45="",S45="tbd"),"tbd",I45*IF(S45&lt;=1,S45,S45/100)),"–")</f>
        <v>tbd</v>
      </c>
      <c r="R45" s="106"/>
      <c r="S45" s="106"/>
      <c r="T45" s="107"/>
      <c r="U45" s="107"/>
      <c r="V45" s="107"/>
      <c r="W45" s="106"/>
      <c r="X45" s="107"/>
    </row>
    <row r="46" customFormat="false" ht="15" hidden="true" customHeight="true" outlineLevel="0" collapsed="false">
      <c r="A46" s="106"/>
      <c r="B46" s="107"/>
      <c r="C46" s="106"/>
      <c r="D46" s="107"/>
      <c r="E46" s="107"/>
      <c r="F46" s="108"/>
      <c r="G46" s="106"/>
      <c r="H46" s="109"/>
      <c r="I46" s="108"/>
      <c r="J46" s="108"/>
      <c r="K46" s="108"/>
      <c r="L46" s="108"/>
      <c r="M46" s="108"/>
      <c r="N46" s="108"/>
      <c r="O46" s="111" t="n">
        <f aca="false">IFERROR(I46-(J46+K46+L46+M46+N46),"")</f>
        <v>0</v>
      </c>
      <c r="P46" s="111" t="str">
        <f aca="false">IFERROR(O46/I46,"")</f>
        <v/>
      </c>
      <c r="Q46" s="111" t="str">
        <f aca="false">IFERROR(IF(OR(I46="",S46="",S46="tbd"),"tbd",I46*IF(S46&lt;=1,S46,S46/100)),"–")</f>
        <v>tbd</v>
      </c>
      <c r="R46" s="106"/>
      <c r="S46" s="106"/>
      <c r="T46" s="107"/>
      <c r="U46" s="107"/>
      <c r="V46" s="107"/>
      <c r="W46" s="106"/>
      <c r="X46" s="107"/>
    </row>
    <row r="47" customFormat="false" ht="15" hidden="true" customHeight="true" outlineLevel="0" collapsed="false">
      <c r="A47" s="106"/>
      <c r="B47" s="107"/>
      <c r="C47" s="106"/>
      <c r="D47" s="107"/>
      <c r="E47" s="107"/>
      <c r="F47" s="108"/>
      <c r="G47" s="106"/>
      <c r="H47" s="109"/>
      <c r="I47" s="108"/>
      <c r="J47" s="108"/>
      <c r="K47" s="108"/>
      <c r="L47" s="108"/>
      <c r="M47" s="108"/>
      <c r="N47" s="108"/>
      <c r="O47" s="111" t="n">
        <f aca="false">IFERROR(I47-(J47+K47+L47+M47+N47),"")</f>
        <v>0</v>
      </c>
      <c r="P47" s="111" t="str">
        <f aca="false">IFERROR(O47/I47,"")</f>
        <v/>
      </c>
      <c r="Q47" s="111" t="str">
        <f aca="false">IFERROR(IF(OR(I47="",S47="",S47="tbd"),"tbd",I47*IF(S47&lt;=1,S47,S47/100)),"–")</f>
        <v>tbd</v>
      </c>
      <c r="R47" s="106"/>
      <c r="S47" s="106"/>
      <c r="T47" s="107"/>
      <c r="U47" s="107"/>
      <c r="V47" s="107"/>
      <c r="W47" s="106"/>
      <c r="X47" s="107"/>
    </row>
    <row r="48" customFormat="false" ht="15" hidden="true" customHeight="true" outlineLevel="0" collapsed="false">
      <c r="A48" s="106"/>
      <c r="B48" s="107"/>
      <c r="C48" s="106"/>
      <c r="D48" s="107"/>
      <c r="E48" s="107"/>
      <c r="F48" s="108"/>
      <c r="G48" s="106"/>
      <c r="H48" s="109"/>
      <c r="I48" s="108"/>
      <c r="J48" s="108"/>
      <c r="K48" s="108"/>
      <c r="L48" s="108"/>
      <c r="M48" s="108"/>
      <c r="N48" s="108"/>
      <c r="O48" s="111" t="n">
        <f aca="false">IFERROR(I48-(J48+K48+L48+M48+N48),"")</f>
        <v>0</v>
      </c>
      <c r="P48" s="111" t="str">
        <f aca="false">IFERROR(O48/I48,"")</f>
        <v/>
      </c>
      <c r="Q48" s="111" t="str">
        <f aca="false">IFERROR(IF(OR(I48="",S48="",S48="tbd"),"tbd",I48*IF(S48&lt;=1,S48,S48/100)),"–")</f>
        <v>tbd</v>
      </c>
      <c r="R48" s="106"/>
      <c r="S48" s="106"/>
      <c r="T48" s="107"/>
      <c r="U48" s="107"/>
      <c r="V48" s="107"/>
      <c r="W48" s="106"/>
      <c r="X48" s="107"/>
    </row>
    <row r="49" customFormat="false" ht="15" hidden="true" customHeight="true" outlineLevel="0" collapsed="false">
      <c r="A49" s="106"/>
      <c r="B49" s="107"/>
      <c r="C49" s="106"/>
      <c r="D49" s="107"/>
      <c r="E49" s="107"/>
      <c r="F49" s="108"/>
      <c r="G49" s="106"/>
      <c r="H49" s="109"/>
      <c r="I49" s="108"/>
      <c r="J49" s="108"/>
      <c r="K49" s="108"/>
      <c r="L49" s="108"/>
      <c r="M49" s="108"/>
      <c r="N49" s="108"/>
      <c r="O49" s="111" t="n">
        <f aca="false">IFERROR(I49-(J49+K49+L49+M49+N49),"")</f>
        <v>0</v>
      </c>
      <c r="P49" s="111" t="str">
        <f aca="false">IFERROR(O49/I49,"")</f>
        <v/>
      </c>
      <c r="Q49" s="111" t="str">
        <f aca="false">IFERROR(IF(OR(I49="",S49="",S49="tbd"),"tbd",I49*IF(S49&lt;=1,S49,S49/100)),"–")</f>
        <v>tbd</v>
      </c>
      <c r="R49" s="106"/>
      <c r="S49" s="106"/>
      <c r="T49" s="107"/>
      <c r="U49" s="107"/>
      <c r="V49" s="107"/>
      <c r="W49" s="106"/>
      <c r="X49" s="107"/>
    </row>
    <row r="50" customFormat="false" ht="15" hidden="true" customHeight="true" outlineLevel="0" collapsed="false">
      <c r="A50" s="106"/>
      <c r="B50" s="107"/>
      <c r="C50" s="106"/>
      <c r="D50" s="107"/>
      <c r="E50" s="107"/>
      <c r="F50" s="108"/>
      <c r="G50" s="106"/>
      <c r="H50" s="109"/>
      <c r="I50" s="108"/>
      <c r="J50" s="108"/>
      <c r="K50" s="108"/>
      <c r="L50" s="108"/>
      <c r="M50" s="108"/>
      <c r="N50" s="108"/>
      <c r="O50" s="111" t="n">
        <f aca="false">IFERROR(I50-(J50+K50+L50+M50+N50),"")</f>
        <v>0</v>
      </c>
      <c r="P50" s="111" t="str">
        <f aca="false">IFERROR(O50/I50,"")</f>
        <v/>
      </c>
      <c r="Q50" s="111" t="str">
        <f aca="false">IFERROR(IF(OR(I50="",S50="",S50="tbd"),"tbd",I50*IF(S50&lt;=1,S50,S50/100)),"–")</f>
        <v>tbd</v>
      </c>
      <c r="R50" s="106"/>
      <c r="S50" s="106"/>
      <c r="T50" s="107"/>
      <c r="U50" s="107"/>
      <c r="V50" s="107"/>
      <c r="W50" s="106"/>
      <c r="X50" s="107"/>
    </row>
    <row r="51" customFormat="false" ht="15" hidden="true" customHeight="true" outlineLevel="0" collapsed="false">
      <c r="A51" s="106"/>
      <c r="B51" s="107"/>
      <c r="C51" s="106"/>
      <c r="D51" s="107"/>
      <c r="E51" s="107"/>
      <c r="F51" s="108"/>
      <c r="G51" s="106"/>
      <c r="H51" s="109"/>
      <c r="I51" s="108"/>
      <c r="J51" s="108"/>
      <c r="K51" s="108"/>
      <c r="L51" s="108"/>
      <c r="M51" s="108"/>
      <c r="N51" s="108"/>
      <c r="O51" s="111" t="n">
        <f aca="false">IFERROR(I51-(J51+K51+L51+M51+N51),"")</f>
        <v>0</v>
      </c>
      <c r="P51" s="111" t="str">
        <f aca="false">IFERROR(O51/I51,"")</f>
        <v/>
      </c>
      <c r="Q51" s="111" t="str">
        <f aca="false">IFERROR(IF(OR(I51="",S51="",S51="tbd"),"tbd",I51*IF(S51&lt;=1,S51,S51/100)),"–")</f>
        <v>tbd</v>
      </c>
      <c r="R51" s="106"/>
      <c r="S51" s="106"/>
      <c r="T51" s="107"/>
      <c r="U51" s="107"/>
      <c r="V51" s="107"/>
      <c r="W51" s="106"/>
      <c r="X51" s="107"/>
    </row>
    <row r="52" customFormat="false" ht="15" hidden="true" customHeight="true" outlineLevel="0" collapsed="false">
      <c r="A52" s="106"/>
      <c r="B52" s="107"/>
      <c r="C52" s="106"/>
      <c r="D52" s="107"/>
      <c r="E52" s="107"/>
      <c r="F52" s="108"/>
      <c r="G52" s="106"/>
      <c r="H52" s="109"/>
      <c r="I52" s="108"/>
      <c r="J52" s="108"/>
      <c r="K52" s="108"/>
      <c r="L52" s="108"/>
      <c r="M52" s="108"/>
      <c r="N52" s="108"/>
      <c r="O52" s="111" t="n">
        <f aca="false">IFERROR(I52-(J52+K52+L52+M52+N52),"")</f>
        <v>0</v>
      </c>
      <c r="P52" s="111" t="str">
        <f aca="false">IFERROR(O52/I52,"")</f>
        <v/>
      </c>
      <c r="Q52" s="111" t="str">
        <f aca="false">IFERROR(IF(OR(I52="",S52="",S52="tbd"),"tbd",I52*IF(S52&lt;=1,S52,S52/100)),"–")</f>
        <v>tbd</v>
      </c>
      <c r="R52" s="106"/>
      <c r="S52" s="106"/>
      <c r="T52" s="107"/>
      <c r="U52" s="107"/>
      <c r="V52" s="107"/>
      <c r="W52" s="106"/>
      <c r="X52" s="107"/>
    </row>
    <row r="53" customFormat="false" ht="15" hidden="true" customHeight="true" outlineLevel="0" collapsed="false">
      <c r="A53" s="106"/>
      <c r="B53" s="107"/>
      <c r="C53" s="106"/>
      <c r="D53" s="107"/>
      <c r="E53" s="107"/>
      <c r="F53" s="108"/>
      <c r="G53" s="106"/>
      <c r="H53" s="109"/>
      <c r="I53" s="108"/>
      <c r="J53" s="108"/>
      <c r="K53" s="108"/>
      <c r="L53" s="108"/>
      <c r="M53" s="108"/>
      <c r="N53" s="108"/>
      <c r="O53" s="111" t="n">
        <f aca="false">IFERROR(I53-(J53+K53+L53+M53+N53),"")</f>
        <v>0</v>
      </c>
      <c r="P53" s="111" t="str">
        <f aca="false">IFERROR(O53/I53,"")</f>
        <v/>
      </c>
      <c r="Q53" s="111" t="str">
        <f aca="false">IFERROR(IF(OR(I53="",S53="",S53="tbd"),"tbd",I53*IF(S53&lt;=1,S53,S53/100)),"–")</f>
        <v>tbd</v>
      </c>
      <c r="R53" s="106"/>
      <c r="S53" s="106"/>
      <c r="T53" s="107"/>
      <c r="U53" s="107"/>
      <c r="V53" s="107"/>
      <c r="W53" s="106"/>
      <c r="X53" s="107"/>
    </row>
    <row r="54" customFormat="false" ht="15" hidden="true" customHeight="true" outlineLevel="0" collapsed="false">
      <c r="A54" s="106"/>
      <c r="B54" s="107"/>
      <c r="C54" s="106"/>
      <c r="D54" s="107"/>
      <c r="E54" s="107"/>
      <c r="F54" s="108"/>
      <c r="G54" s="106"/>
      <c r="H54" s="109"/>
      <c r="I54" s="108"/>
      <c r="J54" s="108"/>
      <c r="K54" s="108"/>
      <c r="L54" s="108"/>
      <c r="M54" s="108"/>
      <c r="N54" s="108"/>
      <c r="O54" s="111" t="n">
        <f aca="false">IFERROR(I54-(J54+K54+L54+M54+N54),"")</f>
        <v>0</v>
      </c>
      <c r="P54" s="111" t="str">
        <f aca="false">IFERROR(O54/I54,"")</f>
        <v/>
      </c>
      <c r="Q54" s="111" t="str">
        <f aca="false">IFERROR(IF(OR(I54="",S54="",S54="tbd"),"tbd",I54*IF(S54&lt;=1,S54,S54/100)),"–")</f>
        <v>tbd</v>
      </c>
      <c r="R54" s="106"/>
      <c r="S54" s="106"/>
      <c r="T54" s="107"/>
      <c r="U54" s="107"/>
      <c r="V54" s="107"/>
      <c r="W54" s="106"/>
      <c r="X54" s="107"/>
    </row>
    <row r="55" customFormat="false" ht="15" hidden="true" customHeight="true" outlineLevel="0" collapsed="false">
      <c r="A55" s="106"/>
      <c r="B55" s="107"/>
      <c r="C55" s="106"/>
      <c r="D55" s="107"/>
      <c r="E55" s="107"/>
      <c r="F55" s="108"/>
      <c r="G55" s="106"/>
      <c r="H55" s="109"/>
      <c r="I55" s="108"/>
      <c r="J55" s="108"/>
      <c r="K55" s="108"/>
      <c r="L55" s="108"/>
      <c r="M55" s="108"/>
      <c r="N55" s="108"/>
      <c r="O55" s="111" t="n">
        <f aca="false">IFERROR(I55-(J55+K55+L55+M55+N55),"")</f>
        <v>0</v>
      </c>
      <c r="P55" s="111" t="str">
        <f aca="false">IFERROR(O55/I55,"")</f>
        <v/>
      </c>
      <c r="Q55" s="111" t="str">
        <f aca="false">IFERROR(IF(OR(I55="",S55="",S55="tbd"),"tbd",I55*IF(S55&lt;=1,S55,S55/100)),"–")</f>
        <v>tbd</v>
      </c>
      <c r="R55" s="106"/>
      <c r="S55" s="106"/>
      <c r="T55" s="107"/>
      <c r="U55" s="107"/>
      <c r="V55" s="107"/>
      <c r="W55" s="106"/>
      <c r="X55" s="107"/>
    </row>
    <row r="56" customFormat="false" ht="15" hidden="true" customHeight="true" outlineLevel="0" collapsed="false">
      <c r="A56" s="106"/>
      <c r="B56" s="107"/>
      <c r="C56" s="106"/>
      <c r="D56" s="107"/>
      <c r="E56" s="107"/>
      <c r="F56" s="108"/>
      <c r="G56" s="106"/>
      <c r="H56" s="109"/>
      <c r="I56" s="108"/>
      <c r="J56" s="108"/>
      <c r="K56" s="108"/>
      <c r="L56" s="108"/>
      <c r="M56" s="108"/>
      <c r="N56" s="108"/>
      <c r="O56" s="111" t="n">
        <f aca="false">IFERROR(I56-(J56+K56+L56+M56+N56),"")</f>
        <v>0</v>
      </c>
      <c r="P56" s="111" t="str">
        <f aca="false">IFERROR(O56/I56,"")</f>
        <v/>
      </c>
      <c r="Q56" s="111" t="str">
        <f aca="false">IFERROR(IF(OR(I56="",S56="",S56="tbd"),"tbd",I56*IF(S56&lt;=1,S56,S56/100)),"–")</f>
        <v>tbd</v>
      </c>
      <c r="R56" s="106"/>
      <c r="S56" s="106"/>
      <c r="T56" s="107"/>
      <c r="U56" s="107"/>
      <c r="V56" s="107"/>
      <c r="W56" s="106"/>
      <c r="X56" s="107"/>
    </row>
    <row r="57" customFormat="false" ht="15" hidden="true" customHeight="true" outlineLevel="0" collapsed="false">
      <c r="A57" s="106"/>
      <c r="B57" s="107"/>
      <c r="C57" s="106"/>
      <c r="D57" s="107"/>
      <c r="E57" s="107"/>
      <c r="F57" s="108"/>
      <c r="G57" s="106"/>
      <c r="H57" s="109"/>
      <c r="I57" s="108"/>
      <c r="J57" s="108"/>
      <c r="K57" s="108"/>
      <c r="L57" s="108"/>
      <c r="M57" s="108"/>
      <c r="N57" s="108"/>
      <c r="O57" s="111" t="n">
        <f aca="false">IFERROR(I57-(J57+K57+L57+M57+N57),"")</f>
        <v>0</v>
      </c>
      <c r="P57" s="111" t="str">
        <f aca="false">IFERROR(O57/I57,"")</f>
        <v/>
      </c>
      <c r="Q57" s="111" t="str">
        <f aca="false">IFERROR(IF(OR(I57="",S57="",S57="tbd"),"tbd",I57*IF(S57&lt;=1,S57,S57/100)),"–")</f>
        <v>tbd</v>
      </c>
      <c r="R57" s="106"/>
      <c r="S57" s="106"/>
      <c r="T57" s="107"/>
      <c r="U57" s="107"/>
      <c r="V57" s="107"/>
      <c r="W57" s="106"/>
      <c r="X57" s="107"/>
    </row>
    <row r="58" customFormat="false" ht="15" hidden="true" customHeight="true" outlineLevel="0" collapsed="false">
      <c r="A58" s="106"/>
      <c r="B58" s="107"/>
      <c r="C58" s="106"/>
      <c r="D58" s="107"/>
      <c r="E58" s="107"/>
      <c r="F58" s="108"/>
      <c r="G58" s="106"/>
      <c r="H58" s="109"/>
      <c r="I58" s="108"/>
      <c r="J58" s="108"/>
      <c r="K58" s="108"/>
      <c r="L58" s="108"/>
      <c r="M58" s="108"/>
      <c r="N58" s="108"/>
      <c r="O58" s="111" t="n">
        <f aca="false">IFERROR(I58-(J58+K58+L58+M58+N58),"")</f>
        <v>0</v>
      </c>
      <c r="P58" s="111" t="str">
        <f aca="false">IFERROR(O58/I58,"")</f>
        <v/>
      </c>
      <c r="Q58" s="111" t="str">
        <f aca="false">IFERROR(IF(OR(I58="",S58="",S58="tbd"),"tbd",I58*IF(S58&lt;=1,S58,S58/100)),"–")</f>
        <v>tbd</v>
      </c>
      <c r="R58" s="106"/>
      <c r="S58" s="106"/>
      <c r="T58" s="107"/>
      <c r="U58" s="107"/>
      <c r="V58" s="107"/>
      <c r="W58" s="106"/>
      <c r="X58" s="107"/>
    </row>
    <row r="59" customFormat="false" ht="15" hidden="true" customHeight="true" outlineLevel="0" collapsed="false">
      <c r="A59" s="106"/>
      <c r="B59" s="107"/>
      <c r="C59" s="106"/>
      <c r="D59" s="107"/>
      <c r="E59" s="107"/>
      <c r="F59" s="108"/>
      <c r="G59" s="106"/>
      <c r="H59" s="109"/>
      <c r="I59" s="108"/>
      <c r="J59" s="108"/>
      <c r="K59" s="108"/>
      <c r="L59" s="108"/>
      <c r="M59" s="108"/>
      <c r="N59" s="108"/>
      <c r="O59" s="111" t="n">
        <f aca="false">IFERROR(I59-(J59+K59+L59+M59+N59),"")</f>
        <v>0</v>
      </c>
      <c r="P59" s="111" t="str">
        <f aca="false">IFERROR(O59/I59,"")</f>
        <v/>
      </c>
      <c r="Q59" s="111" t="str">
        <f aca="false">IFERROR(IF(OR(I59="",S59="",S59="tbd"),"tbd",I59*IF(S59&lt;=1,S59,S59/100)),"–")</f>
        <v>tbd</v>
      </c>
      <c r="R59" s="106"/>
      <c r="S59" s="106"/>
      <c r="T59" s="107"/>
      <c r="U59" s="107"/>
      <c r="V59" s="107"/>
      <c r="W59" s="106"/>
      <c r="X59" s="107"/>
    </row>
    <row r="60" customFormat="false" ht="15" hidden="true" customHeight="true" outlineLevel="0" collapsed="false">
      <c r="A60" s="106"/>
      <c r="B60" s="107"/>
      <c r="C60" s="106"/>
      <c r="D60" s="107"/>
      <c r="E60" s="107"/>
      <c r="F60" s="108"/>
      <c r="G60" s="106"/>
      <c r="H60" s="109"/>
      <c r="I60" s="108"/>
      <c r="J60" s="108"/>
      <c r="K60" s="108"/>
      <c r="L60" s="108"/>
      <c r="M60" s="108"/>
      <c r="N60" s="108"/>
      <c r="O60" s="111" t="n">
        <f aca="false">IFERROR(I60-(J60+K60+L60+M60+N60),"")</f>
        <v>0</v>
      </c>
      <c r="P60" s="111" t="str">
        <f aca="false">IFERROR(O60/I60,"")</f>
        <v/>
      </c>
      <c r="Q60" s="111" t="str">
        <f aca="false">IFERROR(IF(OR(I60="",S60="",S60="tbd"),"tbd",I60*IF(S60&lt;=1,S60,S60/100)),"–")</f>
        <v>tbd</v>
      </c>
      <c r="R60" s="106"/>
      <c r="S60" s="106"/>
      <c r="T60" s="107"/>
      <c r="U60" s="107"/>
      <c r="V60" s="107"/>
      <c r="W60" s="106"/>
      <c r="X60" s="107"/>
    </row>
    <row r="61" customFormat="false" ht="15" hidden="true" customHeight="true" outlineLevel="0" collapsed="false">
      <c r="A61" s="106"/>
      <c r="B61" s="107"/>
      <c r="C61" s="106"/>
      <c r="D61" s="107"/>
      <c r="E61" s="107"/>
      <c r="F61" s="108"/>
      <c r="G61" s="106"/>
      <c r="H61" s="109"/>
      <c r="I61" s="108"/>
      <c r="J61" s="108"/>
      <c r="K61" s="108"/>
      <c r="L61" s="108"/>
      <c r="M61" s="108"/>
      <c r="N61" s="108"/>
      <c r="O61" s="111" t="n">
        <f aca="false">IFERROR(I61-(J61+K61+L61+M61+N61),"")</f>
        <v>0</v>
      </c>
      <c r="P61" s="111" t="str">
        <f aca="false">IFERROR(O61/I61,"")</f>
        <v/>
      </c>
      <c r="Q61" s="111" t="str">
        <f aca="false">IFERROR(IF(OR(I61="",S61="",S61="tbd"),"tbd",I61*IF(S61&lt;=1,S61,S61/100)),"–")</f>
        <v>tbd</v>
      </c>
      <c r="R61" s="106"/>
      <c r="S61" s="106"/>
      <c r="T61" s="107"/>
      <c r="U61" s="107"/>
      <c r="V61" s="107"/>
      <c r="W61" s="106"/>
      <c r="X61" s="107"/>
    </row>
    <row r="62" customFormat="false" ht="15" hidden="true" customHeight="true" outlineLevel="0" collapsed="false">
      <c r="A62" s="106"/>
      <c r="B62" s="107"/>
      <c r="C62" s="106"/>
      <c r="D62" s="107"/>
      <c r="E62" s="107"/>
      <c r="F62" s="108"/>
      <c r="G62" s="106"/>
      <c r="H62" s="109"/>
      <c r="I62" s="108"/>
      <c r="J62" s="108"/>
      <c r="K62" s="108"/>
      <c r="L62" s="108"/>
      <c r="M62" s="108"/>
      <c r="N62" s="108"/>
      <c r="O62" s="111" t="n">
        <f aca="false">IFERROR(I62-(J62+K62+L62+M62+N62),"")</f>
        <v>0</v>
      </c>
      <c r="P62" s="111" t="str">
        <f aca="false">IFERROR(O62/I62,"")</f>
        <v/>
      </c>
      <c r="Q62" s="111" t="str">
        <f aca="false">IFERROR(IF(OR(I62="",S62="",S62="tbd"),"tbd",I62*IF(S62&lt;=1,S62,S62/100)),"–")</f>
        <v>tbd</v>
      </c>
      <c r="R62" s="106"/>
      <c r="S62" s="106"/>
      <c r="T62" s="107"/>
      <c r="U62" s="107"/>
      <c r="V62" s="107"/>
      <c r="W62" s="106"/>
      <c r="X62" s="107"/>
    </row>
    <row r="63" customFormat="false" ht="15" hidden="true" customHeight="true" outlineLevel="0" collapsed="false">
      <c r="A63" s="106"/>
      <c r="B63" s="107"/>
      <c r="C63" s="106"/>
      <c r="D63" s="107"/>
      <c r="E63" s="107"/>
      <c r="F63" s="108"/>
      <c r="G63" s="106"/>
      <c r="H63" s="109"/>
      <c r="I63" s="108"/>
      <c r="J63" s="108"/>
      <c r="K63" s="108"/>
      <c r="L63" s="108"/>
      <c r="M63" s="108"/>
      <c r="N63" s="108"/>
      <c r="O63" s="111" t="n">
        <f aca="false">IFERROR(I63-(J63+K63+L63+M63+N63),"")</f>
        <v>0</v>
      </c>
      <c r="P63" s="111" t="str">
        <f aca="false">IFERROR(O63/I63,"")</f>
        <v/>
      </c>
      <c r="Q63" s="111" t="str">
        <f aca="false">IFERROR(IF(OR(I63="",S63="",S63="tbd"),"tbd",I63*IF(S63&lt;=1,S63,S63/100)),"–")</f>
        <v>tbd</v>
      </c>
      <c r="R63" s="106"/>
      <c r="S63" s="106"/>
      <c r="T63" s="107"/>
      <c r="U63" s="107"/>
      <c r="V63" s="107"/>
      <c r="W63" s="106"/>
      <c r="X63" s="107"/>
    </row>
    <row r="64" customFormat="false" ht="15" hidden="true" customHeight="true" outlineLevel="0" collapsed="false">
      <c r="A64" s="106"/>
      <c r="B64" s="107"/>
      <c r="C64" s="106"/>
      <c r="D64" s="107"/>
      <c r="E64" s="107"/>
      <c r="F64" s="108"/>
      <c r="G64" s="106"/>
      <c r="H64" s="109"/>
      <c r="I64" s="108"/>
      <c r="J64" s="108"/>
      <c r="K64" s="108"/>
      <c r="L64" s="108"/>
      <c r="M64" s="108"/>
      <c r="N64" s="108"/>
      <c r="O64" s="111" t="n">
        <f aca="false">IFERROR(I64-(J64+K64+L64+M64+N64),"")</f>
        <v>0</v>
      </c>
      <c r="P64" s="111" t="str">
        <f aca="false">IFERROR(O64/I64,"")</f>
        <v/>
      </c>
      <c r="Q64" s="111" t="str">
        <f aca="false">IFERROR(IF(OR(I64="",S64="",S64="tbd"),"tbd",I64*IF(S64&lt;=1,S64,S64/100)),"–")</f>
        <v>tbd</v>
      </c>
      <c r="R64" s="106"/>
      <c r="S64" s="106"/>
      <c r="T64" s="107"/>
      <c r="U64" s="107"/>
      <c r="V64" s="107"/>
      <c r="W64" s="106"/>
      <c r="X64" s="107"/>
    </row>
    <row r="65" customFormat="false" ht="15" hidden="true" customHeight="true" outlineLevel="0" collapsed="false">
      <c r="A65" s="106"/>
      <c r="B65" s="107"/>
      <c r="C65" s="106"/>
      <c r="D65" s="107"/>
      <c r="E65" s="107"/>
      <c r="F65" s="108"/>
      <c r="G65" s="106"/>
      <c r="H65" s="109"/>
      <c r="I65" s="108"/>
      <c r="J65" s="108"/>
      <c r="K65" s="108"/>
      <c r="L65" s="108"/>
      <c r="M65" s="108"/>
      <c r="N65" s="108"/>
      <c r="O65" s="111" t="n">
        <f aca="false">IFERROR(I65-(J65+K65+L65+M65+N65),"")</f>
        <v>0</v>
      </c>
      <c r="P65" s="111" t="str">
        <f aca="false">IFERROR(O65/I65,"")</f>
        <v/>
      </c>
      <c r="Q65" s="111" t="str">
        <f aca="false">IFERROR(IF(OR(I65="",S65="",S65="tbd"),"tbd",I65*IF(S65&lt;=1,S65,S65/100)),"–")</f>
        <v>tbd</v>
      </c>
      <c r="R65" s="106"/>
      <c r="S65" s="106"/>
      <c r="T65" s="107"/>
      <c r="U65" s="107"/>
      <c r="V65" s="107"/>
      <c r="W65" s="106"/>
      <c r="X65" s="107"/>
    </row>
    <row r="66" customFormat="false" ht="15" hidden="true" customHeight="true" outlineLevel="0" collapsed="false">
      <c r="A66" s="106"/>
      <c r="B66" s="107"/>
      <c r="C66" s="106"/>
      <c r="D66" s="107"/>
      <c r="E66" s="107"/>
      <c r="F66" s="108"/>
      <c r="G66" s="106"/>
      <c r="H66" s="109"/>
      <c r="I66" s="108"/>
      <c r="J66" s="108"/>
      <c r="K66" s="108"/>
      <c r="L66" s="108"/>
      <c r="M66" s="108"/>
      <c r="N66" s="108"/>
      <c r="O66" s="111" t="n">
        <f aca="false">IFERROR(I66-(J66+K66+L66+M66+N66),"")</f>
        <v>0</v>
      </c>
      <c r="P66" s="111" t="str">
        <f aca="false">IFERROR(O66/I66,"")</f>
        <v/>
      </c>
      <c r="Q66" s="111" t="str">
        <f aca="false">IFERROR(IF(OR(I66="",S66="",S66="tbd"),"tbd",I66*IF(S66&lt;=1,S66,S66/100)),"–")</f>
        <v>tbd</v>
      </c>
      <c r="R66" s="106"/>
      <c r="S66" s="106"/>
      <c r="T66" s="107"/>
      <c r="U66" s="107"/>
      <c r="V66" s="107"/>
      <c r="W66" s="106"/>
      <c r="X66" s="107"/>
    </row>
    <row r="67" customFormat="false" ht="15" hidden="true" customHeight="true" outlineLevel="0" collapsed="false">
      <c r="A67" s="106"/>
      <c r="B67" s="107"/>
      <c r="C67" s="106"/>
      <c r="D67" s="107"/>
      <c r="E67" s="107"/>
      <c r="F67" s="108"/>
      <c r="G67" s="106"/>
      <c r="H67" s="109"/>
      <c r="I67" s="108"/>
      <c r="J67" s="108"/>
      <c r="K67" s="108"/>
      <c r="L67" s="108"/>
      <c r="M67" s="108"/>
      <c r="N67" s="108"/>
      <c r="O67" s="111" t="n">
        <f aca="false">IFERROR(I67-(J67+K67+L67+M67+N67),"")</f>
        <v>0</v>
      </c>
      <c r="P67" s="111" t="str">
        <f aca="false">IFERROR(O67/I67,"")</f>
        <v/>
      </c>
      <c r="Q67" s="111" t="str">
        <f aca="false">IFERROR(IF(OR(I67="",S67="",S67="tbd"),"tbd",I67*IF(S67&lt;=1,S67,S67/100)),"–")</f>
        <v>tbd</v>
      </c>
      <c r="R67" s="106"/>
      <c r="S67" s="106"/>
      <c r="T67" s="107"/>
      <c r="U67" s="107"/>
      <c r="V67" s="107"/>
      <c r="W67" s="106"/>
      <c r="X67" s="107"/>
    </row>
    <row r="68" customFormat="false" ht="15" hidden="true" customHeight="true" outlineLevel="0" collapsed="false">
      <c r="A68" s="106"/>
      <c r="B68" s="107"/>
      <c r="C68" s="106"/>
      <c r="D68" s="107"/>
      <c r="E68" s="107"/>
      <c r="F68" s="108"/>
      <c r="G68" s="106"/>
      <c r="H68" s="109"/>
      <c r="I68" s="108"/>
      <c r="J68" s="108"/>
      <c r="K68" s="108"/>
      <c r="L68" s="108"/>
      <c r="M68" s="108"/>
      <c r="N68" s="108"/>
      <c r="O68" s="111" t="n">
        <f aca="false">IFERROR(I68-(J68+K68+L68+M68+N68),"")</f>
        <v>0</v>
      </c>
      <c r="P68" s="111" t="str">
        <f aca="false">IFERROR(O68/I68,"")</f>
        <v/>
      </c>
      <c r="Q68" s="111" t="str">
        <f aca="false">IFERROR(IF(OR(I68="",S68="",S68="tbd"),"tbd",I68*IF(S68&lt;=1,S68,S68/100)),"–")</f>
        <v>tbd</v>
      </c>
      <c r="R68" s="106"/>
      <c r="S68" s="106"/>
      <c r="T68" s="107"/>
      <c r="U68" s="107"/>
      <c r="V68" s="107"/>
      <c r="W68" s="106"/>
      <c r="X68" s="107"/>
    </row>
    <row r="69" customFormat="false" ht="15" hidden="true" customHeight="true" outlineLevel="0" collapsed="false">
      <c r="A69" s="106"/>
      <c r="B69" s="107"/>
      <c r="C69" s="106"/>
      <c r="D69" s="107"/>
      <c r="E69" s="107"/>
      <c r="F69" s="108"/>
      <c r="G69" s="106"/>
      <c r="H69" s="109"/>
      <c r="I69" s="108"/>
      <c r="J69" s="108"/>
      <c r="K69" s="108"/>
      <c r="L69" s="108"/>
      <c r="M69" s="108"/>
      <c r="N69" s="108"/>
      <c r="O69" s="111" t="n">
        <f aca="false">IFERROR(I69-(J69+K69+L69+M69+N69),"")</f>
        <v>0</v>
      </c>
      <c r="P69" s="111" t="str">
        <f aca="false">IFERROR(O69/I69,"")</f>
        <v/>
      </c>
      <c r="Q69" s="111" t="str">
        <f aca="false">IFERROR(IF(OR(I69="",S69="",S69="tbd"),"tbd",I69*IF(S69&lt;=1,S69,S69/100)),"–")</f>
        <v>tbd</v>
      </c>
      <c r="R69" s="106"/>
      <c r="S69" s="106"/>
      <c r="T69" s="107"/>
      <c r="U69" s="107"/>
      <c r="V69" s="107"/>
      <c r="W69" s="106"/>
      <c r="X69" s="107"/>
    </row>
    <row r="70" customFormat="false" ht="15" hidden="true" customHeight="true" outlineLevel="0" collapsed="false">
      <c r="A70" s="106"/>
      <c r="B70" s="107"/>
      <c r="C70" s="106"/>
      <c r="D70" s="107"/>
      <c r="E70" s="107"/>
      <c r="F70" s="108"/>
      <c r="G70" s="106"/>
      <c r="H70" s="109"/>
      <c r="I70" s="108"/>
      <c r="J70" s="108"/>
      <c r="K70" s="108"/>
      <c r="L70" s="108"/>
      <c r="M70" s="108"/>
      <c r="N70" s="108"/>
      <c r="O70" s="111" t="n">
        <f aca="false">IFERROR(I70-(J70+K70+L70+M70+N70),"")</f>
        <v>0</v>
      </c>
      <c r="P70" s="111" t="str">
        <f aca="false">IFERROR(O70/I70,"")</f>
        <v/>
      </c>
      <c r="Q70" s="111" t="str">
        <f aca="false">IFERROR(IF(OR(I70="",S70="",S70="tbd"),"tbd",I70*IF(S70&lt;=1,S70,S70/100)),"–")</f>
        <v>tbd</v>
      </c>
      <c r="R70" s="106"/>
      <c r="S70" s="106"/>
      <c r="T70" s="107"/>
      <c r="U70" s="107"/>
      <c r="V70" s="107"/>
      <c r="W70" s="106"/>
      <c r="X70" s="107"/>
    </row>
    <row r="71" customFormat="false" ht="15" hidden="true" customHeight="true" outlineLevel="0" collapsed="false">
      <c r="A71" s="106"/>
      <c r="B71" s="107"/>
      <c r="C71" s="106"/>
      <c r="D71" s="107"/>
      <c r="E71" s="107"/>
      <c r="F71" s="108"/>
      <c r="G71" s="106"/>
      <c r="H71" s="109"/>
      <c r="I71" s="108"/>
      <c r="J71" s="108"/>
      <c r="K71" s="108"/>
      <c r="L71" s="108"/>
      <c r="M71" s="108"/>
      <c r="N71" s="108"/>
      <c r="O71" s="111" t="n">
        <f aca="false">IFERROR(I71-(J71+K71+L71+M71+N71),"")</f>
        <v>0</v>
      </c>
      <c r="P71" s="111" t="str">
        <f aca="false">IFERROR(O71/I71,"")</f>
        <v/>
      </c>
      <c r="Q71" s="111" t="str">
        <f aca="false">IFERROR(IF(OR(I71="",S71="",S71="tbd"),"tbd",I71*IF(S71&lt;=1,S71,S71/100)),"–")</f>
        <v>tbd</v>
      </c>
      <c r="R71" s="106"/>
      <c r="S71" s="106"/>
      <c r="T71" s="107"/>
      <c r="U71" s="107"/>
      <c r="V71" s="107"/>
      <c r="W71" s="106"/>
      <c r="X71" s="107"/>
    </row>
    <row r="72" customFormat="false" ht="15" hidden="true" customHeight="true" outlineLevel="0" collapsed="false">
      <c r="A72" s="106"/>
      <c r="B72" s="107"/>
      <c r="C72" s="106"/>
      <c r="D72" s="107"/>
      <c r="E72" s="107"/>
      <c r="F72" s="108"/>
      <c r="G72" s="106"/>
      <c r="H72" s="109"/>
      <c r="I72" s="108"/>
      <c r="J72" s="108"/>
      <c r="K72" s="108"/>
      <c r="L72" s="108"/>
      <c r="M72" s="108"/>
      <c r="N72" s="108"/>
      <c r="O72" s="111" t="n">
        <f aca="false">IFERROR(I72-(J72+K72+L72+M72+N72),"")</f>
        <v>0</v>
      </c>
      <c r="P72" s="111" t="str">
        <f aca="false">IFERROR(O72/I72,"")</f>
        <v/>
      </c>
      <c r="Q72" s="111" t="str">
        <f aca="false">IFERROR(IF(OR(I72="",S72="",S72="tbd"),"tbd",I72*IF(S72&lt;=1,S72,S72/100)),"–")</f>
        <v>tbd</v>
      </c>
      <c r="R72" s="106"/>
      <c r="S72" s="106"/>
      <c r="T72" s="107"/>
      <c r="U72" s="107"/>
      <c r="V72" s="107"/>
      <c r="W72" s="106"/>
      <c r="X72" s="107"/>
    </row>
    <row r="73" customFormat="false" ht="15" hidden="true" customHeight="true" outlineLevel="0" collapsed="false">
      <c r="A73" s="106"/>
      <c r="B73" s="107"/>
      <c r="C73" s="106"/>
      <c r="D73" s="107"/>
      <c r="E73" s="107"/>
      <c r="F73" s="108"/>
      <c r="G73" s="106"/>
      <c r="H73" s="109"/>
      <c r="I73" s="108"/>
      <c r="J73" s="108"/>
      <c r="K73" s="108"/>
      <c r="L73" s="108"/>
      <c r="M73" s="108"/>
      <c r="N73" s="108"/>
      <c r="O73" s="111" t="n">
        <f aca="false">IFERROR(I73-(J73+K73+L73+M73+N73),"")</f>
        <v>0</v>
      </c>
      <c r="P73" s="111" t="str">
        <f aca="false">IFERROR(O73/I73,"")</f>
        <v/>
      </c>
      <c r="Q73" s="111" t="str">
        <f aca="false">IFERROR(IF(OR(I73="",S73="",S73="tbd"),"tbd",I73*IF(S73&lt;=1,S73,S73/100)),"–")</f>
        <v>tbd</v>
      </c>
      <c r="R73" s="106"/>
      <c r="S73" s="106"/>
      <c r="T73" s="107"/>
      <c r="U73" s="107"/>
      <c r="V73" s="107"/>
      <c r="W73" s="106"/>
      <c r="X73" s="107"/>
    </row>
    <row r="74" customFormat="false" ht="15" hidden="true" customHeight="true" outlineLevel="0" collapsed="false">
      <c r="A74" s="106"/>
      <c r="B74" s="107"/>
      <c r="C74" s="106"/>
      <c r="D74" s="107"/>
      <c r="E74" s="107"/>
      <c r="F74" s="108"/>
      <c r="G74" s="106"/>
      <c r="H74" s="109"/>
      <c r="I74" s="108"/>
      <c r="J74" s="108"/>
      <c r="K74" s="108"/>
      <c r="L74" s="108"/>
      <c r="M74" s="108"/>
      <c r="N74" s="108"/>
      <c r="O74" s="111" t="n">
        <f aca="false">IFERROR(I74-(J74+K74+L74+M74+N74),"")</f>
        <v>0</v>
      </c>
      <c r="P74" s="111" t="str">
        <f aca="false">IFERROR(O74/I74,"")</f>
        <v/>
      </c>
      <c r="Q74" s="111" t="str">
        <f aca="false">IFERROR(IF(OR(I74="",S74="",S74="tbd"),"tbd",I74*IF(S74&lt;=1,S74,S74/100)),"–")</f>
        <v>tbd</v>
      </c>
      <c r="R74" s="106"/>
      <c r="S74" s="106"/>
      <c r="T74" s="107"/>
      <c r="U74" s="107"/>
      <c r="V74" s="107"/>
      <c r="W74" s="106"/>
      <c r="X74" s="107"/>
    </row>
    <row r="75" customFormat="false" ht="15" hidden="true" customHeight="true" outlineLevel="0" collapsed="false">
      <c r="A75" s="106"/>
      <c r="B75" s="107"/>
      <c r="C75" s="106"/>
      <c r="D75" s="107"/>
      <c r="E75" s="107"/>
      <c r="F75" s="108"/>
      <c r="G75" s="106"/>
      <c r="H75" s="109"/>
      <c r="I75" s="108"/>
      <c r="J75" s="108"/>
      <c r="K75" s="108"/>
      <c r="L75" s="108"/>
      <c r="M75" s="108"/>
      <c r="N75" s="108"/>
      <c r="O75" s="111" t="n">
        <f aca="false">IFERROR(I75-(J75+K75+L75+M75+N75),"")</f>
        <v>0</v>
      </c>
      <c r="P75" s="111" t="str">
        <f aca="false">IFERROR(O75/I75,"")</f>
        <v/>
      </c>
      <c r="Q75" s="111" t="str">
        <f aca="false">IFERROR(IF(OR(I75="",S75="",S75="tbd"),"tbd",I75*IF(S75&lt;=1,S75,S75/100)),"–")</f>
        <v>tbd</v>
      </c>
      <c r="R75" s="106"/>
      <c r="S75" s="106"/>
      <c r="T75" s="107"/>
      <c r="U75" s="107"/>
      <c r="V75" s="107"/>
      <c r="W75" s="106"/>
      <c r="X75" s="107"/>
    </row>
    <row r="76" customFormat="false" ht="15" hidden="true" customHeight="true" outlineLevel="0" collapsed="false">
      <c r="A76" s="106"/>
      <c r="B76" s="107"/>
      <c r="C76" s="106"/>
      <c r="D76" s="107"/>
      <c r="E76" s="107"/>
      <c r="F76" s="108"/>
      <c r="G76" s="106"/>
      <c r="H76" s="109"/>
      <c r="I76" s="108"/>
      <c r="J76" s="108"/>
      <c r="K76" s="108"/>
      <c r="L76" s="108"/>
      <c r="M76" s="108"/>
      <c r="N76" s="108"/>
      <c r="O76" s="111" t="n">
        <f aca="false">IFERROR(I76-(J76+K76+L76+M76+N76),"")</f>
        <v>0</v>
      </c>
      <c r="P76" s="111" t="str">
        <f aca="false">IFERROR(O76/I76,"")</f>
        <v/>
      </c>
      <c r="Q76" s="111" t="str">
        <f aca="false">IFERROR(IF(OR(I76="",S76="",S76="tbd"),"tbd",I76*IF(S76&lt;=1,S76,S76/100)),"–")</f>
        <v>tbd</v>
      </c>
      <c r="R76" s="106"/>
      <c r="S76" s="106"/>
      <c r="T76" s="107"/>
      <c r="U76" s="107"/>
      <c r="V76" s="107"/>
      <c r="W76" s="106"/>
      <c r="X76" s="107"/>
    </row>
    <row r="77" customFormat="false" ht="15" hidden="true" customHeight="true" outlineLevel="0" collapsed="false">
      <c r="A77" s="106"/>
      <c r="B77" s="107"/>
      <c r="C77" s="106"/>
      <c r="D77" s="107"/>
      <c r="E77" s="107"/>
      <c r="F77" s="108"/>
      <c r="G77" s="106"/>
      <c r="H77" s="109"/>
      <c r="I77" s="108"/>
      <c r="J77" s="108"/>
      <c r="K77" s="108"/>
      <c r="L77" s="108"/>
      <c r="M77" s="108"/>
      <c r="N77" s="108"/>
      <c r="O77" s="111" t="n">
        <f aca="false">IFERROR(I77-(J77+K77+L77+M77+N77),"")</f>
        <v>0</v>
      </c>
      <c r="P77" s="111" t="str">
        <f aca="false">IFERROR(O77/I77,"")</f>
        <v/>
      </c>
      <c r="Q77" s="111" t="str">
        <f aca="false">IFERROR(IF(OR(I77="",S77="",S77="tbd"),"tbd",I77*IF(S77&lt;=1,S77,S77/100)),"–")</f>
        <v>tbd</v>
      </c>
      <c r="R77" s="106"/>
      <c r="S77" s="106"/>
      <c r="T77" s="107"/>
      <c r="U77" s="107"/>
      <c r="V77" s="107"/>
      <c r="W77" s="106"/>
      <c r="X77" s="107"/>
    </row>
    <row r="78" customFormat="false" ht="15" hidden="true" customHeight="true" outlineLevel="0" collapsed="false">
      <c r="A78" s="106"/>
      <c r="B78" s="107"/>
      <c r="C78" s="106"/>
      <c r="D78" s="107"/>
      <c r="E78" s="107"/>
      <c r="F78" s="108"/>
      <c r="G78" s="106"/>
      <c r="H78" s="109"/>
      <c r="I78" s="108"/>
      <c r="J78" s="108"/>
      <c r="K78" s="108"/>
      <c r="L78" s="108"/>
      <c r="M78" s="108"/>
      <c r="N78" s="108"/>
      <c r="O78" s="111" t="n">
        <f aca="false">IFERROR(I78-(J78+K78+L78+M78+N78),"")</f>
        <v>0</v>
      </c>
      <c r="P78" s="111" t="str">
        <f aca="false">IFERROR(O78/I78,"")</f>
        <v/>
      </c>
      <c r="Q78" s="111" t="str">
        <f aca="false">IFERROR(IF(OR(I78="",S78="",S78="tbd"),"tbd",I78*IF(S78&lt;=1,S78,S78/100)),"–")</f>
        <v>tbd</v>
      </c>
      <c r="R78" s="106"/>
      <c r="S78" s="106"/>
      <c r="T78" s="107"/>
      <c r="U78" s="107"/>
      <c r="V78" s="107"/>
      <c r="W78" s="106"/>
      <c r="X78" s="107"/>
    </row>
    <row r="79" customFormat="false" ht="15" hidden="true" customHeight="true" outlineLevel="0" collapsed="false">
      <c r="A79" s="106"/>
      <c r="B79" s="107"/>
      <c r="C79" s="106"/>
      <c r="D79" s="107"/>
      <c r="E79" s="107"/>
      <c r="F79" s="108"/>
      <c r="G79" s="106"/>
      <c r="H79" s="109"/>
      <c r="I79" s="108"/>
      <c r="J79" s="108"/>
      <c r="K79" s="108"/>
      <c r="L79" s="108"/>
      <c r="M79" s="108"/>
      <c r="N79" s="108"/>
      <c r="O79" s="111" t="n">
        <f aca="false">IFERROR(I79-(J79+K79+L79+M79+N79),"")</f>
        <v>0</v>
      </c>
      <c r="P79" s="111" t="str">
        <f aca="false">IFERROR(O79/I79,"")</f>
        <v/>
      </c>
      <c r="Q79" s="111" t="str">
        <f aca="false">IFERROR(IF(OR(I79="",S79="",S79="tbd"),"tbd",I79*IF(S79&lt;=1,S79,S79/100)),"–")</f>
        <v>tbd</v>
      </c>
      <c r="R79" s="106"/>
      <c r="S79" s="106"/>
      <c r="T79" s="107"/>
      <c r="U79" s="107"/>
      <c r="V79" s="107"/>
      <c r="W79" s="106"/>
      <c r="X79" s="107"/>
    </row>
    <row r="80" customFormat="false" ht="15" hidden="true" customHeight="true" outlineLevel="0" collapsed="false">
      <c r="A80" s="106"/>
      <c r="B80" s="107"/>
      <c r="C80" s="106"/>
      <c r="D80" s="107"/>
      <c r="E80" s="107"/>
      <c r="F80" s="108"/>
      <c r="G80" s="106"/>
      <c r="H80" s="109"/>
      <c r="I80" s="108"/>
      <c r="J80" s="108"/>
      <c r="K80" s="108"/>
      <c r="L80" s="108"/>
      <c r="M80" s="108"/>
      <c r="N80" s="108"/>
      <c r="O80" s="111" t="n">
        <f aca="false">IFERROR(I80-(J80+K80+L80+M80+N80),"")</f>
        <v>0</v>
      </c>
      <c r="P80" s="111" t="str">
        <f aca="false">IFERROR(O80/I80,"")</f>
        <v/>
      </c>
      <c r="Q80" s="111" t="str">
        <f aca="false">IFERROR(IF(OR(I80="",S80="",S80="tbd"),"tbd",I80*IF(S80&lt;=1,S80,S80/100)),"–")</f>
        <v>tbd</v>
      </c>
      <c r="R80" s="106"/>
      <c r="S80" s="106"/>
      <c r="T80" s="107"/>
      <c r="U80" s="107"/>
      <c r="V80" s="107"/>
      <c r="W80" s="106"/>
      <c r="X80" s="107"/>
    </row>
    <row r="81" customFormat="false" ht="15" hidden="true" customHeight="true" outlineLevel="0" collapsed="false">
      <c r="A81" s="106"/>
      <c r="B81" s="107"/>
      <c r="C81" s="106"/>
      <c r="D81" s="107"/>
      <c r="E81" s="107"/>
      <c r="F81" s="108"/>
      <c r="G81" s="106"/>
      <c r="H81" s="109"/>
      <c r="I81" s="108"/>
      <c r="J81" s="108"/>
      <c r="K81" s="108"/>
      <c r="L81" s="108"/>
      <c r="M81" s="108"/>
      <c r="N81" s="108"/>
      <c r="O81" s="111" t="n">
        <f aca="false">IFERROR(I81-(J81+K81+L81+M81+N81),"")</f>
        <v>0</v>
      </c>
      <c r="P81" s="111" t="str">
        <f aca="false">IFERROR(O81/I81,"")</f>
        <v/>
      </c>
      <c r="Q81" s="111" t="str">
        <f aca="false">IFERROR(IF(OR(I81="",S81="",S81="tbd"),"tbd",I81*IF(S81&lt;=1,S81,S81/100)),"–")</f>
        <v>tbd</v>
      </c>
      <c r="R81" s="106"/>
      <c r="S81" s="106"/>
      <c r="T81" s="107"/>
      <c r="U81" s="107"/>
      <c r="V81" s="107"/>
      <c r="W81" s="106"/>
      <c r="X81" s="107"/>
    </row>
    <row r="82" customFormat="false" ht="15" hidden="true" customHeight="true" outlineLevel="0" collapsed="false">
      <c r="A82" s="106"/>
      <c r="B82" s="107"/>
      <c r="C82" s="106"/>
      <c r="D82" s="107"/>
      <c r="E82" s="107"/>
      <c r="F82" s="108"/>
      <c r="G82" s="106"/>
      <c r="H82" s="109"/>
      <c r="I82" s="108"/>
      <c r="J82" s="108"/>
      <c r="K82" s="108"/>
      <c r="L82" s="108"/>
      <c r="M82" s="108"/>
      <c r="N82" s="108"/>
      <c r="O82" s="111" t="n">
        <f aca="false">IFERROR(I82-(J82+K82+L82+M82+N82),"")</f>
        <v>0</v>
      </c>
      <c r="P82" s="111" t="str">
        <f aca="false">IFERROR(O82/I82,"")</f>
        <v/>
      </c>
      <c r="Q82" s="111" t="str">
        <f aca="false">IFERROR(IF(OR(I82="",S82="",S82="tbd"),"tbd",I82*IF(S82&lt;=1,S82,S82/100)),"–")</f>
        <v>tbd</v>
      </c>
      <c r="R82" s="106"/>
      <c r="S82" s="106"/>
      <c r="T82" s="107"/>
      <c r="U82" s="107"/>
      <c r="V82" s="107"/>
      <c r="W82" s="106"/>
      <c r="X82" s="107"/>
    </row>
    <row r="83" customFormat="false" ht="15" hidden="true" customHeight="true" outlineLevel="0" collapsed="false">
      <c r="A83" s="106"/>
      <c r="B83" s="107"/>
      <c r="C83" s="106"/>
      <c r="D83" s="107"/>
      <c r="E83" s="107"/>
      <c r="F83" s="108"/>
      <c r="G83" s="106"/>
      <c r="H83" s="109"/>
      <c r="I83" s="108"/>
      <c r="J83" s="108"/>
      <c r="K83" s="108"/>
      <c r="L83" s="108"/>
      <c r="M83" s="108"/>
      <c r="N83" s="108"/>
      <c r="O83" s="111" t="n">
        <f aca="false">IFERROR(I83-(J83+K83+L83+M83+N83),"")</f>
        <v>0</v>
      </c>
      <c r="P83" s="111" t="str">
        <f aca="false">IFERROR(O83/I83,"")</f>
        <v/>
      </c>
      <c r="Q83" s="111" t="str">
        <f aca="false">IFERROR(IF(OR(I83="",S83="",S83="tbd"),"tbd",I83*IF(S83&lt;=1,S83,S83/100)),"–")</f>
        <v>tbd</v>
      </c>
      <c r="R83" s="106"/>
      <c r="S83" s="106"/>
      <c r="T83" s="107"/>
      <c r="U83" s="107"/>
      <c r="V83" s="107"/>
      <c r="W83" s="106"/>
      <c r="X83" s="107"/>
    </row>
    <row r="84" customFormat="false" ht="15" hidden="true" customHeight="true" outlineLevel="0" collapsed="false">
      <c r="A84" s="106"/>
      <c r="B84" s="107"/>
      <c r="C84" s="106"/>
      <c r="D84" s="107"/>
      <c r="E84" s="107"/>
      <c r="F84" s="108"/>
      <c r="G84" s="106"/>
      <c r="H84" s="109"/>
      <c r="I84" s="108"/>
      <c r="J84" s="108"/>
      <c r="K84" s="108"/>
      <c r="L84" s="108"/>
      <c r="M84" s="108"/>
      <c r="N84" s="108"/>
      <c r="O84" s="111" t="n">
        <f aca="false">IFERROR(I84-(J84+K84+L84+M84+N84),"")</f>
        <v>0</v>
      </c>
      <c r="P84" s="111" t="str">
        <f aca="false">IFERROR(O84/I84,"")</f>
        <v/>
      </c>
      <c r="Q84" s="111" t="str">
        <f aca="false">IFERROR(IF(OR(I84="",S84="",S84="tbd"),"tbd",I84*IF(S84&lt;=1,S84,S84/100)),"–")</f>
        <v>tbd</v>
      </c>
      <c r="R84" s="106"/>
      <c r="S84" s="106"/>
      <c r="T84" s="107"/>
      <c r="U84" s="107"/>
      <c r="V84" s="107"/>
      <c r="W84" s="106"/>
      <c r="X84" s="107"/>
    </row>
    <row r="85" customFormat="false" ht="15" hidden="true" customHeight="true" outlineLevel="0" collapsed="false">
      <c r="A85" s="106"/>
      <c r="B85" s="107"/>
      <c r="C85" s="106"/>
      <c r="D85" s="107"/>
      <c r="E85" s="107"/>
      <c r="F85" s="108"/>
      <c r="G85" s="106"/>
      <c r="H85" s="109"/>
      <c r="I85" s="108"/>
      <c r="J85" s="108"/>
      <c r="K85" s="108"/>
      <c r="L85" s="108"/>
      <c r="M85" s="108"/>
      <c r="N85" s="108"/>
      <c r="O85" s="111" t="n">
        <f aca="false">IFERROR(I85-(J85+K85+L85+M85+N85),"")</f>
        <v>0</v>
      </c>
      <c r="P85" s="111" t="str">
        <f aca="false">IFERROR(O85/I85,"")</f>
        <v/>
      </c>
      <c r="Q85" s="111" t="str">
        <f aca="false">IFERROR(IF(OR(I85="",S85="",S85="tbd"),"tbd",I85*IF(S85&lt;=1,S85,S85/100)),"–")</f>
        <v>tbd</v>
      </c>
      <c r="R85" s="106"/>
      <c r="S85" s="106"/>
      <c r="T85" s="107"/>
      <c r="U85" s="107"/>
      <c r="V85" s="107"/>
      <c r="W85" s="106"/>
      <c r="X85" s="107"/>
    </row>
    <row r="86" customFormat="false" ht="15" hidden="true" customHeight="true" outlineLevel="0" collapsed="false">
      <c r="A86" s="106"/>
      <c r="B86" s="107"/>
      <c r="C86" s="106"/>
      <c r="D86" s="107"/>
      <c r="E86" s="107"/>
      <c r="F86" s="108"/>
      <c r="G86" s="106"/>
      <c r="H86" s="109"/>
      <c r="I86" s="108"/>
      <c r="J86" s="108"/>
      <c r="K86" s="108"/>
      <c r="L86" s="108"/>
      <c r="M86" s="108"/>
      <c r="N86" s="108"/>
      <c r="O86" s="111" t="n">
        <f aca="false">IFERROR(I86-(J86+K86+L86+M86+N86),"")</f>
        <v>0</v>
      </c>
      <c r="P86" s="111" t="str">
        <f aca="false">IFERROR(O86/I86,"")</f>
        <v/>
      </c>
      <c r="Q86" s="111" t="str">
        <f aca="false">IFERROR(IF(OR(I86="",S86="",S86="tbd"),"tbd",I86*IF(S86&lt;=1,S86,S86/100)),"–")</f>
        <v>tbd</v>
      </c>
      <c r="R86" s="106"/>
      <c r="S86" s="106"/>
      <c r="T86" s="107"/>
      <c r="U86" s="107"/>
      <c r="V86" s="107"/>
      <c r="W86" s="106"/>
      <c r="X86" s="107"/>
    </row>
    <row r="87" customFormat="false" ht="15" hidden="true" customHeight="true" outlineLevel="0" collapsed="false">
      <c r="A87" s="106"/>
      <c r="B87" s="107"/>
      <c r="C87" s="106"/>
      <c r="D87" s="107"/>
      <c r="E87" s="107"/>
      <c r="F87" s="108"/>
      <c r="G87" s="106"/>
      <c r="H87" s="109"/>
      <c r="I87" s="108"/>
      <c r="J87" s="108"/>
      <c r="K87" s="108"/>
      <c r="L87" s="108"/>
      <c r="M87" s="108"/>
      <c r="N87" s="108"/>
      <c r="O87" s="111" t="n">
        <f aca="false">IFERROR(I87-(J87+K87+L87+M87+N87),"")</f>
        <v>0</v>
      </c>
      <c r="P87" s="111" t="str">
        <f aca="false">IFERROR(O87/I87,"")</f>
        <v/>
      </c>
      <c r="Q87" s="111" t="str">
        <f aca="false">IFERROR(IF(OR(I87="",S87="",S87="tbd"),"tbd",I87*IF(S87&lt;=1,S87,S87/100)),"–")</f>
        <v>tbd</v>
      </c>
      <c r="R87" s="106"/>
      <c r="S87" s="106"/>
      <c r="T87" s="107"/>
      <c r="U87" s="107"/>
      <c r="V87" s="107"/>
      <c r="W87" s="106"/>
      <c r="X87" s="107"/>
    </row>
    <row r="88" customFormat="false" ht="15" hidden="true" customHeight="true" outlineLevel="0" collapsed="false">
      <c r="A88" s="106"/>
      <c r="B88" s="107"/>
      <c r="C88" s="106"/>
      <c r="D88" s="107"/>
      <c r="E88" s="107"/>
      <c r="F88" s="108"/>
      <c r="G88" s="106"/>
      <c r="H88" s="109"/>
      <c r="I88" s="108"/>
      <c r="J88" s="108"/>
      <c r="K88" s="108"/>
      <c r="L88" s="108"/>
      <c r="M88" s="108"/>
      <c r="N88" s="108"/>
      <c r="O88" s="111" t="n">
        <f aca="false">IFERROR(I88-(J88+K88+L88+M88+N88),"")</f>
        <v>0</v>
      </c>
      <c r="P88" s="111" t="str">
        <f aca="false">IFERROR(O88/I88,"")</f>
        <v/>
      </c>
      <c r="Q88" s="111" t="str">
        <f aca="false">IFERROR(IF(OR(I88="",S88="",S88="tbd"),"tbd",I88*IF(S88&lt;=1,S88,S88/100)),"–")</f>
        <v>tbd</v>
      </c>
      <c r="R88" s="106"/>
      <c r="S88" s="106"/>
      <c r="T88" s="107"/>
      <c r="U88" s="107"/>
      <c r="V88" s="107"/>
      <c r="W88" s="106"/>
      <c r="X88" s="107"/>
    </row>
    <row r="89" customFormat="false" ht="15" hidden="true" customHeight="true" outlineLevel="0" collapsed="false">
      <c r="A89" s="106"/>
      <c r="B89" s="107"/>
      <c r="C89" s="106"/>
      <c r="D89" s="107"/>
      <c r="E89" s="107"/>
      <c r="F89" s="108"/>
      <c r="G89" s="106"/>
      <c r="H89" s="109"/>
      <c r="I89" s="108"/>
      <c r="J89" s="108"/>
      <c r="K89" s="108"/>
      <c r="L89" s="108"/>
      <c r="M89" s="108"/>
      <c r="N89" s="108"/>
      <c r="O89" s="111" t="n">
        <f aca="false">IFERROR(I89-(J89+K89+L89+M89+N89),"")</f>
        <v>0</v>
      </c>
      <c r="P89" s="111" t="str">
        <f aca="false">IFERROR(O89/I89,"")</f>
        <v/>
      </c>
      <c r="Q89" s="111" t="str">
        <f aca="false">IFERROR(IF(OR(I89="",S89="",S89="tbd"),"tbd",I89*IF(S89&lt;=1,S89,S89/100)),"–")</f>
        <v>tbd</v>
      </c>
      <c r="R89" s="106"/>
      <c r="S89" s="106"/>
      <c r="T89" s="107"/>
      <c r="U89" s="107"/>
      <c r="V89" s="107"/>
      <c r="W89" s="106"/>
      <c r="X89" s="107"/>
    </row>
    <row r="90" customFormat="false" ht="15" hidden="true" customHeight="true" outlineLevel="0" collapsed="false">
      <c r="A90" s="106"/>
      <c r="B90" s="107"/>
      <c r="C90" s="106"/>
      <c r="D90" s="107"/>
      <c r="E90" s="107"/>
      <c r="F90" s="108"/>
      <c r="G90" s="106"/>
      <c r="H90" s="109"/>
      <c r="I90" s="108"/>
      <c r="J90" s="108"/>
      <c r="K90" s="108"/>
      <c r="L90" s="108"/>
      <c r="M90" s="108"/>
      <c r="N90" s="108"/>
      <c r="O90" s="111" t="n">
        <f aca="false">IFERROR(I90-(J90+K90+L90+M90+N90),"")</f>
        <v>0</v>
      </c>
      <c r="P90" s="111" t="str">
        <f aca="false">IFERROR(O90/I90,"")</f>
        <v/>
      </c>
      <c r="Q90" s="111" t="str">
        <f aca="false">IFERROR(IF(OR(I90="",S90="",S90="tbd"),"tbd",I90*IF(S90&lt;=1,S90,S90/100)),"–")</f>
        <v>tbd</v>
      </c>
      <c r="R90" s="106"/>
      <c r="S90" s="106"/>
      <c r="T90" s="107"/>
      <c r="U90" s="107"/>
      <c r="V90" s="107"/>
      <c r="W90" s="106"/>
      <c r="X90" s="107"/>
    </row>
    <row r="91" customFormat="false" ht="15" hidden="true" customHeight="true" outlineLevel="0" collapsed="false">
      <c r="A91" s="106"/>
      <c r="B91" s="107"/>
      <c r="C91" s="106"/>
      <c r="D91" s="107"/>
      <c r="E91" s="107"/>
      <c r="F91" s="108"/>
      <c r="G91" s="106"/>
      <c r="H91" s="109"/>
      <c r="I91" s="108"/>
      <c r="J91" s="108"/>
      <c r="K91" s="108"/>
      <c r="L91" s="108"/>
      <c r="M91" s="108"/>
      <c r="N91" s="108"/>
      <c r="O91" s="111" t="n">
        <f aca="false">IFERROR(I91-(J91+K91+L91+M91+N91),"")</f>
        <v>0</v>
      </c>
      <c r="P91" s="111" t="str">
        <f aca="false">IFERROR(O91/I91,"")</f>
        <v/>
      </c>
      <c r="Q91" s="111" t="str">
        <f aca="false">IFERROR(IF(OR(I91="",S91="",S91="tbd"),"tbd",I91*IF(S91&lt;=1,S91,S91/100)),"–")</f>
        <v>tbd</v>
      </c>
      <c r="R91" s="106"/>
      <c r="S91" s="106"/>
      <c r="T91" s="107"/>
      <c r="U91" s="107"/>
      <c r="V91" s="107"/>
      <c r="W91" s="106"/>
      <c r="X91" s="107"/>
    </row>
    <row r="92" customFormat="false" ht="15" hidden="true" customHeight="true" outlineLevel="0" collapsed="false">
      <c r="A92" s="106"/>
      <c r="B92" s="107"/>
      <c r="C92" s="106"/>
      <c r="D92" s="107"/>
      <c r="E92" s="107"/>
      <c r="F92" s="108"/>
      <c r="G92" s="106"/>
      <c r="H92" s="109"/>
      <c r="I92" s="108"/>
      <c r="J92" s="108"/>
      <c r="K92" s="108"/>
      <c r="L92" s="108"/>
      <c r="M92" s="108"/>
      <c r="N92" s="108"/>
      <c r="O92" s="111" t="n">
        <f aca="false">IFERROR(I92-(J92+K92+L92+M92+N92),"")</f>
        <v>0</v>
      </c>
      <c r="P92" s="111" t="str">
        <f aca="false">IFERROR(O92/I92,"")</f>
        <v/>
      </c>
      <c r="Q92" s="111" t="str">
        <f aca="false">IFERROR(IF(OR(I92="",S92="",S92="tbd"),"tbd",I92*IF(S92&lt;=1,S92,S92/100)),"–")</f>
        <v>tbd</v>
      </c>
      <c r="R92" s="106"/>
      <c r="S92" s="106"/>
      <c r="T92" s="107"/>
      <c r="U92" s="107"/>
      <c r="V92" s="107"/>
      <c r="W92" s="106"/>
      <c r="X92" s="107"/>
    </row>
    <row r="93" customFormat="false" ht="15" hidden="true" customHeight="true" outlineLevel="0" collapsed="false">
      <c r="A93" s="106"/>
      <c r="B93" s="107"/>
      <c r="C93" s="106"/>
      <c r="D93" s="107"/>
      <c r="E93" s="107"/>
      <c r="F93" s="108"/>
      <c r="G93" s="106"/>
      <c r="H93" s="109"/>
      <c r="I93" s="108"/>
      <c r="J93" s="108"/>
      <c r="K93" s="108"/>
      <c r="L93" s="108"/>
      <c r="M93" s="108"/>
      <c r="N93" s="108"/>
      <c r="O93" s="111" t="n">
        <f aca="false">IFERROR(I93-(J93+K93+L93+M93+N93),"")</f>
        <v>0</v>
      </c>
      <c r="P93" s="111" t="str">
        <f aca="false">IFERROR(O93/I93,"")</f>
        <v/>
      </c>
      <c r="Q93" s="111" t="str">
        <f aca="false">IFERROR(IF(OR(I93="",S93="",S93="tbd"),"tbd",I93*IF(S93&lt;=1,S93,S93/100)),"–")</f>
        <v>tbd</v>
      </c>
      <c r="R93" s="106"/>
      <c r="S93" s="106"/>
      <c r="T93" s="107"/>
      <c r="U93" s="107"/>
      <c r="V93" s="107"/>
      <c r="W93" s="106"/>
      <c r="X93" s="107"/>
    </row>
    <row r="94" customFormat="false" ht="15" hidden="true" customHeight="true" outlineLevel="0" collapsed="false">
      <c r="A94" s="106"/>
      <c r="B94" s="107"/>
      <c r="C94" s="106"/>
      <c r="D94" s="107"/>
      <c r="E94" s="107"/>
      <c r="F94" s="108"/>
      <c r="G94" s="106"/>
      <c r="H94" s="109"/>
      <c r="I94" s="108"/>
      <c r="J94" s="108"/>
      <c r="K94" s="108"/>
      <c r="L94" s="108"/>
      <c r="M94" s="108"/>
      <c r="N94" s="108"/>
      <c r="O94" s="111" t="n">
        <f aca="false">IFERROR(I94-(J94+K94+L94+M94+N94),"")</f>
        <v>0</v>
      </c>
      <c r="P94" s="111" t="str">
        <f aca="false">IFERROR(O94/I94,"")</f>
        <v/>
      </c>
      <c r="Q94" s="111" t="str">
        <f aca="false">IFERROR(IF(OR(I94="",S94="",S94="tbd"),"tbd",I94*IF(S94&lt;=1,S94,S94/100)),"–")</f>
        <v>tbd</v>
      </c>
      <c r="R94" s="106"/>
      <c r="S94" s="106"/>
      <c r="T94" s="107"/>
      <c r="U94" s="107"/>
      <c r="V94" s="107"/>
      <c r="W94" s="106"/>
      <c r="X94" s="107"/>
    </row>
    <row r="95" customFormat="false" ht="15" hidden="true" customHeight="true" outlineLevel="0" collapsed="false">
      <c r="A95" s="106"/>
      <c r="B95" s="107"/>
      <c r="C95" s="106"/>
      <c r="D95" s="107"/>
      <c r="E95" s="107"/>
      <c r="F95" s="108"/>
      <c r="G95" s="106"/>
      <c r="H95" s="109"/>
      <c r="I95" s="108"/>
      <c r="J95" s="108"/>
      <c r="K95" s="108"/>
      <c r="L95" s="108"/>
      <c r="M95" s="108"/>
      <c r="N95" s="108"/>
      <c r="O95" s="111" t="n">
        <f aca="false">IFERROR(I95-(J95+K95+L95+M95+N95),"")</f>
        <v>0</v>
      </c>
      <c r="P95" s="111" t="str">
        <f aca="false">IFERROR(O95/I95,"")</f>
        <v/>
      </c>
      <c r="Q95" s="111" t="str">
        <f aca="false">IFERROR(IF(OR(I95="",S95="",S95="tbd"),"tbd",I95*IF(S95&lt;=1,S95,S95/100)),"–")</f>
        <v>tbd</v>
      </c>
      <c r="R95" s="106"/>
      <c r="S95" s="106"/>
      <c r="T95" s="107"/>
      <c r="U95" s="107"/>
      <c r="V95" s="107"/>
      <c r="W95" s="106"/>
      <c r="X95" s="107"/>
    </row>
    <row r="96" customFormat="false" ht="15" hidden="true" customHeight="true" outlineLevel="0" collapsed="false">
      <c r="A96" s="106"/>
      <c r="B96" s="107"/>
      <c r="C96" s="106"/>
      <c r="D96" s="107"/>
      <c r="E96" s="107"/>
      <c r="F96" s="108"/>
      <c r="G96" s="106"/>
      <c r="H96" s="109"/>
      <c r="I96" s="108"/>
      <c r="J96" s="108"/>
      <c r="K96" s="108"/>
      <c r="L96" s="108"/>
      <c r="M96" s="108"/>
      <c r="N96" s="108"/>
      <c r="O96" s="111" t="n">
        <f aca="false">IFERROR(I96-(J96+K96+L96+M96+N96),"")</f>
        <v>0</v>
      </c>
      <c r="P96" s="111" t="str">
        <f aca="false">IFERROR(O96/I96,"")</f>
        <v/>
      </c>
      <c r="Q96" s="111" t="str">
        <f aca="false">IFERROR(IF(OR(I96="",S96="",S96="tbd"),"tbd",I96*IF(S96&lt;=1,S96,S96/100)),"–")</f>
        <v>tbd</v>
      </c>
      <c r="R96" s="106"/>
      <c r="S96" s="106"/>
      <c r="T96" s="107"/>
      <c r="U96" s="107"/>
      <c r="V96" s="107"/>
      <c r="W96" s="106"/>
      <c r="X96" s="107"/>
    </row>
    <row r="97" customFormat="false" ht="15" hidden="true" customHeight="true" outlineLevel="0" collapsed="false">
      <c r="A97" s="106"/>
      <c r="B97" s="107"/>
      <c r="C97" s="106"/>
      <c r="D97" s="107"/>
      <c r="E97" s="107"/>
      <c r="F97" s="108"/>
      <c r="G97" s="106"/>
      <c r="H97" s="109"/>
      <c r="I97" s="108"/>
      <c r="J97" s="108"/>
      <c r="K97" s="108"/>
      <c r="L97" s="108"/>
      <c r="M97" s="108"/>
      <c r="N97" s="108"/>
      <c r="O97" s="111" t="n">
        <f aca="false">IFERROR(I97-(J97+K97+L97+M97+N97),"")</f>
        <v>0</v>
      </c>
      <c r="P97" s="111" t="str">
        <f aca="false">IFERROR(O97/I97,"")</f>
        <v/>
      </c>
      <c r="Q97" s="111" t="str">
        <f aca="false">IFERROR(IF(OR(I97="",S97="",S97="tbd"),"tbd",I97*IF(S97&lt;=1,S97,S97/100)),"–")</f>
        <v>tbd</v>
      </c>
      <c r="R97" s="106"/>
      <c r="S97" s="106"/>
      <c r="T97" s="107"/>
      <c r="U97" s="107"/>
      <c r="V97" s="107"/>
      <c r="W97" s="106"/>
      <c r="X97" s="107"/>
    </row>
    <row r="98" customFormat="false" ht="15" hidden="true" customHeight="true" outlineLevel="0" collapsed="false">
      <c r="A98" s="106"/>
      <c r="B98" s="107"/>
      <c r="C98" s="106"/>
      <c r="D98" s="107"/>
      <c r="E98" s="107"/>
      <c r="F98" s="108"/>
      <c r="G98" s="106"/>
      <c r="H98" s="109"/>
      <c r="I98" s="108"/>
      <c r="J98" s="108"/>
      <c r="K98" s="108"/>
      <c r="L98" s="108"/>
      <c r="M98" s="108"/>
      <c r="N98" s="108"/>
      <c r="O98" s="111" t="n">
        <f aca="false">IFERROR(I98-(J98+K98+L98+M98+N98),"")</f>
        <v>0</v>
      </c>
      <c r="P98" s="111" t="str">
        <f aca="false">IFERROR(O98/I98,"")</f>
        <v/>
      </c>
      <c r="Q98" s="111" t="str">
        <f aca="false">IFERROR(IF(OR(I98="",S98="",S98="tbd"),"tbd",I98*IF(S98&lt;=1,S98,S98/100)),"–")</f>
        <v>tbd</v>
      </c>
      <c r="R98" s="106"/>
      <c r="S98" s="106"/>
      <c r="T98" s="107"/>
      <c r="U98" s="107"/>
      <c r="V98" s="107"/>
      <c r="W98" s="106"/>
      <c r="X98" s="107"/>
    </row>
    <row r="99" customFormat="false" ht="15" hidden="true" customHeight="true" outlineLevel="0" collapsed="false">
      <c r="A99" s="106"/>
      <c r="B99" s="107"/>
      <c r="C99" s="106"/>
      <c r="D99" s="107"/>
      <c r="E99" s="107"/>
      <c r="F99" s="108"/>
      <c r="G99" s="106"/>
      <c r="H99" s="109"/>
      <c r="I99" s="108"/>
      <c r="J99" s="108"/>
      <c r="K99" s="108"/>
      <c r="L99" s="108"/>
      <c r="M99" s="108"/>
      <c r="N99" s="108"/>
      <c r="O99" s="111" t="n">
        <f aca="false">IFERROR(I99-(J99+K99+L99+M99+N99),"")</f>
        <v>0</v>
      </c>
      <c r="P99" s="111" t="str">
        <f aca="false">IFERROR(O99/I99,"")</f>
        <v/>
      </c>
      <c r="Q99" s="111" t="str">
        <f aca="false">IFERROR(IF(OR(I99="",S99="",S99="tbd"),"tbd",I99*IF(S99&lt;=1,S99,S99/100)),"–")</f>
        <v>tbd</v>
      </c>
      <c r="R99" s="106"/>
      <c r="S99" s="106"/>
      <c r="T99" s="107"/>
      <c r="U99" s="107"/>
      <c r="V99" s="107"/>
      <c r="W99" s="106"/>
      <c r="X99" s="107"/>
    </row>
    <row r="100" customFormat="false" ht="15" hidden="true" customHeight="true" outlineLevel="0" collapsed="false">
      <c r="A100" s="106"/>
      <c r="B100" s="107"/>
      <c r="C100" s="106"/>
      <c r="D100" s="107"/>
      <c r="E100" s="107"/>
      <c r="F100" s="108"/>
      <c r="G100" s="106"/>
      <c r="H100" s="109"/>
      <c r="I100" s="108"/>
      <c r="J100" s="108"/>
      <c r="K100" s="108"/>
      <c r="L100" s="108"/>
      <c r="M100" s="108"/>
      <c r="N100" s="108"/>
      <c r="O100" s="111" t="n">
        <f aca="false">IFERROR(I100-(J100+K100+L100+M100+N100),"")</f>
        <v>0</v>
      </c>
      <c r="P100" s="111" t="str">
        <f aca="false">IFERROR(O100/I100,"")</f>
        <v/>
      </c>
      <c r="Q100" s="111" t="str">
        <f aca="false">IFERROR(IF(OR(I100="",S100="",S100="tbd"),"tbd",I100*IF(S100&lt;=1,S100,S100/100)),"–")</f>
        <v>tbd</v>
      </c>
      <c r="R100" s="106"/>
      <c r="S100" s="106"/>
      <c r="T100" s="107"/>
      <c r="U100" s="107"/>
      <c r="V100" s="107"/>
      <c r="W100" s="106"/>
      <c r="X100" s="107"/>
    </row>
    <row r="101" customFormat="false" ht="15" hidden="true" customHeight="true" outlineLevel="0" collapsed="false">
      <c r="A101" s="106"/>
      <c r="B101" s="107"/>
      <c r="C101" s="106"/>
      <c r="D101" s="107"/>
      <c r="E101" s="107"/>
      <c r="F101" s="108"/>
      <c r="G101" s="106"/>
      <c r="H101" s="109"/>
      <c r="I101" s="108"/>
      <c r="J101" s="108"/>
      <c r="K101" s="108"/>
      <c r="L101" s="108"/>
      <c r="M101" s="108"/>
      <c r="N101" s="108"/>
      <c r="O101" s="111" t="n">
        <f aca="false">IFERROR(I101-(J101+K101+L101+M101+N101),"")</f>
        <v>0</v>
      </c>
      <c r="P101" s="111" t="str">
        <f aca="false">IFERROR(O101/I101,"")</f>
        <v/>
      </c>
      <c r="Q101" s="111" t="str">
        <f aca="false">IFERROR(IF(OR(I101="",S101="",S101="tbd"),"tbd",I101*IF(S101&lt;=1,S101,S101/100)),"–")</f>
        <v>tbd</v>
      </c>
      <c r="R101" s="106"/>
      <c r="S101" s="106"/>
      <c r="T101" s="107"/>
      <c r="U101" s="107"/>
      <c r="V101" s="107"/>
      <c r="W101" s="106"/>
      <c r="X101" s="107"/>
    </row>
    <row r="102" customFormat="false" ht="15" hidden="true" customHeight="true" outlineLevel="0" collapsed="false">
      <c r="A102" s="106"/>
      <c r="B102" s="107"/>
      <c r="C102" s="106"/>
      <c r="D102" s="107"/>
      <c r="E102" s="107"/>
      <c r="F102" s="108"/>
      <c r="G102" s="106"/>
      <c r="H102" s="109"/>
      <c r="I102" s="108"/>
      <c r="J102" s="108"/>
      <c r="K102" s="108"/>
      <c r="L102" s="108"/>
      <c r="M102" s="108"/>
      <c r="N102" s="108"/>
      <c r="O102" s="111" t="n">
        <f aca="false">IFERROR(I102-(J102+K102+L102+M102+N102),"")</f>
        <v>0</v>
      </c>
      <c r="P102" s="111" t="str">
        <f aca="false">IFERROR(O102/I102,"")</f>
        <v/>
      </c>
      <c r="Q102" s="111" t="str">
        <f aca="false">IFERROR(IF(OR(I102="",S102="",S102="tbd"),"tbd",I102*IF(S102&lt;=1,S102,S102/100)),"–")</f>
        <v>tbd</v>
      </c>
      <c r="R102" s="106"/>
      <c r="S102" s="106"/>
      <c r="T102" s="107"/>
      <c r="U102" s="107"/>
      <c r="V102" s="107"/>
      <c r="W102" s="106"/>
      <c r="X102" s="107"/>
    </row>
    <row r="103" customFormat="false" ht="15" hidden="true" customHeight="true" outlineLevel="0" collapsed="false">
      <c r="A103" s="106"/>
      <c r="B103" s="107"/>
      <c r="C103" s="106"/>
      <c r="D103" s="107"/>
      <c r="E103" s="107"/>
      <c r="F103" s="108"/>
      <c r="G103" s="106"/>
      <c r="H103" s="109"/>
      <c r="I103" s="108"/>
      <c r="J103" s="108"/>
      <c r="K103" s="108"/>
      <c r="L103" s="108"/>
      <c r="M103" s="108"/>
      <c r="N103" s="108"/>
      <c r="O103" s="111" t="n">
        <f aca="false">IFERROR(I103-(J103+K103+L103+M103+N103),"")</f>
        <v>0</v>
      </c>
      <c r="P103" s="111" t="str">
        <f aca="false">IFERROR(O103/I103,"")</f>
        <v/>
      </c>
      <c r="Q103" s="111" t="str">
        <f aca="false">IFERROR(IF(OR(I103="",S103="",S103="tbd"),"tbd",I103*IF(S103&lt;=1,S103,S103/100)),"–")</f>
        <v>tbd</v>
      </c>
      <c r="R103" s="106"/>
      <c r="S103" s="106"/>
      <c r="T103" s="107"/>
      <c r="U103" s="107"/>
      <c r="V103" s="107"/>
      <c r="W103" s="106"/>
      <c r="X103" s="107"/>
    </row>
    <row r="104" customFormat="false" ht="15" hidden="true" customHeight="true" outlineLevel="0" collapsed="false">
      <c r="A104" s="106"/>
      <c r="B104" s="107"/>
      <c r="C104" s="106"/>
      <c r="D104" s="107"/>
      <c r="E104" s="107"/>
      <c r="F104" s="108"/>
      <c r="G104" s="106"/>
      <c r="H104" s="109"/>
      <c r="I104" s="108"/>
      <c r="J104" s="108"/>
      <c r="K104" s="108"/>
      <c r="L104" s="108"/>
      <c r="M104" s="108"/>
      <c r="N104" s="108"/>
      <c r="O104" s="111" t="n">
        <f aca="false">IFERROR(I104-(J104+K104+L104+M104+N104),"")</f>
        <v>0</v>
      </c>
      <c r="P104" s="111" t="str">
        <f aca="false">IFERROR(O104/I104,"")</f>
        <v/>
      </c>
      <c r="Q104" s="111" t="str">
        <f aca="false">IFERROR(IF(OR(I104="",S104="",S104="tbd"),"tbd",I104*IF(S104&lt;=1,S104,S104/100)),"–")</f>
        <v>tbd</v>
      </c>
      <c r="R104" s="106"/>
      <c r="S104" s="106"/>
      <c r="T104" s="107"/>
      <c r="U104" s="107"/>
      <c r="V104" s="107"/>
      <c r="W104" s="106"/>
      <c r="X104" s="107"/>
    </row>
    <row r="105" customFormat="false" ht="15" hidden="true" customHeight="true" outlineLevel="0" collapsed="false">
      <c r="A105" s="106"/>
      <c r="B105" s="107"/>
      <c r="C105" s="106"/>
      <c r="D105" s="107"/>
      <c r="E105" s="107"/>
      <c r="F105" s="108"/>
      <c r="G105" s="106"/>
      <c r="H105" s="109"/>
      <c r="I105" s="108"/>
      <c r="J105" s="108"/>
      <c r="K105" s="108"/>
      <c r="L105" s="108"/>
      <c r="M105" s="108"/>
      <c r="N105" s="108"/>
      <c r="O105" s="111" t="n">
        <f aca="false">IFERROR(I105-(J105+K105+L105+M105+N105),"")</f>
        <v>0</v>
      </c>
      <c r="P105" s="111" t="str">
        <f aca="false">IFERROR(O105/I105,"")</f>
        <v/>
      </c>
      <c r="Q105" s="111" t="str">
        <f aca="false">IFERROR(IF(OR(I105="",S105="",S105="tbd"),"tbd",I105*IF(S105&lt;=1,S105,S105/100)),"–")</f>
        <v>tbd</v>
      </c>
      <c r="R105" s="106"/>
      <c r="S105" s="106"/>
      <c r="T105" s="107"/>
      <c r="U105" s="107"/>
      <c r="V105" s="107"/>
      <c r="W105" s="106"/>
      <c r="X105" s="107"/>
    </row>
  </sheetData>
  <autoFilter ref="A5:X105">
    <filterColumn colId="17">
      <filters>
        <filter val="Evaluation"/>
        <filter val="follow-up"/>
        <filter val="In evaluation"/>
        <filter val="offered"/>
        <filter val="on hold"/>
        <filter val="tbd"/>
      </filters>
    </filterColumn>
  </autoFilter>
  <mergeCells count="11">
    <mergeCell ref="A1:X1"/>
    <mergeCell ref="A2:X2"/>
    <mergeCell ref="A3:X3"/>
    <mergeCell ref="A4:B4"/>
    <mergeCell ref="C4:F4"/>
    <mergeCell ref="G4:H4"/>
    <mergeCell ref="I4:L4"/>
    <mergeCell ref="M4:N4"/>
    <mergeCell ref="O4:R4"/>
    <mergeCell ref="S4:T4"/>
    <mergeCell ref="U4:X4"/>
  </mergeCells>
  <dataValidations count="3">
    <dataValidation allowBlank="true" errorStyle="stop" operator="between" showDropDown="false" showErrorMessage="false" showInputMessage="false" sqref="R6:R42" type="list">
      <formula1>"WON,LOST,Declined,offered,follow-up,on hold,Evaluation,to be offered,In evaluation,tbd"</formula1>
      <formula2>0</formula2>
    </dataValidation>
    <dataValidation allowBlank="true" errorStyle="stop" operator="between" showDropDown="false" showErrorMessage="false" showInputMessage="false" sqref="C6:C42" type="list">
      <formula1>"ZH,BE,AG,SG,GR,TG,SO,GE,VD,BS,BL,LU,ZG,SZ,TI,VS,FR,UR,NW,OW,GL,AI,AR,NE,SH,JU,CH,tbd"</formula1>
      <formula2>0</formula2>
    </dataValidation>
    <dataValidation allowBlank="true" errorStyle="stop" operator="between" showDropDown="false" showErrorMessage="false" showInputMessage="false" sqref="T6:T42" type="list">
      <formula1>"Kalt,Warm,Warm - Aggreko,Warm - CBM,Warm - Netzwerk,Inbound"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0" min="10" style="0" width="35"/>
  </cols>
  <sheetData>
    <row r="1" customFormat="false" ht="33.75" hidden="false" customHeight="true" outlineLevel="0" collapsed="false">
      <c r="A1" s="129" t="s">
        <v>270</v>
      </c>
      <c r="B1" s="129"/>
      <c r="C1" s="129"/>
      <c r="D1" s="129"/>
      <c r="E1" s="129"/>
      <c r="F1" s="129"/>
      <c r="G1" s="129"/>
      <c r="H1" s="129"/>
      <c r="I1" s="129"/>
      <c r="J1" s="129"/>
    </row>
    <row r="2" customFormat="false" ht="15.75" hidden="false" customHeight="true" outlineLevel="0" collapsed="false">
      <c r="A2" s="130" t="s">
        <v>271</v>
      </c>
      <c r="B2" s="130"/>
      <c r="C2" s="130"/>
      <c r="D2" s="130"/>
      <c r="E2" s="130"/>
      <c r="F2" s="130"/>
      <c r="G2" s="130"/>
      <c r="H2" s="130"/>
      <c r="I2" s="130"/>
      <c r="J2" s="130"/>
    </row>
    <row r="3" customFormat="false" ht="21.75" hidden="false" customHeight="true" outlineLevel="0" collapsed="false">
      <c r="A3" s="131" t="s">
        <v>6</v>
      </c>
      <c r="B3" s="132" t="s">
        <v>7</v>
      </c>
      <c r="C3" s="132" t="s">
        <v>9</v>
      </c>
      <c r="D3" s="131" t="s">
        <v>8</v>
      </c>
      <c r="E3" s="132" t="s">
        <v>272</v>
      </c>
      <c r="F3" s="132" t="s">
        <v>273</v>
      </c>
      <c r="G3" s="132" t="s">
        <v>274</v>
      </c>
      <c r="H3" s="131" t="s">
        <v>275</v>
      </c>
      <c r="I3" s="131" t="s">
        <v>14</v>
      </c>
      <c r="J3" s="132" t="s">
        <v>276</v>
      </c>
    </row>
    <row r="4" customFormat="false" ht="19.5" hidden="false" customHeight="true" outlineLevel="0" collapsed="false">
      <c r="A4" s="106" t="n">
        <v>1</v>
      </c>
      <c r="B4" s="107" t="s">
        <v>277</v>
      </c>
      <c r="C4" s="107" t="s">
        <v>109</v>
      </c>
      <c r="D4" s="106" t="s">
        <v>278</v>
      </c>
      <c r="E4" s="107" t="s">
        <v>279</v>
      </c>
      <c r="F4" s="107" t="s">
        <v>280</v>
      </c>
      <c r="G4" s="107" t="s">
        <v>281</v>
      </c>
      <c r="H4" s="106" t="str">
        <f aca="false">IF(B4="","",IF(COUNTIF('MiT Strom Pipeline'!$B$6:$B$904,B4)&gt;0,"✓",""))</f>
        <v/>
      </c>
      <c r="I4" s="106" t="str">
        <f aca="false">IF(B4="","",IFERROR(VLOOKUP(B4,'MiT Strom Pipeline'!$B$6:$R$904,17,0),""))</f>
        <v/>
      </c>
      <c r="J4" s="107" t="s">
        <v>282</v>
      </c>
    </row>
    <row r="5" customFormat="false" ht="19.5" hidden="false" customHeight="true" outlineLevel="0" collapsed="false">
      <c r="A5" s="21" t="n">
        <v>2</v>
      </c>
      <c r="B5" s="22" t="s">
        <v>283</v>
      </c>
      <c r="C5" s="22" t="s">
        <v>109</v>
      </c>
      <c r="D5" s="21" t="s">
        <v>207</v>
      </c>
      <c r="E5" s="22" t="s">
        <v>279</v>
      </c>
      <c r="F5" s="22" t="s">
        <v>284</v>
      </c>
      <c r="G5" s="22" t="s">
        <v>285</v>
      </c>
      <c r="H5" s="21" t="str">
        <f aca="false">IF(B5="","",IF(COUNTIF('MiT Strom Pipeline'!$B$6:$B$904,B5)&gt;0,"✓",""))</f>
        <v/>
      </c>
      <c r="I5" s="21" t="str">
        <f aca="false">IF(B5="","",IFERROR(VLOOKUP(B5,'MiT Strom Pipeline'!$B$6:$R$904,17,0),""))</f>
        <v/>
      </c>
      <c r="J5" s="22" t="s">
        <v>286</v>
      </c>
    </row>
    <row r="6" customFormat="false" ht="19.5" hidden="false" customHeight="true" outlineLevel="0" collapsed="false">
      <c r="A6" s="106" t="n">
        <v>3</v>
      </c>
      <c r="B6" s="107" t="s">
        <v>287</v>
      </c>
      <c r="C6" s="107" t="s">
        <v>288</v>
      </c>
      <c r="D6" s="106" t="s">
        <v>278</v>
      </c>
      <c r="E6" s="107" t="s">
        <v>287</v>
      </c>
      <c r="F6" s="107" t="s">
        <v>289</v>
      </c>
      <c r="G6" s="107" t="s">
        <v>290</v>
      </c>
      <c r="H6" s="106" t="str">
        <f aca="false">IF(B6="","",IF(COUNTIF('MiT Strom Pipeline'!$B$6:$B$904,B6)&gt;0,"✓",""))</f>
        <v/>
      </c>
      <c r="I6" s="106" t="str">
        <f aca="false">IF(B6="","",IFERROR(VLOOKUP(B6,'MiT Strom Pipeline'!$B$6:$R$904,17,0),""))</f>
        <v/>
      </c>
      <c r="J6" s="107" t="s">
        <v>291</v>
      </c>
    </row>
    <row r="7" customFormat="false" ht="19.5" hidden="false" customHeight="true" outlineLevel="0" collapsed="false">
      <c r="A7" s="21" t="n">
        <v>4</v>
      </c>
      <c r="B7" s="22" t="s">
        <v>292</v>
      </c>
      <c r="C7" s="22" t="s">
        <v>288</v>
      </c>
      <c r="D7" s="21" t="s">
        <v>278</v>
      </c>
      <c r="E7" s="22" t="s">
        <v>293</v>
      </c>
      <c r="F7" s="22"/>
      <c r="G7" s="22"/>
      <c r="H7" s="21" t="str">
        <f aca="false">IF(B7="","",IF(COUNTIF('MiT Strom Pipeline'!$B$6:$B$904,B7)&gt;0,"✓",""))</f>
        <v/>
      </c>
      <c r="I7" s="21" t="str">
        <f aca="false">IF(B7="","",IFERROR(VLOOKUP(B7,'MiT Strom Pipeline'!$B$6:$R$904,17,0),""))</f>
        <v/>
      </c>
      <c r="J7" s="22"/>
    </row>
    <row r="8" customFormat="false" ht="19.5" hidden="false" customHeight="true" outlineLevel="0" collapsed="false">
      <c r="A8" s="106" t="n">
        <v>5</v>
      </c>
      <c r="B8" s="107" t="s">
        <v>294</v>
      </c>
      <c r="C8" s="107" t="s">
        <v>295</v>
      </c>
      <c r="D8" s="106" t="s">
        <v>56</v>
      </c>
      <c r="E8" s="107" t="s">
        <v>279</v>
      </c>
      <c r="F8" s="107" t="s">
        <v>296</v>
      </c>
      <c r="G8" s="107" t="s">
        <v>297</v>
      </c>
      <c r="H8" s="106" t="str">
        <f aca="false">IF(B8="","",IF(COUNTIF('MiT Strom Pipeline'!$B$6:$B$904,B8)&gt;0,"✓",""))</f>
        <v/>
      </c>
      <c r="I8" s="106" t="str">
        <f aca="false">IF(B8="","",IFERROR(VLOOKUP(B8,'MiT Strom Pipeline'!$B$6:$R$904,17,0),""))</f>
        <v/>
      </c>
      <c r="J8" s="107" t="s">
        <v>298</v>
      </c>
    </row>
    <row r="9" customFormat="false" ht="19.5" hidden="false" customHeight="true" outlineLevel="0" collapsed="false">
      <c r="A9" s="21" t="n">
        <v>6</v>
      </c>
      <c r="B9" s="22" t="s">
        <v>299</v>
      </c>
      <c r="C9" s="22" t="s">
        <v>293</v>
      </c>
      <c r="D9" s="21" t="s">
        <v>278</v>
      </c>
      <c r="E9" s="22" t="s">
        <v>293</v>
      </c>
      <c r="F9" s="22"/>
      <c r="G9" s="22"/>
      <c r="H9" s="21" t="str">
        <f aca="false">IF(B9="","",IF(COUNTIF('MiT Strom Pipeline'!$B$6:$B$904,B9)&gt;0,"✓",""))</f>
        <v/>
      </c>
      <c r="I9" s="21" t="str">
        <f aca="false">IF(B9="","",IFERROR(VLOOKUP(B9,'MiT Strom Pipeline'!$B$6:$R$904,17,0),""))</f>
        <v/>
      </c>
      <c r="J9" s="22"/>
    </row>
    <row r="10" customFormat="false" ht="19.5" hidden="false" customHeight="true" outlineLevel="0" collapsed="false">
      <c r="A10" s="106" t="n">
        <v>7</v>
      </c>
      <c r="B10" s="107" t="s">
        <v>300</v>
      </c>
      <c r="C10" s="107" t="s">
        <v>288</v>
      </c>
      <c r="D10" s="106" t="s">
        <v>278</v>
      </c>
      <c r="E10" s="107" t="s">
        <v>279</v>
      </c>
      <c r="F10" s="107"/>
      <c r="G10" s="107"/>
      <c r="H10" s="106" t="str">
        <f aca="false">IF(B10="","",IF(COUNTIF('MiT Strom Pipeline'!$B$6:$B$904,B10)&gt;0,"✓",""))</f>
        <v/>
      </c>
      <c r="I10" s="106" t="str">
        <f aca="false">IF(B10="","",IFERROR(VLOOKUP(B10,'MiT Strom Pipeline'!$B$6:$R$904,17,0),""))</f>
        <v/>
      </c>
      <c r="J10" s="107"/>
    </row>
    <row r="11" customFormat="false" ht="19.5" hidden="false" customHeight="true" outlineLevel="0" collapsed="false">
      <c r="A11" s="21" t="n">
        <v>8</v>
      </c>
      <c r="B11" s="22" t="s">
        <v>301</v>
      </c>
      <c r="C11" s="22" t="s">
        <v>143</v>
      </c>
      <c r="D11" s="21" t="s">
        <v>278</v>
      </c>
      <c r="E11" s="22" t="s">
        <v>279</v>
      </c>
      <c r="F11" s="22"/>
      <c r="G11" s="22"/>
      <c r="H11" s="21" t="str">
        <f aca="false">IF(B11="","",IF(COUNTIF('MiT Strom Pipeline'!$B$6:$B$904,B11)&gt;0,"✓",""))</f>
        <v/>
      </c>
      <c r="I11" s="21" t="str">
        <f aca="false">IF(B11="","",IFERROR(VLOOKUP(B11,'MiT Strom Pipeline'!$B$6:$R$904,17,0),""))</f>
        <v/>
      </c>
      <c r="J11" s="22"/>
    </row>
    <row r="12" customFormat="false" ht="19.5" hidden="false" customHeight="true" outlineLevel="0" collapsed="false">
      <c r="A12" s="106" t="n">
        <v>9</v>
      </c>
      <c r="B12" s="107" t="s">
        <v>302</v>
      </c>
      <c r="C12" s="107" t="s">
        <v>288</v>
      </c>
      <c r="D12" s="106" t="s">
        <v>278</v>
      </c>
      <c r="E12" s="107" t="s">
        <v>279</v>
      </c>
      <c r="F12" s="107"/>
      <c r="G12" s="107"/>
      <c r="H12" s="106" t="str">
        <f aca="false">IF(B12="","",IF(COUNTIF('MiT Strom Pipeline'!$B$6:$B$904,B12)&gt;0,"✓",""))</f>
        <v/>
      </c>
      <c r="I12" s="106" t="str">
        <f aca="false">IF(B12="","",IFERROR(VLOOKUP(B12,'MiT Strom Pipeline'!$B$6:$R$904,17,0),""))</f>
        <v/>
      </c>
      <c r="J12" s="107"/>
    </row>
    <row r="13" customFormat="false" ht="19.5" hidden="false" customHeight="true" outlineLevel="0" collapsed="false">
      <c r="A13" s="21" t="n">
        <v>10</v>
      </c>
      <c r="B13" s="22" t="s">
        <v>303</v>
      </c>
      <c r="C13" s="22" t="s">
        <v>79</v>
      </c>
      <c r="D13" s="21" t="s">
        <v>278</v>
      </c>
      <c r="E13" s="22" t="s">
        <v>279</v>
      </c>
      <c r="F13" s="22"/>
      <c r="G13" s="22"/>
      <c r="H13" s="21" t="str">
        <f aca="false">IF(B13="","",IF(COUNTIF('MiT Strom Pipeline'!$B$6:$B$904,B13)&gt;0,"✓",""))</f>
        <v/>
      </c>
      <c r="I13" s="21" t="str">
        <f aca="false">IF(B13="","",IFERROR(VLOOKUP(B13,'MiT Strom Pipeline'!$B$6:$R$904,17,0),""))</f>
        <v/>
      </c>
      <c r="J13" s="22"/>
    </row>
    <row r="14" customFormat="false" ht="19.5" hidden="false" customHeight="true" outlineLevel="0" collapsed="false">
      <c r="A14" s="106" t="n">
        <v>11</v>
      </c>
      <c r="B14" s="107" t="s">
        <v>304</v>
      </c>
      <c r="C14" s="107" t="s">
        <v>288</v>
      </c>
      <c r="D14" s="106" t="s">
        <v>305</v>
      </c>
      <c r="E14" s="107" t="s">
        <v>279</v>
      </c>
      <c r="F14" s="107"/>
      <c r="G14" s="107"/>
      <c r="H14" s="106" t="str">
        <f aca="false">IF(B14="","",IF(COUNTIF('MiT Strom Pipeline'!$B$6:$B$904,B14)&gt;0,"✓",""))</f>
        <v/>
      </c>
      <c r="I14" s="106" t="str">
        <f aca="false">IF(B14="","",IFERROR(VLOOKUP(B14,'MiT Strom Pipeline'!$B$6:$R$904,17,0),""))</f>
        <v/>
      </c>
      <c r="J14" s="107"/>
    </row>
    <row r="15" customFormat="false" ht="19.5" hidden="false" customHeight="true" outlineLevel="0" collapsed="false">
      <c r="A15" s="21" t="n">
        <v>12</v>
      </c>
      <c r="B15" s="22" t="s">
        <v>306</v>
      </c>
      <c r="C15" s="22" t="s">
        <v>307</v>
      </c>
      <c r="D15" s="21" t="s">
        <v>308</v>
      </c>
      <c r="E15" s="22" t="s">
        <v>279</v>
      </c>
      <c r="F15" s="22"/>
      <c r="G15" s="22"/>
      <c r="H15" s="21" t="str">
        <f aca="false">IF(B15="","",IF(COUNTIF('MiT Strom Pipeline'!$B$6:$B$904,B15)&gt;0,"✓",""))</f>
        <v/>
      </c>
      <c r="I15" s="21" t="str">
        <f aca="false">IF(B15="","",IFERROR(VLOOKUP(B15,'MiT Strom Pipeline'!$B$6:$R$904,17,0),""))</f>
        <v/>
      </c>
      <c r="J15" s="22"/>
    </row>
    <row r="16" customFormat="false" ht="19.5" hidden="false" customHeight="true" outlineLevel="0" collapsed="false">
      <c r="A16" s="106" t="n">
        <v>13</v>
      </c>
      <c r="B16" s="107" t="s">
        <v>309</v>
      </c>
      <c r="C16" s="107" t="s">
        <v>310</v>
      </c>
      <c r="D16" s="106" t="s">
        <v>278</v>
      </c>
      <c r="E16" s="107" t="s">
        <v>279</v>
      </c>
      <c r="F16" s="107"/>
      <c r="G16" s="107"/>
      <c r="H16" s="106" t="str">
        <f aca="false">IF(B16="","",IF(COUNTIF('MiT Strom Pipeline'!$B$6:$B$904,B16)&gt;0,"✓",""))</f>
        <v/>
      </c>
      <c r="I16" s="106" t="str">
        <f aca="false">IF(B16="","",IFERROR(VLOOKUP(B16,'MiT Strom Pipeline'!$B$6:$R$904,17,0),""))</f>
        <v/>
      </c>
      <c r="J16" s="107"/>
    </row>
    <row r="17" customFormat="false" ht="19.5" hidden="false" customHeight="true" outlineLevel="0" collapsed="false">
      <c r="A17" s="21" t="n">
        <v>14</v>
      </c>
      <c r="B17" s="22" t="s">
        <v>311</v>
      </c>
      <c r="C17" s="22" t="s">
        <v>288</v>
      </c>
      <c r="D17" s="21" t="s">
        <v>278</v>
      </c>
      <c r="E17" s="22" t="s">
        <v>279</v>
      </c>
      <c r="F17" s="22"/>
      <c r="G17" s="22"/>
      <c r="H17" s="21" t="str">
        <f aca="false">IF(B17="","",IF(COUNTIF('MiT Strom Pipeline'!$B$6:$B$904,B17)&gt;0,"✓",""))</f>
        <v/>
      </c>
      <c r="I17" s="21" t="str">
        <f aca="false">IF(B17="","",IFERROR(VLOOKUP(B17,'MiT Strom Pipeline'!$B$6:$R$904,17,0),""))</f>
        <v/>
      </c>
      <c r="J17" s="22"/>
    </row>
    <row r="18" customFormat="false" ht="19.5" hidden="false" customHeight="true" outlineLevel="0" collapsed="false">
      <c r="A18" s="106" t="n">
        <v>15</v>
      </c>
      <c r="B18" s="107" t="s">
        <v>312</v>
      </c>
      <c r="C18" s="107" t="s">
        <v>313</v>
      </c>
      <c r="D18" s="106" t="s">
        <v>278</v>
      </c>
      <c r="E18" s="107" t="s">
        <v>279</v>
      </c>
      <c r="F18" s="107"/>
      <c r="G18" s="107"/>
      <c r="H18" s="106" t="str">
        <f aca="false">IF(B18="","",IF(COUNTIF('MiT Strom Pipeline'!$B$6:$B$904,B18)&gt;0,"✓",""))</f>
        <v/>
      </c>
      <c r="I18" s="106" t="str">
        <f aca="false">IF(B18="","",IFERROR(VLOOKUP(B18,'MiT Strom Pipeline'!$B$6:$R$904,17,0),""))</f>
        <v/>
      </c>
      <c r="J18" s="107"/>
    </row>
    <row r="19" customFormat="false" ht="19.5" hidden="false" customHeight="true" outlineLevel="0" collapsed="false">
      <c r="A19" s="21" t="n">
        <v>16</v>
      </c>
      <c r="B19" s="22" t="s">
        <v>314</v>
      </c>
      <c r="C19" s="22" t="s">
        <v>109</v>
      </c>
      <c r="D19" s="21" t="s">
        <v>278</v>
      </c>
      <c r="E19" s="22" t="s">
        <v>279</v>
      </c>
      <c r="F19" s="22"/>
      <c r="G19" s="22"/>
      <c r="H19" s="21" t="str">
        <f aca="false">IF(B19="","",IF(COUNTIF('MiT Strom Pipeline'!$B$6:$B$904,B19)&gt;0,"✓",""))</f>
        <v/>
      </c>
      <c r="I19" s="21" t="str">
        <f aca="false">IF(B19="","",IFERROR(VLOOKUP(B19,'MiT Strom Pipeline'!$B$6:$R$904,17,0),""))</f>
        <v/>
      </c>
      <c r="J19" s="22"/>
    </row>
    <row r="20" customFormat="false" ht="19.5" hidden="false" customHeight="true" outlineLevel="0" collapsed="false">
      <c r="A20" s="106" t="n">
        <v>17</v>
      </c>
      <c r="B20" s="107" t="s">
        <v>315</v>
      </c>
      <c r="C20" s="107" t="s">
        <v>307</v>
      </c>
      <c r="D20" s="106" t="s">
        <v>278</v>
      </c>
      <c r="E20" s="107" t="s">
        <v>279</v>
      </c>
      <c r="F20" s="107"/>
      <c r="G20" s="107"/>
      <c r="H20" s="106" t="str">
        <f aca="false">IF(B20="","",IF(COUNTIF('MiT Strom Pipeline'!$B$6:$B$904,B20)&gt;0,"✓",""))</f>
        <v/>
      </c>
      <c r="I20" s="106" t="str">
        <f aca="false">IF(B20="","",IFERROR(VLOOKUP(B20,'MiT Strom Pipeline'!$B$6:$R$904,17,0),""))</f>
        <v/>
      </c>
      <c r="J20" s="107"/>
    </row>
    <row r="21" customFormat="false" ht="19.5" hidden="false" customHeight="true" outlineLevel="0" collapsed="false">
      <c r="A21" s="21" t="n">
        <v>18</v>
      </c>
      <c r="B21" s="22" t="s">
        <v>316</v>
      </c>
      <c r="C21" s="22" t="s">
        <v>288</v>
      </c>
      <c r="D21" s="21" t="s">
        <v>278</v>
      </c>
      <c r="E21" s="22" t="s">
        <v>279</v>
      </c>
      <c r="F21" s="22"/>
      <c r="G21" s="22"/>
      <c r="H21" s="21" t="str">
        <f aca="false">IF(B21="","",IF(COUNTIF('MiT Strom Pipeline'!$B$6:$B$904,B21)&gt;0,"✓",""))</f>
        <v/>
      </c>
      <c r="I21" s="21" t="str">
        <f aca="false">IF(B21="","",IFERROR(VLOOKUP(B21,'MiT Strom Pipeline'!$B$6:$R$904,17,0),""))</f>
        <v/>
      </c>
      <c r="J21" s="22"/>
    </row>
    <row r="22" customFormat="false" ht="19.5" hidden="false" customHeight="true" outlineLevel="0" collapsed="false">
      <c r="A22" s="106" t="n">
        <v>19</v>
      </c>
      <c r="B22" s="107" t="s">
        <v>317</v>
      </c>
      <c r="C22" s="107" t="s">
        <v>288</v>
      </c>
      <c r="D22" s="106" t="s">
        <v>278</v>
      </c>
      <c r="E22" s="107" t="s">
        <v>279</v>
      </c>
      <c r="F22" s="107"/>
      <c r="G22" s="107"/>
      <c r="H22" s="106" t="str">
        <f aca="false">IF(B22="","",IF(COUNTIF('MiT Strom Pipeline'!$B$6:$B$904,B22)&gt;0,"✓",""))</f>
        <v/>
      </c>
      <c r="I22" s="106" t="str">
        <f aca="false">IF(B22="","",IFERROR(VLOOKUP(B22,'MiT Strom Pipeline'!$B$6:$R$904,17,0),""))</f>
        <v/>
      </c>
      <c r="J22" s="107"/>
    </row>
    <row r="23" customFormat="false" ht="19.5" hidden="false" customHeight="true" outlineLevel="0" collapsed="false">
      <c r="A23" s="21" t="n">
        <v>20</v>
      </c>
      <c r="B23" s="22" t="s">
        <v>318</v>
      </c>
      <c r="C23" s="22" t="s">
        <v>79</v>
      </c>
      <c r="D23" s="21" t="s">
        <v>278</v>
      </c>
      <c r="E23" s="22" t="s">
        <v>279</v>
      </c>
      <c r="F23" s="22"/>
      <c r="G23" s="22"/>
      <c r="H23" s="21" t="str">
        <f aca="false">IF(B23="","",IF(COUNTIF('MiT Strom Pipeline'!$B$6:$B$904,B23)&gt;0,"✓",""))</f>
        <v/>
      </c>
      <c r="I23" s="21" t="str">
        <f aca="false">IF(B23="","",IFERROR(VLOOKUP(B23,'MiT Strom Pipeline'!$B$6:$R$904,17,0),""))</f>
        <v/>
      </c>
      <c r="J23" s="22"/>
    </row>
    <row r="24" customFormat="false" ht="19.5" hidden="false" customHeight="true" outlineLevel="0" collapsed="false">
      <c r="A24" s="106" t="n">
        <v>21</v>
      </c>
      <c r="B24" s="107" t="s">
        <v>319</v>
      </c>
      <c r="C24" s="107" t="s">
        <v>288</v>
      </c>
      <c r="D24" s="106" t="s">
        <v>278</v>
      </c>
      <c r="E24" s="107" t="s">
        <v>279</v>
      </c>
      <c r="F24" s="107"/>
      <c r="G24" s="107"/>
      <c r="H24" s="106" t="str">
        <f aca="false">IF(B24="","",IF(COUNTIF('MiT Strom Pipeline'!$B$6:$B$904,B24)&gt;0,"✓",""))</f>
        <v/>
      </c>
      <c r="I24" s="106" t="str">
        <f aca="false">IF(B24="","",IFERROR(VLOOKUP(B24,'MiT Strom Pipeline'!$B$6:$R$904,17,0),""))</f>
        <v/>
      </c>
      <c r="J24" s="107"/>
    </row>
    <row r="25" customFormat="false" ht="19.5" hidden="false" customHeight="true" outlineLevel="0" collapsed="false">
      <c r="A25" s="21" t="n">
        <v>22</v>
      </c>
      <c r="B25" s="22" t="s">
        <v>314</v>
      </c>
      <c r="C25" s="22" t="s">
        <v>109</v>
      </c>
      <c r="D25" s="21" t="s">
        <v>278</v>
      </c>
      <c r="E25" s="22" t="s">
        <v>279</v>
      </c>
      <c r="F25" s="22"/>
      <c r="G25" s="22"/>
      <c r="H25" s="21" t="str">
        <f aca="false">IF(B25="","",IF(COUNTIF('MiT Strom Pipeline'!$B$6:$B$904,B25)&gt;0,"✓",""))</f>
        <v/>
      </c>
      <c r="I25" s="21" t="str">
        <f aca="false">IF(B25="","",IFERROR(VLOOKUP(B25,'MiT Strom Pipeline'!$B$6:$R$904,17,0),""))</f>
        <v/>
      </c>
      <c r="J25" s="22"/>
    </row>
    <row r="26" customFormat="false" ht="19.5" hidden="false" customHeight="true" outlineLevel="0" collapsed="false">
      <c r="A26" s="106" t="n">
        <v>23</v>
      </c>
      <c r="B26" s="107" t="s">
        <v>320</v>
      </c>
      <c r="C26" s="107" t="s">
        <v>321</v>
      </c>
      <c r="D26" s="106" t="s">
        <v>278</v>
      </c>
      <c r="E26" s="107" t="s">
        <v>279</v>
      </c>
      <c r="F26" s="107"/>
      <c r="G26" s="107"/>
      <c r="H26" s="106" t="str">
        <f aca="false">IF(B26="","",IF(COUNTIF('MiT Strom Pipeline'!$B$6:$B$904,B26)&gt;0,"✓",""))</f>
        <v/>
      </c>
      <c r="I26" s="106" t="str">
        <f aca="false">IF(B26="","",IFERROR(VLOOKUP(B26,'MiT Strom Pipeline'!$B$6:$R$904,17,0),""))</f>
        <v/>
      </c>
      <c r="J26" s="107"/>
    </row>
    <row r="27" customFormat="false" ht="19.5" hidden="false" customHeight="true" outlineLevel="0" collapsed="false">
      <c r="A27" s="21" t="n">
        <v>24</v>
      </c>
      <c r="B27" s="22" t="s">
        <v>322</v>
      </c>
      <c r="C27" s="22" t="s">
        <v>109</v>
      </c>
      <c r="D27" s="21" t="s">
        <v>207</v>
      </c>
      <c r="E27" s="22" t="s">
        <v>279</v>
      </c>
      <c r="F27" s="22"/>
      <c r="G27" s="22"/>
      <c r="H27" s="21" t="str">
        <f aca="false">IF(B27="","",IF(COUNTIF('MiT Strom Pipeline'!$B$6:$B$904,B27)&gt;0,"✓",""))</f>
        <v/>
      </c>
      <c r="I27" s="21" t="str">
        <f aca="false">IF(B27="","",IFERROR(VLOOKUP(B27,'MiT Strom Pipeline'!$B$6:$R$904,17,0),""))</f>
        <v/>
      </c>
      <c r="J27" s="22"/>
    </row>
    <row r="28" customFormat="false" ht="19.5" hidden="false" customHeight="true" outlineLevel="0" collapsed="false">
      <c r="A28" s="106" t="n">
        <v>25</v>
      </c>
      <c r="B28" s="107" t="s">
        <v>323</v>
      </c>
      <c r="C28" s="107" t="s">
        <v>79</v>
      </c>
      <c r="D28" s="106" t="s">
        <v>278</v>
      </c>
      <c r="E28" s="107" t="s">
        <v>279</v>
      </c>
      <c r="F28" s="107"/>
      <c r="G28" s="107"/>
      <c r="H28" s="106" t="str">
        <f aca="false">IF(B28="","",IF(COUNTIF('MiT Strom Pipeline'!$B$6:$B$904,B28)&gt;0,"✓",""))</f>
        <v/>
      </c>
      <c r="I28" s="106" t="str">
        <f aca="false">IF(B28="","",IFERROR(VLOOKUP(B28,'MiT Strom Pipeline'!$B$6:$R$904,17,0),""))</f>
        <v/>
      </c>
      <c r="J28" s="107"/>
    </row>
    <row r="29" customFormat="false" ht="19.5" hidden="false" customHeight="true" outlineLevel="0" collapsed="false">
      <c r="A29" s="21" t="n">
        <v>26</v>
      </c>
      <c r="B29" s="22" t="s">
        <v>324</v>
      </c>
      <c r="C29" s="22" t="s">
        <v>288</v>
      </c>
      <c r="D29" s="21" t="s">
        <v>278</v>
      </c>
      <c r="E29" s="22" t="s">
        <v>287</v>
      </c>
      <c r="F29" s="22"/>
      <c r="G29" s="22"/>
      <c r="H29" s="21" t="str">
        <f aca="false">IF(B29="","",IF(COUNTIF('MiT Strom Pipeline'!$B$6:$B$904,B29)&gt;0,"✓",""))</f>
        <v/>
      </c>
      <c r="I29" s="21" t="str">
        <f aca="false">IF(B29="","",IFERROR(VLOOKUP(B29,'MiT Strom Pipeline'!$B$6:$R$904,17,0),""))</f>
        <v/>
      </c>
      <c r="J29" s="22"/>
    </row>
    <row r="30" customFormat="false" ht="19.5" hidden="false" customHeight="true" outlineLevel="0" collapsed="false">
      <c r="A30" s="106" t="n">
        <v>27</v>
      </c>
      <c r="B30" s="107" t="s">
        <v>325</v>
      </c>
      <c r="C30" s="107" t="s">
        <v>288</v>
      </c>
      <c r="D30" s="106" t="s">
        <v>278</v>
      </c>
      <c r="E30" s="107" t="s">
        <v>279</v>
      </c>
      <c r="F30" s="107"/>
      <c r="G30" s="107"/>
      <c r="H30" s="106" t="str">
        <f aca="false">IF(B30="","",IF(COUNTIF('MiT Strom Pipeline'!$B$6:$B$904,B30)&gt;0,"✓",""))</f>
        <v/>
      </c>
      <c r="I30" s="106" t="str">
        <f aca="false">IF(B30="","",IFERROR(VLOOKUP(B30,'MiT Strom Pipeline'!$B$6:$R$904,17,0),""))</f>
        <v/>
      </c>
      <c r="J30" s="107"/>
    </row>
    <row r="31" customFormat="false" ht="19.5" hidden="false" customHeight="true" outlineLevel="0" collapsed="false">
      <c r="A31" s="21" t="n">
        <v>28</v>
      </c>
      <c r="B31" s="22" t="s">
        <v>320</v>
      </c>
      <c r="C31" s="22" t="s">
        <v>321</v>
      </c>
      <c r="D31" s="21" t="s">
        <v>278</v>
      </c>
      <c r="E31" s="22" t="s">
        <v>279</v>
      </c>
      <c r="F31" s="22"/>
      <c r="G31" s="22"/>
      <c r="H31" s="21" t="str">
        <f aca="false">IF(B31="","",IF(COUNTIF('MiT Strom Pipeline'!$B$6:$B$904,B31)&gt;0,"✓",""))</f>
        <v/>
      </c>
      <c r="I31" s="21" t="str">
        <f aca="false">IF(B31="","",IFERROR(VLOOKUP(B31,'MiT Strom Pipeline'!$B$6:$R$904,17,0),""))</f>
        <v/>
      </c>
      <c r="J31" s="22"/>
    </row>
    <row r="32" customFormat="false" ht="19.5" hidden="false" customHeight="true" outlineLevel="0" collapsed="false">
      <c r="A32" s="106" t="n">
        <v>29</v>
      </c>
      <c r="B32" s="107" t="s">
        <v>326</v>
      </c>
      <c r="C32" s="107" t="s">
        <v>327</v>
      </c>
      <c r="D32" s="106" t="s">
        <v>278</v>
      </c>
      <c r="E32" s="107" t="s">
        <v>279</v>
      </c>
      <c r="F32" s="107"/>
      <c r="G32" s="107"/>
      <c r="H32" s="106" t="str">
        <f aca="false">IF(B32="","",IF(COUNTIF('MiT Strom Pipeline'!$B$6:$B$904,B32)&gt;0,"✓",""))</f>
        <v/>
      </c>
      <c r="I32" s="106" t="str">
        <f aca="false">IF(B32="","",IFERROR(VLOOKUP(B32,'MiT Strom Pipeline'!$B$6:$R$904,17,0),""))</f>
        <v/>
      </c>
      <c r="J32" s="107"/>
    </row>
    <row r="33" customFormat="false" ht="19.5" hidden="false" customHeight="true" outlineLevel="0" collapsed="false">
      <c r="A33" s="21" t="n">
        <v>30</v>
      </c>
      <c r="B33" s="22" t="s">
        <v>328</v>
      </c>
      <c r="C33" s="22" t="s">
        <v>288</v>
      </c>
      <c r="D33" s="21" t="s">
        <v>278</v>
      </c>
      <c r="E33" s="22" t="s">
        <v>279</v>
      </c>
      <c r="F33" s="22"/>
      <c r="G33" s="22"/>
      <c r="H33" s="21" t="str">
        <f aca="false">IF(B33="","",IF(COUNTIF('MiT Strom Pipeline'!$B$6:$B$904,B33)&gt;0,"✓",""))</f>
        <v/>
      </c>
      <c r="I33" s="21" t="str">
        <f aca="false">IF(B33="","",IFERROR(VLOOKUP(B33,'MiT Strom Pipeline'!$B$6:$R$904,17,0),""))</f>
        <v/>
      </c>
      <c r="J33" s="22"/>
    </row>
    <row r="34" customFormat="false" ht="19.5" hidden="false" customHeight="true" outlineLevel="0" collapsed="false">
      <c r="A34" s="106" t="n">
        <v>31</v>
      </c>
      <c r="B34" s="107" t="s">
        <v>329</v>
      </c>
      <c r="C34" s="107" t="s">
        <v>109</v>
      </c>
      <c r="D34" s="106" t="s">
        <v>56</v>
      </c>
      <c r="E34" s="107" t="s">
        <v>279</v>
      </c>
      <c r="F34" s="107"/>
      <c r="G34" s="107"/>
      <c r="H34" s="106" t="str">
        <f aca="false">IF(B34="","",IF(COUNTIF('MiT Strom Pipeline'!$B$6:$B$904,B34)&gt;0,"✓",""))</f>
        <v/>
      </c>
      <c r="I34" s="106" t="str">
        <f aca="false">IF(B34="","",IFERROR(VLOOKUP(B34,'MiT Strom Pipeline'!$B$6:$R$904,17,0),""))</f>
        <v/>
      </c>
      <c r="J34" s="107"/>
    </row>
    <row r="35" customFormat="false" ht="19.5" hidden="false" customHeight="true" outlineLevel="0" collapsed="false">
      <c r="A35" s="21" t="n">
        <v>32</v>
      </c>
      <c r="B35" s="22" t="s">
        <v>330</v>
      </c>
      <c r="C35" s="22" t="s">
        <v>79</v>
      </c>
      <c r="D35" s="21" t="s">
        <v>278</v>
      </c>
      <c r="E35" s="22" t="s">
        <v>279</v>
      </c>
      <c r="F35" s="22"/>
      <c r="G35" s="22"/>
      <c r="H35" s="21" t="str">
        <f aca="false">IF(B35="","",IF(COUNTIF('MiT Strom Pipeline'!$B$6:$B$904,B35)&gt;0,"✓",""))</f>
        <v/>
      </c>
      <c r="I35" s="21" t="str">
        <f aca="false">IF(B35="","",IFERROR(VLOOKUP(B35,'MiT Strom Pipeline'!$B$6:$R$904,17,0),""))</f>
        <v/>
      </c>
      <c r="J35" s="22"/>
    </row>
    <row r="36" customFormat="false" ht="19.5" hidden="false" customHeight="true" outlineLevel="0" collapsed="false">
      <c r="A36" s="106" t="n">
        <v>33</v>
      </c>
      <c r="B36" s="107" t="s">
        <v>331</v>
      </c>
      <c r="C36" s="107" t="s">
        <v>321</v>
      </c>
      <c r="D36" s="106" t="s">
        <v>227</v>
      </c>
      <c r="E36" s="107" t="s">
        <v>279</v>
      </c>
      <c r="F36" s="107"/>
      <c r="G36" s="107"/>
      <c r="H36" s="106" t="str">
        <f aca="false">IF(B36="","",IF(COUNTIF('MiT Strom Pipeline'!$B$6:$B$904,B36)&gt;0,"✓",""))</f>
        <v/>
      </c>
      <c r="I36" s="106" t="str">
        <f aca="false">IF(B36="","",IFERROR(VLOOKUP(B36,'MiT Strom Pipeline'!$B$6:$R$904,17,0),""))</f>
        <v/>
      </c>
      <c r="J36" s="107"/>
    </row>
    <row r="37" customFormat="false" ht="19.5" hidden="false" customHeight="true" outlineLevel="0" collapsed="false">
      <c r="A37" s="21" t="n">
        <v>34</v>
      </c>
      <c r="B37" s="22" t="s">
        <v>332</v>
      </c>
      <c r="C37" s="22" t="s">
        <v>79</v>
      </c>
      <c r="D37" s="21" t="s">
        <v>278</v>
      </c>
      <c r="E37" s="22" t="s">
        <v>279</v>
      </c>
      <c r="F37" s="22"/>
      <c r="G37" s="22"/>
      <c r="H37" s="21" t="str">
        <f aca="false">IF(B37="","",IF(COUNTIF('MiT Strom Pipeline'!$B$6:$B$904,B37)&gt;0,"✓",""))</f>
        <v/>
      </c>
      <c r="I37" s="21" t="str">
        <f aca="false">IF(B37="","",IFERROR(VLOOKUP(B37,'MiT Strom Pipeline'!$B$6:$R$904,17,0),""))</f>
        <v/>
      </c>
      <c r="J37" s="22"/>
    </row>
    <row r="38" customFormat="false" ht="19.5" hidden="false" customHeight="true" outlineLevel="0" collapsed="false">
      <c r="A38" s="106" t="n">
        <v>35</v>
      </c>
      <c r="B38" s="107" t="s">
        <v>333</v>
      </c>
      <c r="C38" s="107" t="s">
        <v>288</v>
      </c>
      <c r="D38" s="106" t="s">
        <v>278</v>
      </c>
      <c r="E38" s="107" t="s">
        <v>293</v>
      </c>
      <c r="F38" s="107"/>
      <c r="G38" s="107"/>
      <c r="H38" s="106" t="str">
        <f aca="false">IF(B38="","",IF(COUNTIF('MiT Strom Pipeline'!$B$6:$B$904,B38)&gt;0,"✓",""))</f>
        <v/>
      </c>
      <c r="I38" s="106" t="str">
        <f aca="false">IF(B38="","",IFERROR(VLOOKUP(B38,'MiT Strom Pipeline'!$B$6:$R$904,17,0),""))</f>
        <v/>
      </c>
      <c r="J38" s="107"/>
    </row>
    <row r="39" customFormat="false" ht="19.5" hidden="false" customHeight="true" outlineLevel="0" collapsed="false">
      <c r="A39" s="21" t="n">
        <v>36</v>
      </c>
      <c r="B39" s="22" t="s">
        <v>334</v>
      </c>
      <c r="C39" s="22" t="s">
        <v>327</v>
      </c>
      <c r="D39" s="21" t="s">
        <v>278</v>
      </c>
      <c r="E39" s="22" t="s">
        <v>279</v>
      </c>
      <c r="F39" s="22"/>
      <c r="G39" s="22"/>
      <c r="H39" s="21" t="str">
        <f aca="false">IF(B39="","",IF(COUNTIF('MiT Strom Pipeline'!$B$6:$B$904,B39)&gt;0,"✓",""))</f>
        <v/>
      </c>
      <c r="I39" s="21" t="str">
        <f aca="false">IF(B39="","",IFERROR(VLOOKUP(B39,'MiT Strom Pipeline'!$B$6:$R$904,17,0),""))</f>
        <v/>
      </c>
      <c r="J39" s="22"/>
    </row>
    <row r="40" customFormat="false" ht="19.5" hidden="false" customHeight="true" outlineLevel="0" collapsed="false">
      <c r="A40" s="106" t="n">
        <v>37</v>
      </c>
      <c r="B40" s="107" t="s">
        <v>335</v>
      </c>
      <c r="C40" s="107" t="s">
        <v>109</v>
      </c>
      <c r="D40" s="106" t="s">
        <v>278</v>
      </c>
      <c r="E40" s="107" t="s">
        <v>279</v>
      </c>
      <c r="F40" s="107"/>
      <c r="G40" s="107"/>
      <c r="H40" s="106" t="str">
        <f aca="false">IF(B40="","",IF(COUNTIF('MiT Strom Pipeline'!$B$6:$B$904,B40)&gt;0,"✓",""))</f>
        <v/>
      </c>
      <c r="I40" s="106" t="str">
        <f aca="false">IF(B40="","",IFERROR(VLOOKUP(B40,'MiT Strom Pipeline'!$B$6:$R$904,17,0),""))</f>
        <v/>
      </c>
      <c r="J40" s="107"/>
    </row>
    <row r="41" customFormat="false" ht="19.5" hidden="false" customHeight="true" outlineLevel="0" collapsed="false">
      <c r="A41" s="21" t="n">
        <v>38</v>
      </c>
      <c r="B41" s="22" t="s">
        <v>336</v>
      </c>
      <c r="C41" s="22" t="s">
        <v>109</v>
      </c>
      <c r="D41" s="21" t="s">
        <v>278</v>
      </c>
      <c r="E41" s="22" t="s">
        <v>279</v>
      </c>
      <c r="F41" s="22" t="s">
        <v>337</v>
      </c>
      <c r="G41" s="22" t="s">
        <v>338</v>
      </c>
      <c r="H41" s="21" t="str">
        <f aca="false">IF(B41="","",IF(COUNTIF('MiT Strom Pipeline'!$B$6:$B$904,B41)&gt;0,"✓",""))</f>
        <v/>
      </c>
      <c r="I41" s="21" t="str">
        <f aca="false">IF(B41="","",IFERROR(VLOOKUP(B41,'MiT Strom Pipeline'!$B$6:$R$904,17,0),""))</f>
        <v/>
      </c>
      <c r="J41" s="22" t="s">
        <v>339</v>
      </c>
    </row>
    <row r="42" customFormat="false" ht="19.5" hidden="false" customHeight="true" outlineLevel="0" collapsed="false">
      <c r="A42" s="106" t="n">
        <v>39</v>
      </c>
      <c r="B42" s="107" t="s">
        <v>340</v>
      </c>
      <c r="C42" s="107" t="s">
        <v>288</v>
      </c>
      <c r="D42" s="106" t="s">
        <v>278</v>
      </c>
      <c r="E42" s="107" t="s">
        <v>287</v>
      </c>
      <c r="F42" s="107"/>
      <c r="G42" s="107"/>
      <c r="H42" s="106" t="str">
        <f aca="false">IF(B42="","",IF(COUNTIF('MiT Strom Pipeline'!$B$6:$B$904,B42)&gt;0,"✓",""))</f>
        <v/>
      </c>
      <c r="I42" s="106" t="str">
        <f aca="false">IF(B42="","",IFERROR(VLOOKUP(B42,'MiT Strom Pipeline'!$B$6:$R$904,17,0),""))</f>
        <v/>
      </c>
      <c r="J42" s="107"/>
    </row>
    <row r="43" customFormat="false" ht="19.5" hidden="false" customHeight="true" outlineLevel="0" collapsed="false">
      <c r="A43" s="21" t="n">
        <v>40</v>
      </c>
      <c r="B43" s="22" t="s">
        <v>341</v>
      </c>
      <c r="C43" s="22" t="s">
        <v>288</v>
      </c>
      <c r="D43" s="21" t="s">
        <v>278</v>
      </c>
      <c r="E43" s="22" t="s">
        <v>279</v>
      </c>
      <c r="F43" s="22"/>
      <c r="G43" s="22"/>
      <c r="H43" s="21" t="str">
        <f aca="false">IF(B43="","",IF(COUNTIF('MiT Strom Pipeline'!$B$6:$B$904,B43)&gt;0,"✓",""))</f>
        <v/>
      </c>
      <c r="I43" s="21" t="str">
        <f aca="false">IF(B43="","",IFERROR(VLOOKUP(B43,'MiT Strom Pipeline'!$B$6:$R$904,17,0),""))</f>
        <v/>
      </c>
      <c r="J43" s="22"/>
    </row>
    <row r="44" customFormat="false" ht="19.5" hidden="false" customHeight="true" outlineLevel="0" collapsed="false">
      <c r="A44" s="106" t="n">
        <v>41</v>
      </c>
      <c r="B44" s="107" t="s">
        <v>342</v>
      </c>
      <c r="C44" s="107" t="s">
        <v>288</v>
      </c>
      <c r="D44" s="106" t="s">
        <v>278</v>
      </c>
      <c r="E44" s="107" t="s">
        <v>279</v>
      </c>
      <c r="F44" s="107"/>
      <c r="G44" s="107"/>
      <c r="H44" s="106" t="str">
        <f aca="false">IF(B44="","",IF(COUNTIF('MiT Strom Pipeline'!$B$6:$B$904,B44)&gt;0,"✓",""))</f>
        <v/>
      </c>
      <c r="I44" s="106" t="str">
        <f aca="false">IF(B44="","",IFERROR(VLOOKUP(B44,'MiT Strom Pipeline'!$B$6:$R$904,17,0),""))</f>
        <v/>
      </c>
      <c r="J44" s="107"/>
    </row>
    <row r="45" customFormat="false" ht="19.5" hidden="false" customHeight="true" outlineLevel="0" collapsed="false">
      <c r="A45" s="21" t="n">
        <v>42</v>
      </c>
      <c r="B45" s="22" t="s">
        <v>343</v>
      </c>
      <c r="C45" s="22" t="s">
        <v>307</v>
      </c>
      <c r="D45" s="21" t="s">
        <v>278</v>
      </c>
      <c r="E45" s="22" t="s">
        <v>279</v>
      </c>
      <c r="F45" s="22"/>
      <c r="G45" s="22"/>
      <c r="H45" s="21" t="str">
        <f aca="false">IF(B45="","",IF(COUNTIF('MiT Strom Pipeline'!$B$6:$B$904,B45)&gt;0,"✓",""))</f>
        <v/>
      </c>
      <c r="I45" s="21" t="str">
        <f aca="false">IF(B45="","",IFERROR(VLOOKUP(B45,'MiT Strom Pipeline'!$B$6:$R$904,17,0),""))</f>
        <v/>
      </c>
      <c r="J45" s="22"/>
    </row>
    <row r="46" customFormat="false" ht="19.5" hidden="false" customHeight="true" outlineLevel="0" collapsed="false">
      <c r="A46" s="106" t="n">
        <v>43</v>
      </c>
      <c r="B46" s="107" t="s">
        <v>344</v>
      </c>
      <c r="C46" s="107" t="s">
        <v>288</v>
      </c>
      <c r="D46" s="106" t="s">
        <v>278</v>
      </c>
      <c r="E46" s="107" t="s">
        <v>279</v>
      </c>
      <c r="F46" s="107"/>
      <c r="G46" s="107"/>
      <c r="H46" s="106" t="str">
        <f aca="false">IF(B46="","",IF(COUNTIF('MiT Strom Pipeline'!$B$6:$B$904,B46)&gt;0,"✓",""))</f>
        <v/>
      </c>
      <c r="I46" s="106" t="str">
        <f aca="false">IF(B46="","",IFERROR(VLOOKUP(B46,'MiT Strom Pipeline'!$B$6:$R$904,17,0),""))</f>
        <v/>
      </c>
      <c r="J46" s="107"/>
    </row>
    <row r="47" customFormat="false" ht="19.5" hidden="false" customHeight="true" outlineLevel="0" collapsed="false">
      <c r="A47" s="21" t="n">
        <v>44</v>
      </c>
      <c r="B47" s="22" t="s">
        <v>345</v>
      </c>
      <c r="C47" s="22" t="s">
        <v>109</v>
      </c>
      <c r="D47" s="21" t="s">
        <v>278</v>
      </c>
      <c r="E47" s="22" t="s">
        <v>279</v>
      </c>
      <c r="F47" s="22"/>
      <c r="G47" s="22"/>
      <c r="H47" s="21" t="str">
        <f aca="false">IF(B47="","",IF(COUNTIF('MiT Strom Pipeline'!$B$6:$B$904,B47)&gt;0,"✓",""))</f>
        <v/>
      </c>
      <c r="I47" s="21" t="str">
        <f aca="false">IF(B47="","",IFERROR(VLOOKUP(B47,'MiT Strom Pipeline'!$B$6:$R$904,17,0),""))</f>
        <v/>
      </c>
      <c r="J47" s="22"/>
    </row>
    <row r="48" customFormat="false" ht="19.5" hidden="false" customHeight="true" outlineLevel="0" collapsed="false">
      <c r="A48" s="106" t="n">
        <v>45</v>
      </c>
      <c r="B48" s="107" t="s">
        <v>344</v>
      </c>
      <c r="C48" s="107" t="s">
        <v>288</v>
      </c>
      <c r="D48" s="106" t="s">
        <v>278</v>
      </c>
      <c r="E48" s="107" t="s">
        <v>279</v>
      </c>
      <c r="F48" s="107"/>
      <c r="G48" s="107"/>
      <c r="H48" s="106" t="str">
        <f aca="false">IF(B48="","",IF(COUNTIF('MiT Strom Pipeline'!$B$6:$B$904,B48)&gt;0,"✓",""))</f>
        <v/>
      </c>
      <c r="I48" s="106" t="str">
        <f aca="false">IF(B48="","",IFERROR(VLOOKUP(B48,'MiT Strom Pipeline'!$B$6:$R$904,17,0),""))</f>
        <v/>
      </c>
      <c r="J48" s="107"/>
    </row>
    <row r="49" customFormat="false" ht="19.5" hidden="false" customHeight="true" outlineLevel="0" collapsed="false">
      <c r="A49" s="21" t="n">
        <v>46</v>
      </c>
      <c r="B49" s="22" t="s">
        <v>320</v>
      </c>
      <c r="C49" s="22" t="s">
        <v>321</v>
      </c>
      <c r="D49" s="21" t="s">
        <v>278</v>
      </c>
      <c r="E49" s="22" t="s">
        <v>279</v>
      </c>
      <c r="F49" s="22"/>
      <c r="G49" s="22"/>
      <c r="H49" s="21" t="str">
        <f aca="false">IF(B49="","",IF(COUNTIF('MiT Strom Pipeline'!$B$6:$B$904,B49)&gt;0,"✓",""))</f>
        <v/>
      </c>
      <c r="I49" s="21" t="str">
        <f aca="false">IF(B49="","",IFERROR(VLOOKUP(B49,'MiT Strom Pipeline'!$B$6:$R$904,17,0),""))</f>
        <v/>
      </c>
      <c r="J49" s="22"/>
    </row>
    <row r="50" customFormat="false" ht="19.5" hidden="false" customHeight="true" outlineLevel="0" collapsed="false">
      <c r="A50" s="106" t="n">
        <v>47</v>
      </c>
      <c r="B50" s="107" t="s">
        <v>346</v>
      </c>
      <c r="C50" s="107" t="s">
        <v>288</v>
      </c>
      <c r="D50" s="106" t="s">
        <v>278</v>
      </c>
      <c r="E50" s="107" t="s">
        <v>293</v>
      </c>
      <c r="F50" s="107"/>
      <c r="G50" s="107"/>
      <c r="H50" s="106" t="str">
        <f aca="false">IF(B50="","",IF(COUNTIF('MiT Strom Pipeline'!$B$6:$B$904,B50)&gt;0,"✓",""))</f>
        <v/>
      </c>
      <c r="I50" s="106" t="str">
        <f aca="false">IF(B50="","",IFERROR(VLOOKUP(B50,'MiT Strom Pipeline'!$B$6:$R$904,17,0),""))</f>
        <v/>
      </c>
      <c r="J50" s="107"/>
    </row>
    <row r="51" customFormat="false" ht="19.5" hidden="false" customHeight="true" outlineLevel="0" collapsed="false">
      <c r="A51" s="21" t="n">
        <v>48</v>
      </c>
      <c r="B51" s="22" t="s">
        <v>347</v>
      </c>
      <c r="C51" s="22" t="s">
        <v>288</v>
      </c>
      <c r="D51" s="21" t="s">
        <v>278</v>
      </c>
      <c r="E51" s="22" t="s">
        <v>279</v>
      </c>
      <c r="F51" s="22"/>
      <c r="G51" s="22"/>
      <c r="H51" s="21" t="str">
        <f aca="false">IF(B51="","",IF(COUNTIF('MiT Strom Pipeline'!$B$6:$B$904,B51)&gt;0,"✓",""))</f>
        <v/>
      </c>
      <c r="I51" s="21" t="str">
        <f aca="false">IF(B51="","",IFERROR(VLOOKUP(B51,'MiT Strom Pipeline'!$B$6:$R$904,17,0),""))</f>
        <v/>
      </c>
      <c r="J51" s="22"/>
    </row>
    <row r="52" customFormat="false" ht="19.5" hidden="false" customHeight="true" outlineLevel="0" collapsed="false">
      <c r="A52" s="106" t="n">
        <v>49</v>
      </c>
      <c r="B52" s="107" t="s">
        <v>348</v>
      </c>
      <c r="C52" s="107" t="s">
        <v>307</v>
      </c>
      <c r="D52" s="106" t="s">
        <v>278</v>
      </c>
      <c r="E52" s="107" t="s">
        <v>287</v>
      </c>
      <c r="F52" s="107"/>
      <c r="G52" s="107"/>
      <c r="H52" s="106" t="str">
        <f aca="false">IF(B52="","",IF(COUNTIF('MiT Strom Pipeline'!$B$6:$B$904,B52)&gt;0,"✓",""))</f>
        <v/>
      </c>
      <c r="I52" s="106" t="str">
        <f aca="false">IF(B52="","",IFERROR(VLOOKUP(B52,'MiT Strom Pipeline'!$B$6:$R$904,17,0),""))</f>
        <v/>
      </c>
      <c r="J52" s="107"/>
    </row>
    <row r="53" customFormat="false" ht="19.5" hidden="false" customHeight="true" outlineLevel="0" collapsed="false">
      <c r="A53" s="21" t="n">
        <v>50</v>
      </c>
      <c r="B53" s="22" t="s">
        <v>349</v>
      </c>
      <c r="C53" s="22" t="s">
        <v>288</v>
      </c>
      <c r="D53" s="21" t="s">
        <v>278</v>
      </c>
      <c r="E53" s="22" t="s">
        <v>279</v>
      </c>
      <c r="F53" s="22"/>
      <c r="G53" s="22"/>
      <c r="H53" s="21" t="str">
        <f aca="false">IF(B53="","",IF(COUNTIF('MiT Strom Pipeline'!$B$6:$B$904,B53)&gt;0,"✓",""))</f>
        <v/>
      </c>
      <c r="I53" s="21" t="str">
        <f aca="false">IF(B53="","",IFERROR(VLOOKUP(B53,'MiT Strom Pipeline'!$B$6:$R$904,17,0),""))</f>
        <v/>
      </c>
      <c r="J53" s="22"/>
    </row>
    <row r="54" customFormat="false" ht="19.5" hidden="false" customHeight="true" outlineLevel="0" collapsed="false">
      <c r="A54" s="106" t="n">
        <v>51</v>
      </c>
      <c r="B54" s="107" t="s">
        <v>350</v>
      </c>
      <c r="C54" s="107" t="s">
        <v>288</v>
      </c>
      <c r="D54" s="106" t="s">
        <v>278</v>
      </c>
      <c r="E54" s="107" t="s">
        <v>279</v>
      </c>
      <c r="F54" s="107"/>
      <c r="G54" s="107"/>
      <c r="H54" s="106" t="str">
        <f aca="false">IF(B54="","",IF(COUNTIF('MiT Strom Pipeline'!$B$6:$B$904,B54)&gt;0,"✓",""))</f>
        <v/>
      </c>
      <c r="I54" s="106" t="str">
        <f aca="false">IF(B54="","",IFERROR(VLOOKUP(B54,'MiT Strom Pipeline'!$B$6:$R$904,17,0),""))</f>
        <v/>
      </c>
      <c r="J54" s="107"/>
    </row>
    <row r="55" customFormat="false" ht="19.5" hidden="false" customHeight="true" outlineLevel="0" collapsed="false">
      <c r="A55" s="21" t="n">
        <v>52</v>
      </c>
      <c r="B55" s="22" t="s">
        <v>351</v>
      </c>
      <c r="C55" s="22" t="s">
        <v>288</v>
      </c>
      <c r="D55" s="21" t="s">
        <v>278</v>
      </c>
      <c r="E55" s="22" t="s">
        <v>279</v>
      </c>
      <c r="F55" s="22"/>
      <c r="G55" s="22"/>
      <c r="H55" s="21" t="str">
        <f aca="false">IF(B55="","",IF(COUNTIF('MiT Strom Pipeline'!$B$6:$B$904,B55)&gt;0,"✓",""))</f>
        <v/>
      </c>
      <c r="I55" s="21" t="str">
        <f aca="false">IF(B55="","",IFERROR(VLOOKUP(B55,'MiT Strom Pipeline'!$B$6:$R$904,17,0),""))</f>
        <v/>
      </c>
      <c r="J55" s="22"/>
    </row>
    <row r="56" customFormat="false" ht="19.5" hidden="false" customHeight="true" outlineLevel="0" collapsed="false">
      <c r="A56" s="106" t="n">
        <v>53</v>
      </c>
      <c r="B56" s="107" t="s">
        <v>352</v>
      </c>
      <c r="C56" s="107" t="s">
        <v>288</v>
      </c>
      <c r="D56" s="106" t="s">
        <v>278</v>
      </c>
      <c r="E56" s="107" t="s">
        <v>279</v>
      </c>
      <c r="F56" s="107"/>
      <c r="G56" s="107"/>
      <c r="H56" s="106" t="str">
        <f aca="false">IF(B56="","",IF(COUNTIF('MiT Strom Pipeline'!$B$6:$B$904,B56)&gt;0,"✓",""))</f>
        <v/>
      </c>
      <c r="I56" s="106" t="str">
        <f aca="false">IF(B56="","",IFERROR(VLOOKUP(B56,'MiT Strom Pipeline'!$B$6:$R$904,17,0),""))</f>
        <v/>
      </c>
      <c r="J56" s="107"/>
    </row>
    <row r="57" customFormat="false" ht="19.5" hidden="false" customHeight="true" outlineLevel="0" collapsed="false">
      <c r="A57" s="21" t="n">
        <v>54</v>
      </c>
      <c r="B57" s="22" t="s">
        <v>353</v>
      </c>
      <c r="C57" s="22" t="s">
        <v>354</v>
      </c>
      <c r="D57" s="21" t="s">
        <v>278</v>
      </c>
      <c r="E57" s="22" t="s">
        <v>279</v>
      </c>
      <c r="F57" s="22"/>
      <c r="G57" s="22"/>
      <c r="H57" s="21" t="str">
        <f aca="false">IF(B57="","",IF(COUNTIF('MiT Strom Pipeline'!$B$6:$B$904,B57)&gt;0,"✓",""))</f>
        <v/>
      </c>
      <c r="I57" s="21" t="str">
        <f aca="false">IF(B57="","",IFERROR(VLOOKUP(B57,'MiT Strom Pipeline'!$B$6:$R$904,17,0),""))</f>
        <v/>
      </c>
      <c r="J57" s="22"/>
    </row>
    <row r="58" customFormat="false" ht="19.5" hidden="false" customHeight="true" outlineLevel="0" collapsed="false">
      <c r="A58" s="106" t="n">
        <v>55</v>
      </c>
      <c r="B58" s="107" t="s">
        <v>355</v>
      </c>
      <c r="C58" s="107" t="s">
        <v>288</v>
      </c>
      <c r="D58" s="106" t="s">
        <v>278</v>
      </c>
      <c r="E58" s="107" t="s">
        <v>279</v>
      </c>
      <c r="F58" s="107"/>
      <c r="G58" s="107"/>
      <c r="H58" s="106" t="str">
        <f aca="false">IF(B58="","",IF(COUNTIF('MiT Strom Pipeline'!$B$6:$B$904,B58)&gt;0,"✓",""))</f>
        <v/>
      </c>
      <c r="I58" s="106" t="str">
        <f aca="false">IF(B58="","",IFERROR(VLOOKUP(B58,'MiT Strom Pipeline'!$B$6:$R$904,17,0),""))</f>
        <v/>
      </c>
      <c r="J58" s="107"/>
    </row>
    <row r="59" customFormat="false" ht="19.5" hidden="false" customHeight="true" outlineLevel="0" collapsed="false">
      <c r="A59" s="21" t="n">
        <v>56</v>
      </c>
      <c r="B59" s="22" t="s">
        <v>356</v>
      </c>
      <c r="C59" s="22" t="s">
        <v>288</v>
      </c>
      <c r="D59" s="21" t="s">
        <v>278</v>
      </c>
      <c r="E59" s="22" t="s">
        <v>279</v>
      </c>
      <c r="F59" s="22"/>
      <c r="G59" s="22"/>
      <c r="H59" s="21" t="str">
        <f aca="false">IF(B59="","",IF(COUNTIF('MiT Strom Pipeline'!$B$6:$B$904,B59)&gt;0,"✓",""))</f>
        <v/>
      </c>
      <c r="I59" s="21" t="str">
        <f aca="false">IF(B59="","",IFERROR(VLOOKUP(B59,'MiT Strom Pipeline'!$B$6:$R$904,17,0),""))</f>
        <v/>
      </c>
      <c r="J59" s="22"/>
    </row>
    <row r="60" customFormat="false" ht="19.5" hidden="false" customHeight="true" outlineLevel="0" collapsed="false">
      <c r="A60" s="106" t="n">
        <v>57</v>
      </c>
      <c r="B60" s="107" t="s">
        <v>357</v>
      </c>
      <c r="C60" s="107" t="s">
        <v>288</v>
      </c>
      <c r="D60" s="106" t="s">
        <v>278</v>
      </c>
      <c r="E60" s="107" t="s">
        <v>279</v>
      </c>
      <c r="F60" s="107"/>
      <c r="G60" s="107"/>
      <c r="H60" s="106" t="str">
        <f aca="false">IF(B60="","",IF(COUNTIF('MiT Strom Pipeline'!$B$6:$B$904,B60)&gt;0,"✓",""))</f>
        <v/>
      </c>
      <c r="I60" s="106" t="str">
        <f aca="false">IF(B60="","",IFERROR(VLOOKUP(B60,'MiT Strom Pipeline'!$B$6:$R$904,17,0),""))</f>
        <v/>
      </c>
      <c r="J60" s="107"/>
    </row>
    <row r="61" customFormat="false" ht="19.5" hidden="false" customHeight="true" outlineLevel="0" collapsed="false">
      <c r="A61" s="21" t="n">
        <v>58</v>
      </c>
      <c r="B61" s="22" t="s">
        <v>358</v>
      </c>
      <c r="C61" s="22" t="s">
        <v>327</v>
      </c>
      <c r="D61" s="21" t="s">
        <v>278</v>
      </c>
      <c r="E61" s="22" t="s">
        <v>279</v>
      </c>
      <c r="F61" s="22"/>
      <c r="G61" s="22"/>
      <c r="H61" s="21" t="str">
        <f aca="false">IF(B61="","",IF(COUNTIF('MiT Strom Pipeline'!$B$6:$B$904,B61)&gt;0,"✓",""))</f>
        <v/>
      </c>
      <c r="I61" s="21" t="str">
        <f aca="false">IF(B61="","",IFERROR(VLOOKUP(B61,'MiT Strom Pipeline'!$B$6:$R$904,17,0),""))</f>
        <v/>
      </c>
      <c r="J61" s="22"/>
    </row>
    <row r="62" customFormat="false" ht="19.5" hidden="false" customHeight="true" outlineLevel="0" collapsed="false">
      <c r="A62" s="106" t="n">
        <v>59</v>
      </c>
      <c r="B62" s="107" t="s">
        <v>359</v>
      </c>
      <c r="C62" s="107" t="s">
        <v>109</v>
      </c>
      <c r="D62" s="106" t="s">
        <v>278</v>
      </c>
      <c r="E62" s="107" t="s">
        <v>279</v>
      </c>
      <c r="F62" s="107"/>
      <c r="G62" s="107"/>
      <c r="H62" s="106" t="str">
        <f aca="false">IF(B62="","",IF(COUNTIF('MiT Strom Pipeline'!$B$6:$B$904,B62)&gt;0,"✓",""))</f>
        <v/>
      </c>
      <c r="I62" s="106" t="str">
        <f aca="false">IF(B62="","",IFERROR(VLOOKUP(B62,'MiT Strom Pipeline'!$B$6:$R$904,17,0),""))</f>
        <v/>
      </c>
      <c r="J62" s="107"/>
    </row>
    <row r="63" customFormat="false" ht="19.5" hidden="false" customHeight="true" outlineLevel="0" collapsed="false">
      <c r="A63" s="21" t="n">
        <v>60</v>
      </c>
      <c r="B63" s="22" t="s">
        <v>360</v>
      </c>
      <c r="C63" s="22" t="s">
        <v>361</v>
      </c>
      <c r="D63" s="21" t="s">
        <v>278</v>
      </c>
      <c r="E63" s="22" t="s">
        <v>279</v>
      </c>
      <c r="F63" s="22"/>
      <c r="G63" s="22"/>
      <c r="H63" s="21" t="str">
        <f aca="false">IF(B63="","",IF(COUNTIF('MiT Strom Pipeline'!$B$6:$B$904,B63)&gt;0,"✓",""))</f>
        <v/>
      </c>
      <c r="I63" s="21" t="str">
        <f aca="false">IF(B63="","",IFERROR(VLOOKUP(B63,'MiT Strom Pipeline'!$B$6:$R$904,17,0),""))</f>
        <v/>
      </c>
      <c r="J63" s="22"/>
    </row>
    <row r="64" customFormat="false" ht="19.5" hidden="false" customHeight="true" outlineLevel="0" collapsed="false">
      <c r="A64" s="106" t="n">
        <v>61</v>
      </c>
      <c r="B64" s="107" t="s">
        <v>362</v>
      </c>
      <c r="C64" s="107" t="s">
        <v>288</v>
      </c>
      <c r="D64" s="106" t="s">
        <v>278</v>
      </c>
      <c r="E64" s="107" t="s">
        <v>279</v>
      </c>
      <c r="F64" s="107"/>
      <c r="G64" s="107"/>
      <c r="H64" s="106" t="str">
        <f aca="false">IF(B64="","",IF(COUNTIF('MiT Strom Pipeline'!$B$6:$B$904,B64)&gt;0,"✓",""))</f>
        <v/>
      </c>
      <c r="I64" s="106" t="str">
        <f aca="false">IF(B64="","",IFERROR(VLOOKUP(B64,'MiT Strom Pipeline'!$B$6:$R$904,17,0),""))</f>
        <v/>
      </c>
      <c r="J64" s="107"/>
    </row>
    <row r="65" customFormat="false" ht="19.5" hidden="false" customHeight="true" outlineLevel="0" collapsed="false">
      <c r="A65" s="21" t="n">
        <v>62</v>
      </c>
      <c r="B65" s="22" t="s">
        <v>363</v>
      </c>
      <c r="C65" s="22" t="s">
        <v>288</v>
      </c>
      <c r="D65" s="21" t="s">
        <v>278</v>
      </c>
      <c r="E65" s="22" t="s">
        <v>279</v>
      </c>
      <c r="F65" s="22"/>
      <c r="G65" s="22"/>
      <c r="H65" s="21" t="str">
        <f aca="false">IF(B65="","",IF(COUNTIF('MiT Strom Pipeline'!$B$6:$B$904,B65)&gt;0,"✓",""))</f>
        <v/>
      </c>
      <c r="I65" s="21" t="str">
        <f aca="false">IF(B65="","",IFERROR(VLOOKUP(B65,'MiT Strom Pipeline'!$B$6:$R$904,17,0),""))</f>
        <v/>
      </c>
      <c r="J65" s="22"/>
    </row>
    <row r="66" customFormat="false" ht="19.5" hidden="false" customHeight="true" outlineLevel="0" collapsed="false">
      <c r="A66" s="106" t="n">
        <v>63</v>
      </c>
      <c r="B66" s="107" t="s">
        <v>364</v>
      </c>
      <c r="C66" s="107" t="s">
        <v>288</v>
      </c>
      <c r="D66" s="106" t="s">
        <v>278</v>
      </c>
      <c r="E66" s="107" t="s">
        <v>279</v>
      </c>
      <c r="F66" s="107"/>
      <c r="G66" s="107"/>
      <c r="H66" s="106" t="str">
        <f aca="false">IF(B66="","",IF(COUNTIF('MiT Strom Pipeline'!$B$6:$B$904,B66)&gt;0,"✓",""))</f>
        <v/>
      </c>
      <c r="I66" s="106" t="str">
        <f aca="false">IF(B66="","",IFERROR(VLOOKUP(B66,'MiT Strom Pipeline'!$B$6:$R$904,17,0),""))</f>
        <v/>
      </c>
      <c r="J66" s="107"/>
    </row>
    <row r="67" customFormat="false" ht="19.5" hidden="false" customHeight="true" outlineLevel="0" collapsed="false">
      <c r="A67" s="21" t="n">
        <v>64</v>
      </c>
      <c r="B67" s="22" t="s">
        <v>365</v>
      </c>
      <c r="C67" s="22" t="s">
        <v>307</v>
      </c>
      <c r="D67" s="21" t="s">
        <v>87</v>
      </c>
      <c r="E67" s="22" t="s">
        <v>279</v>
      </c>
      <c r="F67" s="22"/>
      <c r="G67" s="22"/>
      <c r="H67" s="21" t="str">
        <f aca="false">IF(B67="","",IF(COUNTIF('MiT Strom Pipeline'!$B$6:$B$904,B67)&gt;0,"✓",""))</f>
        <v/>
      </c>
      <c r="I67" s="21" t="str">
        <f aca="false">IF(B67="","",IFERROR(VLOOKUP(B67,'MiT Strom Pipeline'!$B$6:$R$904,17,0),""))</f>
        <v/>
      </c>
      <c r="J67" s="22"/>
    </row>
    <row r="68" customFormat="false" ht="19.5" hidden="false" customHeight="true" outlineLevel="0" collapsed="false">
      <c r="A68" s="106" t="n">
        <v>65</v>
      </c>
      <c r="B68" s="107" t="s">
        <v>366</v>
      </c>
      <c r="C68" s="107" t="s">
        <v>143</v>
      </c>
      <c r="D68" s="106" t="s">
        <v>278</v>
      </c>
      <c r="E68" s="107" t="s">
        <v>279</v>
      </c>
      <c r="F68" s="107"/>
      <c r="G68" s="107"/>
      <c r="H68" s="106" t="str">
        <f aca="false">IF(B68="","",IF(COUNTIF('MiT Strom Pipeline'!$B$6:$B$904,B68)&gt;0,"✓",""))</f>
        <v/>
      </c>
      <c r="I68" s="106" t="str">
        <f aca="false">IF(B68="","",IFERROR(VLOOKUP(B68,'MiT Strom Pipeline'!$B$6:$R$904,17,0),""))</f>
        <v/>
      </c>
      <c r="J68" s="107"/>
    </row>
    <row r="69" customFormat="false" ht="19.5" hidden="false" customHeight="true" outlineLevel="0" collapsed="false">
      <c r="A69" s="21" t="n">
        <v>66</v>
      </c>
      <c r="B69" s="22" t="s">
        <v>367</v>
      </c>
      <c r="C69" s="22" t="s">
        <v>288</v>
      </c>
      <c r="D69" s="21" t="s">
        <v>278</v>
      </c>
      <c r="E69" s="22" t="s">
        <v>279</v>
      </c>
      <c r="F69" s="22"/>
      <c r="G69" s="22"/>
      <c r="H69" s="21" t="str">
        <f aca="false">IF(B69="","",IF(COUNTIF('MiT Strom Pipeline'!$B$6:$B$904,B69)&gt;0,"✓",""))</f>
        <v/>
      </c>
      <c r="I69" s="21" t="str">
        <f aca="false">IF(B69="","",IFERROR(VLOOKUP(B69,'MiT Strom Pipeline'!$B$6:$R$904,17,0),""))</f>
        <v/>
      </c>
      <c r="J69" s="22"/>
    </row>
    <row r="70" customFormat="false" ht="19.5" hidden="false" customHeight="true" outlineLevel="0" collapsed="false">
      <c r="A70" s="106" t="n">
        <v>67</v>
      </c>
      <c r="B70" s="107" t="s">
        <v>368</v>
      </c>
      <c r="C70" s="107" t="s">
        <v>288</v>
      </c>
      <c r="D70" s="106" t="s">
        <v>278</v>
      </c>
      <c r="E70" s="107" t="s">
        <v>279</v>
      </c>
      <c r="F70" s="107"/>
      <c r="G70" s="107"/>
      <c r="H70" s="106" t="str">
        <f aca="false">IF(B70="","",IF(COUNTIF('MiT Strom Pipeline'!$B$6:$B$904,B70)&gt;0,"✓",""))</f>
        <v/>
      </c>
      <c r="I70" s="106" t="str">
        <f aca="false">IF(B70="","",IFERROR(VLOOKUP(B70,'MiT Strom Pipeline'!$B$6:$R$904,17,0),""))</f>
        <v/>
      </c>
      <c r="J70" s="107"/>
    </row>
    <row r="71" customFormat="false" ht="19.5" hidden="false" customHeight="true" outlineLevel="0" collapsed="false">
      <c r="A71" s="21" t="n">
        <v>68</v>
      </c>
      <c r="B71" s="22" t="s">
        <v>369</v>
      </c>
      <c r="C71" s="22" t="s">
        <v>109</v>
      </c>
      <c r="D71" s="21" t="s">
        <v>278</v>
      </c>
      <c r="E71" s="22" t="s">
        <v>279</v>
      </c>
      <c r="F71" s="22"/>
      <c r="G71" s="22"/>
      <c r="H71" s="21" t="str">
        <f aca="false">IF(B71="","",IF(COUNTIF('MiT Strom Pipeline'!$B$6:$B$904,B71)&gt;0,"✓",""))</f>
        <v/>
      </c>
      <c r="I71" s="21" t="str">
        <f aca="false">IF(B71="","",IFERROR(VLOOKUP(B71,'MiT Strom Pipeline'!$B$6:$R$904,17,0),""))</f>
        <v/>
      </c>
      <c r="J71" s="22"/>
    </row>
    <row r="72" customFormat="false" ht="19.5" hidden="false" customHeight="true" outlineLevel="0" collapsed="false">
      <c r="A72" s="106" t="n">
        <v>69</v>
      </c>
      <c r="B72" s="107" t="s">
        <v>363</v>
      </c>
      <c r="C72" s="107" t="s">
        <v>288</v>
      </c>
      <c r="D72" s="106" t="s">
        <v>278</v>
      </c>
      <c r="E72" s="107" t="s">
        <v>279</v>
      </c>
      <c r="F72" s="107"/>
      <c r="G72" s="107"/>
      <c r="H72" s="106" t="str">
        <f aca="false">IF(B72="","",IF(COUNTIF('MiT Strom Pipeline'!$B$6:$B$904,B72)&gt;0,"✓",""))</f>
        <v/>
      </c>
      <c r="I72" s="106" t="str">
        <f aca="false">IF(B72="","",IFERROR(VLOOKUP(B72,'MiT Strom Pipeline'!$B$6:$R$904,17,0),""))</f>
        <v/>
      </c>
      <c r="J72" s="107"/>
    </row>
    <row r="73" customFormat="false" ht="19.5" hidden="false" customHeight="true" outlineLevel="0" collapsed="false">
      <c r="A73" s="21" t="n">
        <v>70</v>
      </c>
      <c r="B73" s="22" t="s">
        <v>370</v>
      </c>
      <c r="C73" s="22" t="s">
        <v>288</v>
      </c>
      <c r="D73" s="21" t="s">
        <v>278</v>
      </c>
      <c r="E73" s="22" t="s">
        <v>279</v>
      </c>
      <c r="F73" s="22"/>
      <c r="G73" s="22"/>
      <c r="H73" s="21" t="str">
        <f aca="false">IF(B73="","",IF(COUNTIF('MiT Strom Pipeline'!$B$6:$B$904,B73)&gt;0,"✓",""))</f>
        <v/>
      </c>
      <c r="I73" s="21" t="str">
        <f aca="false">IF(B73="","",IFERROR(VLOOKUP(B73,'MiT Strom Pipeline'!$B$6:$R$904,17,0),""))</f>
        <v/>
      </c>
      <c r="J73" s="22"/>
    </row>
    <row r="74" customFormat="false" ht="19.5" hidden="false" customHeight="true" outlineLevel="0" collapsed="false">
      <c r="A74" s="106" t="n">
        <v>71</v>
      </c>
      <c r="B74" s="107" t="s">
        <v>371</v>
      </c>
      <c r="C74" s="107" t="s">
        <v>288</v>
      </c>
      <c r="D74" s="106" t="s">
        <v>278</v>
      </c>
      <c r="E74" s="107" t="s">
        <v>287</v>
      </c>
      <c r="F74" s="107"/>
      <c r="G74" s="107"/>
      <c r="H74" s="106" t="str">
        <f aca="false">IF(B74="","",IF(COUNTIF('MiT Strom Pipeline'!$B$6:$B$904,B74)&gt;0,"✓",""))</f>
        <v/>
      </c>
      <c r="I74" s="106" t="str">
        <f aca="false">IF(B74="","",IFERROR(VLOOKUP(B74,'MiT Strom Pipeline'!$B$6:$R$904,17,0),""))</f>
        <v/>
      </c>
      <c r="J74" s="107"/>
    </row>
    <row r="75" customFormat="false" ht="19.5" hidden="false" customHeight="true" outlineLevel="0" collapsed="false">
      <c r="A75" s="21" t="n">
        <v>72</v>
      </c>
      <c r="B75" s="22" t="s">
        <v>372</v>
      </c>
      <c r="C75" s="22" t="s">
        <v>288</v>
      </c>
      <c r="D75" s="21" t="s">
        <v>278</v>
      </c>
      <c r="E75" s="22" t="s">
        <v>279</v>
      </c>
      <c r="F75" s="22"/>
      <c r="G75" s="22"/>
      <c r="H75" s="21" t="str">
        <f aca="false">IF(B75="","",IF(COUNTIF('MiT Strom Pipeline'!$B$6:$B$904,B75)&gt;0,"✓",""))</f>
        <v/>
      </c>
      <c r="I75" s="21" t="str">
        <f aca="false">IF(B75="","",IFERROR(VLOOKUP(B75,'MiT Strom Pipeline'!$B$6:$R$904,17,0),""))</f>
        <v/>
      </c>
      <c r="J75" s="22"/>
    </row>
    <row r="76" customFormat="false" ht="19.5" hidden="false" customHeight="true" outlineLevel="0" collapsed="false">
      <c r="A76" s="106" t="n">
        <v>73</v>
      </c>
      <c r="B76" s="107" t="s">
        <v>373</v>
      </c>
      <c r="C76" s="107" t="s">
        <v>321</v>
      </c>
      <c r="D76" s="106" t="s">
        <v>278</v>
      </c>
      <c r="E76" s="107" t="s">
        <v>279</v>
      </c>
      <c r="F76" s="107"/>
      <c r="G76" s="107"/>
      <c r="H76" s="106" t="str">
        <f aca="false">IF(B76="","",IF(COUNTIF('MiT Strom Pipeline'!$B$6:$B$904,B76)&gt;0,"✓",""))</f>
        <v/>
      </c>
      <c r="I76" s="106" t="str">
        <f aca="false">IF(B76="","",IFERROR(VLOOKUP(B76,'MiT Strom Pipeline'!$B$6:$R$904,17,0),""))</f>
        <v/>
      </c>
      <c r="J76" s="107"/>
    </row>
    <row r="77" customFormat="false" ht="19.5" hidden="false" customHeight="true" outlineLevel="0" collapsed="false">
      <c r="A77" s="21" t="n">
        <v>74</v>
      </c>
      <c r="B77" s="22" t="s">
        <v>374</v>
      </c>
      <c r="C77" s="22" t="s">
        <v>321</v>
      </c>
      <c r="D77" s="21" t="s">
        <v>278</v>
      </c>
      <c r="E77" s="22" t="s">
        <v>279</v>
      </c>
      <c r="F77" s="22"/>
      <c r="G77" s="22"/>
      <c r="H77" s="21" t="str">
        <f aca="false">IF(B77="","",IF(COUNTIF('MiT Strom Pipeline'!$B$6:$B$904,B77)&gt;0,"✓",""))</f>
        <v/>
      </c>
      <c r="I77" s="21" t="str">
        <f aca="false">IF(B77="","",IFERROR(VLOOKUP(B77,'MiT Strom Pipeline'!$B$6:$R$904,17,0),""))</f>
        <v/>
      </c>
      <c r="J77" s="22"/>
    </row>
    <row r="78" customFormat="false" ht="19.5" hidden="false" customHeight="true" outlineLevel="0" collapsed="false">
      <c r="A78" s="106" t="n">
        <v>75</v>
      </c>
      <c r="B78" s="107" t="s">
        <v>375</v>
      </c>
      <c r="C78" s="107" t="s">
        <v>288</v>
      </c>
      <c r="D78" s="106" t="s">
        <v>278</v>
      </c>
      <c r="E78" s="107" t="s">
        <v>279</v>
      </c>
      <c r="F78" s="107"/>
      <c r="G78" s="107"/>
      <c r="H78" s="106" t="str">
        <f aca="false">IF(B78="","",IF(COUNTIF('MiT Strom Pipeline'!$B$6:$B$904,B78)&gt;0,"✓",""))</f>
        <v/>
      </c>
      <c r="I78" s="106" t="str">
        <f aca="false">IF(B78="","",IFERROR(VLOOKUP(B78,'MiT Strom Pipeline'!$B$6:$R$904,17,0),""))</f>
        <v/>
      </c>
      <c r="J78" s="107"/>
    </row>
    <row r="79" customFormat="false" ht="19.5" hidden="false" customHeight="true" outlineLevel="0" collapsed="false">
      <c r="A79" s="21" t="n">
        <v>76</v>
      </c>
      <c r="B79" s="22" t="s">
        <v>376</v>
      </c>
      <c r="C79" s="22" t="s">
        <v>288</v>
      </c>
      <c r="D79" s="21" t="s">
        <v>278</v>
      </c>
      <c r="E79" s="22" t="s">
        <v>279</v>
      </c>
      <c r="F79" s="22"/>
      <c r="G79" s="22"/>
      <c r="H79" s="21" t="str">
        <f aca="false">IF(B79="","",IF(COUNTIF('MiT Strom Pipeline'!$B$6:$B$904,B79)&gt;0,"✓",""))</f>
        <v/>
      </c>
      <c r="I79" s="21" t="str">
        <f aca="false">IF(B79="","",IFERROR(VLOOKUP(B79,'MiT Strom Pipeline'!$B$6:$R$904,17,0),""))</f>
        <v/>
      </c>
      <c r="J79" s="22"/>
    </row>
    <row r="80" customFormat="false" ht="19.5" hidden="false" customHeight="true" outlineLevel="0" collapsed="false">
      <c r="A80" s="106" t="n">
        <v>77</v>
      </c>
      <c r="B80" s="107" t="s">
        <v>377</v>
      </c>
      <c r="C80" s="107" t="s">
        <v>79</v>
      </c>
      <c r="D80" s="106" t="s">
        <v>278</v>
      </c>
      <c r="E80" s="107" t="s">
        <v>279</v>
      </c>
      <c r="F80" s="107"/>
      <c r="G80" s="107"/>
      <c r="H80" s="106" t="str">
        <f aca="false">IF(B80="","",IF(COUNTIF('MiT Strom Pipeline'!$B$6:$B$904,B80)&gt;0,"✓",""))</f>
        <v/>
      </c>
      <c r="I80" s="106" t="str">
        <f aca="false">IF(B80="","",IFERROR(VLOOKUP(B80,'MiT Strom Pipeline'!$B$6:$R$904,17,0),""))</f>
        <v/>
      </c>
      <c r="J80" s="107"/>
    </row>
    <row r="81" customFormat="false" ht="19.5" hidden="false" customHeight="true" outlineLevel="0" collapsed="false">
      <c r="A81" s="21" t="n">
        <v>78</v>
      </c>
      <c r="B81" s="22" t="s">
        <v>378</v>
      </c>
      <c r="C81" s="22" t="s">
        <v>288</v>
      </c>
      <c r="D81" s="21" t="s">
        <v>278</v>
      </c>
      <c r="E81" s="22" t="s">
        <v>279</v>
      </c>
      <c r="F81" s="22"/>
      <c r="G81" s="22"/>
      <c r="H81" s="21" t="str">
        <f aca="false">IF(B81="","",IF(COUNTIF('MiT Strom Pipeline'!$B$6:$B$904,B81)&gt;0,"✓",""))</f>
        <v/>
      </c>
      <c r="I81" s="21" t="str">
        <f aca="false">IF(B81="","",IFERROR(VLOOKUP(B81,'MiT Strom Pipeline'!$B$6:$R$904,17,0),""))</f>
        <v/>
      </c>
      <c r="J81" s="22"/>
    </row>
    <row r="82" customFormat="false" ht="19.5" hidden="false" customHeight="true" outlineLevel="0" collapsed="false">
      <c r="A82" s="106" t="n">
        <v>79</v>
      </c>
      <c r="B82" s="107" t="s">
        <v>379</v>
      </c>
      <c r="C82" s="107" t="s">
        <v>288</v>
      </c>
      <c r="D82" s="106" t="s">
        <v>278</v>
      </c>
      <c r="E82" s="107" t="s">
        <v>279</v>
      </c>
      <c r="F82" s="107"/>
      <c r="G82" s="107"/>
      <c r="H82" s="106" t="str">
        <f aca="false">IF(B82="","",IF(COUNTIF('MiT Strom Pipeline'!$B$6:$B$904,B82)&gt;0,"✓",""))</f>
        <v/>
      </c>
      <c r="I82" s="106" t="str">
        <f aca="false">IF(B82="","",IFERROR(VLOOKUP(B82,'MiT Strom Pipeline'!$B$6:$R$904,17,0),""))</f>
        <v/>
      </c>
      <c r="J82" s="107"/>
    </row>
    <row r="83" customFormat="false" ht="19.5" hidden="false" customHeight="true" outlineLevel="0" collapsed="false">
      <c r="A83" s="21" t="n">
        <v>80</v>
      </c>
      <c r="B83" s="22" t="s">
        <v>380</v>
      </c>
      <c r="C83" s="22" t="s">
        <v>288</v>
      </c>
      <c r="D83" s="21" t="s">
        <v>278</v>
      </c>
      <c r="E83" s="22" t="s">
        <v>279</v>
      </c>
      <c r="F83" s="22"/>
      <c r="G83" s="22"/>
      <c r="H83" s="21" t="str">
        <f aca="false">IF(B83="","",IF(COUNTIF('MiT Strom Pipeline'!$B$6:$B$904,B83)&gt;0,"✓",""))</f>
        <v/>
      </c>
      <c r="I83" s="21" t="str">
        <f aca="false">IF(B83="","",IFERROR(VLOOKUP(B83,'MiT Strom Pipeline'!$B$6:$R$904,17,0),""))</f>
        <v/>
      </c>
      <c r="J83" s="22"/>
    </row>
    <row r="84" customFormat="false" ht="19.5" hidden="false" customHeight="true" outlineLevel="0" collapsed="false">
      <c r="A84" s="106" t="n">
        <v>81</v>
      </c>
      <c r="B84" s="107" t="s">
        <v>381</v>
      </c>
      <c r="C84" s="107" t="s">
        <v>327</v>
      </c>
      <c r="D84" s="106" t="s">
        <v>278</v>
      </c>
      <c r="E84" s="107" t="s">
        <v>279</v>
      </c>
      <c r="F84" s="107"/>
      <c r="G84" s="107"/>
      <c r="H84" s="106" t="str">
        <f aca="false">IF(B84="","",IF(COUNTIF('MiT Strom Pipeline'!$B$6:$B$904,B84)&gt;0,"✓",""))</f>
        <v/>
      </c>
      <c r="I84" s="106" t="str">
        <f aca="false">IF(B84="","",IFERROR(VLOOKUP(B84,'MiT Strom Pipeline'!$B$6:$R$904,17,0),""))</f>
        <v/>
      </c>
      <c r="J84" s="107"/>
    </row>
    <row r="85" customFormat="false" ht="19.5" hidden="false" customHeight="true" outlineLevel="0" collapsed="false">
      <c r="A85" s="21" t="n">
        <v>82</v>
      </c>
      <c r="B85" s="22" t="s">
        <v>382</v>
      </c>
      <c r="C85" s="22" t="s">
        <v>288</v>
      </c>
      <c r="D85" s="21" t="s">
        <v>278</v>
      </c>
      <c r="E85" s="22" t="s">
        <v>287</v>
      </c>
      <c r="F85" s="22"/>
      <c r="G85" s="22"/>
      <c r="H85" s="21" t="str">
        <f aca="false">IF(B85="","",IF(COUNTIF('MiT Strom Pipeline'!$B$6:$B$904,B85)&gt;0,"✓",""))</f>
        <v/>
      </c>
      <c r="I85" s="21" t="str">
        <f aca="false">IF(B85="","",IFERROR(VLOOKUP(B85,'MiT Strom Pipeline'!$B$6:$R$904,17,0),""))</f>
        <v/>
      </c>
      <c r="J85" s="22"/>
    </row>
    <row r="86" customFormat="false" ht="19.5" hidden="false" customHeight="true" outlineLevel="0" collapsed="false">
      <c r="A86" s="106" t="n">
        <v>83</v>
      </c>
      <c r="B86" s="107" t="s">
        <v>383</v>
      </c>
      <c r="C86" s="107" t="s">
        <v>310</v>
      </c>
      <c r="D86" s="106" t="s">
        <v>278</v>
      </c>
      <c r="E86" s="107" t="s">
        <v>287</v>
      </c>
      <c r="F86" s="107"/>
      <c r="G86" s="107"/>
      <c r="H86" s="106" t="str">
        <f aca="false">IF(B86="","",IF(COUNTIF('MiT Strom Pipeline'!$B$6:$B$904,B86)&gt;0,"✓",""))</f>
        <v/>
      </c>
      <c r="I86" s="106" t="str">
        <f aca="false">IF(B86="","",IFERROR(VLOOKUP(B86,'MiT Strom Pipeline'!$B$6:$R$904,17,0),""))</f>
        <v/>
      </c>
      <c r="J86" s="107"/>
    </row>
    <row r="87" customFormat="false" ht="19.5" hidden="false" customHeight="true" outlineLevel="0" collapsed="false">
      <c r="A87" s="21" t="n">
        <v>84</v>
      </c>
      <c r="B87" s="22" t="s">
        <v>384</v>
      </c>
      <c r="C87" s="22" t="s">
        <v>361</v>
      </c>
      <c r="D87" s="21" t="s">
        <v>278</v>
      </c>
      <c r="E87" s="22" t="s">
        <v>287</v>
      </c>
      <c r="F87" s="22"/>
      <c r="G87" s="22"/>
      <c r="H87" s="21" t="str">
        <f aca="false">IF(B87="","",IF(COUNTIF('MiT Strom Pipeline'!$B$6:$B$904,B87)&gt;0,"✓",""))</f>
        <v/>
      </c>
      <c r="I87" s="21" t="str">
        <f aca="false">IF(B87="","",IFERROR(VLOOKUP(B87,'MiT Strom Pipeline'!$B$6:$R$904,17,0),""))</f>
        <v/>
      </c>
      <c r="J87" s="22"/>
    </row>
    <row r="88" customFormat="false" ht="19.5" hidden="false" customHeight="true" outlineLevel="0" collapsed="false">
      <c r="A88" s="106" t="n">
        <v>85</v>
      </c>
      <c r="B88" s="107" t="s">
        <v>385</v>
      </c>
      <c r="C88" s="107" t="s">
        <v>288</v>
      </c>
      <c r="D88" s="106" t="s">
        <v>278</v>
      </c>
      <c r="E88" s="107" t="s">
        <v>279</v>
      </c>
      <c r="F88" s="107"/>
      <c r="G88" s="107"/>
      <c r="H88" s="106" t="str">
        <f aca="false">IF(B88="","",IF(COUNTIF('MiT Strom Pipeline'!$B$6:$B$904,B88)&gt;0,"✓",""))</f>
        <v/>
      </c>
      <c r="I88" s="106" t="str">
        <f aca="false">IF(B88="","",IFERROR(VLOOKUP(B88,'MiT Strom Pipeline'!$B$6:$R$904,17,0),""))</f>
        <v/>
      </c>
      <c r="J88" s="107"/>
    </row>
    <row r="89" customFormat="false" ht="19.5" hidden="false" customHeight="true" outlineLevel="0" collapsed="false">
      <c r="A89" s="21" t="n">
        <v>86</v>
      </c>
      <c r="B89" s="22" t="s">
        <v>386</v>
      </c>
      <c r="C89" s="22" t="s">
        <v>288</v>
      </c>
      <c r="D89" s="21" t="s">
        <v>278</v>
      </c>
      <c r="E89" s="22" t="s">
        <v>279</v>
      </c>
      <c r="F89" s="22"/>
      <c r="G89" s="22"/>
      <c r="H89" s="21" t="str">
        <f aca="false">IF(B89="","",IF(COUNTIF('MiT Strom Pipeline'!$B$6:$B$904,B89)&gt;0,"✓",""))</f>
        <v/>
      </c>
      <c r="I89" s="21" t="str">
        <f aca="false">IF(B89="","",IFERROR(VLOOKUP(B89,'MiT Strom Pipeline'!$B$6:$R$904,17,0),""))</f>
        <v/>
      </c>
      <c r="J89" s="22"/>
    </row>
    <row r="90" customFormat="false" ht="19.5" hidden="false" customHeight="true" outlineLevel="0" collapsed="false">
      <c r="A90" s="106" t="n">
        <v>87</v>
      </c>
      <c r="B90" s="107" t="s">
        <v>387</v>
      </c>
      <c r="C90" s="107" t="s">
        <v>288</v>
      </c>
      <c r="D90" s="106" t="s">
        <v>278</v>
      </c>
      <c r="E90" s="107" t="s">
        <v>279</v>
      </c>
      <c r="F90" s="107"/>
      <c r="G90" s="107"/>
      <c r="H90" s="106" t="str">
        <f aca="false">IF(B90="","",IF(COUNTIF('MiT Strom Pipeline'!$B$6:$B$904,B90)&gt;0,"✓",""))</f>
        <v/>
      </c>
      <c r="I90" s="106" t="str">
        <f aca="false">IF(B90="","",IFERROR(VLOOKUP(B90,'MiT Strom Pipeline'!$B$6:$R$904,17,0),""))</f>
        <v/>
      </c>
      <c r="J90" s="107"/>
    </row>
    <row r="91" customFormat="false" ht="19.5" hidden="false" customHeight="true" outlineLevel="0" collapsed="false">
      <c r="A91" s="21" t="n">
        <v>88</v>
      </c>
      <c r="B91" s="22" t="s">
        <v>388</v>
      </c>
      <c r="C91" s="22" t="s">
        <v>310</v>
      </c>
      <c r="D91" s="21" t="s">
        <v>227</v>
      </c>
      <c r="E91" s="22" t="s">
        <v>279</v>
      </c>
      <c r="F91" s="22"/>
      <c r="G91" s="22"/>
      <c r="H91" s="21" t="str">
        <f aca="false">IF(B91="","",IF(COUNTIF('MiT Strom Pipeline'!$B$6:$B$904,B91)&gt;0,"✓",""))</f>
        <v/>
      </c>
      <c r="I91" s="21" t="str">
        <f aca="false">IF(B91="","",IFERROR(VLOOKUP(B91,'MiT Strom Pipeline'!$B$6:$R$904,17,0),""))</f>
        <v/>
      </c>
      <c r="J91" s="22"/>
    </row>
    <row r="92" customFormat="false" ht="19.5" hidden="false" customHeight="true" outlineLevel="0" collapsed="false">
      <c r="A92" s="106" t="n">
        <v>89</v>
      </c>
      <c r="B92" s="107" t="s">
        <v>389</v>
      </c>
      <c r="C92" s="107" t="s">
        <v>288</v>
      </c>
      <c r="D92" s="106" t="s">
        <v>278</v>
      </c>
      <c r="E92" s="107" t="s">
        <v>279</v>
      </c>
      <c r="F92" s="107"/>
      <c r="G92" s="107"/>
      <c r="H92" s="106" t="str">
        <f aca="false">IF(B92="","",IF(COUNTIF('MiT Strom Pipeline'!$B$6:$B$904,B92)&gt;0,"✓",""))</f>
        <v/>
      </c>
      <c r="I92" s="106" t="str">
        <f aca="false">IF(B92="","",IFERROR(VLOOKUP(B92,'MiT Strom Pipeline'!$B$6:$R$904,17,0),""))</f>
        <v/>
      </c>
      <c r="J92" s="107"/>
    </row>
    <row r="93" customFormat="false" ht="19.5" hidden="false" customHeight="true" outlineLevel="0" collapsed="false">
      <c r="A93" s="21" t="n">
        <v>90</v>
      </c>
      <c r="B93" s="22" t="s">
        <v>390</v>
      </c>
      <c r="C93" s="22" t="s">
        <v>288</v>
      </c>
      <c r="D93" s="21" t="s">
        <v>278</v>
      </c>
      <c r="E93" s="22" t="s">
        <v>279</v>
      </c>
      <c r="F93" s="22"/>
      <c r="G93" s="22"/>
      <c r="H93" s="21" t="str">
        <f aca="false">IF(B93="","",IF(COUNTIF('MiT Strom Pipeline'!$B$6:$B$904,B93)&gt;0,"✓",""))</f>
        <v/>
      </c>
      <c r="I93" s="21" t="str">
        <f aca="false">IF(B93="","",IFERROR(VLOOKUP(B93,'MiT Strom Pipeline'!$B$6:$R$904,17,0),""))</f>
        <v/>
      </c>
      <c r="J93" s="22"/>
    </row>
    <row r="94" customFormat="false" ht="19.5" hidden="false" customHeight="true" outlineLevel="0" collapsed="false">
      <c r="A94" s="106" t="n">
        <v>91</v>
      </c>
      <c r="B94" s="107" t="s">
        <v>391</v>
      </c>
      <c r="C94" s="107" t="s">
        <v>109</v>
      </c>
      <c r="D94" s="106" t="s">
        <v>227</v>
      </c>
      <c r="E94" s="107" t="s">
        <v>279</v>
      </c>
      <c r="F94" s="107"/>
      <c r="G94" s="107"/>
      <c r="H94" s="106" t="str">
        <f aca="false">IF(B94="","",IF(COUNTIF('MiT Strom Pipeline'!$B$6:$B$904,B94)&gt;0,"✓",""))</f>
        <v/>
      </c>
      <c r="I94" s="106" t="str">
        <f aca="false">IF(B94="","",IFERROR(VLOOKUP(B94,'MiT Strom Pipeline'!$B$6:$R$904,17,0),""))</f>
        <v/>
      </c>
      <c r="J94" s="107"/>
    </row>
    <row r="95" customFormat="false" ht="19.5" hidden="false" customHeight="true" outlineLevel="0" collapsed="false">
      <c r="A95" s="21" t="n">
        <v>92</v>
      </c>
      <c r="B95" s="22" t="s">
        <v>392</v>
      </c>
      <c r="C95" s="22" t="s">
        <v>109</v>
      </c>
      <c r="D95" s="21" t="s">
        <v>278</v>
      </c>
      <c r="E95" s="22" t="s">
        <v>279</v>
      </c>
      <c r="F95" s="22"/>
      <c r="G95" s="22"/>
      <c r="H95" s="21" t="str">
        <f aca="false">IF(B95="","",IF(COUNTIF('MiT Strom Pipeline'!$B$6:$B$904,B95)&gt;0,"✓",""))</f>
        <v/>
      </c>
      <c r="I95" s="21" t="str">
        <f aca="false">IF(B95="","",IFERROR(VLOOKUP(B95,'MiT Strom Pipeline'!$B$6:$R$904,17,0),""))</f>
        <v/>
      </c>
      <c r="J95" s="22"/>
    </row>
    <row r="96" customFormat="false" ht="19.5" hidden="false" customHeight="true" outlineLevel="0" collapsed="false">
      <c r="A96" s="106" t="n">
        <v>93</v>
      </c>
      <c r="B96" s="107" t="s">
        <v>393</v>
      </c>
      <c r="C96" s="107" t="s">
        <v>307</v>
      </c>
      <c r="D96" s="106" t="s">
        <v>207</v>
      </c>
      <c r="E96" s="107" t="s">
        <v>279</v>
      </c>
      <c r="F96" s="107"/>
      <c r="G96" s="107"/>
      <c r="H96" s="106" t="str">
        <f aca="false">IF(B96="","",IF(COUNTIF('MiT Strom Pipeline'!$B$6:$B$904,B96)&gt;0,"✓",""))</f>
        <v/>
      </c>
      <c r="I96" s="106" t="str">
        <f aca="false">IF(B96="","",IFERROR(VLOOKUP(B96,'MiT Strom Pipeline'!$B$6:$R$904,17,0),""))</f>
        <v/>
      </c>
      <c r="J96" s="107"/>
    </row>
    <row r="97" customFormat="false" ht="19.5" hidden="false" customHeight="true" outlineLevel="0" collapsed="false">
      <c r="A97" s="21" t="n">
        <v>94</v>
      </c>
      <c r="B97" s="22" t="s">
        <v>394</v>
      </c>
      <c r="C97" s="22" t="s">
        <v>288</v>
      </c>
      <c r="D97" s="21" t="s">
        <v>278</v>
      </c>
      <c r="E97" s="22" t="s">
        <v>279</v>
      </c>
      <c r="F97" s="22"/>
      <c r="G97" s="22"/>
      <c r="H97" s="21" t="str">
        <f aca="false">IF(B97="","",IF(COUNTIF('MiT Strom Pipeline'!$B$6:$B$904,B97)&gt;0,"✓",""))</f>
        <v/>
      </c>
      <c r="I97" s="21" t="str">
        <f aca="false">IF(B97="","",IFERROR(VLOOKUP(B97,'MiT Strom Pipeline'!$B$6:$R$904,17,0),""))</f>
        <v/>
      </c>
      <c r="J97" s="22"/>
    </row>
    <row r="98" customFormat="false" ht="19.5" hidden="false" customHeight="true" outlineLevel="0" collapsed="false">
      <c r="A98" s="106" t="n">
        <v>95</v>
      </c>
      <c r="B98" s="107" t="s">
        <v>395</v>
      </c>
      <c r="C98" s="107" t="s">
        <v>288</v>
      </c>
      <c r="D98" s="106" t="s">
        <v>278</v>
      </c>
      <c r="E98" s="107" t="s">
        <v>279</v>
      </c>
      <c r="F98" s="107"/>
      <c r="G98" s="107"/>
      <c r="H98" s="106" t="str">
        <f aca="false">IF(B98="","",IF(COUNTIF('MiT Strom Pipeline'!$B$6:$B$904,B98)&gt;0,"✓",""))</f>
        <v/>
      </c>
      <c r="I98" s="106" t="str">
        <f aca="false">IF(B98="","",IFERROR(VLOOKUP(B98,'MiT Strom Pipeline'!$B$6:$R$904,17,0),""))</f>
        <v/>
      </c>
      <c r="J98" s="107"/>
    </row>
    <row r="99" customFormat="false" ht="19.5" hidden="false" customHeight="true" outlineLevel="0" collapsed="false">
      <c r="A99" s="21" t="n">
        <v>96</v>
      </c>
      <c r="B99" s="22" t="s">
        <v>396</v>
      </c>
      <c r="C99" s="22" t="s">
        <v>288</v>
      </c>
      <c r="D99" s="21" t="s">
        <v>397</v>
      </c>
      <c r="E99" s="22" t="s">
        <v>279</v>
      </c>
      <c r="F99" s="22"/>
      <c r="G99" s="22"/>
      <c r="H99" s="21" t="str">
        <f aca="false">IF(B99="","",IF(COUNTIF('MiT Strom Pipeline'!$B$6:$B$904,B99)&gt;0,"✓",""))</f>
        <v/>
      </c>
      <c r="I99" s="21" t="str">
        <f aca="false">IF(B99="","",IFERROR(VLOOKUP(B99,'MiT Strom Pipeline'!$B$6:$R$904,17,0),""))</f>
        <v/>
      </c>
      <c r="J99" s="22"/>
    </row>
    <row r="100" customFormat="false" ht="19.5" hidden="false" customHeight="true" outlineLevel="0" collapsed="false">
      <c r="A100" s="106" t="n">
        <v>97</v>
      </c>
      <c r="B100" s="107" t="s">
        <v>303</v>
      </c>
      <c r="C100" s="107" t="s">
        <v>79</v>
      </c>
      <c r="D100" s="106" t="s">
        <v>278</v>
      </c>
      <c r="E100" s="107" t="s">
        <v>279</v>
      </c>
      <c r="F100" s="107"/>
      <c r="G100" s="107"/>
      <c r="H100" s="106" t="str">
        <f aca="false">IF(B100="","",IF(COUNTIF('MiT Strom Pipeline'!$B$6:$B$904,B100)&gt;0,"✓",""))</f>
        <v/>
      </c>
      <c r="I100" s="106" t="str">
        <f aca="false">IF(B100="","",IFERROR(VLOOKUP(B100,'MiT Strom Pipeline'!$B$6:$R$904,17,0),""))</f>
        <v/>
      </c>
      <c r="J100" s="107"/>
    </row>
    <row r="101" customFormat="false" ht="19.5" hidden="false" customHeight="true" outlineLevel="0" collapsed="false">
      <c r="A101" s="21" t="n">
        <v>98</v>
      </c>
      <c r="B101" s="22" t="s">
        <v>398</v>
      </c>
      <c r="C101" s="22" t="s">
        <v>288</v>
      </c>
      <c r="D101" s="21" t="s">
        <v>278</v>
      </c>
      <c r="E101" s="22" t="s">
        <v>279</v>
      </c>
      <c r="F101" s="22"/>
      <c r="G101" s="22"/>
      <c r="H101" s="21" t="str">
        <f aca="false">IF(B101="","",IF(COUNTIF('MiT Strom Pipeline'!$B$6:$B$904,B101)&gt;0,"✓",""))</f>
        <v/>
      </c>
      <c r="I101" s="21" t="str">
        <f aca="false">IF(B101="","",IFERROR(VLOOKUP(B101,'MiT Strom Pipeline'!$B$6:$R$904,17,0),""))</f>
        <v/>
      </c>
      <c r="J101" s="22"/>
    </row>
    <row r="102" customFormat="false" ht="19.5" hidden="false" customHeight="true" outlineLevel="0" collapsed="false">
      <c r="A102" s="106" t="n">
        <v>99</v>
      </c>
      <c r="B102" s="107" t="s">
        <v>399</v>
      </c>
      <c r="C102" s="107" t="s">
        <v>109</v>
      </c>
      <c r="D102" s="106" t="s">
        <v>278</v>
      </c>
      <c r="E102" s="107" t="s">
        <v>279</v>
      </c>
      <c r="F102" s="107"/>
      <c r="G102" s="107"/>
      <c r="H102" s="106" t="str">
        <f aca="false">IF(B102="","",IF(COUNTIF('MiT Strom Pipeline'!$B$6:$B$904,B102)&gt;0,"✓",""))</f>
        <v/>
      </c>
      <c r="I102" s="106" t="str">
        <f aca="false">IF(B102="","",IFERROR(VLOOKUP(B102,'MiT Strom Pipeline'!$B$6:$R$904,17,0),""))</f>
        <v/>
      </c>
      <c r="J102" s="107"/>
    </row>
    <row r="103" customFormat="false" ht="19.5" hidden="false" customHeight="true" outlineLevel="0" collapsed="false">
      <c r="A103" s="21" t="n">
        <v>100</v>
      </c>
      <c r="B103" s="22" t="s">
        <v>400</v>
      </c>
      <c r="C103" s="22" t="s">
        <v>307</v>
      </c>
      <c r="D103" s="21" t="s">
        <v>56</v>
      </c>
      <c r="E103" s="22" t="s">
        <v>279</v>
      </c>
      <c r="F103" s="22"/>
      <c r="G103" s="22"/>
      <c r="H103" s="21" t="str">
        <f aca="false">IF(B103="","",IF(COUNTIF('MiT Strom Pipeline'!$B$6:$B$904,B103)&gt;0,"✓",""))</f>
        <v/>
      </c>
      <c r="I103" s="21" t="str">
        <f aca="false">IF(B103="","",IFERROR(VLOOKUP(B103,'MiT Strom Pipeline'!$B$6:$R$904,17,0),""))</f>
        <v/>
      </c>
      <c r="J103" s="22"/>
    </row>
    <row r="104" customFormat="false" ht="19.5" hidden="false" customHeight="true" outlineLevel="0" collapsed="false">
      <c r="A104" s="106" t="n">
        <v>101</v>
      </c>
      <c r="B104" s="107" t="s">
        <v>401</v>
      </c>
      <c r="C104" s="107" t="s">
        <v>321</v>
      </c>
      <c r="D104" s="106" t="s">
        <v>278</v>
      </c>
      <c r="E104" s="107" t="s">
        <v>279</v>
      </c>
      <c r="F104" s="107"/>
      <c r="G104" s="107"/>
      <c r="H104" s="106" t="str">
        <f aca="false">IF(B104="","",IF(COUNTIF('MiT Strom Pipeline'!$B$6:$B$904,B104)&gt;0,"✓",""))</f>
        <v/>
      </c>
      <c r="I104" s="106" t="str">
        <f aca="false">IF(B104="","",IFERROR(VLOOKUP(B104,'MiT Strom Pipeline'!$B$6:$R$904,17,0),""))</f>
        <v/>
      </c>
      <c r="J104" s="107"/>
    </row>
    <row r="105" customFormat="false" ht="19.5" hidden="false" customHeight="true" outlineLevel="0" collapsed="false">
      <c r="A105" s="21" t="n">
        <v>102</v>
      </c>
      <c r="B105" s="22" t="s">
        <v>402</v>
      </c>
      <c r="C105" s="22" t="s">
        <v>288</v>
      </c>
      <c r="D105" s="21" t="s">
        <v>278</v>
      </c>
      <c r="E105" s="22" t="s">
        <v>279</v>
      </c>
      <c r="F105" s="22"/>
      <c r="G105" s="22"/>
      <c r="H105" s="21" t="str">
        <f aca="false">IF(B105="","",IF(COUNTIF('MiT Strom Pipeline'!$B$6:$B$904,B105)&gt;0,"✓",""))</f>
        <v/>
      </c>
      <c r="I105" s="21" t="str">
        <f aca="false">IF(B105="","",IFERROR(VLOOKUP(B105,'MiT Strom Pipeline'!$B$6:$R$904,17,0),""))</f>
        <v/>
      </c>
      <c r="J105" s="22"/>
    </row>
    <row r="106" customFormat="false" ht="19.5" hidden="false" customHeight="true" outlineLevel="0" collapsed="false">
      <c r="A106" s="106" t="n">
        <v>103</v>
      </c>
      <c r="B106" s="107" t="s">
        <v>403</v>
      </c>
      <c r="C106" s="107" t="s">
        <v>404</v>
      </c>
      <c r="D106" s="106" t="s">
        <v>278</v>
      </c>
      <c r="E106" s="107" t="s">
        <v>279</v>
      </c>
      <c r="F106" s="107"/>
      <c r="G106" s="107"/>
      <c r="H106" s="106" t="str">
        <f aca="false">IF(B106="","",IF(COUNTIF('MiT Strom Pipeline'!$B$6:$B$904,B106)&gt;0,"✓",""))</f>
        <v/>
      </c>
      <c r="I106" s="106" t="str">
        <f aca="false">IF(B106="","",IFERROR(VLOOKUP(B106,'MiT Strom Pipeline'!$B$6:$R$904,17,0),""))</f>
        <v/>
      </c>
      <c r="J106" s="107"/>
    </row>
    <row r="107" customFormat="false" ht="19.5" hidden="false" customHeight="true" outlineLevel="0" collapsed="false">
      <c r="A107" s="21" t="n">
        <v>104</v>
      </c>
      <c r="B107" s="22" t="s">
        <v>405</v>
      </c>
      <c r="C107" s="22" t="s">
        <v>307</v>
      </c>
      <c r="D107" s="21" t="s">
        <v>278</v>
      </c>
      <c r="E107" s="22" t="s">
        <v>279</v>
      </c>
      <c r="F107" s="22"/>
      <c r="G107" s="22"/>
      <c r="H107" s="21" t="str">
        <f aca="false">IF(B107="","",IF(COUNTIF('MiT Strom Pipeline'!$B$6:$B$904,B107)&gt;0,"✓",""))</f>
        <v/>
      </c>
      <c r="I107" s="21" t="str">
        <f aca="false">IF(B107="","",IFERROR(VLOOKUP(B107,'MiT Strom Pipeline'!$B$6:$R$904,17,0),""))</f>
        <v/>
      </c>
      <c r="J107" s="22"/>
    </row>
    <row r="108" customFormat="false" ht="19.5" hidden="false" customHeight="true" outlineLevel="0" collapsed="false">
      <c r="A108" s="106" t="n">
        <v>105</v>
      </c>
      <c r="B108" s="107" t="s">
        <v>406</v>
      </c>
      <c r="C108" s="107" t="s">
        <v>288</v>
      </c>
      <c r="D108" s="106" t="s">
        <v>278</v>
      </c>
      <c r="E108" s="107" t="s">
        <v>279</v>
      </c>
      <c r="F108" s="107"/>
      <c r="G108" s="107"/>
      <c r="H108" s="106" t="str">
        <f aca="false">IF(B108="","",IF(COUNTIF('MiT Strom Pipeline'!$B$6:$B$904,B108)&gt;0,"✓",""))</f>
        <v/>
      </c>
      <c r="I108" s="106" t="str">
        <f aca="false">IF(B108="","",IFERROR(VLOOKUP(B108,'MiT Strom Pipeline'!$B$6:$R$904,17,0),""))</f>
        <v/>
      </c>
      <c r="J108" s="107"/>
    </row>
    <row r="109" customFormat="false" ht="19.5" hidden="false" customHeight="true" outlineLevel="0" collapsed="false">
      <c r="A109" s="21" t="n">
        <v>106</v>
      </c>
      <c r="B109" s="22" t="s">
        <v>407</v>
      </c>
      <c r="C109" s="22" t="s">
        <v>288</v>
      </c>
      <c r="D109" s="21" t="s">
        <v>408</v>
      </c>
      <c r="E109" s="22" t="s">
        <v>279</v>
      </c>
      <c r="F109" s="22"/>
      <c r="G109" s="22"/>
      <c r="H109" s="21" t="str">
        <f aca="false">IF(B109="","",IF(COUNTIF('MiT Strom Pipeline'!$B$6:$B$904,B109)&gt;0,"✓",""))</f>
        <v/>
      </c>
      <c r="I109" s="21" t="str">
        <f aca="false">IF(B109="","",IFERROR(VLOOKUP(B109,'MiT Strom Pipeline'!$B$6:$R$904,17,0),""))</f>
        <v/>
      </c>
      <c r="J109" s="22"/>
    </row>
    <row r="110" customFormat="false" ht="19.5" hidden="false" customHeight="true" outlineLevel="0" collapsed="false">
      <c r="A110" s="106" t="n">
        <v>107</v>
      </c>
      <c r="B110" s="107" t="s">
        <v>409</v>
      </c>
      <c r="C110" s="107" t="s">
        <v>288</v>
      </c>
      <c r="D110" s="106" t="s">
        <v>278</v>
      </c>
      <c r="E110" s="107" t="s">
        <v>279</v>
      </c>
      <c r="F110" s="107"/>
      <c r="G110" s="107"/>
      <c r="H110" s="106" t="str">
        <f aca="false">IF(B110="","",IF(COUNTIF('MiT Strom Pipeline'!$B$6:$B$904,B110)&gt;0,"✓",""))</f>
        <v/>
      </c>
      <c r="I110" s="106" t="str">
        <f aca="false">IF(B110="","",IFERROR(VLOOKUP(B110,'MiT Strom Pipeline'!$B$6:$R$904,17,0),""))</f>
        <v/>
      </c>
      <c r="J110" s="107"/>
    </row>
    <row r="111" customFormat="false" ht="19.5" hidden="false" customHeight="true" outlineLevel="0" collapsed="false">
      <c r="A111" s="21" t="n">
        <v>108</v>
      </c>
      <c r="B111" s="22" t="s">
        <v>410</v>
      </c>
      <c r="C111" s="22" t="s">
        <v>288</v>
      </c>
      <c r="D111" s="21" t="s">
        <v>278</v>
      </c>
      <c r="E111" s="22" t="s">
        <v>279</v>
      </c>
      <c r="F111" s="22"/>
      <c r="G111" s="22"/>
      <c r="H111" s="21" t="str">
        <f aca="false">IF(B111="","",IF(COUNTIF('MiT Strom Pipeline'!$B$6:$B$904,B111)&gt;0,"✓",""))</f>
        <v/>
      </c>
      <c r="I111" s="21" t="str">
        <f aca="false">IF(B111="","",IFERROR(VLOOKUP(B111,'MiT Strom Pipeline'!$B$6:$R$904,17,0),""))</f>
        <v/>
      </c>
      <c r="J111" s="22"/>
    </row>
    <row r="112" customFormat="false" ht="19.5" hidden="false" customHeight="true" outlineLevel="0" collapsed="false">
      <c r="A112" s="106" t="n">
        <v>109</v>
      </c>
      <c r="B112" s="107" t="s">
        <v>411</v>
      </c>
      <c r="C112" s="107" t="s">
        <v>109</v>
      </c>
      <c r="D112" s="106" t="s">
        <v>278</v>
      </c>
      <c r="E112" s="107" t="s">
        <v>279</v>
      </c>
      <c r="F112" s="107"/>
      <c r="G112" s="107"/>
      <c r="H112" s="106" t="str">
        <f aca="false">IF(B112="","",IF(COUNTIF('MiT Strom Pipeline'!$B$6:$B$904,B112)&gt;0,"✓",""))</f>
        <v/>
      </c>
      <c r="I112" s="106" t="str">
        <f aca="false">IF(B112="","",IFERROR(VLOOKUP(B112,'MiT Strom Pipeline'!$B$6:$R$904,17,0),""))</f>
        <v/>
      </c>
      <c r="J112" s="107"/>
    </row>
    <row r="113" customFormat="false" ht="19.5" hidden="false" customHeight="true" outlineLevel="0" collapsed="false">
      <c r="A113" s="21" t="n">
        <v>110</v>
      </c>
      <c r="B113" s="22" t="s">
        <v>412</v>
      </c>
      <c r="C113" s="22" t="s">
        <v>109</v>
      </c>
      <c r="D113" s="21" t="s">
        <v>278</v>
      </c>
      <c r="E113" s="22" t="s">
        <v>279</v>
      </c>
      <c r="F113" s="22"/>
      <c r="G113" s="22"/>
      <c r="H113" s="21" t="str">
        <f aca="false">IF(B113="","",IF(COUNTIF('MiT Strom Pipeline'!$B$6:$B$904,B113)&gt;0,"✓",""))</f>
        <v/>
      </c>
      <c r="I113" s="21" t="str">
        <f aca="false">IF(B113="","",IFERROR(VLOOKUP(B113,'MiT Strom Pipeline'!$B$6:$R$904,17,0),""))</f>
        <v/>
      </c>
      <c r="J113" s="22"/>
    </row>
    <row r="114" customFormat="false" ht="19.5" hidden="false" customHeight="true" outlineLevel="0" collapsed="false">
      <c r="A114" s="106" t="n">
        <v>111</v>
      </c>
      <c r="B114" s="107" t="s">
        <v>413</v>
      </c>
      <c r="C114" s="107" t="s">
        <v>109</v>
      </c>
      <c r="D114" s="106" t="s">
        <v>175</v>
      </c>
      <c r="E114" s="107" t="s">
        <v>279</v>
      </c>
      <c r="F114" s="107"/>
      <c r="G114" s="107"/>
      <c r="H114" s="106" t="str">
        <f aca="false">IF(B114="","",IF(COUNTIF('MiT Strom Pipeline'!$B$6:$B$904,B114)&gt;0,"✓",""))</f>
        <v/>
      </c>
      <c r="I114" s="106" t="str">
        <f aca="false">IF(B114="","",IFERROR(VLOOKUP(B114,'MiT Strom Pipeline'!$B$6:$R$904,17,0),""))</f>
        <v/>
      </c>
      <c r="J114" s="107"/>
    </row>
    <row r="115" customFormat="false" ht="19.5" hidden="false" customHeight="true" outlineLevel="0" collapsed="false">
      <c r="A115" s="21" t="n">
        <v>112</v>
      </c>
      <c r="B115" s="22" t="s">
        <v>414</v>
      </c>
      <c r="C115" s="22" t="s">
        <v>288</v>
      </c>
      <c r="D115" s="21" t="s">
        <v>278</v>
      </c>
      <c r="E115" s="22" t="s">
        <v>279</v>
      </c>
      <c r="F115" s="22"/>
      <c r="G115" s="22"/>
      <c r="H115" s="21" t="str">
        <f aca="false">IF(B115="","",IF(COUNTIF('MiT Strom Pipeline'!$B$6:$B$904,B115)&gt;0,"✓",""))</f>
        <v/>
      </c>
      <c r="I115" s="21" t="str">
        <f aca="false">IF(B115="","",IFERROR(VLOOKUP(B115,'MiT Strom Pipeline'!$B$6:$R$904,17,0),""))</f>
        <v/>
      </c>
      <c r="J115" s="22"/>
    </row>
    <row r="116" customFormat="false" ht="19.5" hidden="false" customHeight="true" outlineLevel="0" collapsed="false">
      <c r="A116" s="106" t="n">
        <v>113</v>
      </c>
      <c r="B116" s="107" t="s">
        <v>415</v>
      </c>
      <c r="C116" s="107" t="s">
        <v>361</v>
      </c>
      <c r="D116" s="106" t="s">
        <v>278</v>
      </c>
      <c r="E116" s="107" t="s">
        <v>287</v>
      </c>
      <c r="F116" s="107"/>
      <c r="G116" s="107"/>
      <c r="H116" s="106" t="str">
        <f aca="false">IF(B116="","",IF(COUNTIF('MiT Strom Pipeline'!$B$6:$B$904,B116)&gt;0,"✓",""))</f>
        <v/>
      </c>
      <c r="I116" s="106" t="str">
        <f aca="false">IF(B116="","",IFERROR(VLOOKUP(B116,'MiT Strom Pipeline'!$B$6:$R$904,17,0),""))</f>
        <v/>
      </c>
      <c r="J116" s="107"/>
    </row>
    <row r="117" customFormat="false" ht="19.5" hidden="false" customHeight="true" outlineLevel="0" collapsed="false">
      <c r="A117" s="21" t="n">
        <v>114</v>
      </c>
      <c r="B117" s="22" t="s">
        <v>416</v>
      </c>
      <c r="C117" s="22" t="s">
        <v>288</v>
      </c>
      <c r="D117" s="21" t="s">
        <v>278</v>
      </c>
      <c r="E117" s="22" t="s">
        <v>279</v>
      </c>
      <c r="F117" s="22"/>
      <c r="G117" s="22"/>
      <c r="H117" s="21" t="str">
        <f aca="false">IF(B117="","",IF(COUNTIF('MiT Strom Pipeline'!$B$6:$B$904,B117)&gt;0,"✓",""))</f>
        <v/>
      </c>
      <c r="I117" s="21" t="str">
        <f aca="false">IF(B117="","",IFERROR(VLOOKUP(B117,'MiT Strom Pipeline'!$B$6:$R$904,17,0),""))</f>
        <v/>
      </c>
      <c r="J117" s="22"/>
    </row>
    <row r="118" customFormat="false" ht="19.5" hidden="false" customHeight="true" outlineLevel="0" collapsed="false">
      <c r="A118" s="106" t="n">
        <v>115</v>
      </c>
      <c r="B118" s="107" t="s">
        <v>417</v>
      </c>
      <c r="C118" s="107" t="s">
        <v>288</v>
      </c>
      <c r="D118" s="106" t="s">
        <v>87</v>
      </c>
      <c r="E118" s="107" t="s">
        <v>279</v>
      </c>
      <c r="F118" s="107"/>
      <c r="G118" s="107"/>
      <c r="H118" s="106" t="str">
        <f aca="false">IF(B118="","",IF(COUNTIF('MiT Strom Pipeline'!$B$6:$B$904,B118)&gt;0,"✓",""))</f>
        <v/>
      </c>
      <c r="I118" s="106" t="str">
        <f aca="false">IF(B118="","",IFERROR(VLOOKUP(B118,'MiT Strom Pipeline'!$B$6:$R$904,17,0),""))</f>
        <v/>
      </c>
      <c r="J118" s="107"/>
    </row>
    <row r="119" customFormat="false" ht="19.5" hidden="false" customHeight="true" outlineLevel="0" collapsed="false">
      <c r="A119" s="21" t="n">
        <v>116</v>
      </c>
      <c r="B119" s="22" t="s">
        <v>418</v>
      </c>
      <c r="C119" s="22" t="s">
        <v>288</v>
      </c>
      <c r="D119" s="21" t="s">
        <v>69</v>
      </c>
      <c r="E119" s="22" t="s">
        <v>279</v>
      </c>
      <c r="F119" s="22"/>
      <c r="G119" s="22"/>
      <c r="H119" s="21" t="str">
        <f aca="false">IF(B119="","",IF(COUNTIF('MiT Strom Pipeline'!$B$6:$B$904,B119)&gt;0,"✓",""))</f>
        <v/>
      </c>
      <c r="I119" s="21" t="str">
        <f aca="false">IF(B119="","",IFERROR(VLOOKUP(B119,'MiT Strom Pipeline'!$B$6:$R$904,17,0),""))</f>
        <v/>
      </c>
      <c r="J119" s="22"/>
    </row>
    <row r="120" customFormat="false" ht="19.5" hidden="false" customHeight="true" outlineLevel="0" collapsed="false">
      <c r="A120" s="106" t="n">
        <v>117</v>
      </c>
      <c r="B120" s="107" t="s">
        <v>419</v>
      </c>
      <c r="C120" s="107" t="s">
        <v>307</v>
      </c>
      <c r="D120" s="106" t="s">
        <v>278</v>
      </c>
      <c r="E120" s="107" t="s">
        <v>279</v>
      </c>
      <c r="F120" s="107"/>
      <c r="G120" s="107"/>
      <c r="H120" s="106" t="str">
        <f aca="false">IF(B120="","",IF(COUNTIF('MiT Strom Pipeline'!$B$6:$B$904,B120)&gt;0,"✓",""))</f>
        <v/>
      </c>
      <c r="I120" s="106" t="str">
        <f aca="false">IF(B120="","",IFERROR(VLOOKUP(B120,'MiT Strom Pipeline'!$B$6:$R$904,17,0),""))</f>
        <v/>
      </c>
      <c r="J120" s="107"/>
    </row>
    <row r="121" customFormat="false" ht="19.5" hidden="false" customHeight="true" outlineLevel="0" collapsed="false">
      <c r="A121" s="21" t="n">
        <v>118</v>
      </c>
      <c r="B121" s="22" t="s">
        <v>420</v>
      </c>
      <c r="C121" s="22" t="s">
        <v>295</v>
      </c>
      <c r="D121" s="21" t="s">
        <v>56</v>
      </c>
      <c r="E121" s="22" t="s">
        <v>279</v>
      </c>
      <c r="F121" s="22"/>
      <c r="G121" s="22"/>
      <c r="H121" s="21" t="str">
        <f aca="false">IF(B121="","",IF(COUNTIF('MiT Strom Pipeline'!$B$6:$B$904,B121)&gt;0,"✓",""))</f>
        <v/>
      </c>
      <c r="I121" s="21" t="str">
        <f aca="false">IF(B121="","",IFERROR(VLOOKUP(B121,'MiT Strom Pipeline'!$B$6:$R$904,17,0),""))</f>
        <v/>
      </c>
      <c r="J121" s="22"/>
    </row>
    <row r="122" customFormat="false" ht="19.5" hidden="false" customHeight="true" outlineLevel="0" collapsed="false">
      <c r="A122" s="106" t="n">
        <v>119</v>
      </c>
      <c r="B122" s="107" t="s">
        <v>421</v>
      </c>
      <c r="C122" s="107" t="s">
        <v>288</v>
      </c>
      <c r="D122" s="106" t="s">
        <v>278</v>
      </c>
      <c r="E122" s="107" t="s">
        <v>279</v>
      </c>
      <c r="F122" s="107"/>
      <c r="G122" s="107"/>
      <c r="H122" s="106" t="str">
        <f aca="false">IF(B122="","",IF(COUNTIF('MiT Strom Pipeline'!$B$6:$B$904,B122)&gt;0,"✓",""))</f>
        <v/>
      </c>
      <c r="I122" s="106" t="str">
        <f aca="false">IF(B122="","",IFERROR(VLOOKUP(B122,'MiT Strom Pipeline'!$B$6:$R$904,17,0),""))</f>
        <v/>
      </c>
      <c r="J122" s="107"/>
    </row>
    <row r="123" customFormat="false" ht="19.5" hidden="false" customHeight="true" outlineLevel="0" collapsed="false">
      <c r="A123" s="21" t="n">
        <v>120</v>
      </c>
      <c r="B123" s="22" t="s">
        <v>422</v>
      </c>
      <c r="C123" s="22" t="s">
        <v>288</v>
      </c>
      <c r="D123" s="21" t="s">
        <v>278</v>
      </c>
      <c r="E123" s="22" t="s">
        <v>279</v>
      </c>
      <c r="F123" s="22"/>
      <c r="G123" s="22"/>
      <c r="H123" s="21" t="str">
        <f aca="false">IF(B123="","",IF(COUNTIF('MiT Strom Pipeline'!$B$6:$B$904,B123)&gt;0,"✓",""))</f>
        <v/>
      </c>
      <c r="I123" s="21" t="str">
        <f aca="false">IF(B123="","",IFERROR(VLOOKUP(B123,'MiT Strom Pipeline'!$B$6:$R$904,17,0),""))</f>
        <v/>
      </c>
      <c r="J123" s="22"/>
    </row>
    <row r="124" customFormat="false" ht="19.5" hidden="false" customHeight="true" outlineLevel="0" collapsed="false">
      <c r="A124" s="106" t="n">
        <v>121</v>
      </c>
      <c r="B124" s="107" t="s">
        <v>423</v>
      </c>
      <c r="C124" s="107" t="s">
        <v>307</v>
      </c>
      <c r="D124" s="106" t="s">
        <v>278</v>
      </c>
      <c r="E124" s="107" t="s">
        <v>279</v>
      </c>
      <c r="F124" s="107"/>
      <c r="G124" s="107"/>
      <c r="H124" s="106" t="str">
        <f aca="false">IF(B124="","",IF(COUNTIF('MiT Strom Pipeline'!$B$6:$B$904,B124)&gt;0,"✓",""))</f>
        <v/>
      </c>
      <c r="I124" s="106" t="str">
        <f aca="false">IF(B124="","",IFERROR(VLOOKUP(B124,'MiT Strom Pipeline'!$B$6:$R$904,17,0),""))</f>
        <v/>
      </c>
      <c r="J124" s="107"/>
    </row>
    <row r="125" customFormat="false" ht="19.5" hidden="false" customHeight="true" outlineLevel="0" collapsed="false">
      <c r="A125" s="21" t="n">
        <v>122</v>
      </c>
      <c r="B125" s="22" t="s">
        <v>424</v>
      </c>
      <c r="C125" s="22" t="s">
        <v>109</v>
      </c>
      <c r="D125" s="21" t="s">
        <v>278</v>
      </c>
      <c r="E125" s="22" t="s">
        <v>279</v>
      </c>
      <c r="F125" s="22"/>
      <c r="G125" s="22"/>
      <c r="H125" s="21" t="str">
        <f aca="false">IF(B125="","",IF(COUNTIF('MiT Strom Pipeline'!$B$6:$B$904,B125)&gt;0,"✓",""))</f>
        <v/>
      </c>
      <c r="I125" s="21" t="str">
        <f aca="false">IF(B125="","",IFERROR(VLOOKUP(B125,'MiT Strom Pipeline'!$B$6:$R$904,17,0),""))</f>
        <v/>
      </c>
      <c r="J125" s="22"/>
    </row>
    <row r="126" customFormat="false" ht="19.5" hidden="false" customHeight="true" outlineLevel="0" collapsed="false">
      <c r="A126" s="106" t="n">
        <v>123</v>
      </c>
      <c r="B126" s="107" t="s">
        <v>425</v>
      </c>
      <c r="C126" s="107" t="s">
        <v>288</v>
      </c>
      <c r="D126" s="106" t="s">
        <v>207</v>
      </c>
      <c r="E126" s="107" t="s">
        <v>279</v>
      </c>
      <c r="F126" s="107"/>
      <c r="G126" s="107"/>
      <c r="H126" s="106" t="str">
        <f aca="false">IF(B126="","",IF(COUNTIF('MiT Strom Pipeline'!$B$6:$B$904,B126)&gt;0,"✓",""))</f>
        <v/>
      </c>
      <c r="I126" s="106" t="str">
        <f aca="false">IF(B126="","",IFERROR(VLOOKUP(B126,'MiT Strom Pipeline'!$B$6:$R$904,17,0),""))</f>
        <v/>
      </c>
      <c r="J126" s="107"/>
    </row>
    <row r="127" customFormat="false" ht="19.5" hidden="false" customHeight="true" outlineLevel="0" collapsed="false">
      <c r="A127" s="21" t="n">
        <v>124</v>
      </c>
      <c r="B127" s="22" t="s">
        <v>426</v>
      </c>
      <c r="C127" s="22" t="s">
        <v>288</v>
      </c>
      <c r="D127" s="21" t="s">
        <v>278</v>
      </c>
      <c r="E127" s="22" t="s">
        <v>279</v>
      </c>
      <c r="F127" s="22"/>
      <c r="G127" s="22"/>
      <c r="H127" s="21" t="str">
        <f aca="false">IF(B127="","",IF(COUNTIF('MiT Strom Pipeline'!$B$6:$B$904,B127)&gt;0,"✓",""))</f>
        <v/>
      </c>
      <c r="I127" s="21" t="str">
        <f aca="false">IF(B127="","",IFERROR(VLOOKUP(B127,'MiT Strom Pipeline'!$B$6:$R$904,17,0),""))</f>
        <v/>
      </c>
      <c r="J127" s="22"/>
    </row>
    <row r="128" customFormat="false" ht="19.5" hidden="false" customHeight="true" outlineLevel="0" collapsed="false">
      <c r="A128" s="106" t="n">
        <v>125</v>
      </c>
      <c r="B128" s="107" t="s">
        <v>427</v>
      </c>
      <c r="C128" s="107" t="s">
        <v>288</v>
      </c>
      <c r="D128" s="106" t="s">
        <v>278</v>
      </c>
      <c r="E128" s="107" t="s">
        <v>279</v>
      </c>
      <c r="F128" s="107"/>
      <c r="G128" s="107"/>
      <c r="H128" s="106" t="str">
        <f aca="false">IF(B128="","",IF(COUNTIF('MiT Strom Pipeline'!$B$6:$B$904,B128)&gt;0,"✓",""))</f>
        <v/>
      </c>
      <c r="I128" s="106" t="str">
        <f aca="false">IF(B128="","",IFERROR(VLOOKUP(B128,'MiT Strom Pipeline'!$B$6:$R$904,17,0),""))</f>
        <v/>
      </c>
      <c r="J128" s="107"/>
    </row>
    <row r="129" customFormat="false" ht="19.5" hidden="false" customHeight="true" outlineLevel="0" collapsed="false">
      <c r="A129" s="21" t="n">
        <v>126</v>
      </c>
      <c r="B129" s="22" t="s">
        <v>428</v>
      </c>
      <c r="C129" s="22" t="s">
        <v>307</v>
      </c>
      <c r="D129" s="21" t="s">
        <v>278</v>
      </c>
      <c r="E129" s="22" t="s">
        <v>279</v>
      </c>
      <c r="F129" s="22"/>
      <c r="G129" s="22"/>
      <c r="H129" s="21" t="str">
        <f aca="false">IF(B129="","",IF(COUNTIF('MiT Strom Pipeline'!$B$6:$B$904,B129)&gt;0,"✓",""))</f>
        <v/>
      </c>
      <c r="I129" s="21" t="str">
        <f aca="false">IF(B129="","",IFERROR(VLOOKUP(B129,'MiT Strom Pipeline'!$B$6:$R$904,17,0),""))</f>
        <v/>
      </c>
      <c r="J129" s="22"/>
    </row>
    <row r="130" customFormat="false" ht="19.5" hidden="false" customHeight="true" outlineLevel="0" collapsed="false">
      <c r="A130" s="106" t="n">
        <v>127</v>
      </c>
      <c r="B130" s="107" t="s">
        <v>429</v>
      </c>
      <c r="C130" s="107" t="s">
        <v>288</v>
      </c>
      <c r="D130" s="106" t="s">
        <v>278</v>
      </c>
      <c r="E130" s="107" t="s">
        <v>279</v>
      </c>
      <c r="F130" s="107"/>
      <c r="G130" s="107"/>
      <c r="H130" s="106" t="str">
        <f aca="false">IF(B130="","",IF(COUNTIF('MiT Strom Pipeline'!$B$6:$B$904,B130)&gt;0,"✓",""))</f>
        <v/>
      </c>
      <c r="I130" s="106" t="str">
        <f aca="false">IF(B130="","",IFERROR(VLOOKUP(B130,'MiT Strom Pipeline'!$B$6:$R$904,17,0),""))</f>
        <v/>
      </c>
      <c r="J130" s="107"/>
    </row>
    <row r="131" customFormat="false" ht="19.5" hidden="false" customHeight="true" outlineLevel="0" collapsed="false">
      <c r="A131" s="21" t="n">
        <v>128</v>
      </c>
      <c r="B131" s="22" t="s">
        <v>430</v>
      </c>
      <c r="C131" s="22" t="s">
        <v>109</v>
      </c>
      <c r="D131" s="21" t="s">
        <v>278</v>
      </c>
      <c r="E131" s="22" t="s">
        <v>279</v>
      </c>
      <c r="F131" s="22"/>
      <c r="G131" s="22"/>
      <c r="H131" s="21" t="str">
        <f aca="false">IF(B131="","",IF(COUNTIF('MiT Strom Pipeline'!$B$6:$B$904,B131)&gt;0,"✓",""))</f>
        <v/>
      </c>
      <c r="I131" s="21" t="str">
        <f aca="false">IF(B131="","",IFERROR(VLOOKUP(B131,'MiT Strom Pipeline'!$B$6:$R$904,17,0),""))</f>
        <v/>
      </c>
      <c r="J131" s="22"/>
    </row>
    <row r="132" customFormat="false" ht="19.5" hidden="false" customHeight="true" outlineLevel="0" collapsed="false">
      <c r="A132" s="106" t="n">
        <v>129</v>
      </c>
      <c r="B132" s="107" t="s">
        <v>431</v>
      </c>
      <c r="C132" s="107" t="s">
        <v>192</v>
      </c>
      <c r="D132" s="106" t="s">
        <v>278</v>
      </c>
      <c r="E132" s="107" t="s">
        <v>279</v>
      </c>
      <c r="F132" s="107"/>
      <c r="G132" s="107"/>
      <c r="H132" s="106" t="str">
        <f aca="false">IF(B132="","",IF(COUNTIF('MiT Strom Pipeline'!$B$6:$B$904,B132)&gt;0,"✓",""))</f>
        <v/>
      </c>
      <c r="I132" s="106" t="str">
        <f aca="false">IF(B132="","",IFERROR(VLOOKUP(B132,'MiT Strom Pipeline'!$B$6:$R$904,17,0),""))</f>
        <v/>
      </c>
      <c r="J132" s="107"/>
    </row>
    <row r="133" customFormat="false" ht="19.5" hidden="false" customHeight="true" outlineLevel="0" collapsed="false">
      <c r="A133" s="21" t="n">
        <v>130</v>
      </c>
      <c r="B133" s="22" t="s">
        <v>432</v>
      </c>
      <c r="C133" s="22" t="s">
        <v>288</v>
      </c>
      <c r="D133" s="21" t="s">
        <v>278</v>
      </c>
      <c r="E133" s="22" t="s">
        <v>279</v>
      </c>
      <c r="F133" s="22"/>
      <c r="G133" s="22"/>
      <c r="H133" s="21" t="str">
        <f aca="false">IF(B133="","",IF(COUNTIF('MiT Strom Pipeline'!$B$6:$B$904,B133)&gt;0,"✓",""))</f>
        <v/>
      </c>
      <c r="I133" s="21" t="str">
        <f aca="false">IF(B133="","",IFERROR(VLOOKUP(B133,'MiT Strom Pipeline'!$B$6:$R$904,17,0),""))</f>
        <v/>
      </c>
      <c r="J133" s="22"/>
    </row>
    <row r="134" customFormat="false" ht="19.5" hidden="false" customHeight="true" outlineLevel="0" collapsed="false">
      <c r="A134" s="106" t="n">
        <v>131</v>
      </c>
      <c r="B134" s="107" t="s">
        <v>433</v>
      </c>
      <c r="C134" s="107" t="s">
        <v>288</v>
      </c>
      <c r="D134" s="106" t="s">
        <v>278</v>
      </c>
      <c r="E134" s="107" t="s">
        <v>279</v>
      </c>
      <c r="F134" s="107"/>
      <c r="G134" s="107"/>
      <c r="H134" s="106" t="str">
        <f aca="false">IF(B134="","",IF(COUNTIF('MiT Strom Pipeline'!$B$6:$B$904,B134)&gt;0,"✓",""))</f>
        <v/>
      </c>
      <c r="I134" s="106" t="str">
        <f aca="false">IF(B134="","",IFERROR(VLOOKUP(B134,'MiT Strom Pipeline'!$B$6:$R$904,17,0),""))</f>
        <v/>
      </c>
      <c r="J134" s="107"/>
    </row>
    <row r="135" customFormat="false" ht="19.5" hidden="false" customHeight="true" outlineLevel="0" collapsed="false">
      <c r="A135" s="21" t="n">
        <v>132</v>
      </c>
      <c r="B135" s="22" t="s">
        <v>434</v>
      </c>
      <c r="C135" s="22" t="s">
        <v>307</v>
      </c>
      <c r="D135" s="21" t="s">
        <v>56</v>
      </c>
      <c r="E135" s="22" t="s">
        <v>279</v>
      </c>
      <c r="F135" s="22"/>
      <c r="G135" s="22"/>
      <c r="H135" s="21" t="str">
        <f aca="false">IF(B135="","",IF(COUNTIF('MiT Strom Pipeline'!$B$6:$B$904,B135)&gt;0,"✓",""))</f>
        <v/>
      </c>
      <c r="I135" s="21" t="str">
        <f aca="false">IF(B135="","",IFERROR(VLOOKUP(B135,'MiT Strom Pipeline'!$B$6:$R$904,17,0),""))</f>
        <v/>
      </c>
      <c r="J135" s="22"/>
    </row>
    <row r="136" customFormat="false" ht="19.5" hidden="false" customHeight="true" outlineLevel="0" collapsed="false">
      <c r="A136" s="106" t="n">
        <v>133</v>
      </c>
      <c r="B136" s="107" t="s">
        <v>435</v>
      </c>
      <c r="C136" s="107" t="s">
        <v>288</v>
      </c>
      <c r="D136" s="106" t="s">
        <v>278</v>
      </c>
      <c r="E136" s="107" t="s">
        <v>279</v>
      </c>
      <c r="F136" s="107"/>
      <c r="G136" s="107"/>
      <c r="H136" s="106" t="str">
        <f aca="false">IF(B136="","",IF(COUNTIF('MiT Strom Pipeline'!$B$6:$B$904,B136)&gt;0,"✓",""))</f>
        <v/>
      </c>
      <c r="I136" s="106" t="str">
        <f aca="false">IF(B136="","",IFERROR(VLOOKUP(B136,'MiT Strom Pipeline'!$B$6:$R$904,17,0),""))</f>
        <v/>
      </c>
      <c r="J136" s="107"/>
    </row>
    <row r="137" customFormat="false" ht="19.5" hidden="false" customHeight="true" outlineLevel="0" collapsed="false">
      <c r="A137" s="21" t="n">
        <v>134</v>
      </c>
      <c r="B137" s="22" t="s">
        <v>436</v>
      </c>
      <c r="C137" s="22" t="s">
        <v>288</v>
      </c>
      <c r="D137" s="21" t="s">
        <v>278</v>
      </c>
      <c r="E137" s="22" t="s">
        <v>279</v>
      </c>
      <c r="F137" s="22"/>
      <c r="G137" s="22"/>
      <c r="H137" s="21" t="str">
        <f aca="false">IF(B137="","",IF(COUNTIF('MiT Strom Pipeline'!$B$6:$B$904,B137)&gt;0,"✓",""))</f>
        <v/>
      </c>
      <c r="I137" s="21" t="str">
        <f aca="false">IF(B137="","",IFERROR(VLOOKUP(B137,'MiT Strom Pipeline'!$B$6:$R$904,17,0),""))</f>
        <v/>
      </c>
      <c r="J137" s="22"/>
    </row>
    <row r="138" customFormat="false" ht="19.5" hidden="false" customHeight="true" outlineLevel="0" collapsed="false">
      <c r="A138" s="106" t="n">
        <v>135</v>
      </c>
      <c r="B138" s="107" t="s">
        <v>437</v>
      </c>
      <c r="C138" s="107" t="s">
        <v>288</v>
      </c>
      <c r="D138" s="106" t="s">
        <v>278</v>
      </c>
      <c r="E138" s="107" t="s">
        <v>279</v>
      </c>
      <c r="F138" s="107"/>
      <c r="G138" s="107"/>
      <c r="H138" s="106" t="str">
        <f aca="false">IF(B138="","",IF(COUNTIF('MiT Strom Pipeline'!$B$6:$B$904,B138)&gt;0,"✓",""))</f>
        <v/>
      </c>
      <c r="I138" s="106" t="str">
        <f aca="false">IF(B138="","",IFERROR(VLOOKUP(B138,'MiT Strom Pipeline'!$B$6:$R$904,17,0),""))</f>
        <v/>
      </c>
      <c r="J138" s="107"/>
    </row>
    <row r="139" customFormat="false" ht="19.5" hidden="false" customHeight="true" outlineLevel="0" collapsed="false">
      <c r="A139" s="21" t="n">
        <v>136</v>
      </c>
      <c r="B139" s="22" t="s">
        <v>438</v>
      </c>
      <c r="C139" s="22" t="s">
        <v>288</v>
      </c>
      <c r="D139" s="21" t="s">
        <v>278</v>
      </c>
      <c r="E139" s="22" t="s">
        <v>287</v>
      </c>
      <c r="F139" s="22"/>
      <c r="G139" s="22"/>
      <c r="H139" s="21" t="str">
        <f aca="false">IF(B139="","",IF(COUNTIF('MiT Strom Pipeline'!$B$6:$B$904,B139)&gt;0,"✓",""))</f>
        <v/>
      </c>
      <c r="I139" s="21" t="str">
        <f aca="false">IF(B139="","",IFERROR(VLOOKUP(B139,'MiT Strom Pipeline'!$B$6:$R$904,17,0),""))</f>
        <v/>
      </c>
      <c r="J139" s="22"/>
    </row>
    <row r="140" customFormat="false" ht="19.5" hidden="false" customHeight="true" outlineLevel="0" collapsed="false">
      <c r="A140" s="106" t="n">
        <v>137</v>
      </c>
      <c r="B140" s="107" t="s">
        <v>439</v>
      </c>
      <c r="C140" s="107" t="s">
        <v>288</v>
      </c>
      <c r="D140" s="106" t="s">
        <v>278</v>
      </c>
      <c r="E140" s="107" t="s">
        <v>287</v>
      </c>
      <c r="F140" s="107"/>
      <c r="G140" s="107"/>
      <c r="H140" s="106" t="str">
        <f aca="false">IF(B140="","",IF(COUNTIF('MiT Strom Pipeline'!$B$6:$B$904,B140)&gt;0,"✓",""))</f>
        <v/>
      </c>
      <c r="I140" s="106" t="str">
        <f aca="false">IF(B140="","",IFERROR(VLOOKUP(B140,'MiT Strom Pipeline'!$B$6:$R$904,17,0),""))</f>
        <v/>
      </c>
      <c r="J140" s="107"/>
    </row>
    <row r="141" customFormat="false" ht="19.5" hidden="false" customHeight="true" outlineLevel="0" collapsed="false">
      <c r="A141" s="21" t="n">
        <v>138</v>
      </c>
      <c r="B141" s="22" t="s">
        <v>440</v>
      </c>
      <c r="C141" s="22" t="s">
        <v>288</v>
      </c>
      <c r="D141" s="21" t="s">
        <v>278</v>
      </c>
      <c r="E141" s="22" t="s">
        <v>287</v>
      </c>
      <c r="F141" s="22"/>
      <c r="G141" s="22"/>
      <c r="H141" s="21" t="str">
        <f aca="false">IF(B141="","",IF(COUNTIF('MiT Strom Pipeline'!$B$6:$B$904,B141)&gt;0,"✓",""))</f>
        <v/>
      </c>
      <c r="I141" s="21" t="str">
        <f aca="false">IF(B141="","",IFERROR(VLOOKUP(B141,'MiT Strom Pipeline'!$B$6:$R$904,17,0),""))</f>
        <v/>
      </c>
      <c r="J141" s="22"/>
    </row>
    <row r="142" customFormat="false" ht="19.5" hidden="false" customHeight="true" outlineLevel="0" collapsed="false">
      <c r="A142" s="106" t="n">
        <v>139</v>
      </c>
      <c r="B142" s="107" t="s">
        <v>441</v>
      </c>
      <c r="C142" s="107" t="s">
        <v>288</v>
      </c>
      <c r="D142" s="106" t="s">
        <v>278</v>
      </c>
      <c r="E142" s="107" t="s">
        <v>279</v>
      </c>
      <c r="F142" s="107"/>
      <c r="G142" s="107"/>
      <c r="H142" s="106" t="str">
        <f aca="false">IF(B142="","",IF(COUNTIF('MiT Strom Pipeline'!$B$6:$B$904,B142)&gt;0,"✓",""))</f>
        <v/>
      </c>
      <c r="I142" s="106" t="str">
        <f aca="false">IF(B142="","",IFERROR(VLOOKUP(B142,'MiT Strom Pipeline'!$B$6:$R$904,17,0),""))</f>
        <v/>
      </c>
      <c r="J142" s="107"/>
    </row>
    <row r="143" customFormat="false" ht="19.5" hidden="false" customHeight="true" outlineLevel="0" collapsed="false">
      <c r="A143" s="21" t="n">
        <v>140</v>
      </c>
      <c r="B143" s="22" t="s">
        <v>442</v>
      </c>
      <c r="C143" s="22" t="s">
        <v>288</v>
      </c>
      <c r="D143" s="21" t="s">
        <v>278</v>
      </c>
      <c r="E143" s="22" t="s">
        <v>279</v>
      </c>
      <c r="F143" s="22"/>
      <c r="G143" s="22"/>
      <c r="H143" s="21" t="str">
        <f aca="false">IF(B143="","",IF(COUNTIF('MiT Strom Pipeline'!$B$6:$B$904,B143)&gt;0,"✓",""))</f>
        <v/>
      </c>
      <c r="I143" s="21" t="str">
        <f aca="false">IF(B143="","",IFERROR(VLOOKUP(B143,'MiT Strom Pipeline'!$B$6:$R$904,17,0),""))</f>
        <v/>
      </c>
      <c r="J143" s="22"/>
    </row>
    <row r="144" customFormat="false" ht="19.5" hidden="false" customHeight="true" outlineLevel="0" collapsed="false">
      <c r="A144" s="106" t="n">
        <v>141</v>
      </c>
      <c r="B144" s="107" t="s">
        <v>443</v>
      </c>
      <c r="C144" s="107" t="s">
        <v>288</v>
      </c>
      <c r="D144" s="106" t="s">
        <v>278</v>
      </c>
      <c r="E144" s="107" t="s">
        <v>279</v>
      </c>
      <c r="F144" s="107"/>
      <c r="G144" s="107"/>
      <c r="H144" s="106" t="str">
        <f aca="false">IF(B144="","",IF(COUNTIF('MiT Strom Pipeline'!$B$6:$B$904,B144)&gt;0,"✓",""))</f>
        <v/>
      </c>
      <c r="I144" s="106" t="str">
        <f aca="false">IF(B144="","",IFERROR(VLOOKUP(B144,'MiT Strom Pipeline'!$B$6:$R$904,17,0),""))</f>
        <v/>
      </c>
      <c r="J144" s="107"/>
    </row>
    <row r="145" customFormat="false" ht="19.5" hidden="false" customHeight="true" outlineLevel="0" collapsed="false">
      <c r="A145" s="21" t="n">
        <v>142</v>
      </c>
      <c r="B145" s="22" t="s">
        <v>394</v>
      </c>
      <c r="C145" s="22" t="s">
        <v>288</v>
      </c>
      <c r="D145" s="21" t="s">
        <v>278</v>
      </c>
      <c r="E145" s="22" t="s">
        <v>444</v>
      </c>
      <c r="F145" s="22"/>
      <c r="G145" s="22"/>
      <c r="H145" s="21" t="str">
        <f aca="false">IF(B145="","",IF(COUNTIF('MiT Strom Pipeline'!$B$6:$B$904,B145)&gt;0,"✓",""))</f>
        <v/>
      </c>
      <c r="I145" s="21" t="str">
        <f aca="false">IF(B145="","",IFERROR(VLOOKUP(B145,'MiT Strom Pipeline'!$B$6:$R$904,17,0),""))</f>
        <v/>
      </c>
      <c r="J145" s="22"/>
    </row>
    <row r="146" customFormat="false" ht="19.5" hidden="false" customHeight="true" outlineLevel="0" collapsed="false">
      <c r="A146" s="106" t="n">
        <v>143</v>
      </c>
      <c r="B146" s="107" t="s">
        <v>445</v>
      </c>
      <c r="C146" s="107" t="s">
        <v>288</v>
      </c>
      <c r="D146" s="106" t="s">
        <v>278</v>
      </c>
      <c r="E146" s="107" t="s">
        <v>279</v>
      </c>
      <c r="F146" s="107"/>
      <c r="G146" s="107"/>
      <c r="H146" s="106" t="str">
        <f aca="false">IF(B146="","",IF(COUNTIF('MiT Strom Pipeline'!$B$6:$B$904,B146)&gt;0,"✓",""))</f>
        <v/>
      </c>
      <c r="I146" s="106" t="str">
        <f aca="false">IF(B146="","",IFERROR(VLOOKUP(B146,'MiT Strom Pipeline'!$B$6:$R$904,17,0),""))</f>
        <v/>
      </c>
      <c r="J146" s="107"/>
    </row>
    <row r="147" customFormat="false" ht="19.5" hidden="false" customHeight="true" outlineLevel="0" collapsed="false">
      <c r="A147" s="21" t="n">
        <v>144</v>
      </c>
      <c r="B147" s="22" t="s">
        <v>446</v>
      </c>
      <c r="C147" s="22" t="s">
        <v>307</v>
      </c>
      <c r="D147" s="21" t="s">
        <v>278</v>
      </c>
      <c r="E147" s="22" t="s">
        <v>279</v>
      </c>
      <c r="F147" s="22"/>
      <c r="G147" s="22"/>
      <c r="H147" s="21" t="str">
        <f aca="false">IF(B147="","",IF(COUNTIF('MiT Strom Pipeline'!$B$6:$B$904,B147)&gt;0,"✓",""))</f>
        <v/>
      </c>
      <c r="I147" s="21" t="str">
        <f aca="false">IF(B147="","",IFERROR(VLOOKUP(B147,'MiT Strom Pipeline'!$B$6:$R$904,17,0),""))</f>
        <v/>
      </c>
      <c r="J147" s="22"/>
    </row>
    <row r="148" customFormat="false" ht="19.5" hidden="false" customHeight="true" outlineLevel="0" collapsed="false">
      <c r="A148" s="106" t="n">
        <v>145</v>
      </c>
      <c r="B148" s="107" t="s">
        <v>447</v>
      </c>
      <c r="C148" s="107" t="s">
        <v>288</v>
      </c>
      <c r="D148" s="106" t="s">
        <v>278</v>
      </c>
      <c r="E148" s="107" t="s">
        <v>279</v>
      </c>
      <c r="F148" s="107"/>
      <c r="G148" s="107"/>
      <c r="H148" s="106" t="str">
        <f aca="false">IF(B148="","",IF(COUNTIF('MiT Strom Pipeline'!$B$6:$B$904,B148)&gt;0,"✓",""))</f>
        <v/>
      </c>
      <c r="I148" s="106" t="str">
        <f aca="false">IF(B148="","",IFERROR(VLOOKUP(B148,'MiT Strom Pipeline'!$B$6:$R$904,17,0),""))</f>
        <v/>
      </c>
      <c r="J148" s="107"/>
    </row>
    <row r="149" customFormat="false" ht="19.5" hidden="false" customHeight="true" outlineLevel="0" collapsed="false">
      <c r="A149" s="21" t="n">
        <v>146</v>
      </c>
      <c r="B149" s="22" t="s">
        <v>448</v>
      </c>
      <c r="C149" s="22" t="s">
        <v>361</v>
      </c>
      <c r="D149" s="21" t="s">
        <v>278</v>
      </c>
      <c r="E149" s="22" t="s">
        <v>279</v>
      </c>
      <c r="F149" s="22"/>
      <c r="G149" s="22"/>
      <c r="H149" s="21" t="str">
        <f aca="false">IF(B149="","",IF(COUNTIF('MiT Strom Pipeline'!$B$6:$B$904,B149)&gt;0,"✓",""))</f>
        <v/>
      </c>
      <c r="I149" s="21" t="str">
        <f aca="false">IF(B149="","",IFERROR(VLOOKUP(B149,'MiT Strom Pipeline'!$B$6:$R$904,17,0),""))</f>
        <v/>
      </c>
      <c r="J149" s="22"/>
    </row>
    <row r="150" customFormat="false" ht="19.5" hidden="false" customHeight="true" outlineLevel="0" collapsed="false">
      <c r="A150" s="106" t="n">
        <v>147</v>
      </c>
      <c r="B150" s="107" t="s">
        <v>449</v>
      </c>
      <c r="C150" s="107" t="s">
        <v>288</v>
      </c>
      <c r="D150" s="106" t="s">
        <v>278</v>
      </c>
      <c r="E150" s="107" t="s">
        <v>279</v>
      </c>
      <c r="F150" s="107"/>
      <c r="G150" s="107"/>
      <c r="H150" s="106" t="str">
        <f aca="false">IF(B150="","",IF(COUNTIF('MiT Strom Pipeline'!$B$6:$B$904,B150)&gt;0,"✓",""))</f>
        <v/>
      </c>
      <c r="I150" s="106" t="str">
        <f aca="false">IF(B150="","",IFERROR(VLOOKUP(B150,'MiT Strom Pipeline'!$B$6:$R$904,17,0),""))</f>
        <v/>
      </c>
      <c r="J150" s="107"/>
    </row>
    <row r="151" customFormat="false" ht="19.5" hidden="false" customHeight="true" outlineLevel="0" collapsed="false">
      <c r="A151" s="21" t="n">
        <v>148</v>
      </c>
      <c r="B151" s="22" t="s">
        <v>450</v>
      </c>
      <c r="C151" s="22" t="s">
        <v>288</v>
      </c>
      <c r="D151" s="21" t="s">
        <v>278</v>
      </c>
      <c r="E151" s="22" t="s">
        <v>279</v>
      </c>
      <c r="F151" s="22"/>
      <c r="G151" s="22"/>
      <c r="H151" s="21" t="str">
        <f aca="false">IF(B151="","",IF(COUNTIF('MiT Strom Pipeline'!$B$6:$B$904,B151)&gt;0,"✓",""))</f>
        <v/>
      </c>
      <c r="I151" s="21" t="str">
        <f aca="false">IF(B151="","",IFERROR(VLOOKUP(B151,'MiT Strom Pipeline'!$B$6:$R$904,17,0),""))</f>
        <v/>
      </c>
      <c r="J151" s="22"/>
    </row>
    <row r="152" customFormat="false" ht="19.5" hidden="false" customHeight="true" outlineLevel="0" collapsed="false">
      <c r="A152" s="106" t="n">
        <v>149</v>
      </c>
      <c r="B152" s="107" t="s">
        <v>451</v>
      </c>
      <c r="C152" s="107" t="s">
        <v>288</v>
      </c>
      <c r="D152" s="106" t="s">
        <v>278</v>
      </c>
      <c r="E152" s="107" t="s">
        <v>279</v>
      </c>
      <c r="F152" s="107"/>
      <c r="G152" s="107"/>
      <c r="H152" s="106" t="str">
        <f aca="false">IF(B152="","",IF(COUNTIF('MiT Strom Pipeline'!$B$6:$B$904,B152)&gt;0,"✓",""))</f>
        <v/>
      </c>
      <c r="I152" s="106" t="str">
        <f aca="false">IF(B152="","",IFERROR(VLOOKUP(B152,'MiT Strom Pipeline'!$B$6:$R$904,17,0),""))</f>
        <v/>
      </c>
      <c r="J152" s="107"/>
    </row>
    <row r="153" customFormat="false" ht="19.5" hidden="false" customHeight="true" outlineLevel="0" collapsed="false">
      <c r="A153" s="21" t="n">
        <v>150</v>
      </c>
      <c r="B153" s="22" t="s">
        <v>452</v>
      </c>
      <c r="C153" s="22" t="s">
        <v>321</v>
      </c>
      <c r="D153" s="21" t="s">
        <v>278</v>
      </c>
      <c r="E153" s="22" t="s">
        <v>279</v>
      </c>
      <c r="F153" s="22"/>
      <c r="G153" s="22"/>
      <c r="H153" s="21" t="str">
        <f aca="false">IF(B153="","",IF(COUNTIF('MiT Strom Pipeline'!$B$6:$B$904,B153)&gt;0,"✓",""))</f>
        <v/>
      </c>
      <c r="I153" s="21" t="str">
        <f aca="false">IF(B153="","",IFERROR(VLOOKUP(B153,'MiT Strom Pipeline'!$B$6:$R$904,17,0),""))</f>
        <v/>
      </c>
      <c r="J153" s="22"/>
    </row>
    <row r="154" customFormat="false" ht="19.5" hidden="false" customHeight="true" outlineLevel="0" collapsed="false">
      <c r="A154" s="106" t="n">
        <v>151</v>
      </c>
      <c r="B154" s="107" t="s">
        <v>453</v>
      </c>
      <c r="C154" s="107" t="s">
        <v>288</v>
      </c>
      <c r="D154" s="106" t="s">
        <v>278</v>
      </c>
      <c r="E154" s="107" t="s">
        <v>279</v>
      </c>
      <c r="F154" s="107"/>
      <c r="G154" s="107"/>
      <c r="H154" s="106" t="str">
        <f aca="false">IF(B154="","",IF(COUNTIF('MiT Strom Pipeline'!$B$6:$B$904,B154)&gt;0,"✓",""))</f>
        <v/>
      </c>
      <c r="I154" s="106" t="str">
        <f aca="false">IF(B154="","",IFERROR(VLOOKUP(B154,'MiT Strom Pipeline'!$B$6:$R$904,17,0),""))</f>
        <v/>
      </c>
      <c r="J154" s="107"/>
    </row>
    <row r="155" customFormat="false" ht="19.5" hidden="false" customHeight="true" outlineLevel="0" collapsed="false">
      <c r="A155" s="21" t="n">
        <v>152</v>
      </c>
      <c r="B155" s="22" t="s">
        <v>454</v>
      </c>
      <c r="C155" s="22" t="s">
        <v>192</v>
      </c>
      <c r="D155" s="21" t="s">
        <v>56</v>
      </c>
      <c r="E155" s="22" t="s">
        <v>279</v>
      </c>
      <c r="F155" s="22"/>
      <c r="G155" s="22"/>
      <c r="H155" s="21" t="str">
        <f aca="false">IF(B155="","",IF(COUNTIF('MiT Strom Pipeline'!$B$6:$B$904,B155)&gt;0,"✓",""))</f>
        <v/>
      </c>
      <c r="I155" s="21" t="str">
        <f aca="false">IF(B155="","",IFERROR(VLOOKUP(B155,'MiT Strom Pipeline'!$B$6:$R$904,17,0),""))</f>
        <v/>
      </c>
      <c r="J155" s="22"/>
    </row>
    <row r="156" customFormat="false" ht="19.5" hidden="false" customHeight="true" outlineLevel="0" collapsed="false">
      <c r="A156" s="106" t="n">
        <v>153</v>
      </c>
      <c r="B156" s="107" t="s">
        <v>455</v>
      </c>
      <c r="C156" s="107" t="s">
        <v>288</v>
      </c>
      <c r="D156" s="106" t="s">
        <v>278</v>
      </c>
      <c r="E156" s="107" t="s">
        <v>279</v>
      </c>
      <c r="F156" s="107"/>
      <c r="G156" s="107"/>
      <c r="H156" s="106" t="str">
        <f aca="false">IF(B156="","",IF(COUNTIF('MiT Strom Pipeline'!$B$6:$B$904,B156)&gt;0,"✓",""))</f>
        <v/>
      </c>
      <c r="I156" s="106" t="str">
        <f aca="false">IF(B156="","",IFERROR(VLOOKUP(B156,'MiT Strom Pipeline'!$B$6:$R$904,17,0),""))</f>
        <v/>
      </c>
      <c r="J156" s="107"/>
    </row>
    <row r="157" customFormat="false" ht="19.5" hidden="false" customHeight="true" outlineLevel="0" collapsed="false">
      <c r="A157" s="21" t="n">
        <v>154</v>
      </c>
      <c r="B157" s="22" t="s">
        <v>456</v>
      </c>
      <c r="C157" s="22" t="s">
        <v>288</v>
      </c>
      <c r="D157" s="21" t="s">
        <v>278</v>
      </c>
      <c r="E157" s="22" t="s">
        <v>279</v>
      </c>
      <c r="F157" s="22"/>
      <c r="G157" s="22"/>
      <c r="H157" s="21" t="str">
        <f aca="false">IF(B157="","",IF(COUNTIF('MiT Strom Pipeline'!$B$6:$B$904,B157)&gt;0,"✓",""))</f>
        <v/>
      </c>
      <c r="I157" s="21" t="str">
        <f aca="false">IF(B157="","",IFERROR(VLOOKUP(B157,'MiT Strom Pipeline'!$B$6:$R$904,17,0),""))</f>
        <v/>
      </c>
      <c r="J157" s="22"/>
    </row>
    <row r="158" customFormat="false" ht="19.5" hidden="false" customHeight="true" outlineLevel="0" collapsed="false">
      <c r="A158" s="106" t="n">
        <v>155</v>
      </c>
      <c r="B158" s="107" t="s">
        <v>457</v>
      </c>
      <c r="C158" s="107" t="s">
        <v>288</v>
      </c>
      <c r="D158" s="106" t="s">
        <v>278</v>
      </c>
      <c r="E158" s="107" t="s">
        <v>279</v>
      </c>
      <c r="F158" s="107"/>
      <c r="G158" s="107"/>
      <c r="H158" s="106" t="str">
        <f aca="false">IF(B158="","",IF(COUNTIF('MiT Strom Pipeline'!$B$6:$B$904,B158)&gt;0,"✓",""))</f>
        <v/>
      </c>
      <c r="I158" s="106" t="str">
        <f aca="false">IF(B158="","",IFERROR(VLOOKUP(B158,'MiT Strom Pipeline'!$B$6:$R$904,17,0),""))</f>
        <v/>
      </c>
      <c r="J158" s="107"/>
    </row>
    <row r="159" customFormat="false" ht="19.5" hidden="false" customHeight="true" outlineLevel="0" collapsed="false">
      <c r="A159" s="21" t="n">
        <v>156</v>
      </c>
      <c r="B159" s="22" t="s">
        <v>458</v>
      </c>
      <c r="C159" s="22" t="s">
        <v>307</v>
      </c>
      <c r="D159" s="21" t="s">
        <v>278</v>
      </c>
      <c r="E159" s="22" t="s">
        <v>279</v>
      </c>
      <c r="F159" s="22"/>
      <c r="G159" s="22"/>
      <c r="H159" s="21" t="str">
        <f aca="false">IF(B159="","",IF(COUNTIF('MiT Strom Pipeline'!$B$6:$B$904,B159)&gt;0,"✓",""))</f>
        <v/>
      </c>
      <c r="I159" s="21" t="str">
        <f aca="false">IF(B159="","",IFERROR(VLOOKUP(B159,'MiT Strom Pipeline'!$B$6:$R$904,17,0),""))</f>
        <v/>
      </c>
      <c r="J159" s="22"/>
    </row>
    <row r="160" customFormat="false" ht="19.5" hidden="false" customHeight="true" outlineLevel="0" collapsed="false">
      <c r="A160" s="106" t="n">
        <v>157</v>
      </c>
      <c r="B160" s="107" t="s">
        <v>372</v>
      </c>
      <c r="C160" s="107" t="s">
        <v>288</v>
      </c>
      <c r="D160" s="106" t="s">
        <v>278</v>
      </c>
      <c r="E160" s="107" t="s">
        <v>279</v>
      </c>
      <c r="F160" s="107"/>
      <c r="G160" s="107"/>
      <c r="H160" s="106" t="str">
        <f aca="false">IF(B160="","",IF(COUNTIF('MiT Strom Pipeline'!$B$6:$B$904,B160)&gt;0,"✓",""))</f>
        <v/>
      </c>
      <c r="I160" s="106" t="str">
        <f aca="false">IF(B160="","",IFERROR(VLOOKUP(B160,'MiT Strom Pipeline'!$B$6:$R$904,17,0),""))</f>
        <v/>
      </c>
      <c r="J160" s="107"/>
    </row>
    <row r="161" customFormat="false" ht="19.5" hidden="false" customHeight="true" outlineLevel="0" collapsed="false">
      <c r="A161" s="21" t="n">
        <v>158</v>
      </c>
      <c r="B161" s="22" t="s">
        <v>372</v>
      </c>
      <c r="C161" s="22" t="s">
        <v>288</v>
      </c>
      <c r="D161" s="21" t="s">
        <v>278</v>
      </c>
      <c r="E161" s="22" t="s">
        <v>279</v>
      </c>
      <c r="F161" s="22"/>
      <c r="G161" s="22"/>
      <c r="H161" s="21" t="str">
        <f aca="false">IF(B161="","",IF(COUNTIF('MiT Strom Pipeline'!$B$6:$B$904,B161)&gt;0,"✓",""))</f>
        <v/>
      </c>
      <c r="I161" s="21" t="str">
        <f aca="false">IF(B161="","",IFERROR(VLOOKUP(B161,'MiT Strom Pipeline'!$B$6:$R$904,17,0),""))</f>
        <v/>
      </c>
      <c r="J161" s="22"/>
    </row>
    <row r="162" customFormat="false" ht="19.5" hidden="false" customHeight="true" outlineLevel="0" collapsed="false">
      <c r="A162" s="106" t="n">
        <v>159</v>
      </c>
      <c r="B162" s="107" t="s">
        <v>459</v>
      </c>
      <c r="C162" s="107" t="s">
        <v>288</v>
      </c>
      <c r="D162" s="106" t="s">
        <v>278</v>
      </c>
      <c r="E162" s="107" t="s">
        <v>279</v>
      </c>
      <c r="F162" s="107"/>
      <c r="G162" s="107"/>
      <c r="H162" s="106" t="str">
        <f aca="false">IF(B162="","",IF(COUNTIF('MiT Strom Pipeline'!$B$6:$B$904,B162)&gt;0,"✓",""))</f>
        <v/>
      </c>
      <c r="I162" s="106" t="str">
        <f aca="false">IF(B162="","",IFERROR(VLOOKUP(B162,'MiT Strom Pipeline'!$B$6:$R$904,17,0),""))</f>
        <v/>
      </c>
      <c r="J162" s="107"/>
    </row>
    <row r="163" customFormat="false" ht="19.5" hidden="false" customHeight="true" outlineLevel="0" collapsed="false">
      <c r="A163" s="21" t="n">
        <v>160</v>
      </c>
      <c r="B163" s="22" t="s">
        <v>460</v>
      </c>
      <c r="C163" s="22" t="s">
        <v>288</v>
      </c>
      <c r="D163" s="21" t="s">
        <v>278</v>
      </c>
      <c r="E163" s="22" t="s">
        <v>279</v>
      </c>
      <c r="F163" s="22"/>
      <c r="G163" s="22"/>
      <c r="H163" s="21" t="str">
        <f aca="false">IF(B163="","",IF(COUNTIF('MiT Strom Pipeline'!$B$6:$B$904,B163)&gt;0,"✓",""))</f>
        <v/>
      </c>
      <c r="I163" s="21" t="str">
        <f aca="false">IF(B163="","",IFERROR(VLOOKUP(B163,'MiT Strom Pipeline'!$B$6:$R$904,17,0),""))</f>
        <v/>
      </c>
      <c r="J163" s="22"/>
    </row>
    <row r="164" customFormat="false" ht="19.5" hidden="false" customHeight="true" outlineLevel="0" collapsed="false">
      <c r="A164" s="106" t="n">
        <v>161</v>
      </c>
      <c r="B164" s="107" t="s">
        <v>461</v>
      </c>
      <c r="C164" s="107" t="s">
        <v>288</v>
      </c>
      <c r="D164" s="106" t="s">
        <v>278</v>
      </c>
      <c r="E164" s="107" t="s">
        <v>279</v>
      </c>
      <c r="F164" s="107"/>
      <c r="G164" s="107"/>
      <c r="H164" s="106" t="str">
        <f aca="false">IF(B164="","",IF(COUNTIF('MiT Strom Pipeline'!$B$6:$B$904,B164)&gt;0,"✓",""))</f>
        <v/>
      </c>
      <c r="I164" s="106" t="str">
        <f aca="false">IF(B164="","",IFERROR(VLOOKUP(B164,'MiT Strom Pipeline'!$B$6:$R$904,17,0),""))</f>
        <v/>
      </c>
      <c r="J164" s="107"/>
    </row>
    <row r="165" customFormat="false" ht="19.5" hidden="false" customHeight="true" outlineLevel="0" collapsed="false">
      <c r="A165" s="21" t="n">
        <v>162</v>
      </c>
      <c r="B165" s="22" t="s">
        <v>462</v>
      </c>
      <c r="C165" s="22" t="s">
        <v>288</v>
      </c>
      <c r="D165" s="21" t="s">
        <v>278</v>
      </c>
      <c r="E165" s="22" t="s">
        <v>279</v>
      </c>
      <c r="F165" s="22"/>
      <c r="G165" s="22"/>
      <c r="H165" s="21" t="str">
        <f aca="false">IF(B165="","",IF(COUNTIF('MiT Strom Pipeline'!$B$6:$B$904,B165)&gt;0,"✓",""))</f>
        <v/>
      </c>
      <c r="I165" s="21" t="str">
        <f aca="false">IF(B165="","",IFERROR(VLOOKUP(B165,'MiT Strom Pipeline'!$B$6:$R$904,17,0),""))</f>
        <v/>
      </c>
      <c r="J165" s="22"/>
    </row>
    <row r="166" customFormat="false" ht="19.5" hidden="false" customHeight="true" outlineLevel="0" collapsed="false">
      <c r="A166" s="106" t="n">
        <v>163</v>
      </c>
      <c r="B166" s="107" t="s">
        <v>463</v>
      </c>
      <c r="C166" s="107" t="s">
        <v>288</v>
      </c>
      <c r="D166" s="106" t="s">
        <v>278</v>
      </c>
      <c r="E166" s="107" t="s">
        <v>279</v>
      </c>
      <c r="F166" s="107"/>
      <c r="G166" s="107"/>
      <c r="H166" s="106" t="str">
        <f aca="false">IF(B166="","",IF(COUNTIF('MiT Strom Pipeline'!$B$6:$B$904,B166)&gt;0,"✓",""))</f>
        <v/>
      </c>
      <c r="I166" s="106" t="str">
        <f aca="false">IF(B166="","",IFERROR(VLOOKUP(B166,'MiT Strom Pipeline'!$B$6:$R$904,17,0),""))</f>
        <v/>
      </c>
      <c r="J166" s="107"/>
    </row>
    <row r="167" customFormat="false" ht="19.5" hidden="false" customHeight="true" outlineLevel="0" collapsed="false">
      <c r="A167" s="21" t="n">
        <v>164</v>
      </c>
      <c r="B167" s="22" t="s">
        <v>464</v>
      </c>
      <c r="C167" s="22" t="s">
        <v>288</v>
      </c>
      <c r="D167" s="21" t="s">
        <v>278</v>
      </c>
      <c r="E167" s="22" t="s">
        <v>279</v>
      </c>
      <c r="F167" s="22"/>
      <c r="G167" s="22"/>
      <c r="H167" s="21" t="str">
        <f aca="false">IF(B167="","",IF(COUNTIF('MiT Strom Pipeline'!$B$6:$B$904,B167)&gt;0,"✓",""))</f>
        <v/>
      </c>
      <c r="I167" s="21" t="str">
        <f aca="false">IF(B167="","",IFERROR(VLOOKUP(B167,'MiT Strom Pipeline'!$B$6:$R$904,17,0),""))</f>
        <v/>
      </c>
      <c r="J167" s="22"/>
    </row>
    <row r="168" customFormat="false" ht="19.5" hidden="false" customHeight="true" outlineLevel="0" collapsed="false">
      <c r="A168" s="106" t="n">
        <v>165</v>
      </c>
      <c r="B168" s="107" t="s">
        <v>465</v>
      </c>
      <c r="C168" s="107" t="s">
        <v>109</v>
      </c>
      <c r="D168" s="106" t="s">
        <v>278</v>
      </c>
      <c r="E168" s="107" t="s">
        <v>279</v>
      </c>
      <c r="F168" s="107"/>
      <c r="G168" s="107"/>
      <c r="H168" s="106" t="str">
        <f aca="false">IF(B168="","",IF(COUNTIF('MiT Strom Pipeline'!$B$6:$B$904,B168)&gt;0,"✓",""))</f>
        <v/>
      </c>
      <c r="I168" s="106" t="str">
        <f aca="false">IF(B168="","",IFERROR(VLOOKUP(B168,'MiT Strom Pipeline'!$B$6:$R$904,17,0),""))</f>
        <v/>
      </c>
      <c r="J168" s="107"/>
    </row>
    <row r="169" customFormat="false" ht="19.5" hidden="false" customHeight="true" outlineLevel="0" collapsed="false">
      <c r="A169" s="21" t="n">
        <v>166</v>
      </c>
      <c r="B169" s="22" t="s">
        <v>466</v>
      </c>
      <c r="C169" s="22" t="s">
        <v>288</v>
      </c>
      <c r="D169" s="21" t="s">
        <v>278</v>
      </c>
      <c r="E169" s="22" t="s">
        <v>279</v>
      </c>
      <c r="F169" s="22"/>
      <c r="G169" s="22"/>
      <c r="H169" s="21" t="str">
        <f aca="false">IF(B169="","",IF(COUNTIF('MiT Strom Pipeline'!$B$6:$B$904,B169)&gt;0,"✓",""))</f>
        <v/>
      </c>
      <c r="I169" s="21" t="str">
        <f aca="false">IF(B169="","",IFERROR(VLOOKUP(B169,'MiT Strom Pipeline'!$B$6:$R$904,17,0),""))</f>
        <v/>
      </c>
      <c r="J169" s="22"/>
    </row>
    <row r="170" customFormat="false" ht="19.5" hidden="false" customHeight="true" outlineLevel="0" collapsed="false">
      <c r="A170" s="106" t="n">
        <v>167</v>
      </c>
      <c r="B170" s="107" t="s">
        <v>467</v>
      </c>
      <c r="C170" s="107" t="s">
        <v>288</v>
      </c>
      <c r="D170" s="106" t="s">
        <v>278</v>
      </c>
      <c r="E170" s="107" t="s">
        <v>279</v>
      </c>
      <c r="F170" s="107"/>
      <c r="G170" s="107"/>
      <c r="H170" s="106" t="str">
        <f aca="false">IF(B170="","",IF(COUNTIF('MiT Strom Pipeline'!$B$6:$B$904,B170)&gt;0,"✓",""))</f>
        <v/>
      </c>
      <c r="I170" s="106" t="str">
        <f aca="false">IF(B170="","",IFERROR(VLOOKUP(B170,'MiT Strom Pipeline'!$B$6:$R$904,17,0),""))</f>
        <v/>
      </c>
      <c r="J170" s="107"/>
    </row>
    <row r="171" customFormat="false" ht="19.5" hidden="false" customHeight="true" outlineLevel="0" collapsed="false">
      <c r="A171" s="21" t="n">
        <v>168</v>
      </c>
      <c r="B171" s="22" t="s">
        <v>468</v>
      </c>
      <c r="C171" s="22" t="s">
        <v>288</v>
      </c>
      <c r="D171" s="21" t="s">
        <v>278</v>
      </c>
      <c r="E171" s="22" t="s">
        <v>279</v>
      </c>
      <c r="F171" s="22"/>
      <c r="G171" s="22"/>
      <c r="H171" s="21" t="str">
        <f aca="false">IF(B171="","",IF(COUNTIF('MiT Strom Pipeline'!$B$6:$B$904,B171)&gt;0,"✓",""))</f>
        <v/>
      </c>
      <c r="I171" s="21" t="str">
        <f aca="false">IF(B171="","",IFERROR(VLOOKUP(B171,'MiT Strom Pipeline'!$B$6:$R$904,17,0),""))</f>
        <v/>
      </c>
      <c r="J171" s="22"/>
    </row>
    <row r="172" customFormat="false" ht="19.5" hidden="false" customHeight="true" outlineLevel="0" collapsed="false">
      <c r="A172" s="106" t="n">
        <v>169</v>
      </c>
      <c r="B172" s="107" t="s">
        <v>469</v>
      </c>
      <c r="C172" s="107" t="s">
        <v>288</v>
      </c>
      <c r="D172" s="106" t="s">
        <v>278</v>
      </c>
      <c r="E172" s="107" t="s">
        <v>287</v>
      </c>
      <c r="F172" s="107"/>
      <c r="G172" s="107"/>
      <c r="H172" s="106" t="str">
        <f aca="false">IF(B172="","",IF(COUNTIF('MiT Strom Pipeline'!$B$6:$B$904,B172)&gt;0,"✓",""))</f>
        <v/>
      </c>
      <c r="I172" s="106" t="str">
        <f aca="false">IF(B172="","",IFERROR(VLOOKUP(B172,'MiT Strom Pipeline'!$B$6:$R$904,17,0),""))</f>
        <v/>
      </c>
      <c r="J172" s="107"/>
    </row>
    <row r="173" customFormat="false" ht="19.5" hidden="false" customHeight="true" outlineLevel="0" collapsed="false">
      <c r="A173" s="21" t="n">
        <v>170</v>
      </c>
      <c r="B173" s="22" t="s">
        <v>470</v>
      </c>
      <c r="C173" s="22" t="s">
        <v>288</v>
      </c>
      <c r="D173" s="21" t="s">
        <v>278</v>
      </c>
      <c r="E173" s="22" t="s">
        <v>279</v>
      </c>
      <c r="F173" s="22"/>
      <c r="G173" s="22"/>
      <c r="H173" s="21" t="str">
        <f aca="false">IF(B173="","",IF(COUNTIF('MiT Strom Pipeline'!$B$6:$B$904,B173)&gt;0,"✓",""))</f>
        <v/>
      </c>
      <c r="I173" s="21" t="str">
        <f aca="false">IF(B173="","",IFERROR(VLOOKUP(B173,'MiT Strom Pipeline'!$B$6:$R$904,17,0),""))</f>
        <v/>
      </c>
      <c r="J173" s="22"/>
    </row>
    <row r="174" customFormat="false" ht="19.5" hidden="false" customHeight="true" outlineLevel="0" collapsed="false">
      <c r="A174" s="106" t="n">
        <v>171</v>
      </c>
      <c r="B174" s="107" t="s">
        <v>471</v>
      </c>
      <c r="C174" s="107" t="s">
        <v>288</v>
      </c>
      <c r="D174" s="106" t="s">
        <v>278</v>
      </c>
      <c r="E174" s="107" t="s">
        <v>279</v>
      </c>
      <c r="F174" s="107"/>
      <c r="G174" s="107"/>
      <c r="H174" s="106" t="str">
        <f aca="false">IF(B174="","",IF(COUNTIF('MiT Strom Pipeline'!$B$6:$B$904,B174)&gt;0,"✓",""))</f>
        <v/>
      </c>
      <c r="I174" s="106" t="str">
        <f aca="false">IF(B174="","",IFERROR(VLOOKUP(B174,'MiT Strom Pipeline'!$B$6:$R$904,17,0),""))</f>
        <v/>
      </c>
      <c r="J174" s="107"/>
    </row>
    <row r="175" customFormat="false" ht="19.5" hidden="false" customHeight="true" outlineLevel="0" collapsed="false">
      <c r="A175" s="21" t="n">
        <v>172</v>
      </c>
      <c r="B175" s="22" t="s">
        <v>472</v>
      </c>
      <c r="C175" s="22" t="s">
        <v>288</v>
      </c>
      <c r="D175" s="21" t="s">
        <v>278</v>
      </c>
      <c r="E175" s="22" t="s">
        <v>279</v>
      </c>
      <c r="F175" s="22"/>
      <c r="G175" s="22"/>
      <c r="H175" s="21" t="str">
        <f aca="false">IF(B175="","",IF(COUNTIF('MiT Strom Pipeline'!$B$6:$B$904,B175)&gt;0,"✓",""))</f>
        <v/>
      </c>
      <c r="I175" s="21" t="str">
        <f aca="false">IF(B175="","",IFERROR(VLOOKUP(B175,'MiT Strom Pipeline'!$B$6:$R$904,17,0),""))</f>
        <v/>
      </c>
      <c r="J175" s="22"/>
    </row>
    <row r="176" customFormat="false" ht="19.5" hidden="false" customHeight="true" outlineLevel="0" collapsed="false">
      <c r="A176" s="106" t="n">
        <v>173</v>
      </c>
      <c r="B176" s="107" t="s">
        <v>473</v>
      </c>
      <c r="C176" s="107" t="s">
        <v>307</v>
      </c>
      <c r="D176" s="106" t="s">
        <v>227</v>
      </c>
      <c r="E176" s="107" t="s">
        <v>279</v>
      </c>
      <c r="F176" s="107"/>
      <c r="G176" s="107"/>
      <c r="H176" s="106" t="str">
        <f aca="false">IF(B176="","",IF(COUNTIF('MiT Strom Pipeline'!$B$6:$B$904,B176)&gt;0,"✓",""))</f>
        <v/>
      </c>
      <c r="I176" s="106" t="str">
        <f aca="false">IF(B176="","",IFERROR(VLOOKUP(B176,'MiT Strom Pipeline'!$B$6:$R$904,17,0),""))</f>
        <v/>
      </c>
      <c r="J176" s="107"/>
    </row>
    <row r="177" customFormat="false" ht="19.5" hidden="false" customHeight="true" outlineLevel="0" collapsed="false">
      <c r="A177" s="21" t="n">
        <v>174</v>
      </c>
      <c r="B177" s="22" t="s">
        <v>474</v>
      </c>
      <c r="C177" s="22" t="s">
        <v>321</v>
      </c>
      <c r="D177" s="21" t="s">
        <v>308</v>
      </c>
      <c r="E177" s="22" t="s">
        <v>279</v>
      </c>
      <c r="F177" s="22"/>
      <c r="G177" s="22"/>
      <c r="H177" s="21" t="str">
        <f aca="false">IF(B177="","",IF(COUNTIF('MiT Strom Pipeline'!$B$6:$B$904,B177)&gt;0,"✓",""))</f>
        <v/>
      </c>
      <c r="I177" s="21" t="str">
        <f aca="false">IF(B177="","",IFERROR(VLOOKUP(B177,'MiT Strom Pipeline'!$B$6:$R$904,17,0),""))</f>
        <v/>
      </c>
      <c r="J177" s="22"/>
    </row>
    <row r="178" customFormat="false" ht="19.5" hidden="false" customHeight="true" outlineLevel="0" collapsed="false">
      <c r="A178" s="106" t="n">
        <v>175</v>
      </c>
      <c r="B178" s="107" t="s">
        <v>331</v>
      </c>
      <c r="C178" s="107" t="s">
        <v>321</v>
      </c>
      <c r="D178" s="106" t="s">
        <v>227</v>
      </c>
      <c r="E178" s="107" t="s">
        <v>279</v>
      </c>
      <c r="F178" s="107"/>
      <c r="G178" s="107"/>
      <c r="H178" s="106" t="str">
        <f aca="false">IF(B178="","",IF(COUNTIF('MiT Strom Pipeline'!$B$6:$B$904,B178)&gt;0,"✓",""))</f>
        <v/>
      </c>
      <c r="I178" s="106" t="str">
        <f aca="false">IF(B178="","",IFERROR(VLOOKUP(B178,'MiT Strom Pipeline'!$B$6:$R$904,17,0),""))</f>
        <v/>
      </c>
      <c r="J178" s="107"/>
    </row>
    <row r="179" customFormat="false" ht="19.5" hidden="false" customHeight="true" outlineLevel="0" collapsed="false">
      <c r="A179" s="21" t="n">
        <v>176</v>
      </c>
      <c r="B179" s="22" t="s">
        <v>475</v>
      </c>
      <c r="C179" s="22" t="s">
        <v>109</v>
      </c>
      <c r="D179" s="21" t="s">
        <v>278</v>
      </c>
      <c r="E179" s="22" t="s">
        <v>279</v>
      </c>
      <c r="F179" s="22"/>
      <c r="G179" s="22"/>
      <c r="H179" s="21" t="str">
        <f aca="false">IF(B179="","",IF(COUNTIF('MiT Strom Pipeline'!$B$6:$B$904,B179)&gt;0,"✓",""))</f>
        <v/>
      </c>
      <c r="I179" s="21" t="str">
        <f aca="false">IF(B179="","",IFERROR(VLOOKUP(B179,'MiT Strom Pipeline'!$B$6:$R$904,17,0),""))</f>
        <v/>
      </c>
      <c r="J179" s="22"/>
    </row>
    <row r="180" customFormat="false" ht="19.5" hidden="false" customHeight="true" outlineLevel="0" collapsed="false">
      <c r="A180" s="106" t="n">
        <v>177</v>
      </c>
      <c r="B180" s="107" t="s">
        <v>476</v>
      </c>
      <c r="C180" s="107" t="s">
        <v>288</v>
      </c>
      <c r="D180" s="106" t="s">
        <v>278</v>
      </c>
      <c r="E180" s="107" t="s">
        <v>279</v>
      </c>
      <c r="F180" s="107"/>
      <c r="G180" s="107"/>
      <c r="H180" s="106" t="str">
        <f aca="false">IF(B180="","",IF(COUNTIF('MiT Strom Pipeline'!$B$6:$B$904,B180)&gt;0,"✓",""))</f>
        <v/>
      </c>
      <c r="I180" s="106" t="str">
        <f aca="false">IF(B180="","",IFERROR(VLOOKUP(B180,'MiT Strom Pipeline'!$B$6:$R$904,17,0),""))</f>
        <v/>
      </c>
      <c r="J180" s="107"/>
    </row>
    <row r="181" customFormat="false" ht="19.5" hidden="false" customHeight="true" outlineLevel="0" collapsed="false">
      <c r="A181" s="21" t="n">
        <v>178</v>
      </c>
      <c r="B181" s="22" t="s">
        <v>477</v>
      </c>
      <c r="C181" s="22" t="s">
        <v>288</v>
      </c>
      <c r="D181" s="21" t="s">
        <v>278</v>
      </c>
      <c r="E181" s="22" t="s">
        <v>287</v>
      </c>
      <c r="F181" s="22"/>
      <c r="G181" s="22"/>
      <c r="H181" s="21" t="str">
        <f aca="false">IF(B181="","",IF(COUNTIF('MiT Strom Pipeline'!$B$6:$B$904,B181)&gt;0,"✓",""))</f>
        <v/>
      </c>
      <c r="I181" s="21" t="str">
        <f aca="false">IF(B181="","",IFERROR(VLOOKUP(B181,'MiT Strom Pipeline'!$B$6:$R$904,17,0),""))</f>
        <v/>
      </c>
      <c r="J181" s="22"/>
    </row>
    <row r="182" customFormat="false" ht="19.5" hidden="false" customHeight="true" outlineLevel="0" collapsed="false">
      <c r="A182" s="106" t="n">
        <v>179</v>
      </c>
      <c r="B182" s="107" t="s">
        <v>478</v>
      </c>
      <c r="C182" s="107" t="s">
        <v>288</v>
      </c>
      <c r="D182" s="106" t="s">
        <v>278</v>
      </c>
      <c r="E182" s="107" t="s">
        <v>279</v>
      </c>
      <c r="F182" s="107"/>
      <c r="G182" s="107"/>
      <c r="H182" s="106" t="str">
        <f aca="false">IF(B182="","",IF(COUNTIF('MiT Strom Pipeline'!$B$6:$B$904,B182)&gt;0,"✓",""))</f>
        <v/>
      </c>
      <c r="I182" s="106" t="str">
        <f aca="false">IF(B182="","",IFERROR(VLOOKUP(B182,'MiT Strom Pipeline'!$B$6:$R$904,17,0),""))</f>
        <v/>
      </c>
      <c r="J182" s="107"/>
    </row>
    <row r="183" customFormat="false" ht="19.5" hidden="false" customHeight="true" outlineLevel="0" collapsed="false">
      <c r="A183" s="21" t="n">
        <v>180</v>
      </c>
      <c r="B183" s="22" t="s">
        <v>479</v>
      </c>
      <c r="C183" s="22" t="s">
        <v>288</v>
      </c>
      <c r="D183" s="21" t="s">
        <v>56</v>
      </c>
      <c r="E183" s="22" t="s">
        <v>279</v>
      </c>
      <c r="F183" s="22"/>
      <c r="G183" s="22"/>
      <c r="H183" s="21" t="str">
        <f aca="false">IF(B183="","",IF(COUNTIF('MiT Strom Pipeline'!$B$6:$B$904,B183)&gt;0,"✓",""))</f>
        <v/>
      </c>
      <c r="I183" s="21" t="str">
        <f aca="false">IF(B183="","",IFERROR(VLOOKUP(B183,'MiT Strom Pipeline'!$B$6:$R$904,17,0),""))</f>
        <v/>
      </c>
      <c r="J183" s="22"/>
    </row>
    <row r="184" customFormat="false" ht="19.5" hidden="false" customHeight="true" outlineLevel="0" collapsed="false">
      <c r="A184" s="106" t="n">
        <v>181</v>
      </c>
      <c r="B184" s="107" t="s">
        <v>480</v>
      </c>
      <c r="C184" s="107" t="s">
        <v>143</v>
      </c>
      <c r="D184" s="106" t="s">
        <v>278</v>
      </c>
      <c r="E184" s="107" t="s">
        <v>279</v>
      </c>
      <c r="F184" s="107"/>
      <c r="G184" s="107"/>
      <c r="H184" s="106" t="str">
        <f aca="false">IF(B184="","",IF(COUNTIF('MiT Strom Pipeline'!$B$6:$B$904,B184)&gt;0,"✓",""))</f>
        <v/>
      </c>
      <c r="I184" s="106" t="str">
        <f aca="false">IF(B184="","",IFERROR(VLOOKUP(B184,'MiT Strom Pipeline'!$B$6:$R$904,17,0),""))</f>
        <v/>
      </c>
      <c r="J184" s="107"/>
    </row>
    <row r="185" customFormat="false" ht="19.5" hidden="false" customHeight="true" outlineLevel="0" collapsed="false">
      <c r="A185" s="21" t="n">
        <v>182</v>
      </c>
      <c r="B185" s="22" t="s">
        <v>481</v>
      </c>
      <c r="C185" s="22" t="s">
        <v>288</v>
      </c>
      <c r="D185" s="21" t="s">
        <v>278</v>
      </c>
      <c r="E185" s="22" t="s">
        <v>287</v>
      </c>
      <c r="F185" s="22"/>
      <c r="G185" s="22"/>
      <c r="H185" s="21" t="str">
        <f aca="false">IF(B185="","",IF(COUNTIF('MiT Strom Pipeline'!$B$6:$B$904,B185)&gt;0,"✓",""))</f>
        <v/>
      </c>
      <c r="I185" s="21" t="str">
        <f aca="false">IF(B185="","",IFERROR(VLOOKUP(B185,'MiT Strom Pipeline'!$B$6:$R$904,17,0),""))</f>
        <v/>
      </c>
      <c r="J185" s="22"/>
    </row>
    <row r="186" customFormat="false" ht="19.5" hidden="false" customHeight="true" outlineLevel="0" collapsed="false">
      <c r="A186" s="106" t="n">
        <v>183</v>
      </c>
      <c r="B186" s="107" t="s">
        <v>482</v>
      </c>
      <c r="C186" s="107" t="s">
        <v>288</v>
      </c>
      <c r="D186" s="106" t="s">
        <v>278</v>
      </c>
      <c r="E186" s="107" t="s">
        <v>279</v>
      </c>
      <c r="F186" s="107"/>
      <c r="G186" s="107"/>
      <c r="H186" s="106" t="str">
        <f aca="false">IF(B186="","",IF(COUNTIF('MiT Strom Pipeline'!$B$6:$B$904,B186)&gt;0,"✓",""))</f>
        <v/>
      </c>
      <c r="I186" s="106" t="str">
        <f aca="false">IF(B186="","",IFERROR(VLOOKUP(B186,'MiT Strom Pipeline'!$B$6:$R$904,17,0),""))</f>
        <v/>
      </c>
      <c r="J186" s="107"/>
    </row>
    <row r="187" customFormat="false" ht="19.5" hidden="false" customHeight="true" outlineLevel="0" collapsed="false">
      <c r="A187" s="21" t="n">
        <v>184</v>
      </c>
      <c r="B187" s="22" t="s">
        <v>483</v>
      </c>
      <c r="C187" s="22" t="s">
        <v>288</v>
      </c>
      <c r="D187" s="21" t="s">
        <v>278</v>
      </c>
      <c r="E187" s="22" t="s">
        <v>279</v>
      </c>
      <c r="F187" s="22"/>
      <c r="G187" s="22"/>
      <c r="H187" s="21" t="str">
        <f aca="false">IF(B187="","",IF(COUNTIF('MiT Strom Pipeline'!$B$6:$B$904,B187)&gt;0,"✓",""))</f>
        <v/>
      </c>
      <c r="I187" s="21" t="str">
        <f aca="false">IF(B187="","",IFERROR(VLOOKUP(B187,'MiT Strom Pipeline'!$B$6:$R$904,17,0),""))</f>
        <v/>
      </c>
      <c r="J187" s="22"/>
    </row>
    <row r="188" customFormat="false" ht="19.5" hidden="false" customHeight="true" outlineLevel="0" collapsed="false">
      <c r="A188" s="106" t="n">
        <v>185</v>
      </c>
      <c r="B188" s="107" t="s">
        <v>484</v>
      </c>
      <c r="C188" s="107" t="s">
        <v>288</v>
      </c>
      <c r="D188" s="106" t="s">
        <v>278</v>
      </c>
      <c r="E188" s="107" t="s">
        <v>279</v>
      </c>
      <c r="F188" s="107"/>
      <c r="G188" s="107"/>
      <c r="H188" s="106" t="str">
        <f aca="false">IF(B188="","",IF(COUNTIF('MiT Strom Pipeline'!$B$6:$B$904,B188)&gt;0,"✓",""))</f>
        <v/>
      </c>
      <c r="I188" s="106" t="str">
        <f aca="false">IF(B188="","",IFERROR(VLOOKUP(B188,'MiT Strom Pipeline'!$B$6:$R$904,17,0),""))</f>
        <v/>
      </c>
      <c r="J188" s="107"/>
    </row>
    <row r="189" customFormat="false" ht="19.5" hidden="false" customHeight="true" outlineLevel="0" collapsed="false">
      <c r="A189" s="21" t="n">
        <v>186</v>
      </c>
      <c r="B189" s="22" t="s">
        <v>485</v>
      </c>
      <c r="C189" s="22" t="s">
        <v>288</v>
      </c>
      <c r="D189" s="21" t="s">
        <v>278</v>
      </c>
      <c r="E189" s="22" t="s">
        <v>279</v>
      </c>
      <c r="F189" s="22"/>
      <c r="G189" s="22"/>
      <c r="H189" s="21" t="str">
        <f aca="false">IF(B189="","",IF(COUNTIF('MiT Strom Pipeline'!$B$6:$B$904,B189)&gt;0,"✓",""))</f>
        <v/>
      </c>
      <c r="I189" s="21" t="str">
        <f aca="false">IF(B189="","",IFERROR(VLOOKUP(B189,'MiT Strom Pipeline'!$B$6:$R$904,17,0),""))</f>
        <v/>
      </c>
      <c r="J189" s="22"/>
    </row>
    <row r="190" customFormat="false" ht="19.5" hidden="false" customHeight="true" outlineLevel="0" collapsed="false">
      <c r="A190" s="106" t="n">
        <v>187</v>
      </c>
      <c r="B190" s="107" t="s">
        <v>486</v>
      </c>
      <c r="C190" s="107" t="s">
        <v>288</v>
      </c>
      <c r="D190" s="106" t="s">
        <v>278</v>
      </c>
      <c r="E190" s="107" t="s">
        <v>279</v>
      </c>
      <c r="F190" s="107"/>
      <c r="G190" s="107"/>
      <c r="H190" s="106" t="str">
        <f aca="false">IF(B190="","",IF(COUNTIF('MiT Strom Pipeline'!$B$6:$B$904,B190)&gt;0,"✓",""))</f>
        <v/>
      </c>
      <c r="I190" s="106" t="str">
        <f aca="false">IF(B190="","",IFERROR(VLOOKUP(B190,'MiT Strom Pipeline'!$B$6:$R$904,17,0),""))</f>
        <v/>
      </c>
      <c r="J190" s="107"/>
    </row>
    <row r="191" customFormat="false" ht="19.5" hidden="false" customHeight="true" outlineLevel="0" collapsed="false">
      <c r="A191" s="21" t="n">
        <v>188</v>
      </c>
      <c r="B191" s="22" t="s">
        <v>487</v>
      </c>
      <c r="C191" s="22" t="s">
        <v>288</v>
      </c>
      <c r="D191" s="21" t="s">
        <v>266</v>
      </c>
      <c r="E191" s="22" t="s">
        <v>287</v>
      </c>
      <c r="F191" s="22"/>
      <c r="G191" s="22"/>
      <c r="H191" s="21" t="str">
        <f aca="false">IF(B191="","",IF(COUNTIF('MiT Strom Pipeline'!$B$6:$B$904,B191)&gt;0,"✓",""))</f>
        <v/>
      </c>
      <c r="I191" s="21" t="str">
        <f aca="false">IF(B191="","",IFERROR(VLOOKUP(B191,'MiT Strom Pipeline'!$B$6:$R$904,17,0),""))</f>
        <v/>
      </c>
      <c r="J191" s="22"/>
    </row>
    <row r="192" customFormat="false" ht="19.5" hidden="false" customHeight="true" outlineLevel="0" collapsed="false">
      <c r="A192" s="106" t="n">
        <v>189</v>
      </c>
      <c r="B192" s="107" t="s">
        <v>488</v>
      </c>
      <c r="C192" s="107" t="s">
        <v>288</v>
      </c>
      <c r="D192" s="106" t="s">
        <v>278</v>
      </c>
      <c r="E192" s="107" t="s">
        <v>279</v>
      </c>
      <c r="F192" s="107"/>
      <c r="G192" s="107"/>
      <c r="H192" s="106" t="str">
        <f aca="false">IF(B192="","",IF(COUNTIF('MiT Strom Pipeline'!$B$6:$B$904,B192)&gt;0,"✓",""))</f>
        <v/>
      </c>
      <c r="I192" s="106" t="str">
        <f aca="false">IF(B192="","",IFERROR(VLOOKUP(B192,'MiT Strom Pipeline'!$B$6:$R$904,17,0),""))</f>
        <v/>
      </c>
      <c r="J192" s="107"/>
    </row>
    <row r="193" customFormat="false" ht="19.5" hidden="false" customHeight="true" outlineLevel="0" collapsed="false">
      <c r="A193" s="21" t="n">
        <v>190</v>
      </c>
      <c r="B193" s="22" t="s">
        <v>489</v>
      </c>
      <c r="C193" s="22" t="s">
        <v>321</v>
      </c>
      <c r="D193" s="21" t="s">
        <v>408</v>
      </c>
      <c r="E193" s="22" t="s">
        <v>279</v>
      </c>
      <c r="F193" s="22"/>
      <c r="G193" s="22"/>
      <c r="H193" s="21" t="str">
        <f aca="false">IF(B193="","",IF(COUNTIF('MiT Strom Pipeline'!$B$6:$B$904,B193)&gt;0,"✓",""))</f>
        <v/>
      </c>
      <c r="I193" s="21" t="str">
        <f aca="false">IF(B193="","",IFERROR(VLOOKUP(B193,'MiT Strom Pipeline'!$B$6:$R$904,17,0),""))</f>
        <v/>
      </c>
      <c r="J193" s="22"/>
    </row>
    <row r="194" customFormat="false" ht="19.5" hidden="false" customHeight="true" outlineLevel="0" collapsed="false">
      <c r="A194" s="106" t="n">
        <v>191</v>
      </c>
      <c r="B194" s="107" t="s">
        <v>490</v>
      </c>
      <c r="C194" s="107" t="s">
        <v>307</v>
      </c>
      <c r="D194" s="106" t="s">
        <v>278</v>
      </c>
      <c r="E194" s="107" t="s">
        <v>279</v>
      </c>
      <c r="F194" s="107"/>
      <c r="G194" s="107"/>
      <c r="H194" s="106" t="str">
        <f aca="false">IF(B194="","",IF(COUNTIF('MiT Strom Pipeline'!$B$6:$B$904,B194)&gt;0,"✓",""))</f>
        <v/>
      </c>
      <c r="I194" s="106" t="str">
        <f aca="false">IF(B194="","",IFERROR(VLOOKUP(B194,'MiT Strom Pipeline'!$B$6:$R$904,17,0),""))</f>
        <v/>
      </c>
      <c r="J194" s="107"/>
    </row>
    <row r="195" customFormat="false" ht="19.5" hidden="false" customHeight="true" outlineLevel="0" collapsed="false">
      <c r="A195" s="21" t="n">
        <v>192</v>
      </c>
      <c r="B195" s="22" t="s">
        <v>491</v>
      </c>
      <c r="C195" s="22" t="s">
        <v>307</v>
      </c>
      <c r="D195" s="21" t="s">
        <v>278</v>
      </c>
      <c r="E195" s="22" t="s">
        <v>279</v>
      </c>
      <c r="F195" s="22"/>
      <c r="G195" s="22"/>
      <c r="H195" s="21" t="str">
        <f aca="false">IF(B195="","",IF(COUNTIF('MiT Strom Pipeline'!$B$6:$B$904,B195)&gt;0,"✓",""))</f>
        <v/>
      </c>
      <c r="I195" s="21" t="str">
        <f aca="false">IF(B195="","",IFERROR(VLOOKUP(B195,'MiT Strom Pipeline'!$B$6:$R$904,17,0),""))</f>
        <v/>
      </c>
      <c r="J195" s="22"/>
    </row>
    <row r="196" customFormat="false" ht="19.5" hidden="false" customHeight="true" outlineLevel="0" collapsed="false">
      <c r="A196" s="106" t="n">
        <v>193</v>
      </c>
      <c r="B196" s="107" t="s">
        <v>492</v>
      </c>
      <c r="C196" s="107" t="s">
        <v>288</v>
      </c>
      <c r="D196" s="106" t="s">
        <v>278</v>
      </c>
      <c r="E196" s="107" t="s">
        <v>279</v>
      </c>
      <c r="F196" s="107"/>
      <c r="G196" s="107"/>
      <c r="H196" s="106" t="str">
        <f aca="false">IF(B196="","",IF(COUNTIF('MiT Strom Pipeline'!$B$6:$B$904,B196)&gt;0,"✓",""))</f>
        <v/>
      </c>
      <c r="I196" s="106" t="str">
        <f aca="false">IF(B196="","",IFERROR(VLOOKUP(B196,'MiT Strom Pipeline'!$B$6:$R$904,17,0),""))</f>
        <v/>
      </c>
      <c r="J196" s="107"/>
    </row>
    <row r="197" customFormat="false" ht="19.5" hidden="false" customHeight="true" outlineLevel="0" collapsed="false">
      <c r="A197" s="21" t="n">
        <v>194</v>
      </c>
      <c r="B197" s="22" t="s">
        <v>493</v>
      </c>
      <c r="C197" s="22" t="s">
        <v>288</v>
      </c>
      <c r="D197" s="21" t="s">
        <v>278</v>
      </c>
      <c r="E197" s="22" t="s">
        <v>279</v>
      </c>
      <c r="F197" s="22"/>
      <c r="G197" s="22"/>
      <c r="H197" s="21" t="str">
        <f aca="false">IF(B197="","",IF(COUNTIF('MiT Strom Pipeline'!$B$6:$B$904,B197)&gt;0,"✓",""))</f>
        <v/>
      </c>
      <c r="I197" s="21" t="str">
        <f aca="false">IF(B197="","",IFERROR(VLOOKUP(B197,'MiT Strom Pipeline'!$B$6:$R$904,17,0),""))</f>
        <v/>
      </c>
      <c r="J197" s="22"/>
    </row>
    <row r="198" customFormat="false" ht="19.5" hidden="false" customHeight="true" outlineLevel="0" collapsed="false">
      <c r="A198" s="106" t="n">
        <v>195</v>
      </c>
      <c r="B198" s="107" t="s">
        <v>494</v>
      </c>
      <c r="C198" s="107" t="s">
        <v>109</v>
      </c>
      <c r="D198" s="106" t="s">
        <v>278</v>
      </c>
      <c r="E198" s="107" t="s">
        <v>279</v>
      </c>
      <c r="F198" s="107"/>
      <c r="G198" s="107"/>
      <c r="H198" s="106" t="str">
        <f aca="false">IF(B198="","",IF(COUNTIF('MiT Strom Pipeline'!$B$6:$B$904,B198)&gt;0,"✓",""))</f>
        <v/>
      </c>
      <c r="I198" s="106" t="str">
        <f aca="false">IF(B198="","",IFERROR(VLOOKUP(B198,'MiT Strom Pipeline'!$B$6:$R$904,17,0),""))</f>
        <v/>
      </c>
      <c r="J198" s="107"/>
    </row>
    <row r="199" customFormat="false" ht="19.5" hidden="false" customHeight="true" outlineLevel="0" collapsed="false">
      <c r="A199" s="21" t="n">
        <v>196</v>
      </c>
      <c r="B199" s="22" t="s">
        <v>495</v>
      </c>
      <c r="C199" s="22" t="s">
        <v>288</v>
      </c>
      <c r="D199" s="21" t="s">
        <v>278</v>
      </c>
      <c r="E199" s="22" t="s">
        <v>279</v>
      </c>
      <c r="F199" s="22"/>
      <c r="G199" s="22"/>
      <c r="H199" s="21" t="str">
        <f aca="false">IF(B199="","",IF(COUNTIF('MiT Strom Pipeline'!$B$6:$B$904,B199)&gt;0,"✓",""))</f>
        <v/>
      </c>
      <c r="I199" s="21" t="str">
        <f aca="false">IF(B199="","",IFERROR(VLOOKUP(B199,'MiT Strom Pipeline'!$B$6:$R$904,17,0),""))</f>
        <v/>
      </c>
      <c r="J199" s="22"/>
    </row>
    <row r="200" customFormat="false" ht="19.5" hidden="false" customHeight="true" outlineLevel="0" collapsed="false">
      <c r="A200" s="106" t="n">
        <v>197</v>
      </c>
      <c r="B200" s="107" t="s">
        <v>496</v>
      </c>
      <c r="C200" s="107" t="s">
        <v>288</v>
      </c>
      <c r="D200" s="106" t="s">
        <v>278</v>
      </c>
      <c r="E200" s="107" t="s">
        <v>279</v>
      </c>
      <c r="F200" s="107"/>
      <c r="G200" s="107"/>
      <c r="H200" s="106" t="str">
        <f aca="false">IF(B200="","",IF(COUNTIF('MiT Strom Pipeline'!$B$6:$B$904,B200)&gt;0,"✓",""))</f>
        <v/>
      </c>
      <c r="I200" s="106" t="str">
        <f aca="false">IF(B200="","",IFERROR(VLOOKUP(B200,'MiT Strom Pipeline'!$B$6:$R$904,17,0),""))</f>
        <v/>
      </c>
      <c r="J200" s="107"/>
    </row>
    <row r="201" customFormat="false" ht="19.5" hidden="false" customHeight="true" outlineLevel="0" collapsed="false">
      <c r="A201" s="21" t="n">
        <v>198</v>
      </c>
      <c r="B201" s="22" t="s">
        <v>497</v>
      </c>
      <c r="C201" s="22" t="s">
        <v>288</v>
      </c>
      <c r="D201" s="21" t="s">
        <v>278</v>
      </c>
      <c r="E201" s="22" t="s">
        <v>279</v>
      </c>
      <c r="F201" s="22"/>
      <c r="G201" s="22"/>
      <c r="H201" s="21" t="str">
        <f aca="false">IF(B201="","",IF(COUNTIF('MiT Strom Pipeline'!$B$6:$B$904,B201)&gt;0,"✓",""))</f>
        <v/>
      </c>
      <c r="I201" s="21" t="str">
        <f aca="false">IF(B201="","",IFERROR(VLOOKUP(B201,'MiT Strom Pipeline'!$B$6:$R$904,17,0),""))</f>
        <v/>
      </c>
      <c r="J201" s="22"/>
    </row>
    <row r="202" customFormat="false" ht="19.5" hidden="false" customHeight="true" outlineLevel="0" collapsed="false">
      <c r="A202" s="106" t="n">
        <v>199</v>
      </c>
      <c r="B202" s="107" t="s">
        <v>498</v>
      </c>
      <c r="C202" s="107" t="s">
        <v>288</v>
      </c>
      <c r="D202" s="106" t="s">
        <v>278</v>
      </c>
      <c r="E202" s="107" t="s">
        <v>279</v>
      </c>
      <c r="F202" s="107"/>
      <c r="G202" s="107"/>
      <c r="H202" s="106" t="str">
        <f aca="false">IF(B202="","",IF(COUNTIF('MiT Strom Pipeline'!$B$6:$B$904,B202)&gt;0,"✓",""))</f>
        <v/>
      </c>
      <c r="I202" s="106" t="str">
        <f aca="false">IF(B202="","",IFERROR(VLOOKUP(B202,'MiT Strom Pipeline'!$B$6:$R$904,17,0),""))</f>
        <v/>
      </c>
      <c r="J202" s="107"/>
    </row>
    <row r="203" customFormat="false" ht="19.5" hidden="false" customHeight="true" outlineLevel="0" collapsed="false">
      <c r="A203" s="21" t="n">
        <v>200</v>
      </c>
      <c r="B203" s="22" t="s">
        <v>499</v>
      </c>
      <c r="C203" s="22" t="s">
        <v>288</v>
      </c>
      <c r="D203" s="21" t="s">
        <v>278</v>
      </c>
      <c r="E203" s="22" t="s">
        <v>279</v>
      </c>
      <c r="F203" s="22"/>
      <c r="G203" s="22"/>
      <c r="H203" s="21" t="str">
        <f aca="false">IF(B203="","",IF(COUNTIF('MiT Strom Pipeline'!$B$6:$B$904,B203)&gt;0,"✓",""))</f>
        <v/>
      </c>
      <c r="I203" s="21" t="str">
        <f aca="false">IF(B203="","",IFERROR(VLOOKUP(B203,'MiT Strom Pipeline'!$B$6:$R$904,17,0),""))</f>
        <v/>
      </c>
      <c r="J203" s="22"/>
    </row>
    <row r="204" customFormat="false" ht="19.5" hidden="false" customHeight="true" outlineLevel="0" collapsed="false">
      <c r="A204" s="106" t="n">
        <v>201</v>
      </c>
      <c r="B204" s="107" t="s">
        <v>294</v>
      </c>
      <c r="C204" s="107" t="s">
        <v>295</v>
      </c>
      <c r="D204" s="106" t="s">
        <v>56</v>
      </c>
      <c r="E204" s="107" t="s">
        <v>279</v>
      </c>
      <c r="F204" s="107"/>
      <c r="G204" s="107"/>
      <c r="H204" s="106" t="str">
        <f aca="false">IF(B204="","",IF(COUNTIF('MiT Strom Pipeline'!$B$6:$B$904,B204)&gt;0,"✓",""))</f>
        <v/>
      </c>
      <c r="I204" s="106" t="str">
        <f aca="false">IF(B204="","",IFERROR(VLOOKUP(B204,'MiT Strom Pipeline'!$B$6:$R$904,17,0),""))</f>
        <v/>
      </c>
      <c r="J204" s="107"/>
    </row>
    <row r="205" customFormat="false" ht="19.5" hidden="false" customHeight="true" outlineLevel="0" collapsed="false">
      <c r="A205" s="21" t="n">
        <v>202</v>
      </c>
      <c r="B205" s="22" t="s">
        <v>500</v>
      </c>
      <c r="C205" s="22" t="s">
        <v>288</v>
      </c>
      <c r="D205" s="21" t="s">
        <v>56</v>
      </c>
      <c r="E205" s="22" t="s">
        <v>279</v>
      </c>
      <c r="F205" s="22"/>
      <c r="G205" s="22"/>
      <c r="H205" s="21" t="str">
        <f aca="false">IF(B205="","",IF(COUNTIF('MiT Strom Pipeline'!$B$6:$B$904,B205)&gt;0,"✓",""))</f>
        <v/>
      </c>
      <c r="I205" s="21" t="str">
        <f aca="false">IF(B205="","",IFERROR(VLOOKUP(B205,'MiT Strom Pipeline'!$B$6:$R$904,17,0),""))</f>
        <v/>
      </c>
      <c r="J205" s="22"/>
    </row>
    <row r="206" customFormat="false" ht="19.5" hidden="false" customHeight="true" outlineLevel="0" collapsed="false">
      <c r="A206" s="106" t="n">
        <v>203</v>
      </c>
      <c r="B206" s="107" t="s">
        <v>501</v>
      </c>
      <c r="C206" s="107" t="s">
        <v>288</v>
      </c>
      <c r="D206" s="106" t="s">
        <v>278</v>
      </c>
      <c r="E206" s="107" t="s">
        <v>279</v>
      </c>
      <c r="F206" s="107"/>
      <c r="G206" s="107"/>
      <c r="H206" s="106" t="str">
        <f aca="false">IF(B206="","",IF(COUNTIF('MiT Strom Pipeline'!$B$6:$B$904,B206)&gt;0,"✓",""))</f>
        <v/>
      </c>
      <c r="I206" s="106" t="str">
        <f aca="false">IF(B206="","",IFERROR(VLOOKUP(B206,'MiT Strom Pipeline'!$B$6:$R$904,17,0),""))</f>
        <v/>
      </c>
      <c r="J206" s="107"/>
    </row>
    <row r="207" customFormat="false" ht="19.5" hidden="false" customHeight="true" outlineLevel="0" collapsed="false">
      <c r="A207" s="21" t="n">
        <v>204</v>
      </c>
      <c r="B207" s="22" t="s">
        <v>502</v>
      </c>
      <c r="C207" s="22" t="s">
        <v>288</v>
      </c>
      <c r="D207" s="21" t="s">
        <v>278</v>
      </c>
      <c r="E207" s="22" t="s">
        <v>279</v>
      </c>
      <c r="F207" s="22"/>
      <c r="G207" s="22"/>
      <c r="H207" s="21" t="str">
        <f aca="false">IF(B207="","",IF(COUNTIF('MiT Strom Pipeline'!$B$6:$B$904,B207)&gt;0,"✓",""))</f>
        <v/>
      </c>
      <c r="I207" s="21" t="str">
        <f aca="false">IF(B207="","",IFERROR(VLOOKUP(B207,'MiT Strom Pipeline'!$B$6:$R$904,17,0),""))</f>
        <v/>
      </c>
      <c r="J207" s="22"/>
    </row>
    <row r="208" customFormat="false" ht="19.5" hidden="false" customHeight="true" outlineLevel="0" collapsed="false">
      <c r="A208" s="106" t="n">
        <v>205</v>
      </c>
      <c r="B208" s="107" t="s">
        <v>503</v>
      </c>
      <c r="C208" s="107" t="s">
        <v>288</v>
      </c>
      <c r="D208" s="106" t="s">
        <v>278</v>
      </c>
      <c r="E208" s="107" t="s">
        <v>279</v>
      </c>
      <c r="F208" s="107"/>
      <c r="G208" s="107"/>
      <c r="H208" s="106" t="str">
        <f aca="false">IF(B208="","",IF(COUNTIF('MiT Strom Pipeline'!$B$6:$B$904,B208)&gt;0,"✓",""))</f>
        <v/>
      </c>
      <c r="I208" s="106" t="str">
        <f aca="false">IF(B208="","",IFERROR(VLOOKUP(B208,'MiT Strom Pipeline'!$B$6:$R$904,17,0),""))</f>
        <v/>
      </c>
      <c r="J208" s="107"/>
    </row>
    <row r="209" customFormat="false" ht="19.5" hidden="false" customHeight="true" outlineLevel="0" collapsed="false">
      <c r="A209" s="21" t="n">
        <v>206</v>
      </c>
      <c r="B209" s="22" t="s">
        <v>504</v>
      </c>
      <c r="C209" s="22" t="s">
        <v>143</v>
      </c>
      <c r="D209" s="21" t="s">
        <v>278</v>
      </c>
      <c r="E209" s="22" t="s">
        <v>279</v>
      </c>
      <c r="F209" s="22"/>
      <c r="G209" s="22"/>
      <c r="H209" s="21" t="str">
        <f aca="false">IF(B209="","",IF(COUNTIF('MiT Strom Pipeline'!$B$6:$B$904,B209)&gt;0,"✓",""))</f>
        <v/>
      </c>
      <c r="I209" s="21" t="str">
        <f aca="false">IF(B209="","",IFERROR(VLOOKUP(B209,'MiT Strom Pipeline'!$B$6:$R$904,17,0),""))</f>
        <v/>
      </c>
      <c r="J209" s="22"/>
    </row>
    <row r="210" customFormat="false" ht="19.5" hidden="false" customHeight="true" outlineLevel="0" collapsed="false">
      <c r="A210" s="106" t="n">
        <v>207</v>
      </c>
      <c r="B210" s="107" t="s">
        <v>505</v>
      </c>
      <c r="C210" s="107" t="s">
        <v>288</v>
      </c>
      <c r="D210" s="106" t="s">
        <v>266</v>
      </c>
      <c r="E210" s="107" t="s">
        <v>287</v>
      </c>
      <c r="F210" s="107"/>
      <c r="G210" s="107"/>
      <c r="H210" s="106" t="str">
        <f aca="false">IF(B210="","",IF(COUNTIF('MiT Strom Pipeline'!$B$6:$B$904,B210)&gt;0,"✓",""))</f>
        <v/>
      </c>
      <c r="I210" s="106" t="str">
        <f aca="false">IF(B210="","",IFERROR(VLOOKUP(B210,'MiT Strom Pipeline'!$B$6:$R$904,17,0),""))</f>
        <v/>
      </c>
      <c r="J210" s="107"/>
    </row>
    <row r="211" customFormat="false" ht="19.5" hidden="false" customHeight="true" outlineLevel="0" collapsed="false">
      <c r="A211" s="21" t="n">
        <v>208</v>
      </c>
      <c r="B211" s="22" t="s">
        <v>506</v>
      </c>
      <c r="C211" s="22" t="s">
        <v>354</v>
      </c>
      <c r="D211" s="21" t="s">
        <v>278</v>
      </c>
      <c r="E211" s="22" t="s">
        <v>279</v>
      </c>
      <c r="F211" s="22"/>
      <c r="G211" s="22"/>
      <c r="H211" s="21" t="str">
        <f aca="false">IF(B211="","",IF(COUNTIF('MiT Strom Pipeline'!$B$6:$B$904,B211)&gt;0,"✓",""))</f>
        <v/>
      </c>
      <c r="I211" s="21" t="str">
        <f aca="false">IF(B211="","",IFERROR(VLOOKUP(B211,'MiT Strom Pipeline'!$B$6:$R$904,17,0),""))</f>
        <v/>
      </c>
      <c r="J211" s="22"/>
    </row>
    <row r="212" customFormat="false" ht="19.5" hidden="false" customHeight="true" outlineLevel="0" collapsed="false">
      <c r="A212" s="106" t="n">
        <v>209</v>
      </c>
      <c r="B212" s="107" t="s">
        <v>507</v>
      </c>
      <c r="C212" s="107" t="s">
        <v>288</v>
      </c>
      <c r="D212" s="106" t="s">
        <v>278</v>
      </c>
      <c r="E212" s="107" t="s">
        <v>279</v>
      </c>
      <c r="F212" s="107"/>
      <c r="G212" s="107"/>
      <c r="H212" s="106" t="str">
        <f aca="false">IF(B212="","",IF(COUNTIF('MiT Strom Pipeline'!$B$6:$B$904,B212)&gt;0,"✓",""))</f>
        <v/>
      </c>
      <c r="I212" s="106" t="str">
        <f aca="false">IF(B212="","",IFERROR(VLOOKUP(B212,'MiT Strom Pipeline'!$B$6:$R$904,17,0),""))</f>
        <v/>
      </c>
      <c r="J212" s="107"/>
    </row>
    <row r="213" customFormat="false" ht="19.5" hidden="false" customHeight="true" outlineLevel="0" collapsed="false">
      <c r="A213" s="21" t="n">
        <v>210</v>
      </c>
      <c r="B213" s="22" t="s">
        <v>508</v>
      </c>
      <c r="C213" s="22" t="s">
        <v>288</v>
      </c>
      <c r="D213" s="21" t="s">
        <v>278</v>
      </c>
      <c r="E213" s="22" t="s">
        <v>279</v>
      </c>
      <c r="F213" s="22"/>
      <c r="G213" s="22"/>
      <c r="H213" s="21" t="str">
        <f aca="false">IF(B213="","",IF(COUNTIF('MiT Strom Pipeline'!$B$6:$B$904,B213)&gt;0,"✓",""))</f>
        <v/>
      </c>
      <c r="I213" s="21" t="str">
        <f aca="false">IF(B213="","",IFERROR(VLOOKUP(B213,'MiT Strom Pipeline'!$B$6:$R$904,17,0),""))</f>
        <v/>
      </c>
      <c r="J213" s="22"/>
    </row>
    <row r="214" customFormat="false" ht="19.5" hidden="false" customHeight="true" outlineLevel="0" collapsed="false">
      <c r="A214" s="106" t="n">
        <v>211</v>
      </c>
      <c r="B214" s="107" t="s">
        <v>509</v>
      </c>
      <c r="C214" s="107" t="s">
        <v>307</v>
      </c>
      <c r="D214" s="106" t="s">
        <v>278</v>
      </c>
      <c r="E214" s="107" t="s">
        <v>279</v>
      </c>
      <c r="F214" s="107"/>
      <c r="G214" s="107"/>
      <c r="H214" s="106" t="str">
        <f aca="false">IF(B214="","",IF(COUNTIF('MiT Strom Pipeline'!$B$6:$B$904,B214)&gt;0,"✓",""))</f>
        <v/>
      </c>
      <c r="I214" s="106" t="str">
        <f aca="false">IF(B214="","",IFERROR(VLOOKUP(B214,'MiT Strom Pipeline'!$B$6:$R$904,17,0),""))</f>
        <v/>
      </c>
      <c r="J214" s="107"/>
    </row>
    <row r="215" customFormat="false" ht="19.5" hidden="false" customHeight="true" outlineLevel="0" collapsed="false">
      <c r="A215" s="21" t="n">
        <v>212</v>
      </c>
      <c r="B215" s="22" t="s">
        <v>510</v>
      </c>
      <c r="C215" s="22" t="s">
        <v>288</v>
      </c>
      <c r="D215" s="21" t="s">
        <v>175</v>
      </c>
      <c r="E215" s="22" t="s">
        <v>279</v>
      </c>
      <c r="F215" s="22"/>
      <c r="G215" s="22"/>
      <c r="H215" s="21" t="str">
        <f aca="false">IF(B215="","",IF(COUNTIF('MiT Strom Pipeline'!$B$6:$B$904,B215)&gt;0,"✓",""))</f>
        <v/>
      </c>
      <c r="I215" s="21" t="str">
        <f aca="false">IF(B215="","",IFERROR(VLOOKUP(B215,'MiT Strom Pipeline'!$B$6:$R$904,17,0),""))</f>
        <v/>
      </c>
      <c r="J215" s="22"/>
    </row>
    <row r="216" customFormat="false" ht="19.5" hidden="false" customHeight="true" outlineLevel="0" collapsed="false">
      <c r="A216" s="106" t="n">
        <v>213</v>
      </c>
      <c r="B216" s="107" t="s">
        <v>142</v>
      </c>
      <c r="C216" s="107" t="s">
        <v>288</v>
      </c>
      <c r="D216" s="106" t="s">
        <v>278</v>
      </c>
      <c r="E216" s="107" t="s">
        <v>279</v>
      </c>
      <c r="F216" s="107"/>
      <c r="G216" s="107"/>
      <c r="H216" s="106" t="str">
        <f aca="false">IF(B216="","",IF(COUNTIF('MiT Strom Pipeline'!$B$6:$B$904,B216)&gt;0,"✓",""))</f>
        <v>✓</v>
      </c>
      <c r="I216" s="106" t="str">
        <f aca="false">IF(B216="","",IFERROR(VLOOKUP(B216,'MiT Strom Pipeline'!$B$6:$R$904,17,0),""))</f>
        <v>Evaluation</v>
      </c>
      <c r="J216" s="107"/>
    </row>
    <row r="217" customFormat="false" ht="19.5" hidden="false" customHeight="true" outlineLevel="0" collapsed="false">
      <c r="A217" s="21" t="n">
        <v>214</v>
      </c>
      <c r="B217" s="22" t="s">
        <v>511</v>
      </c>
      <c r="C217" s="22" t="s">
        <v>288</v>
      </c>
      <c r="D217" s="21" t="s">
        <v>278</v>
      </c>
      <c r="E217" s="22" t="s">
        <v>287</v>
      </c>
      <c r="F217" s="22"/>
      <c r="G217" s="22"/>
      <c r="H217" s="21" t="str">
        <f aca="false">IF(B217="","",IF(COUNTIF('MiT Strom Pipeline'!$B$6:$B$904,B217)&gt;0,"✓",""))</f>
        <v/>
      </c>
      <c r="I217" s="21" t="str">
        <f aca="false">IF(B217="","",IFERROR(VLOOKUP(B217,'MiT Strom Pipeline'!$B$6:$R$904,17,0),""))</f>
        <v/>
      </c>
      <c r="J217" s="22"/>
    </row>
    <row r="218" customFormat="false" ht="19.5" hidden="false" customHeight="true" outlineLevel="0" collapsed="false">
      <c r="A218" s="106" t="n">
        <v>215</v>
      </c>
      <c r="B218" s="107" t="s">
        <v>512</v>
      </c>
      <c r="C218" s="107" t="s">
        <v>288</v>
      </c>
      <c r="D218" s="106" t="s">
        <v>278</v>
      </c>
      <c r="E218" s="107" t="s">
        <v>279</v>
      </c>
      <c r="F218" s="107"/>
      <c r="G218" s="107"/>
      <c r="H218" s="106" t="str">
        <f aca="false">IF(B218="","",IF(COUNTIF('MiT Strom Pipeline'!$B$6:$B$904,B218)&gt;0,"✓",""))</f>
        <v/>
      </c>
      <c r="I218" s="106" t="str">
        <f aca="false">IF(B218="","",IFERROR(VLOOKUP(B218,'MiT Strom Pipeline'!$B$6:$R$904,17,0),""))</f>
        <v/>
      </c>
      <c r="J218" s="107"/>
    </row>
    <row r="219" customFormat="false" ht="19.5" hidden="false" customHeight="true" outlineLevel="0" collapsed="false">
      <c r="A219" s="21" t="n">
        <v>216</v>
      </c>
      <c r="B219" s="22" t="s">
        <v>513</v>
      </c>
      <c r="C219" s="22" t="s">
        <v>143</v>
      </c>
      <c r="D219" s="21" t="s">
        <v>278</v>
      </c>
      <c r="E219" s="22" t="s">
        <v>279</v>
      </c>
      <c r="F219" s="22"/>
      <c r="G219" s="22"/>
      <c r="H219" s="21" t="str">
        <f aca="false">IF(B219="","",IF(COUNTIF('MiT Strom Pipeline'!$B$6:$B$904,B219)&gt;0,"✓",""))</f>
        <v/>
      </c>
      <c r="I219" s="21" t="str">
        <f aca="false">IF(B219="","",IFERROR(VLOOKUP(B219,'MiT Strom Pipeline'!$B$6:$R$904,17,0),""))</f>
        <v/>
      </c>
      <c r="J219" s="22"/>
    </row>
    <row r="220" customFormat="false" ht="19.5" hidden="false" customHeight="true" outlineLevel="0" collapsed="false">
      <c r="A220" s="106" t="n">
        <v>217</v>
      </c>
      <c r="B220" s="107" t="s">
        <v>514</v>
      </c>
      <c r="C220" s="107" t="s">
        <v>288</v>
      </c>
      <c r="D220" s="106" t="s">
        <v>278</v>
      </c>
      <c r="E220" s="107" t="s">
        <v>287</v>
      </c>
      <c r="F220" s="107"/>
      <c r="G220" s="107"/>
      <c r="H220" s="106" t="str">
        <f aca="false">IF(B220="","",IF(COUNTIF('MiT Strom Pipeline'!$B$6:$B$904,B220)&gt;0,"✓",""))</f>
        <v/>
      </c>
      <c r="I220" s="106" t="str">
        <f aca="false">IF(B220="","",IFERROR(VLOOKUP(B220,'MiT Strom Pipeline'!$B$6:$R$904,17,0),""))</f>
        <v/>
      </c>
      <c r="J220" s="107"/>
    </row>
    <row r="221" customFormat="false" ht="19.5" hidden="false" customHeight="true" outlineLevel="0" collapsed="false">
      <c r="A221" s="21" t="n">
        <v>218</v>
      </c>
      <c r="B221" s="22" t="s">
        <v>377</v>
      </c>
      <c r="C221" s="22" t="s">
        <v>79</v>
      </c>
      <c r="D221" s="21" t="s">
        <v>278</v>
      </c>
      <c r="E221" s="22" t="s">
        <v>279</v>
      </c>
      <c r="F221" s="22"/>
      <c r="G221" s="22"/>
      <c r="H221" s="21" t="str">
        <f aca="false">IF(B221="","",IF(COUNTIF('MiT Strom Pipeline'!$B$6:$B$904,B221)&gt;0,"✓",""))</f>
        <v/>
      </c>
      <c r="I221" s="21" t="str">
        <f aca="false">IF(B221="","",IFERROR(VLOOKUP(B221,'MiT Strom Pipeline'!$B$6:$R$904,17,0),""))</f>
        <v/>
      </c>
      <c r="J221" s="22"/>
    </row>
    <row r="222" customFormat="false" ht="19.5" hidden="false" customHeight="true" outlineLevel="0" collapsed="false">
      <c r="A222" s="106" t="n">
        <v>219</v>
      </c>
      <c r="B222" s="107" t="s">
        <v>515</v>
      </c>
      <c r="C222" s="107" t="s">
        <v>288</v>
      </c>
      <c r="D222" s="106" t="s">
        <v>278</v>
      </c>
      <c r="E222" s="107" t="s">
        <v>279</v>
      </c>
      <c r="F222" s="107"/>
      <c r="G222" s="107"/>
      <c r="H222" s="106" t="str">
        <f aca="false">IF(B222="","",IF(COUNTIF('MiT Strom Pipeline'!$B$6:$B$904,B222)&gt;0,"✓",""))</f>
        <v/>
      </c>
      <c r="I222" s="106" t="str">
        <f aca="false">IF(B222="","",IFERROR(VLOOKUP(B222,'MiT Strom Pipeline'!$B$6:$R$904,17,0),""))</f>
        <v/>
      </c>
      <c r="J222" s="107"/>
    </row>
    <row r="223" customFormat="false" ht="19.5" hidden="false" customHeight="true" outlineLevel="0" collapsed="false">
      <c r="A223" s="21" t="n">
        <v>220</v>
      </c>
      <c r="B223" s="22" t="s">
        <v>516</v>
      </c>
      <c r="C223" s="22" t="s">
        <v>288</v>
      </c>
      <c r="D223" s="21" t="s">
        <v>278</v>
      </c>
      <c r="E223" s="22" t="s">
        <v>287</v>
      </c>
      <c r="F223" s="22"/>
      <c r="G223" s="22"/>
      <c r="H223" s="21" t="str">
        <f aca="false">IF(B223="","",IF(COUNTIF('MiT Strom Pipeline'!$B$6:$B$904,B223)&gt;0,"✓",""))</f>
        <v/>
      </c>
      <c r="I223" s="21" t="str">
        <f aca="false">IF(B223="","",IFERROR(VLOOKUP(B223,'MiT Strom Pipeline'!$B$6:$R$904,17,0),""))</f>
        <v/>
      </c>
      <c r="J223" s="22"/>
    </row>
    <row r="224" customFormat="false" ht="19.5" hidden="false" customHeight="true" outlineLevel="0" collapsed="false">
      <c r="A224" s="106" t="n">
        <v>221</v>
      </c>
      <c r="B224" s="107" t="s">
        <v>517</v>
      </c>
      <c r="C224" s="107" t="s">
        <v>288</v>
      </c>
      <c r="D224" s="106" t="s">
        <v>278</v>
      </c>
      <c r="E224" s="107" t="s">
        <v>279</v>
      </c>
      <c r="F224" s="107"/>
      <c r="G224" s="107"/>
      <c r="H224" s="106" t="str">
        <f aca="false">IF(B224="","",IF(COUNTIF('MiT Strom Pipeline'!$B$6:$B$904,B224)&gt;0,"✓",""))</f>
        <v/>
      </c>
      <c r="I224" s="106" t="str">
        <f aca="false">IF(B224="","",IFERROR(VLOOKUP(B224,'MiT Strom Pipeline'!$B$6:$R$904,17,0),""))</f>
        <v/>
      </c>
      <c r="J224" s="107"/>
    </row>
    <row r="225" customFormat="false" ht="19.5" hidden="false" customHeight="true" outlineLevel="0" collapsed="false">
      <c r="A225" s="21" t="n">
        <v>222</v>
      </c>
      <c r="B225" s="22" t="s">
        <v>518</v>
      </c>
      <c r="C225" s="22" t="s">
        <v>288</v>
      </c>
      <c r="D225" s="21" t="s">
        <v>278</v>
      </c>
      <c r="E225" s="22" t="s">
        <v>279</v>
      </c>
      <c r="F225" s="22"/>
      <c r="G225" s="22"/>
      <c r="H225" s="21" t="str">
        <f aca="false">IF(B225="","",IF(COUNTIF('MiT Strom Pipeline'!$B$6:$B$904,B225)&gt;0,"✓",""))</f>
        <v/>
      </c>
      <c r="I225" s="21" t="str">
        <f aca="false">IF(B225="","",IFERROR(VLOOKUP(B225,'MiT Strom Pipeline'!$B$6:$R$904,17,0),""))</f>
        <v/>
      </c>
      <c r="J225" s="22"/>
    </row>
    <row r="226" customFormat="false" ht="19.5" hidden="false" customHeight="true" outlineLevel="0" collapsed="false">
      <c r="A226" s="106" t="n">
        <v>223</v>
      </c>
      <c r="B226" s="107" t="s">
        <v>519</v>
      </c>
      <c r="C226" s="107" t="s">
        <v>288</v>
      </c>
      <c r="D226" s="106" t="s">
        <v>278</v>
      </c>
      <c r="E226" s="107" t="s">
        <v>279</v>
      </c>
      <c r="F226" s="107"/>
      <c r="G226" s="107"/>
      <c r="H226" s="106" t="str">
        <f aca="false">IF(B226="","",IF(COUNTIF('MiT Strom Pipeline'!$B$6:$B$904,B226)&gt;0,"✓",""))</f>
        <v/>
      </c>
      <c r="I226" s="106" t="str">
        <f aca="false">IF(B226="","",IFERROR(VLOOKUP(B226,'MiT Strom Pipeline'!$B$6:$R$904,17,0),""))</f>
        <v/>
      </c>
      <c r="J226" s="107"/>
    </row>
    <row r="227" customFormat="false" ht="19.5" hidden="false" customHeight="true" outlineLevel="0" collapsed="false">
      <c r="A227" s="21" t="n">
        <v>224</v>
      </c>
      <c r="B227" s="22" t="s">
        <v>520</v>
      </c>
      <c r="C227" s="22" t="s">
        <v>288</v>
      </c>
      <c r="D227" s="21" t="s">
        <v>278</v>
      </c>
      <c r="E227" s="22" t="s">
        <v>279</v>
      </c>
      <c r="F227" s="22"/>
      <c r="G227" s="22"/>
      <c r="H227" s="21" t="str">
        <f aca="false">IF(B227="","",IF(COUNTIF('MiT Strom Pipeline'!$B$6:$B$904,B227)&gt;0,"✓",""))</f>
        <v/>
      </c>
      <c r="I227" s="21" t="str">
        <f aca="false">IF(B227="","",IFERROR(VLOOKUP(B227,'MiT Strom Pipeline'!$B$6:$R$904,17,0),""))</f>
        <v/>
      </c>
      <c r="J227" s="22"/>
    </row>
    <row r="228" customFormat="false" ht="19.5" hidden="false" customHeight="true" outlineLevel="0" collapsed="false">
      <c r="A228" s="106" t="n">
        <v>225</v>
      </c>
      <c r="B228" s="107" t="s">
        <v>521</v>
      </c>
      <c r="C228" s="107" t="s">
        <v>288</v>
      </c>
      <c r="D228" s="106" t="s">
        <v>278</v>
      </c>
      <c r="E228" s="107" t="s">
        <v>279</v>
      </c>
      <c r="F228" s="107"/>
      <c r="G228" s="107"/>
      <c r="H228" s="106" t="str">
        <f aca="false">IF(B228="","",IF(COUNTIF('MiT Strom Pipeline'!$B$6:$B$904,B228)&gt;0,"✓",""))</f>
        <v/>
      </c>
      <c r="I228" s="106" t="str">
        <f aca="false">IF(B228="","",IFERROR(VLOOKUP(B228,'MiT Strom Pipeline'!$B$6:$R$904,17,0),""))</f>
        <v/>
      </c>
      <c r="J228" s="107"/>
    </row>
    <row r="229" customFormat="false" ht="19.5" hidden="false" customHeight="true" outlineLevel="0" collapsed="false">
      <c r="A229" s="21" t="n">
        <v>226</v>
      </c>
      <c r="B229" s="22" t="s">
        <v>522</v>
      </c>
      <c r="C229" s="22" t="s">
        <v>307</v>
      </c>
      <c r="D229" s="21" t="s">
        <v>278</v>
      </c>
      <c r="E229" s="22" t="s">
        <v>279</v>
      </c>
      <c r="F229" s="22"/>
      <c r="G229" s="22"/>
      <c r="H229" s="21" t="str">
        <f aca="false">IF(B229="","",IF(COUNTIF('MiT Strom Pipeline'!$B$6:$B$904,B229)&gt;0,"✓",""))</f>
        <v/>
      </c>
      <c r="I229" s="21" t="str">
        <f aca="false">IF(B229="","",IFERROR(VLOOKUP(B229,'MiT Strom Pipeline'!$B$6:$R$904,17,0),""))</f>
        <v/>
      </c>
      <c r="J229" s="22"/>
    </row>
    <row r="230" customFormat="false" ht="19.5" hidden="false" customHeight="true" outlineLevel="0" collapsed="false">
      <c r="A230" s="106" t="n">
        <v>227</v>
      </c>
      <c r="B230" s="107" t="s">
        <v>523</v>
      </c>
      <c r="C230" s="107" t="s">
        <v>288</v>
      </c>
      <c r="D230" s="106" t="s">
        <v>278</v>
      </c>
      <c r="E230" s="107" t="s">
        <v>279</v>
      </c>
      <c r="F230" s="107"/>
      <c r="G230" s="107"/>
      <c r="H230" s="106" t="str">
        <f aca="false">IF(B230="","",IF(COUNTIF('MiT Strom Pipeline'!$B$6:$B$904,B230)&gt;0,"✓",""))</f>
        <v/>
      </c>
      <c r="I230" s="106" t="str">
        <f aca="false">IF(B230="","",IFERROR(VLOOKUP(B230,'MiT Strom Pipeline'!$B$6:$R$904,17,0),""))</f>
        <v/>
      </c>
      <c r="J230" s="107"/>
    </row>
    <row r="231" customFormat="false" ht="19.5" hidden="false" customHeight="true" outlineLevel="0" collapsed="false">
      <c r="A231" s="21" t="n">
        <v>228</v>
      </c>
      <c r="B231" s="22" t="s">
        <v>524</v>
      </c>
      <c r="C231" s="22" t="s">
        <v>288</v>
      </c>
      <c r="D231" s="21" t="s">
        <v>278</v>
      </c>
      <c r="E231" s="22" t="s">
        <v>279</v>
      </c>
      <c r="F231" s="22"/>
      <c r="G231" s="22"/>
      <c r="H231" s="21" t="str">
        <f aca="false">IF(B231="","",IF(COUNTIF('MiT Strom Pipeline'!$B$6:$B$904,B231)&gt;0,"✓",""))</f>
        <v/>
      </c>
      <c r="I231" s="21" t="str">
        <f aca="false">IF(B231="","",IFERROR(VLOOKUP(B231,'MiT Strom Pipeline'!$B$6:$R$904,17,0),""))</f>
        <v/>
      </c>
      <c r="J231" s="22"/>
    </row>
    <row r="232" customFormat="false" ht="19.5" hidden="false" customHeight="true" outlineLevel="0" collapsed="false">
      <c r="A232" s="106" t="n">
        <v>229</v>
      </c>
      <c r="B232" s="107" t="s">
        <v>525</v>
      </c>
      <c r="C232" s="107" t="s">
        <v>288</v>
      </c>
      <c r="D232" s="106" t="s">
        <v>56</v>
      </c>
      <c r="E232" s="107" t="s">
        <v>279</v>
      </c>
      <c r="F232" s="107"/>
      <c r="G232" s="107"/>
      <c r="H232" s="106" t="str">
        <f aca="false">IF(B232="","",IF(COUNTIF('MiT Strom Pipeline'!$B$6:$B$904,B232)&gt;0,"✓",""))</f>
        <v/>
      </c>
      <c r="I232" s="106" t="str">
        <f aca="false">IF(B232="","",IFERROR(VLOOKUP(B232,'MiT Strom Pipeline'!$B$6:$R$904,17,0),""))</f>
        <v/>
      </c>
      <c r="J232" s="107"/>
    </row>
    <row r="233" customFormat="false" ht="19.5" hidden="false" customHeight="true" outlineLevel="0" collapsed="false">
      <c r="A233" s="21" t="n">
        <v>230</v>
      </c>
      <c r="B233" s="22" t="s">
        <v>526</v>
      </c>
      <c r="C233" s="22" t="s">
        <v>288</v>
      </c>
      <c r="D233" s="21" t="s">
        <v>278</v>
      </c>
      <c r="E233" s="22" t="s">
        <v>279</v>
      </c>
      <c r="F233" s="22"/>
      <c r="G233" s="22"/>
      <c r="H233" s="21" t="str">
        <f aca="false">IF(B233="","",IF(COUNTIF('MiT Strom Pipeline'!$B$6:$B$904,B233)&gt;0,"✓",""))</f>
        <v/>
      </c>
      <c r="I233" s="21" t="str">
        <f aca="false">IF(B233="","",IFERROR(VLOOKUP(B233,'MiT Strom Pipeline'!$B$6:$R$904,17,0),""))</f>
        <v/>
      </c>
      <c r="J233" s="22"/>
    </row>
    <row r="234" customFormat="false" ht="19.5" hidden="false" customHeight="true" outlineLevel="0" collapsed="false">
      <c r="A234" s="106" t="n">
        <v>231</v>
      </c>
      <c r="B234" s="107" t="s">
        <v>527</v>
      </c>
      <c r="C234" s="107" t="s">
        <v>321</v>
      </c>
      <c r="D234" s="106" t="s">
        <v>56</v>
      </c>
      <c r="E234" s="107" t="s">
        <v>279</v>
      </c>
      <c r="F234" s="107"/>
      <c r="G234" s="107"/>
      <c r="H234" s="106" t="str">
        <f aca="false">IF(B234="","",IF(COUNTIF('MiT Strom Pipeline'!$B$6:$B$904,B234)&gt;0,"✓",""))</f>
        <v/>
      </c>
      <c r="I234" s="106" t="str">
        <f aca="false">IF(B234="","",IFERROR(VLOOKUP(B234,'MiT Strom Pipeline'!$B$6:$R$904,17,0),""))</f>
        <v/>
      </c>
      <c r="J234" s="107"/>
    </row>
    <row r="235" customFormat="false" ht="19.5" hidden="false" customHeight="true" outlineLevel="0" collapsed="false">
      <c r="A235" s="21" t="n">
        <v>232</v>
      </c>
      <c r="B235" s="22" t="s">
        <v>528</v>
      </c>
      <c r="C235" s="22" t="s">
        <v>288</v>
      </c>
      <c r="D235" s="21" t="s">
        <v>278</v>
      </c>
      <c r="E235" s="22" t="s">
        <v>279</v>
      </c>
      <c r="F235" s="22"/>
      <c r="G235" s="22"/>
      <c r="H235" s="21" t="str">
        <f aca="false">IF(B235="","",IF(COUNTIF('MiT Strom Pipeline'!$B$6:$B$904,B235)&gt;0,"✓",""))</f>
        <v/>
      </c>
      <c r="I235" s="21" t="str">
        <f aca="false">IF(B235="","",IFERROR(VLOOKUP(B235,'MiT Strom Pipeline'!$B$6:$R$904,17,0),""))</f>
        <v/>
      </c>
      <c r="J235" s="22"/>
    </row>
    <row r="236" customFormat="false" ht="19.5" hidden="false" customHeight="true" outlineLevel="0" collapsed="false">
      <c r="A236" s="106" t="n">
        <v>233</v>
      </c>
      <c r="B236" s="107" t="s">
        <v>529</v>
      </c>
      <c r="C236" s="107" t="s">
        <v>288</v>
      </c>
      <c r="D236" s="106" t="s">
        <v>278</v>
      </c>
      <c r="E236" s="107" t="s">
        <v>279</v>
      </c>
      <c r="F236" s="107"/>
      <c r="G236" s="107"/>
      <c r="H236" s="106" t="str">
        <f aca="false">IF(B236="","",IF(COUNTIF('MiT Strom Pipeline'!$B$6:$B$904,B236)&gt;0,"✓",""))</f>
        <v/>
      </c>
      <c r="I236" s="106" t="str">
        <f aca="false">IF(B236="","",IFERROR(VLOOKUP(B236,'MiT Strom Pipeline'!$B$6:$R$904,17,0),""))</f>
        <v/>
      </c>
      <c r="J236" s="107"/>
    </row>
    <row r="237" customFormat="false" ht="19.5" hidden="false" customHeight="true" outlineLevel="0" collapsed="false">
      <c r="A237" s="21" t="n">
        <v>234</v>
      </c>
      <c r="B237" s="22" t="s">
        <v>530</v>
      </c>
      <c r="C237" s="22" t="s">
        <v>288</v>
      </c>
      <c r="D237" s="21" t="s">
        <v>278</v>
      </c>
      <c r="E237" s="22" t="s">
        <v>279</v>
      </c>
      <c r="F237" s="22"/>
      <c r="G237" s="22"/>
      <c r="H237" s="21" t="str">
        <f aca="false">IF(B237="","",IF(COUNTIF('MiT Strom Pipeline'!$B$6:$B$904,B237)&gt;0,"✓",""))</f>
        <v/>
      </c>
      <c r="I237" s="21" t="str">
        <f aca="false">IF(B237="","",IFERROR(VLOOKUP(B237,'MiT Strom Pipeline'!$B$6:$R$904,17,0),""))</f>
        <v/>
      </c>
      <c r="J237" s="22"/>
    </row>
    <row r="238" customFormat="false" ht="19.5" hidden="false" customHeight="true" outlineLevel="0" collapsed="false">
      <c r="A238" s="106" t="n">
        <v>235</v>
      </c>
      <c r="B238" s="107" t="s">
        <v>531</v>
      </c>
      <c r="C238" s="107" t="s">
        <v>288</v>
      </c>
      <c r="D238" s="106" t="s">
        <v>278</v>
      </c>
      <c r="E238" s="107" t="s">
        <v>279</v>
      </c>
      <c r="F238" s="107"/>
      <c r="G238" s="107"/>
      <c r="H238" s="106" t="str">
        <f aca="false">IF(B238="","",IF(COUNTIF('MiT Strom Pipeline'!$B$6:$B$904,B238)&gt;0,"✓",""))</f>
        <v/>
      </c>
      <c r="I238" s="106" t="str">
        <f aca="false">IF(B238="","",IFERROR(VLOOKUP(B238,'MiT Strom Pipeline'!$B$6:$R$904,17,0),""))</f>
        <v/>
      </c>
      <c r="J238" s="107"/>
    </row>
    <row r="239" customFormat="false" ht="19.5" hidden="false" customHeight="true" outlineLevel="0" collapsed="false">
      <c r="A239" s="21" t="n">
        <v>236</v>
      </c>
      <c r="B239" s="22" t="s">
        <v>532</v>
      </c>
      <c r="C239" s="22" t="s">
        <v>288</v>
      </c>
      <c r="D239" s="21" t="s">
        <v>278</v>
      </c>
      <c r="E239" s="22" t="s">
        <v>279</v>
      </c>
      <c r="F239" s="22"/>
      <c r="G239" s="22"/>
      <c r="H239" s="21" t="str">
        <f aca="false">IF(B239="","",IF(COUNTIF('MiT Strom Pipeline'!$B$6:$B$904,B239)&gt;0,"✓",""))</f>
        <v/>
      </c>
      <c r="I239" s="21" t="str">
        <f aca="false">IF(B239="","",IFERROR(VLOOKUP(B239,'MiT Strom Pipeline'!$B$6:$R$904,17,0),""))</f>
        <v/>
      </c>
      <c r="J239" s="22"/>
    </row>
    <row r="240" customFormat="false" ht="19.5" hidden="false" customHeight="true" outlineLevel="0" collapsed="false">
      <c r="A240" s="106" t="n">
        <v>237</v>
      </c>
      <c r="B240" s="107" t="s">
        <v>533</v>
      </c>
      <c r="C240" s="107" t="s">
        <v>288</v>
      </c>
      <c r="D240" s="106" t="s">
        <v>278</v>
      </c>
      <c r="E240" s="107" t="s">
        <v>279</v>
      </c>
      <c r="F240" s="107"/>
      <c r="G240" s="107"/>
      <c r="H240" s="106" t="str">
        <f aca="false">IF(B240="","",IF(COUNTIF('MiT Strom Pipeline'!$B$6:$B$904,B240)&gt;0,"✓",""))</f>
        <v/>
      </c>
      <c r="I240" s="106" t="str">
        <f aca="false">IF(B240="","",IFERROR(VLOOKUP(B240,'MiT Strom Pipeline'!$B$6:$R$904,17,0),""))</f>
        <v/>
      </c>
      <c r="J240" s="107"/>
    </row>
    <row r="241" customFormat="false" ht="19.5" hidden="false" customHeight="true" outlineLevel="0" collapsed="false">
      <c r="A241" s="21" t="n">
        <v>238</v>
      </c>
      <c r="B241" s="22" t="s">
        <v>534</v>
      </c>
      <c r="C241" s="22" t="s">
        <v>288</v>
      </c>
      <c r="D241" s="21" t="s">
        <v>268</v>
      </c>
      <c r="E241" s="22" t="s">
        <v>287</v>
      </c>
      <c r="F241" s="22"/>
      <c r="G241" s="22"/>
      <c r="H241" s="21" t="str">
        <f aca="false">IF(B241="","",IF(COUNTIF('MiT Strom Pipeline'!$B$6:$B$904,B241)&gt;0,"✓",""))</f>
        <v/>
      </c>
      <c r="I241" s="21" t="str">
        <f aca="false">IF(B241="","",IFERROR(VLOOKUP(B241,'MiT Strom Pipeline'!$B$6:$R$904,17,0),""))</f>
        <v/>
      </c>
      <c r="J241" s="22"/>
    </row>
    <row r="242" customFormat="false" ht="19.5" hidden="false" customHeight="true" outlineLevel="0" collapsed="false">
      <c r="A242" s="106" t="n">
        <v>239</v>
      </c>
      <c r="B242" s="107" t="s">
        <v>535</v>
      </c>
      <c r="C242" s="107" t="s">
        <v>288</v>
      </c>
      <c r="D242" s="106" t="s">
        <v>278</v>
      </c>
      <c r="E242" s="107" t="s">
        <v>279</v>
      </c>
      <c r="F242" s="107"/>
      <c r="G242" s="107"/>
      <c r="H242" s="106" t="str">
        <f aca="false">IF(B242="","",IF(COUNTIF('MiT Strom Pipeline'!$B$6:$B$904,B242)&gt;0,"✓",""))</f>
        <v/>
      </c>
      <c r="I242" s="106" t="str">
        <f aca="false">IF(B242="","",IFERROR(VLOOKUP(B242,'MiT Strom Pipeline'!$B$6:$R$904,17,0),""))</f>
        <v/>
      </c>
      <c r="J242" s="107"/>
    </row>
    <row r="243" customFormat="false" ht="19.5" hidden="false" customHeight="true" outlineLevel="0" collapsed="false">
      <c r="A243" s="21" t="n">
        <v>240</v>
      </c>
      <c r="B243" s="22" t="s">
        <v>536</v>
      </c>
      <c r="C243" s="22" t="s">
        <v>288</v>
      </c>
      <c r="D243" s="21" t="s">
        <v>278</v>
      </c>
      <c r="E243" s="22" t="s">
        <v>279</v>
      </c>
      <c r="F243" s="22"/>
      <c r="G243" s="22"/>
      <c r="H243" s="21" t="str">
        <f aca="false">IF(B243="","",IF(COUNTIF('MiT Strom Pipeline'!$B$6:$B$904,B243)&gt;0,"✓",""))</f>
        <v/>
      </c>
      <c r="I243" s="21" t="str">
        <f aca="false">IF(B243="","",IFERROR(VLOOKUP(B243,'MiT Strom Pipeline'!$B$6:$R$904,17,0),""))</f>
        <v/>
      </c>
      <c r="J243" s="22"/>
    </row>
    <row r="244" customFormat="false" ht="19.5" hidden="false" customHeight="true" outlineLevel="0" collapsed="false">
      <c r="A244" s="106" t="n">
        <v>241</v>
      </c>
      <c r="B244" s="107" t="s">
        <v>537</v>
      </c>
      <c r="C244" s="107" t="s">
        <v>288</v>
      </c>
      <c r="D244" s="106" t="s">
        <v>278</v>
      </c>
      <c r="E244" s="107" t="s">
        <v>279</v>
      </c>
      <c r="F244" s="107"/>
      <c r="G244" s="107"/>
      <c r="H244" s="106" t="str">
        <f aca="false">IF(B244="","",IF(COUNTIF('MiT Strom Pipeline'!$B$6:$B$904,B244)&gt;0,"✓",""))</f>
        <v/>
      </c>
      <c r="I244" s="106" t="str">
        <f aca="false">IF(B244="","",IFERROR(VLOOKUP(B244,'MiT Strom Pipeline'!$B$6:$R$904,17,0),""))</f>
        <v/>
      </c>
      <c r="J244" s="107"/>
    </row>
    <row r="245" customFormat="false" ht="19.5" hidden="false" customHeight="true" outlineLevel="0" collapsed="false">
      <c r="A245" s="21" t="n">
        <v>242</v>
      </c>
      <c r="B245" s="22" t="s">
        <v>538</v>
      </c>
      <c r="C245" s="22" t="s">
        <v>288</v>
      </c>
      <c r="D245" s="21" t="s">
        <v>56</v>
      </c>
      <c r="E245" s="22" t="s">
        <v>279</v>
      </c>
      <c r="F245" s="22"/>
      <c r="G245" s="22"/>
      <c r="H245" s="21" t="str">
        <f aca="false">IF(B245="","",IF(COUNTIF('MiT Strom Pipeline'!$B$6:$B$904,B245)&gt;0,"✓",""))</f>
        <v/>
      </c>
      <c r="I245" s="21" t="str">
        <f aca="false">IF(B245="","",IFERROR(VLOOKUP(B245,'MiT Strom Pipeline'!$B$6:$R$904,17,0),""))</f>
        <v/>
      </c>
      <c r="J245" s="22"/>
    </row>
    <row r="246" customFormat="false" ht="19.5" hidden="false" customHeight="true" outlineLevel="0" collapsed="false">
      <c r="A246" s="106" t="n">
        <v>243</v>
      </c>
      <c r="B246" s="107" t="s">
        <v>539</v>
      </c>
      <c r="C246" s="107" t="s">
        <v>288</v>
      </c>
      <c r="D246" s="106" t="s">
        <v>278</v>
      </c>
      <c r="E246" s="107" t="s">
        <v>287</v>
      </c>
      <c r="F246" s="107"/>
      <c r="G246" s="107"/>
      <c r="H246" s="106" t="str">
        <f aca="false">IF(B246="","",IF(COUNTIF('MiT Strom Pipeline'!$B$6:$B$904,B246)&gt;0,"✓",""))</f>
        <v/>
      </c>
      <c r="I246" s="106" t="str">
        <f aca="false">IF(B246="","",IFERROR(VLOOKUP(B246,'MiT Strom Pipeline'!$B$6:$R$904,17,0),""))</f>
        <v/>
      </c>
      <c r="J246" s="107"/>
    </row>
    <row r="247" customFormat="false" ht="19.5" hidden="false" customHeight="true" outlineLevel="0" collapsed="false">
      <c r="A247" s="21" t="n">
        <v>244</v>
      </c>
      <c r="B247" s="22" t="s">
        <v>540</v>
      </c>
      <c r="C247" s="22" t="s">
        <v>288</v>
      </c>
      <c r="D247" s="21" t="s">
        <v>278</v>
      </c>
      <c r="E247" s="22" t="s">
        <v>279</v>
      </c>
      <c r="F247" s="22"/>
      <c r="G247" s="22"/>
      <c r="H247" s="21" t="str">
        <f aca="false">IF(B247="","",IF(COUNTIF('MiT Strom Pipeline'!$B$6:$B$904,B247)&gt;0,"✓",""))</f>
        <v/>
      </c>
      <c r="I247" s="21" t="str">
        <f aca="false">IF(B247="","",IFERROR(VLOOKUP(B247,'MiT Strom Pipeline'!$B$6:$R$904,17,0),""))</f>
        <v/>
      </c>
      <c r="J247" s="22"/>
    </row>
    <row r="248" customFormat="false" ht="19.5" hidden="false" customHeight="true" outlineLevel="0" collapsed="false">
      <c r="A248" s="106" t="n">
        <v>245</v>
      </c>
      <c r="B248" s="107" t="s">
        <v>541</v>
      </c>
      <c r="C248" s="107" t="s">
        <v>288</v>
      </c>
      <c r="D248" s="106" t="s">
        <v>278</v>
      </c>
      <c r="E248" s="107" t="s">
        <v>287</v>
      </c>
      <c r="F248" s="107"/>
      <c r="G248" s="107"/>
      <c r="H248" s="106" t="str">
        <f aca="false">IF(B248="","",IF(COUNTIF('MiT Strom Pipeline'!$B$6:$B$904,B248)&gt;0,"✓",""))</f>
        <v/>
      </c>
      <c r="I248" s="106" t="str">
        <f aca="false">IF(B248="","",IFERROR(VLOOKUP(B248,'MiT Strom Pipeline'!$B$6:$R$904,17,0),""))</f>
        <v/>
      </c>
      <c r="J248" s="107"/>
    </row>
    <row r="249" customFormat="false" ht="19.5" hidden="false" customHeight="true" outlineLevel="0" collapsed="false">
      <c r="A249" s="21" t="n">
        <v>246</v>
      </c>
      <c r="B249" s="22" t="s">
        <v>542</v>
      </c>
      <c r="C249" s="22" t="s">
        <v>288</v>
      </c>
      <c r="D249" s="21" t="s">
        <v>278</v>
      </c>
      <c r="E249" s="22" t="s">
        <v>279</v>
      </c>
      <c r="F249" s="22"/>
      <c r="G249" s="22"/>
      <c r="H249" s="21" t="str">
        <f aca="false">IF(B249="","",IF(COUNTIF('MiT Strom Pipeline'!$B$6:$B$904,B249)&gt;0,"✓",""))</f>
        <v/>
      </c>
      <c r="I249" s="21" t="str">
        <f aca="false">IF(B249="","",IFERROR(VLOOKUP(B249,'MiT Strom Pipeline'!$B$6:$R$904,17,0),""))</f>
        <v/>
      </c>
      <c r="J249" s="22"/>
    </row>
    <row r="250" customFormat="false" ht="19.5" hidden="false" customHeight="true" outlineLevel="0" collapsed="false">
      <c r="A250" s="106" t="n">
        <v>247</v>
      </c>
      <c r="B250" s="107" t="s">
        <v>543</v>
      </c>
      <c r="C250" s="107" t="s">
        <v>143</v>
      </c>
      <c r="D250" s="106" t="s">
        <v>278</v>
      </c>
      <c r="E250" s="107" t="s">
        <v>279</v>
      </c>
      <c r="F250" s="107"/>
      <c r="G250" s="107"/>
      <c r="H250" s="106" t="str">
        <f aca="false">IF(B250="","",IF(COUNTIF('MiT Strom Pipeline'!$B$6:$B$904,B250)&gt;0,"✓",""))</f>
        <v/>
      </c>
      <c r="I250" s="106" t="str">
        <f aca="false">IF(B250="","",IFERROR(VLOOKUP(B250,'MiT Strom Pipeline'!$B$6:$R$904,17,0),""))</f>
        <v/>
      </c>
      <c r="J250" s="107"/>
    </row>
    <row r="251" customFormat="false" ht="19.5" hidden="false" customHeight="true" outlineLevel="0" collapsed="false">
      <c r="A251" s="21" t="n">
        <v>248</v>
      </c>
      <c r="B251" s="22" t="s">
        <v>544</v>
      </c>
      <c r="C251" s="22" t="s">
        <v>143</v>
      </c>
      <c r="D251" s="21" t="s">
        <v>278</v>
      </c>
      <c r="E251" s="22" t="s">
        <v>279</v>
      </c>
      <c r="F251" s="22"/>
      <c r="G251" s="22"/>
      <c r="H251" s="21" t="str">
        <f aca="false">IF(B251="","",IF(COUNTIF('MiT Strom Pipeline'!$B$6:$B$904,B251)&gt;0,"✓",""))</f>
        <v/>
      </c>
      <c r="I251" s="21" t="str">
        <f aca="false">IF(B251="","",IFERROR(VLOOKUP(B251,'MiT Strom Pipeline'!$B$6:$R$904,17,0),""))</f>
        <v/>
      </c>
      <c r="J251" s="22"/>
    </row>
    <row r="252" customFormat="false" ht="19.5" hidden="false" customHeight="true" outlineLevel="0" collapsed="false">
      <c r="A252" s="106" t="n">
        <v>249</v>
      </c>
      <c r="B252" s="107" t="s">
        <v>545</v>
      </c>
      <c r="C252" s="107" t="s">
        <v>288</v>
      </c>
      <c r="D252" s="106" t="s">
        <v>278</v>
      </c>
      <c r="E252" s="107" t="s">
        <v>287</v>
      </c>
      <c r="F252" s="107"/>
      <c r="G252" s="107"/>
      <c r="H252" s="106" t="str">
        <f aca="false">IF(B252="","",IF(COUNTIF('MiT Strom Pipeline'!$B$6:$B$904,B252)&gt;0,"✓",""))</f>
        <v/>
      </c>
      <c r="I252" s="106" t="str">
        <f aca="false">IF(B252="","",IFERROR(VLOOKUP(B252,'MiT Strom Pipeline'!$B$6:$R$904,17,0),""))</f>
        <v/>
      </c>
      <c r="J252" s="107"/>
    </row>
    <row r="253" customFormat="false" ht="19.5" hidden="false" customHeight="true" outlineLevel="0" collapsed="false">
      <c r="A253" s="21" t="n">
        <v>250</v>
      </c>
      <c r="B253" s="22" t="s">
        <v>546</v>
      </c>
      <c r="C253" s="22" t="s">
        <v>288</v>
      </c>
      <c r="D253" s="21" t="s">
        <v>278</v>
      </c>
      <c r="E253" s="22" t="s">
        <v>279</v>
      </c>
      <c r="F253" s="22"/>
      <c r="G253" s="22"/>
      <c r="H253" s="21" t="str">
        <f aca="false">IF(B253="","",IF(COUNTIF('MiT Strom Pipeline'!$B$6:$B$904,B253)&gt;0,"✓",""))</f>
        <v/>
      </c>
      <c r="I253" s="21" t="str">
        <f aca="false">IF(B253="","",IFERROR(VLOOKUP(B253,'MiT Strom Pipeline'!$B$6:$R$904,17,0),""))</f>
        <v/>
      </c>
      <c r="J253" s="22"/>
    </row>
    <row r="254" customFormat="false" ht="19.5" hidden="false" customHeight="true" outlineLevel="0" collapsed="false">
      <c r="A254" s="106" t="n">
        <v>251</v>
      </c>
      <c r="B254" s="107" t="s">
        <v>547</v>
      </c>
      <c r="C254" s="107" t="s">
        <v>288</v>
      </c>
      <c r="D254" s="106" t="s">
        <v>278</v>
      </c>
      <c r="E254" s="107" t="s">
        <v>287</v>
      </c>
      <c r="F254" s="107"/>
      <c r="G254" s="107"/>
      <c r="H254" s="106" t="str">
        <f aca="false">IF(B254="","",IF(COUNTIF('MiT Strom Pipeline'!$B$6:$B$904,B254)&gt;0,"✓",""))</f>
        <v/>
      </c>
      <c r="I254" s="106" t="str">
        <f aca="false">IF(B254="","",IFERROR(VLOOKUP(B254,'MiT Strom Pipeline'!$B$6:$R$904,17,0),""))</f>
        <v/>
      </c>
      <c r="J254" s="107"/>
    </row>
    <row r="255" customFormat="false" ht="19.5" hidden="false" customHeight="true" outlineLevel="0" collapsed="false">
      <c r="A255" s="21" t="n">
        <v>252</v>
      </c>
      <c r="B255" s="22" t="s">
        <v>548</v>
      </c>
      <c r="C255" s="22" t="s">
        <v>307</v>
      </c>
      <c r="D255" s="21" t="s">
        <v>278</v>
      </c>
      <c r="E255" s="22" t="s">
        <v>279</v>
      </c>
      <c r="F255" s="22"/>
      <c r="G255" s="22"/>
      <c r="H255" s="21" t="str">
        <f aca="false">IF(B255="","",IF(COUNTIF('MiT Strom Pipeline'!$B$6:$B$904,B255)&gt;0,"✓",""))</f>
        <v/>
      </c>
      <c r="I255" s="21" t="str">
        <f aca="false">IF(B255="","",IFERROR(VLOOKUP(B255,'MiT Strom Pipeline'!$B$6:$R$904,17,0),""))</f>
        <v/>
      </c>
      <c r="J255" s="22"/>
    </row>
    <row r="256" customFormat="false" ht="19.5" hidden="false" customHeight="true" outlineLevel="0" collapsed="false">
      <c r="A256" s="106" t="n">
        <v>253</v>
      </c>
      <c r="B256" s="107" t="s">
        <v>549</v>
      </c>
      <c r="C256" s="107" t="s">
        <v>288</v>
      </c>
      <c r="D256" s="106" t="s">
        <v>278</v>
      </c>
      <c r="E256" s="107" t="s">
        <v>279</v>
      </c>
      <c r="F256" s="107"/>
      <c r="G256" s="107"/>
      <c r="H256" s="106" t="str">
        <f aca="false">IF(B256="","",IF(COUNTIF('MiT Strom Pipeline'!$B$6:$B$904,B256)&gt;0,"✓",""))</f>
        <v/>
      </c>
      <c r="I256" s="106" t="str">
        <f aca="false">IF(B256="","",IFERROR(VLOOKUP(B256,'MiT Strom Pipeline'!$B$6:$R$904,17,0),""))</f>
        <v/>
      </c>
      <c r="J256" s="107"/>
    </row>
    <row r="257" customFormat="false" ht="19.5" hidden="false" customHeight="true" outlineLevel="0" collapsed="false">
      <c r="A257" s="21" t="n">
        <v>254</v>
      </c>
      <c r="B257" s="22" t="s">
        <v>455</v>
      </c>
      <c r="C257" s="22" t="s">
        <v>288</v>
      </c>
      <c r="D257" s="21" t="s">
        <v>278</v>
      </c>
      <c r="E257" s="22" t="s">
        <v>279</v>
      </c>
      <c r="F257" s="22"/>
      <c r="G257" s="22"/>
      <c r="H257" s="21" t="str">
        <f aca="false">IF(B257="","",IF(COUNTIF('MiT Strom Pipeline'!$B$6:$B$904,B257)&gt;0,"✓",""))</f>
        <v/>
      </c>
      <c r="I257" s="21" t="str">
        <f aca="false">IF(B257="","",IFERROR(VLOOKUP(B257,'MiT Strom Pipeline'!$B$6:$R$904,17,0),""))</f>
        <v/>
      </c>
      <c r="J257" s="22"/>
    </row>
    <row r="258" customFormat="false" ht="19.5" hidden="false" customHeight="true" outlineLevel="0" collapsed="false">
      <c r="A258" s="106" t="n">
        <v>255</v>
      </c>
      <c r="B258" s="107" t="s">
        <v>550</v>
      </c>
      <c r="C258" s="107" t="s">
        <v>288</v>
      </c>
      <c r="D258" s="106" t="s">
        <v>278</v>
      </c>
      <c r="E258" s="107" t="s">
        <v>279</v>
      </c>
      <c r="F258" s="107"/>
      <c r="G258" s="107"/>
      <c r="H258" s="106" t="str">
        <f aca="false">IF(B258="","",IF(COUNTIF('MiT Strom Pipeline'!$B$6:$B$904,B258)&gt;0,"✓",""))</f>
        <v/>
      </c>
      <c r="I258" s="106" t="str">
        <f aca="false">IF(B258="","",IFERROR(VLOOKUP(B258,'MiT Strom Pipeline'!$B$6:$R$904,17,0),""))</f>
        <v/>
      </c>
      <c r="J258" s="107"/>
    </row>
    <row r="259" customFormat="false" ht="19.5" hidden="false" customHeight="true" outlineLevel="0" collapsed="false">
      <c r="A259" s="21" t="n">
        <v>256</v>
      </c>
      <c r="B259" s="22" t="s">
        <v>551</v>
      </c>
      <c r="C259" s="22" t="s">
        <v>288</v>
      </c>
      <c r="D259" s="21" t="s">
        <v>278</v>
      </c>
      <c r="E259" s="22" t="s">
        <v>279</v>
      </c>
      <c r="F259" s="22"/>
      <c r="G259" s="22"/>
      <c r="H259" s="21" t="str">
        <f aca="false">IF(B259="","",IF(COUNTIF('MiT Strom Pipeline'!$B$6:$B$904,B259)&gt;0,"✓",""))</f>
        <v/>
      </c>
      <c r="I259" s="21" t="str">
        <f aca="false">IF(B259="","",IFERROR(VLOOKUP(B259,'MiT Strom Pipeline'!$B$6:$R$904,17,0),""))</f>
        <v/>
      </c>
      <c r="J259" s="22"/>
    </row>
    <row r="260" customFormat="false" ht="19.5" hidden="false" customHeight="true" outlineLevel="0" collapsed="false">
      <c r="A260" s="106" t="n">
        <v>257</v>
      </c>
      <c r="B260" s="107" t="s">
        <v>552</v>
      </c>
      <c r="C260" s="107" t="s">
        <v>288</v>
      </c>
      <c r="D260" s="106" t="s">
        <v>278</v>
      </c>
      <c r="E260" s="107" t="s">
        <v>279</v>
      </c>
      <c r="F260" s="107"/>
      <c r="G260" s="107"/>
      <c r="H260" s="106" t="str">
        <f aca="false">IF(B260="","",IF(COUNTIF('MiT Strom Pipeline'!$B$6:$B$904,B260)&gt;0,"✓",""))</f>
        <v/>
      </c>
      <c r="I260" s="106" t="str">
        <f aca="false">IF(B260="","",IFERROR(VLOOKUP(B260,'MiT Strom Pipeline'!$B$6:$R$904,17,0),""))</f>
        <v/>
      </c>
      <c r="J260" s="107"/>
    </row>
    <row r="261" customFormat="false" ht="19.5" hidden="false" customHeight="true" outlineLevel="0" collapsed="false">
      <c r="A261" s="21" t="n">
        <v>258</v>
      </c>
      <c r="B261" s="22" t="s">
        <v>553</v>
      </c>
      <c r="C261" s="22" t="s">
        <v>288</v>
      </c>
      <c r="D261" s="21" t="s">
        <v>278</v>
      </c>
      <c r="E261" s="22" t="s">
        <v>279</v>
      </c>
      <c r="F261" s="22"/>
      <c r="G261" s="22"/>
      <c r="H261" s="21" t="str">
        <f aca="false">IF(B261="","",IF(COUNTIF('MiT Strom Pipeline'!$B$6:$B$904,B261)&gt;0,"✓",""))</f>
        <v/>
      </c>
      <c r="I261" s="21" t="str">
        <f aca="false">IF(B261="","",IFERROR(VLOOKUP(B261,'MiT Strom Pipeline'!$B$6:$R$904,17,0),""))</f>
        <v/>
      </c>
      <c r="J261" s="22"/>
    </row>
    <row r="262" customFormat="false" ht="19.5" hidden="false" customHeight="true" outlineLevel="0" collapsed="false">
      <c r="A262" s="106" t="n">
        <v>259</v>
      </c>
      <c r="B262" s="107" t="s">
        <v>554</v>
      </c>
      <c r="C262" s="107" t="s">
        <v>288</v>
      </c>
      <c r="D262" s="106" t="s">
        <v>397</v>
      </c>
      <c r="E262" s="107" t="s">
        <v>279</v>
      </c>
      <c r="F262" s="107"/>
      <c r="G262" s="107"/>
      <c r="H262" s="106" t="str">
        <f aca="false">IF(B262="","",IF(COUNTIF('MiT Strom Pipeline'!$B$6:$B$904,B262)&gt;0,"✓",""))</f>
        <v/>
      </c>
      <c r="I262" s="106" t="str">
        <f aca="false">IF(B262="","",IFERROR(VLOOKUP(B262,'MiT Strom Pipeline'!$B$6:$R$904,17,0),""))</f>
        <v/>
      </c>
      <c r="J262" s="107"/>
    </row>
    <row r="263" customFormat="false" ht="19.5" hidden="false" customHeight="true" outlineLevel="0" collapsed="false">
      <c r="A263" s="21" t="n">
        <v>260</v>
      </c>
      <c r="B263" s="22" t="s">
        <v>555</v>
      </c>
      <c r="C263" s="22" t="s">
        <v>109</v>
      </c>
      <c r="D263" s="21" t="s">
        <v>278</v>
      </c>
      <c r="E263" s="22" t="s">
        <v>279</v>
      </c>
      <c r="F263" s="22"/>
      <c r="G263" s="22"/>
      <c r="H263" s="21" t="str">
        <f aca="false">IF(B263="","",IF(COUNTIF('MiT Strom Pipeline'!$B$6:$B$904,B263)&gt;0,"✓",""))</f>
        <v/>
      </c>
      <c r="I263" s="21" t="str">
        <f aca="false">IF(B263="","",IFERROR(VLOOKUP(B263,'MiT Strom Pipeline'!$B$6:$R$904,17,0),""))</f>
        <v/>
      </c>
      <c r="J263" s="22"/>
    </row>
    <row r="264" customFormat="false" ht="19.5" hidden="false" customHeight="true" outlineLevel="0" collapsed="false">
      <c r="A264" s="106" t="n">
        <v>261</v>
      </c>
      <c r="B264" s="107" t="s">
        <v>556</v>
      </c>
      <c r="C264" s="107" t="s">
        <v>143</v>
      </c>
      <c r="D264" s="106" t="s">
        <v>278</v>
      </c>
      <c r="E264" s="107" t="s">
        <v>279</v>
      </c>
      <c r="F264" s="107"/>
      <c r="G264" s="107"/>
      <c r="H264" s="106" t="str">
        <f aca="false">IF(B264="","",IF(COUNTIF('MiT Strom Pipeline'!$B$6:$B$904,B264)&gt;0,"✓",""))</f>
        <v/>
      </c>
      <c r="I264" s="106" t="str">
        <f aca="false">IF(B264="","",IFERROR(VLOOKUP(B264,'MiT Strom Pipeline'!$B$6:$R$904,17,0),""))</f>
        <v/>
      </c>
      <c r="J264" s="107"/>
    </row>
    <row r="265" customFormat="false" ht="19.5" hidden="false" customHeight="true" outlineLevel="0" collapsed="false">
      <c r="A265" s="21" t="n">
        <v>262</v>
      </c>
      <c r="B265" s="22" t="s">
        <v>557</v>
      </c>
      <c r="C265" s="22" t="s">
        <v>288</v>
      </c>
      <c r="D265" s="21" t="s">
        <v>278</v>
      </c>
      <c r="E265" s="22" t="s">
        <v>279</v>
      </c>
      <c r="F265" s="22"/>
      <c r="G265" s="22"/>
      <c r="H265" s="21" t="str">
        <f aca="false">IF(B265="","",IF(COUNTIF('MiT Strom Pipeline'!$B$6:$B$904,B265)&gt;0,"✓",""))</f>
        <v/>
      </c>
      <c r="I265" s="21" t="str">
        <f aca="false">IF(B265="","",IFERROR(VLOOKUP(B265,'MiT Strom Pipeline'!$B$6:$R$904,17,0),""))</f>
        <v/>
      </c>
      <c r="J265" s="22"/>
    </row>
    <row r="266" customFormat="false" ht="19.5" hidden="false" customHeight="true" outlineLevel="0" collapsed="false">
      <c r="A266" s="106" t="n">
        <v>263</v>
      </c>
      <c r="B266" s="107" t="s">
        <v>558</v>
      </c>
      <c r="C266" s="107" t="s">
        <v>288</v>
      </c>
      <c r="D266" s="106" t="s">
        <v>278</v>
      </c>
      <c r="E266" s="107" t="s">
        <v>279</v>
      </c>
      <c r="F266" s="107"/>
      <c r="G266" s="107"/>
      <c r="H266" s="106" t="str">
        <f aca="false">IF(B266="","",IF(COUNTIF('MiT Strom Pipeline'!$B$6:$B$904,B266)&gt;0,"✓",""))</f>
        <v/>
      </c>
      <c r="I266" s="106" t="str">
        <f aca="false">IF(B266="","",IFERROR(VLOOKUP(B266,'MiT Strom Pipeline'!$B$6:$R$904,17,0),""))</f>
        <v/>
      </c>
      <c r="J266" s="107"/>
    </row>
    <row r="267" customFormat="false" ht="19.5" hidden="false" customHeight="true" outlineLevel="0" collapsed="false">
      <c r="A267" s="21" t="n">
        <v>264</v>
      </c>
      <c r="B267" s="22" t="s">
        <v>559</v>
      </c>
      <c r="C267" s="22" t="s">
        <v>307</v>
      </c>
      <c r="D267" s="21" t="s">
        <v>278</v>
      </c>
      <c r="E267" s="22" t="s">
        <v>279</v>
      </c>
      <c r="F267" s="22"/>
      <c r="G267" s="22"/>
      <c r="H267" s="21" t="str">
        <f aca="false">IF(B267="","",IF(COUNTIF('MiT Strom Pipeline'!$B$6:$B$904,B267)&gt;0,"✓",""))</f>
        <v/>
      </c>
      <c r="I267" s="21" t="str">
        <f aca="false">IF(B267="","",IFERROR(VLOOKUP(B267,'MiT Strom Pipeline'!$B$6:$R$904,17,0),""))</f>
        <v/>
      </c>
      <c r="J267" s="22"/>
    </row>
    <row r="268" customFormat="false" ht="19.5" hidden="false" customHeight="true" outlineLevel="0" collapsed="false">
      <c r="A268" s="106" t="n">
        <v>265</v>
      </c>
      <c r="B268" s="107" t="s">
        <v>560</v>
      </c>
      <c r="C268" s="107" t="s">
        <v>288</v>
      </c>
      <c r="D268" s="106" t="s">
        <v>278</v>
      </c>
      <c r="E268" s="107" t="s">
        <v>279</v>
      </c>
      <c r="F268" s="107"/>
      <c r="G268" s="107"/>
      <c r="H268" s="106" t="str">
        <f aca="false">IF(B268="","",IF(COUNTIF('MiT Strom Pipeline'!$B$6:$B$904,B268)&gt;0,"✓",""))</f>
        <v/>
      </c>
      <c r="I268" s="106" t="str">
        <f aca="false">IF(B268="","",IFERROR(VLOOKUP(B268,'MiT Strom Pipeline'!$B$6:$R$904,17,0),""))</f>
        <v/>
      </c>
      <c r="J268" s="107"/>
    </row>
    <row r="269" customFormat="false" ht="19.5" hidden="false" customHeight="true" outlineLevel="0" collapsed="false">
      <c r="A269" s="21" t="n">
        <v>266</v>
      </c>
      <c r="B269" s="22" t="s">
        <v>561</v>
      </c>
      <c r="C269" s="22" t="s">
        <v>288</v>
      </c>
      <c r="D269" s="21" t="s">
        <v>278</v>
      </c>
      <c r="E269" s="22" t="s">
        <v>279</v>
      </c>
      <c r="F269" s="22"/>
      <c r="G269" s="22"/>
      <c r="H269" s="21" t="str">
        <f aca="false">IF(B269="","",IF(COUNTIF('MiT Strom Pipeline'!$B$6:$B$904,B269)&gt;0,"✓",""))</f>
        <v/>
      </c>
      <c r="I269" s="21" t="str">
        <f aca="false">IF(B269="","",IFERROR(VLOOKUP(B269,'MiT Strom Pipeline'!$B$6:$R$904,17,0),""))</f>
        <v/>
      </c>
      <c r="J269" s="22"/>
    </row>
    <row r="270" customFormat="false" ht="19.5" hidden="false" customHeight="true" outlineLevel="0" collapsed="false">
      <c r="A270" s="106" t="n">
        <v>267</v>
      </c>
      <c r="B270" s="107" t="s">
        <v>562</v>
      </c>
      <c r="C270" s="107" t="s">
        <v>288</v>
      </c>
      <c r="D270" s="106" t="s">
        <v>69</v>
      </c>
      <c r="E270" s="107" t="s">
        <v>279</v>
      </c>
      <c r="F270" s="107"/>
      <c r="G270" s="107"/>
      <c r="H270" s="106" t="str">
        <f aca="false">IF(B270="","",IF(COUNTIF('MiT Strom Pipeline'!$B$6:$B$904,B270)&gt;0,"✓",""))</f>
        <v/>
      </c>
      <c r="I270" s="106" t="str">
        <f aca="false">IF(B270="","",IFERROR(VLOOKUP(B270,'MiT Strom Pipeline'!$B$6:$R$904,17,0),""))</f>
        <v/>
      </c>
      <c r="J270" s="107"/>
    </row>
    <row r="271" customFormat="false" ht="19.5" hidden="false" customHeight="true" outlineLevel="0" collapsed="false">
      <c r="A271" s="21" t="n">
        <v>268</v>
      </c>
      <c r="B271" s="22" t="s">
        <v>563</v>
      </c>
      <c r="C271" s="22" t="s">
        <v>321</v>
      </c>
      <c r="D271" s="21" t="s">
        <v>278</v>
      </c>
      <c r="E271" s="22" t="s">
        <v>287</v>
      </c>
      <c r="F271" s="22"/>
      <c r="G271" s="22"/>
      <c r="H271" s="21" t="str">
        <f aca="false">IF(B271="","",IF(COUNTIF('MiT Strom Pipeline'!$B$6:$B$904,B271)&gt;0,"✓",""))</f>
        <v/>
      </c>
      <c r="I271" s="21" t="str">
        <f aca="false">IF(B271="","",IFERROR(VLOOKUP(B271,'MiT Strom Pipeline'!$B$6:$R$904,17,0),""))</f>
        <v/>
      </c>
      <c r="J271" s="22"/>
    </row>
    <row r="272" customFormat="false" ht="19.5" hidden="false" customHeight="true" outlineLevel="0" collapsed="false">
      <c r="A272" s="106" t="n">
        <v>269</v>
      </c>
      <c r="B272" s="107" t="s">
        <v>564</v>
      </c>
      <c r="C272" s="107" t="s">
        <v>288</v>
      </c>
      <c r="D272" s="106" t="s">
        <v>278</v>
      </c>
      <c r="E272" s="107" t="s">
        <v>279</v>
      </c>
      <c r="F272" s="107"/>
      <c r="G272" s="107"/>
      <c r="H272" s="106" t="str">
        <f aca="false">IF(B272="","",IF(COUNTIF('MiT Strom Pipeline'!$B$6:$B$904,B272)&gt;0,"✓",""))</f>
        <v/>
      </c>
      <c r="I272" s="106" t="str">
        <f aca="false">IF(B272="","",IFERROR(VLOOKUP(B272,'MiT Strom Pipeline'!$B$6:$R$904,17,0),""))</f>
        <v/>
      </c>
      <c r="J272" s="107"/>
    </row>
    <row r="273" customFormat="false" ht="19.5" hidden="false" customHeight="true" outlineLevel="0" collapsed="false">
      <c r="A273" s="21" t="n">
        <v>270</v>
      </c>
      <c r="B273" s="22" t="s">
        <v>565</v>
      </c>
      <c r="C273" s="22" t="s">
        <v>288</v>
      </c>
      <c r="D273" s="21" t="s">
        <v>278</v>
      </c>
      <c r="E273" s="22" t="s">
        <v>279</v>
      </c>
      <c r="F273" s="22"/>
      <c r="G273" s="22"/>
      <c r="H273" s="21" t="str">
        <f aca="false">IF(B273="","",IF(COUNTIF('MiT Strom Pipeline'!$B$6:$B$904,B273)&gt;0,"✓",""))</f>
        <v/>
      </c>
      <c r="I273" s="21" t="str">
        <f aca="false">IF(B273="","",IFERROR(VLOOKUP(B273,'MiT Strom Pipeline'!$B$6:$R$904,17,0),""))</f>
        <v/>
      </c>
      <c r="J273" s="22"/>
    </row>
    <row r="274" customFormat="false" ht="19.5" hidden="false" customHeight="true" outlineLevel="0" collapsed="false">
      <c r="A274" s="106" t="n">
        <v>271</v>
      </c>
      <c r="B274" s="107" t="s">
        <v>566</v>
      </c>
      <c r="C274" s="107" t="s">
        <v>288</v>
      </c>
      <c r="D274" s="106" t="s">
        <v>278</v>
      </c>
      <c r="E274" s="107" t="s">
        <v>279</v>
      </c>
      <c r="F274" s="107"/>
      <c r="G274" s="107"/>
      <c r="H274" s="106" t="str">
        <f aca="false">IF(B274="","",IF(COUNTIF('MiT Strom Pipeline'!$B$6:$B$904,B274)&gt;0,"✓",""))</f>
        <v/>
      </c>
      <c r="I274" s="106" t="str">
        <f aca="false">IF(B274="","",IFERROR(VLOOKUP(B274,'MiT Strom Pipeline'!$B$6:$R$904,17,0),""))</f>
        <v/>
      </c>
      <c r="J274" s="107"/>
    </row>
    <row r="275" customFormat="false" ht="19.5" hidden="false" customHeight="true" outlineLevel="0" collapsed="false">
      <c r="A275" s="21" t="n">
        <v>272</v>
      </c>
      <c r="B275" s="22" t="s">
        <v>567</v>
      </c>
      <c r="C275" s="22" t="s">
        <v>288</v>
      </c>
      <c r="D275" s="21" t="s">
        <v>278</v>
      </c>
      <c r="E275" s="22" t="s">
        <v>279</v>
      </c>
      <c r="F275" s="22"/>
      <c r="G275" s="22"/>
      <c r="H275" s="21" t="str">
        <f aca="false">IF(B275="","",IF(COUNTIF('MiT Strom Pipeline'!$B$6:$B$904,B275)&gt;0,"✓",""))</f>
        <v/>
      </c>
      <c r="I275" s="21" t="str">
        <f aca="false">IF(B275="","",IFERROR(VLOOKUP(B275,'MiT Strom Pipeline'!$B$6:$R$904,17,0),""))</f>
        <v/>
      </c>
      <c r="J275" s="22"/>
    </row>
    <row r="276" customFormat="false" ht="19.5" hidden="false" customHeight="true" outlineLevel="0" collapsed="false">
      <c r="A276" s="106" t="n">
        <v>273</v>
      </c>
      <c r="B276" s="107" t="s">
        <v>568</v>
      </c>
      <c r="C276" s="107" t="s">
        <v>307</v>
      </c>
      <c r="D276" s="106" t="s">
        <v>278</v>
      </c>
      <c r="E276" s="107" t="s">
        <v>279</v>
      </c>
      <c r="F276" s="107"/>
      <c r="G276" s="107"/>
      <c r="H276" s="106" t="str">
        <f aca="false">IF(B276="","",IF(COUNTIF('MiT Strom Pipeline'!$B$6:$B$904,B276)&gt;0,"✓",""))</f>
        <v/>
      </c>
      <c r="I276" s="106" t="str">
        <f aca="false">IF(B276="","",IFERROR(VLOOKUP(B276,'MiT Strom Pipeline'!$B$6:$R$904,17,0),""))</f>
        <v/>
      </c>
      <c r="J276" s="107"/>
    </row>
    <row r="277" customFormat="false" ht="19.5" hidden="false" customHeight="true" outlineLevel="0" collapsed="false">
      <c r="A277" s="21" t="n">
        <v>274</v>
      </c>
      <c r="B277" s="22" t="s">
        <v>569</v>
      </c>
      <c r="C277" s="22" t="s">
        <v>288</v>
      </c>
      <c r="D277" s="21" t="s">
        <v>278</v>
      </c>
      <c r="E277" s="22" t="s">
        <v>279</v>
      </c>
      <c r="F277" s="22"/>
      <c r="G277" s="22"/>
      <c r="H277" s="21" t="str">
        <f aca="false">IF(B277="","",IF(COUNTIF('MiT Strom Pipeline'!$B$6:$B$904,B277)&gt;0,"✓",""))</f>
        <v/>
      </c>
      <c r="I277" s="21" t="str">
        <f aca="false">IF(B277="","",IFERROR(VLOOKUP(B277,'MiT Strom Pipeline'!$B$6:$R$904,17,0),""))</f>
        <v/>
      </c>
      <c r="J277" s="22"/>
    </row>
    <row r="278" customFormat="false" ht="19.5" hidden="false" customHeight="true" outlineLevel="0" collapsed="false">
      <c r="A278" s="106" t="n">
        <v>275</v>
      </c>
      <c r="B278" s="107" t="s">
        <v>570</v>
      </c>
      <c r="C278" s="107" t="s">
        <v>288</v>
      </c>
      <c r="D278" s="106" t="s">
        <v>278</v>
      </c>
      <c r="E278" s="107" t="s">
        <v>279</v>
      </c>
      <c r="F278" s="107"/>
      <c r="G278" s="107"/>
      <c r="H278" s="106" t="str">
        <f aca="false">IF(B278="","",IF(COUNTIF('MiT Strom Pipeline'!$B$6:$B$904,B278)&gt;0,"✓",""))</f>
        <v/>
      </c>
      <c r="I278" s="106" t="str">
        <f aca="false">IF(B278="","",IFERROR(VLOOKUP(B278,'MiT Strom Pipeline'!$B$6:$R$904,17,0),""))</f>
        <v/>
      </c>
      <c r="J278" s="107"/>
    </row>
    <row r="279" customFormat="false" ht="19.5" hidden="false" customHeight="true" outlineLevel="0" collapsed="false">
      <c r="A279" s="21" t="n">
        <v>276</v>
      </c>
      <c r="B279" s="22" t="s">
        <v>571</v>
      </c>
      <c r="C279" s="22" t="s">
        <v>288</v>
      </c>
      <c r="D279" s="21" t="s">
        <v>278</v>
      </c>
      <c r="E279" s="22" t="s">
        <v>279</v>
      </c>
      <c r="F279" s="22"/>
      <c r="G279" s="22"/>
      <c r="H279" s="21" t="str">
        <f aca="false">IF(B279="","",IF(COUNTIF('MiT Strom Pipeline'!$B$6:$B$904,B279)&gt;0,"✓",""))</f>
        <v/>
      </c>
      <c r="I279" s="21" t="str">
        <f aca="false">IF(B279="","",IFERROR(VLOOKUP(B279,'MiT Strom Pipeline'!$B$6:$R$904,17,0),""))</f>
        <v/>
      </c>
      <c r="J279" s="22"/>
    </row>
    <row r="280" customFormat="false" ht="19.5" hidden="false" customHeight="true" outlineLevel="0" collapsed="false">
      <c r="A280" s="106" t="n">
        <v>277</v>
      </c>
      <c r="B280" s="107" t="s">
        <v>572</v>
      </c>
      <c r="C280" s="107" t="s">
        <v>288</v>
      </c>
      <c r="D280" s="106" t="s">
        <v>278</v>
      </c>
      <c r="E280" s="107" t="s">
        <v>279</v>
      </c>
      <c r="F280" s="107"/>
      <c r="G280" s="107"/>
      <c r="H280" s="106" t="str">
        <f aca="false">IF(B280="","",IF(COUNTIF('MiT Strom Pipeline'!$B$6:$B$904,B280)&gt;0,"✓",""))</f>
        <v/>
      </c>
      <c r="I280" s="106" t="str">
        <f aca="false">IF(B280="","",IFERROR(VLOOKUP(B280,'MiT Strom Pipeline'!$B$6:$R$904,17,0),""))</f>
        <v/>
      </c>
      <c r="J280" s="107"/>
    </row>
    <row r="281" customFormat="false" ht="19.5" hidden="false" customHeight="true" outlineLevel="0" collapsed="false">
      <c r="A281" s="21" t="n">
        <v>278</v>
      </c>
      <c r="B281" s="22" t="s">
        <v>573</v>
      </c>
      <c r="C281" s="22" t="s">
        <v>288</v>
      </c>
      <c r="D281" s="21" t="s">
        <v>278</v>
      </c>
      <c r="E281" s="22" t="s">
        <v>279</v>
      </c>
      <c r="F281" s="22"/>
      <c r="G281" s="22"/>
      <c r="H281" s="21" t="str">
        <f aca="false">IF(B281="","",IF(COUNTIF('MiT Strom Pipeline'!$B$6:$B$904,B281)&gt;0,"✓",""))</f>
        <v/>
      </c>
      <c r="I281" s="21" t="str">
        <f aca="false">IF(B281="","",IFERROR(VLOOKUP(B281,'MiT Strom Pipeline'!$B$6:$R$904,17,0),""))</f>
        <v/>
      </c>
      <c r="J281" s="22"/>
    </row>
    <row r="282" customFormat="false" ht="19.5" hidden="false" customHeight="true" outlineLevel="0" collapsed="false">
      <c r="A282" s="106" t="n">
        <v>279</v>
      </c>
      <c r="B282" s="107" t="s">
        <v>574</v>
      </c>
      <c r="C282" s="107" t="s">
        <v>288</v>
      </c>
      <c r="D282" s="106" t="s">
        <v>278</v>
      </c>
      <c r="E282" s="107" t="s">
        <v>279</v>
      </c>
      <c r="F282" s="107"/>
      <c r="G282" s="107"/>
      <c r="H282" s="106" t="str">
        <f aca="false">IF(B282="","",IF(COUNTIF('MiT Strom Pipeline'!$B$6:$B$904,B282)&gt;0,"✓",""))</f>
        <v/>
      </c>
      <c r="I282" s="106" t="str">
        <f aca="false">IF(B282="","",IFERROR(VLOOKUP(B282,'MiT Strom Pipeline'!$B$6:$R$904,17,0),""))</f>
        <v/>
      </c>
      <c r="J282" s="107"/>
    </row>
    <row r="283" customFormat="false" ht="19.5" hidden="false" customHeight="true" outlineLevel="0" collapsed="false">
      <c r="A283" s="21" t="n">
        <v>280</v>
      </c>
      <c r="B283" s="22" t="s">
        <v>575</v>
      </c>
      <c r="C283" s="22" t="s">
        <v>288</v>
      </c>
      <c r="D283" s="21" t="s">
        <v>278</v>
      </c>
      <c r="E283" s="22" t="s">
        <v>279</v>
      </c>
      <c r="F283" s="22"/>
      <c r="G283" s="22"/>
      <c r="H283" s="21" t="str">
        <f aca="false">IF(B283="","",IF(COUNTIF('MiT Strom Pipeline'!$B$6:$B$904,B283)&gt;0,"✓",""))</f>
        <v/>
      </c>
      <c r="I283" s="21" t="str">
        <f aca="false">IF(B283="","",IFERROR(VLOOKUP(B283,'MiT Strom Pipeline'!$B$6:$R$904,17,0),""))</f>
        <v/>
      </c>
      <c r="J283" s="22"/>
    </row>
    <row r="284" customFormat="false" ht="19.5" hidden="false" customHeight="true" outlineLevel="0" collapsed="false">
      <c r="A284" s="106" t="n">
        <v>281</v>
      </c>
      <c r="B284" s="107" t="s">
        <v>576</v>
      </c>
      <c r="C284" s="107" t="s">
        <v>288</v>
      </c>
      <c r="D284" s="106" t="s">
        <v>278</v>
      </c>
      <c r="E284" s="107" t="s">
        <v>279</v>
      </c>
      <c r="F284" s="107"/>
      <c r="G284" s="107"/>
      <c r="H284" s="106" t="str">
        <f aca="false">IF(B284="","",IF(COUNTIF('MiT Strom Pipeline'!$B$6:$B$904,B284)&gt;0,"✓",""))</f>
        <v/>
      </c>
      <c r="I284" s="106" t="str">
        <f aca="false">IF(B284="","",IFERROR(VLOOKUP(B284,'MiT Strom Pipeline'!$B$6:$R$904,17,0),""))</f>
        <v/>
      </c>
      <c r="J284" s="107"/>
    </row>
    <row r="285" customFormat="false" ht="19.5" hidden="false" customHeight="true" outlineLevel="0" collapsed="false">
      <c r="A285" s="21" t="n">
        <v>282</v>
      </c>
      <c r="B285" s="22" t="s">
        <v>577</v>
      </c>
      <c r="C285" s="22" t="s">
        <v>288</v>
      </c>
      <c r="D285" s="21" t="s">
        <v>278</v>
      </c>
      <c r="E285" s="22" t="s">
        <v>279</v>
      </c>
      <c r="F285" s="22"/>
      <c r="G285" s="22"/>
      <c r="H285" s="21" t="str">
        <f aca="false">IF(B285="","",IF(COUNTIF('MiT Strom Pipeline'!$B$6:$B$904,B285)&gt;0,"✓",""))</f>
        <v/>
      </c>
      <c r="I285" s="21" t="str">
        <f aca="false">IF(B285="","",IFERROR(VLOOKUP(B285,'MiT Strom Pipeline'!$B$6:$R$904,17,0),""))</f>
        <v/>
      </c>
      <c r="J285" s="22"/>
    </row>
    <row r="286" customFormat="false" ht="19.5" hidden="false" customHeight="true" outlineLevel="0" collapsed="false">
      <c r="A286" s="106" t="n">
        <v>283</v>
      </c>
      <c r="B286" s="107" t="s">
        <v>578</v>
      </c>
      <c r="C286" s="107" t="s">
        <v>288</v>
      </c>
      <c r="D286" s="106" t="s">
        <v>278</v>
      </c>
      <c r="E286" s="107" t="s">
        <v>279</v>
      </c>
      <c r="F286" s="107"/>
      <c r="G286" s="107"/>
      <c r="H286" s="106" t="str">
        <f aca="false">IF(B286="","",IF(COUNTIF('MiT Strom Pipeline'!$B$6:$B$904,B286)&gt;0,"✓",""))</f>
        <v/>
      </c>
      <c r="I286" s="106" t="str">
        <f aca="false">IF(B286="","",IFERROR(VLOOKUP(B286,'MiT Strom Pipeline'!$B$6:$R$904,17,0),""))</f>
        <v/>
      </c>
      <c r="J286" s="107"/>
    </row>
    <row r="287" customFormat="false" ht="19.5" hidden="false" customHeight="true" outlineLevel="0" collapsed="false">
      <c r="A287" s="21" t="n">
        <v>284</v>
      </c>
      <c r="B287" s="22" t="s">
        <v>578</v>
      </c>
      <c r="C287" s="22" t="s">
        <v>288</v>
      </c>
      <c r="D287" s="21" t="s">
        <v>278</v>
      </c>
      <c r="E287" s="22" t="s">
        <v>279</v>
      </c>
      <c r="F287" s="22"/>
      <c r="G287" s="22"/>
      <c r="H287" s="21" t="str">
        <f aca="false">IF(B287="","",IF(COUNTIF('MiT Strom Pipeline'!$B$6:$B$904,B287)&gt;0,"✓",""))</f>
        <v/>
      </c>
      <c r="I287" s="21" t="str">
        <f aca="false">IF(B287="","",IFERROR(VLOOKUP(B287,'MiT Strom Pipeline'!$B$6:$R$904,17,0),""))</f>
        <v/>
      </c>
      <c r="J287" s="22"/>
    </row>
    <row r="288" customFormat="false" ht="19.5" hidden="false" customHeight="true" outlineLevel="0" collapsed="false">
      <c r="A288" s="106" t="n">
        <v>285</v>
      </c>
      <c r="B288" s="107" t="s">
        <v>579</v>
      </c>
      <c r="C288" s="107" t="s">
        <v>307</v>
      </c>
      <c r="D288" s="106" t="s">
        <v>278</v>
      </c>
      <c r="E288" s="107" t="s">
        <v>279</v>
      </c>
      <c r="F288" s="107"/>
      <c r="G288" s="107"/>
      <c r="H288" s="106" t="str">
        <f aca="false">IF(B288="","",IF(COUNTIF('MiT Strom Pipeline'!$B$6:$B$904,B288)&gt;0,"✓",""))</f>
        <v/>
      </c>
      <c r="I288" s="106" t="str">
        <f aca="false">IF(B288="","",IFERROR(VLOOKUP(B288,'MiT Strom Pipeline'!$B$6:$R$904,17,0),""))</f>
        <v/>
      </c>
      <c r="J288" s="107"/>
    </row>
    <row r="289" customFormat="false" ht="19.5" hidden="false" customHeight="true" outlineLevel="0" collapsed="false">
      <c r="A289" s="21" t="n">
        <v>286</v>
      </c>
      <c r="B289" s="22" t="s">
        <v>580</v>
      </c>
      <c r="C289" s="22" t="s">
        <v>354</v>
      </c>
      <c r="D289" s="21" t="s">
        <v>278</v>
      </c>
      <c r="E289" s="22" t="s">
        <v>279</v>
      </c>
      <c r="F289" s="22"/>
      <c r="G289" s="22"/>
      <c r="H289" s="21" t="str">
        <f aca="false">IF(B289="","",IF(COUNTIF('MiT Strom Pipeline'!$B$6:$B$904,B289)&gt;0,"✓",""))</f>
        <v/>
      </c>
      <c r="I289" s="21" t="str">
        <f aca="false">IF(B289="","",IFERROR(VLOOKUP(B289,'MiT Strom Pipeline'!$B$6:$R$904,17,0),""))</f>
        <v/>
      </c>
      <c r="J289" s="22"/>
    </row>
    <row r="290" customFormat="false" ht="19.5" hidden="false" customHeight="true" outlineLevel="0" collapsed="false">
      <c r="A290" s="106" t="n">
        <v>287</v>
      </c>
      <c r="B290" s="107" t="s">
        <v>581</v>
      </c>
      <c r="C290" s="107" t="s">
        <v>288</v>
      </c>
      <c r="D290" s="106" t="s">
        <v>278</v>
      </c>
      <c r="E290" s="107" t="s">
        <v>279</v>
      </c>
      <c r="F290" s="107"/>
      <c r="G290" s="107"/>
      <c r="H290" s="106" t="str">
        <f aca="false">IF(B290="","",IF(COUNTIF('MiT Strom Pipeline'!$B$6:$B$904,B290)&gt;0,"✓",""))</f>
        <v/>
      </c>
      <c r="I290" s="106" t="str">
        <f aca="false">IF(B290="","",IFERROR(VLOOKUP(B290,'MiT Strom Pipeline'!$B$6:$R$904,17,0),""))</f>
        <v/>
      </c>
      <c r="J290" s="107"/>
    </row>
    <row r="291" customFormat="false" ht="19.5" hidden="false" customHeight="true" outlineLevel="0" collapsed="false">
      <c r="A291" s="21" t="n">
        <v>288</v>
      </c>
      <c r="B291" s="22" t="s">
        <v>582</v>
      </c>
      <c r="C291" s="22" t="s">
        <v>288</v>
      </c>
      <c r="D291" s="21" t="s">
        <v>278</v>
      </c>
      <c r="E291" s="22" t="s">
        <v>279</v>
      </c>
      <c r="F291" s="22"/>
      <c r="G291" s="22"/>
      <c r="H291" s="21" t="str">
        <f aca="false">IF(B291="","",IF(COUNTIF('MiT Strom Pipeline'!$B$6:$B$904,B291)&gt;0,"✓",""))</f>
        <v/>
      </c>
      <c r="I291" s="21" t="str">
        <f aca="false">IF(B291="","",IFERROR(VLOOKUP(B291,'MiT Strom Pipeline'!$B$6:$R$904,17,0),""))</f>
        <v/>
      </c>
      <c r="J291" s="22"/>
    </row>
    <row r="292" customFormat="false" ht="19.5" hidden="false" customHeight="true" outlineLevel="0" collapsed="false">
      <c r="A292" s="106" t="n">
        <v>289</v>
      </c>
      <c r="B292" s="107" t="s">
        <v>583</v>
      </c>
      <c r="C292" s="107" t="s">
        <v>307</v>
      </c>
      <c r="D292" s="106" t="s">
        <v>278</v>
      </c>
      <c r="E292" s="107" t="s">
        <v>279</v>
      </c>
      <c r="F292" s="107"/>
      <c r="G292" s="107"/>
      <c r="H292" s="106" t="str">
        <f aca="false">IF(B292="","",IF(COUNTIF('MiT Strom Pipeline'!$B$6:$B$904,B292)&gt;0,"✓",""))</f>
        <v/>
      </c>
      <c r="I292" s="106" t="str">
        <f aca="false">IF(B292="","",IFERROR(VLOOKUP(B292,'MiT Strom Pipeline'!$B$6:$R$904,17,0),""))</f>
        <v/>
      </c>
      <c r="J292" s="107"/>
    </row>
    <row r="293" customFormat="false" ht="19.5" hidden="false" customHeight="true" outlineLevel="0" collapsed="false">
      <c r="A293" s="21" t="n">
        <v>290</v>
      </c>
      <c r="B293" s="22" t="s">
        <v>584</v>
      </c>
      <c r="C293" s="22" t="s">
        <v>288</v>
      </c>
      <c r="D293" s="21" t="s">
        <v>278</v>
      </c>
      <c r="E293" s="22" t="s">
        <v>279</v>
      </c>
      <c r="F293" s="22"/>
      <c r="G293" s="22"/>
      <c r="H293" s="21" t="str">
        <f aca="false">IF(B293="","",IF(COUNTIF('MiT Strom Pipeline'!$B$6:$B$904,B293)&gt;0,"✓",""))</f>
        <v/>
      </c>
      <c r="I293" s="21" t="str">
        <f aca="false">IF(B293="","",IFERROR(VLOOKUP(B293,'MiT Strom Pipeline'!$B$6:$R$904,17,0),""))</f>
        <v/>
      </c>
      <c r="J293" s="22"/>
    </row>
    <row r="294" customFormat="false" ht="19.5" hidden="false" customHeight="true" outlineLevel="0" collapsed="false">
      <c r="A294" s="106" t="n">
        <v>291</v>
      </c>
      <c r="B294" s="107" t="s">
        <v>585</v>
      </c>
      <c r="C294" s="107" t="s">
        <v>288</v>
      </c>
      <c r="D294" s="106" t="s">
        <v>207</v>
      </c>
      <c r="E294" s="107" t="s">
        <v>279</v>
      </c>
      <c r="F294" s="107"/>
      <c r="G294" s="107"/>
      <c r="H294" s="106" t="str">
        <f aca="false">IF(B294="","",IF(COUNTIF('MiT Strom Pipeline'!$B$6:$B$904,B294)&gt;0,"✓",""))</f>
        <v/>
      </c>
      <c r="I294" s="106" t="str">
        <f aca="false">IF(B294="","",IFERROR(VLOOKUP(B294,'MiT Strom Pipeline'!$B$6:$R$904,17,0),""))</f>
        <v/>
      </c>
      <c r="J294" s="107"/>
    </row>
    <row r="295" customFormat="false" ht="19.5" hidden="false" customHeight="true" outlineLevel="0" collapsed="false">
      <c r="A295" s="21" t="n">
        <v>292</v>
      </c>
      <c r="B295" s="22" t="s">
        <v>586</v>
      </c>
      <c r="C295" s="22" t="s">
        <v>307</v>
      </c>
      <c r="D295" s="21" t="s">
        <v>278</v>
      </c>
      <c r="E295" s="22" t="s">
        <v>279</v>
      </c>
      <c r="F295" s="22"/>
      <c r="G295" s="22"/>
      <c r="H295" s="21" t="str">
        <f aca="false">IF(B295="","",IF(COUNTIF('MiT Strom Pipeline'!$B$6:$B$904,B295)&gt;0,"✓",""))</f>
        <v/>
      </c>
      <c r="I295" s="21" t="str">
        <f aca="false">IF(B295="","",IFERROR(VLOOKUP(B295,'MiT Strom Pipeline'!$B$6:$R$904,17,0),""))</f>
        <v/>
      </c>
      <c r="J295" s="22"/>
    </row>
    <row r="296" customFormat="false" ht="19.5" hidden="false" customHeight="true" outlineLevel="0" collapsed="false">
      <c r="A296" s="106" t="n">
        <v>293</v>
      </c>
      <c r="B296" s="107" t="s">
        <v>587</v>
      </c>
      <c r="C296" s="107" t="s">
        <v>288</v>
      </c>
      <c r="D296" s="106" t="s">
        <v>278</v>
      </c>
      <c r="E296" s="107" t="s">
        <v>279</v>
      </c>
      <c r="F296" s="107"/>
      <c r="G296" s="107"/>
      <c r="H296" s="106" t="str">
        <f aca="false">IF(B296="","",IF(COUNTIF('MiT Strom Pipeline'!$B$6:$B$904,B296)&gt;0,"✓",""))</f>
        <v/>
      </c>
      <c r="I296" s="106" t="str">
        <f aca="false">IF(B296="","",IFERROR(VLOOKUP(B296,'MiT Strom Pipeline'!$B$6:$R$904,17,0),""))</f>
        <v/>
      </c>
      <c r="J296" s="107"/>
    </row>
    <row r="297" customFormat="false" ht="19.5" hidden="false" customHeight="true" outlineLevel="0" collapsed="false">
      <c r="A297" s="21" t="n">
        <v>294</v>
      </c>
      <c r="B297" s="22" t="s">
        <v>588</v>
      </c>
      <c r="C297" s="22" t="s">
        <v>288</v>
      </c>
      <c r="D297" s="21" t="s">
        <v>278</v>
      </c>
      <c r="E297" s="22" t="s">
        <v>279</v>
      </c>
      <c r="F297" s="22"/>
      <c r="G297" s="22"/>
      <c r="H297" s="21" t="str">
        <f aca="false">IF(B297="","",IF(COUNTIF('MiT Strom Pipeline'!$B$6:$B$904,B297)&gt;0,"✓",""))</f>
        <v/>
      </c>
      <c r="I297" s="21" t="str">
        <f aca="false">IF(B297="","",IFERROR(VLOOKUP(B297,'MiT Strom Pipeline'!$B$6:$R$904,17,0),""))</f>
        <v/>
      </c>
      <c r="J297" s="22"/>
    </row>
    <row r="298" customFormat="false" ht="19.5" hidden="false" customHeight="true" outlineLevel="0" collapsed="false">
      <c r="A298" s="106" t="n">
        <v>295</v>
      </c>
      <c r="B298" s="107" t="s">
        <v>455</v>
      </c>
      <c r="C298" s="107" t="s">
        <v>288</v>
      </c>
      <c r="D298" s="106" t="s">
        <v>278</v>
      </c>
      <c r="E298" s="107" t="s">
        <v>279</v>
      </c>
      <c r="F298" s="107"/>
      <c r="G298" s="107"/>
      <c r="H298" s="106" t="str">
        <f aca="false">IF(B298="","",IF(COUNTIF('MiT Strom Pipeline'!$B$6:$B$904,B298)&gt;0,"✓",""))</f>
        <v/>
      </c>
      <c r="I298" s="106" t="str">
        <f aca="false">IF(B298="","",IFERROR(VLOOKUP(B298,'MiT Strom Pipeline'!$B$6:$R$904,17,0),""))</f>
        <v/>
      </c>
      <c r="J298" s="107"/>
    </row>
    <row r="299" customFormat="false" ht="19.5" hidden="false" customHeight="true" outlineLevel="0" collapsed="false">
      <c r="A299" s="21" t="n">
        <v>296</v>
      </c>
      <c r="B299" s="22" t="s">
        <v>589</v>
      </c>
      <c r="C299" s="22" t="s">
        <v>307</v>
      </c>
      <c r="D299" s="21" t="s">
        <v>278</v>
      </c>
      <c r="E299" s="22" t="s">
        <v>279</v>
      </c>
      <c r="F299" s="22"/>
      <c r="G299" s="22"/>
      <c r="H299" s="21" t="str">
        <f aca="false">IF(B299="","",IF(COUNTIF('MiT Strom Pipeline'!$B$6:$B$904,B299)&gt;0,"✓",""))</f>
        <v/>
      </c>
      <c r="I299" s="21" t="str">
        <f aca="false">IF(B299="","",IFERROR(VLOOKUP(B299,'MiT Strom Pipeline'!$B$6:$R$904,17,0),""))</f>
        <v/>
      </c>
      <c r="J299" s="22"/>
    </row>
    <row r="300" customFormat="false" ht="19.5" hidden="false" customHeight="true" outlineLevel="0" collapsed="false">
      <c r="A300" s="106" t="n">
        <v>297</v>
      </c>
      <c r="B300" s="107" t="s">
        <v>590</v>
      </c>
      <c r="C300" s="107" t="s">
        <v>288</v>
      </c>
      <c r="D300" s="106" t="s">
        <v>278</v>
      </c>
      <c r="E300" s="107" t="s">
        <v>279</v>
      </c>
      <c r="F300" s="107"/>
      <c r="G300" s="107"/>
      <c r="H300" s="106" t="str">
        <f aca="false">IF(B300="","",IF(COUNTIF('MiT Strom Pipeline'!$B$6:$B$904,B300)&gt;0,"✓",""))</f>
        <v/>
      </c>
      <c r="I300" s="106" t="str">
        <f aca="false">IF(B300="","",IFERROR(VLOOKUP(B300,'MiT Strom Pipeline'!$B$6:$R$904,17,0),""))</f>
        <v/>
      </c>
      <c r="J300" s="107"/>
    </row>
    <row r="301" customFormat="false" ht="19.5" hidden="false" customHeight="true" outlineLevel="0" collapsed="false">
      <c r="A301" s="21" t="n">
        <v>298</v>
      </c>
      <c r="B301" s="22" t="s">
        <v>591</v>
      </c>
      <c r="C301" s="22" t="s">
        <v>288</v>
      </c>
      <c r="D301" s="21" t="s">
        <v>278</v>
      </c>
      <c r="E301" s="22" t="s">
        <v>279</v>
      </c>
      <c r="F301" s="22"/>
      <c r="G301" s="22"/>
      <c r="H301" s="21" t="str">
        <f aca="false">IF(B301="","",IF(COUNTIF('MiT Strom Pipeline'!$B$6:$B$904,B301)&gt;0,"✓",""))</f>
        <v/>
      </c>
      <c r="I301" s="21" t="str">
        <f aca="false">IF(B301="","",IFERROR(VLOOKUP(B301,'MiT Strom Pipeline'!$B$6:$R$904,17,0),""))</f>
        <v/>
      </c>
      <c r="J301" s="22"/>
    </row>
    <row r="302" customFormat="false" ht="19.5" hidden="false" customHeight="true" outlineLevel="0" collapsed="false">
      <c r="A302" s="106" t="n">
        <v>299</v>
      </c>
      <c r="B302" s="107" t="s">
        <v>592</v>
      </c>
      <c r="C302" s="107" t="s">
        <v>288</v>
      </c>
      <c r="D302" s="106" t="s">
        <v>278</v>
      </c>
      <c r="E302" s="107" t="s">
        <v>287</v>
      </c>
      <c r="F302" s="107"/>
      <c r="G302" s="107"/>
      <c r="H302" s="106" t="str">
        <f aca="false">IF(B302="","",IF(COUNTIF('MiT Strom Pipeline'!$B$6:$B$904,B302)&gt;0,"✓",""))</f>
        <v/>
      </c>
      <c r="I302" s="106" t="str">
        <f aca="false">IF(B302="","",IFERROR(VLOOKUP(B302,'MiT Strom Pipeline'!$B$6:$R$904,17,0),""))</f>
        <v/>
      </c>
      <c r="J302" s="107"/>
    </row>
    <row r="303" customFormat="false" ht="19.5" hidden="false" customHeight="true" outlineLevel="0" collapsed="false">
      <c r="A303" s="21" t="n">
        <v>300</v>
      </c>
      <c r="B303" s="22" t="s">
        <v>593</v>
      </c>
      <c r="C303" s="22" t="s">
        <v>288</v>
      </c>
      <c r="D303" s="21" t="s">
        <v>278</v>
      </c>
      <c r="E303" s="22" t="s">
        <v>279</v>
      </c>
      <c r="F303" s="22"/>
      <c r="G303" s="22"/>
      <c r="H303" s="21" t="str">
        <f aca="false">IF(B303="","",IF(COUNTIF('MiT Strom Pipeline'!$B$6:$B$904,B303)&gt;0,"✓",""))</f>
        <v/>
      </c>
      <c r="I303" s="21" t="str">
        <f aca="false">IF(B303="","",IFERROR(VLOOKUP(B303,'MiT Strom Pipeline'!$B$6:$R$904,17,0),""))</f>
        <v/>
      </c>
      <c r="J303" s="22"/>
    </row>
    <row r="304" customFormat="false" ht="19.5" hidden="false" customHeight="true" outlineLevel="0" collapsed="false">
      <c r="A304" s="106" t="n">
        <v>301</v>
      </c>
      <c r="B304" s="107" t="s">
        <v>594</v>
      </c>
      <c r="C304" s="107" t="s">
        <v>288</v>
      </c>
      <c r="D304" s="106" t="s">
        <v>278</v>
      </c>
      <c r="E304" s="107" t="s">
        <v>279</v>
      </c>
      <c r="F304" s="107"/>
      <c r="G304" s="107"/>
      <c r="H304" s="106" t="str">
        <f aca="false">IF(B304="","",IF(COUNTIF('MiT Strom Pipeline'!$B$6:$B$904,B304)&gt;0,"✓",""))</f>
        <v/>
      </c>
      <c r="I304" s="106" t="str">
        <f aca="false">IF(B304="","",IFERROR(VLOOKUP(B304,'MiT Strom Pipeline'!$B$6:$R$904,17,0),""))</f>
        <v/>
      </c>
      <c r="J304" s="107"/>
    </row>
    <row r="305" customFormat="false" ht="19.5" hidden="false" customHeight="true" outlineLevel="0" collapsed="false">
      <c r="A305" s="21" t="n">
        <v>302</v>
      </c>
      <c r="B305" s="22" t="s">
        <v>595</v>
      </c>
      <c r="C305" s="22" t="s">
        <v>192</v>
      </c>
      <c r="D305" s="21" t="s">
        <v>278</v>
      </c>
      <c r="E305" s="22" t="s">
        <v>279</v>
      </c>
      <c r="F305" s="22"/>
      <c r="G305" s="22"/>
      <c r="H305" s="21" t="str">
        <f aca="false">IF(B305="","",IF(COUNTIF('MiT Strom Pipeline'!$B$6:$B$904,B305)&gt;0,"✓",""))</f>
        <v/>
      </c>
      <c r="I305" s="21" t="str">
        <f aca="false">IF(B305="","",IFERROR(VLOOKUP(B305,'MiT Strom Pipeline'!$B$6:$R$904,17,0),""))</f>
        <v/>
      </c>
      <c r="J305" s="22"/>
    </row>
    <row r="306" customFormat="false" ht="19.5" hidden="false" customHeight="true" outlineLevel="0" collapsed="false">
      <c r="A306" s="106" t="n">
        <v>303</v>
      </c>
      <c r="B306" s="107" t="s">
        <v>596</v>
      </c>
      <c r="C306" s="107" t="s">
        <v>288</v>
      </c>
      <c r="D306" s="106" t="s">
        <v>278</v>
      </c>
      <c r="E306" s="107" t="s">
        <v>279</v>
      </c>
      <c r="F306" s="107"/>
      <c r="G306" s="107"/>
      <c r="H306" s="106" t="str">
        <f aca="false">IF(B306="","",IF(COUNTIF('MiT Strom Pipeline'!$B$6:$B$904,B306)&gt;0,"✓",""))</f>
        <v/>
      </c>
      <c r="I306" s="106" t="str">
        <f aca="false">IF(B306="","",IFERROR(VLOOKUP(B306,'MiT Strom Pipeline'!$B$6:$R$904,17,0),""))</f>
        <v/>
      </c>
      <c r="J306" s="107"/>
    </row>
    <row r="307" customFormat="false" ht="19.5" hidden="false" customHeight="true" outlineLevel="0" collapsed="false">
      <c r="A307" s="21" t="n">
        <v>304</v>
      </c>
      <c r="B307" s="22" t="s">
        <v>597</v>
      </c>
      <c r="C307" s="22" t="s">
        <v>288</v>
      </c>
      <c r="D307" s="21" t="s">
        <v>117</v>
      </c>
      <c r="E307" s="22" t="s">
        <v>287</v>
      </c>
      <c r="F307" s="22"/>
      <c r="G307" s="22"/>
      <c r="H307" s="21" t="str">
        <f aca="false">IF(B307="","",IF(COUNTIF('MiT Strom Pipeline'!$B$6:$B$904,B307)&gt;0,"✓",""))</f>
        <v/>
      </c>
      <c r="I307" s="21" t="str">
        <f aca="false">IF(B307="","",IFERROR(VLOOKUP(B307,'MiT Strom Pipeline'!$B$6:$R$904,17,0),""))</f>
        <v/>
      </c>
      <c r="J307" s="22"/>
    </row>
    <row r="308" customFormat="false" ht="19.5" hidden="false" customHeight="true" outlineLevel="0" collapsed="false">
      <c r="A308" s="106" t="n">
        <v>305</v>
      </c>
      <c r="B308" s="107" t="s">
        <v>598</v>
      </c>
      <c r="C308" s="107" t="s">
        <v>109</v>
      </c>
      <c r="D308" s="106" t="s">
        <v>278</v>
      </c>
      <c r="E308" s="107" t="s">
        <v>279</v>
      </c>
      <c r="F308" s="107"/>
      <c r="G308" s="107"/>
      <c r="H308" s="106" t="str">
        <f aca="false">IF(B308="","",IF(COUNTIF('MiT Strom Pipeline'!$B$6:$B$904,B308)&gt;0,"✓",""))</f>
        <v/>
      </c>
      <c r="I308" s="106" t="str">
        <f aca="false">IF(B308="","",IFERROR(VLOOKUP(B308,'MiT Strom Pipeline'!$B$6:$R$904,17,0),""))</f>
        <v/>
      </c>
      <c r="J308" s="107"/>
    </row>
    <row r="309" customFormat="false" ht="19.5" hidden="false" customHeight="true" outlineLevel="0" collapsed="false">
      <c r="A309" s="21" t="n">
        <v>306</v>
      </c>
      <c r="B309" s="22" t="s">
        <v>599</v>
      </c>
      <c r="C309" s="22" t="s">
        <v>288</v>
      </c>
      <c r="D309" s="21" t="s">
        <v>278</v>
      </c>
      <c r="E309" s="22" t="s">
        <v>279</v>
      </c>
      <c r="F309" s="22"/>
      <c r="G309" s="22"/>
      <c r="H309" s="21" t="str">
        <f aca="false">IF(B309="","",IF(COUNTIF('MiT Strom Pipeline'!$B$6:$B$904,B309)&gt;0,"✓",""))</f>
        <v/>
      </c>
      <c r="I309" s="21" t="str">
        <f aca="false">IF(B309="","",IFERROR(VLOOKUP(B309,'MiT Strom Pipeline'!$B$6:$R$904,17,0),""))</f>
        <v/>
      </c>
      <c r="J309" s="22"/>
    </row>
    <row r="310" customFormat="false" ht="19.5" hidden="false" customHeight="true" outlineLevel="0" collapsed="false">
      <c r="A310" s="106" t="n">
        <v>307</v>
      </c>
      <c r="B310" s="107" t="s">
        <v>600</v>
      </c>
      <c r="C310" s="107" t="s">
        <v>143</v>
      </c>
      <c r="D310" s="106" t="s">
        <v>278</v>
      </c>
      <c r="E310" s="107" t="s">
        <v>279</v>
      </c>
      <c r="F310" s="107"/>
      <c r="G310" s="107"/>
      <c r="H310" s="106" t="str">
        <f aca="false">IF(B310="","",IF(COUNTIF('MiT Strom Pipeline'!$B$6:$B$904,B310)&gt;0,"✓",""))</f>
        <v/>
      </c>
      <c r="I310" s="106" t="str">
        <f aca="false">IF(B310="","",IFERROR(VLOOKUP(B310,'MiT Strom Pipeline'!$B$6:$R$904,17,0),""))</f>
        <v/>
      </c>
      <c r="J310" s="107"/>
    </row>
    <row r="311" customFormat="false" ht="19.5" hidden="false" customHeight="true" outlineLevel="0" collapsed="false">
      <c r="A311" s="21" t="n">
        <v>308</v>
      </c>
      <c r="B311" s="22" t="s">
        <v>601</v>
      </c>
      <c r="C311" s="22" t="s">
        <v>143</v>
      </c>
      <c r="D311" s="21" t="s">
        <v>278</v>
      </c>
      <c r="E311" s="22" t="s">
        <v>279</v>
      </c>
      <c r="F311" s="22"/>
      <c r="G311" s="22"/>
      <c r="H311" s="21" t="str">
        <f aca="false">IF(B311="","",IF(COUNTIF('MiT Strom Pipeline'!$B$6:$B$904,B311)&gt;0,"✓",""))</f>
        <v/>
      </c>
      <c r="I311" s="21" t="str">
        <f aca="false">IF(B311="","",IFERROR(VLOOKUP(B311,'MiT Strom Pipeline'!$B$6:$R$904,17,0),""))</f>
        <v/>
      </c>
      <c r="J311" s="22"/>
    </row>
    <row r="312" customFormat="false" ht="19.5" hidden="false" customHeight="true" outlineLevel="0" collapsed="false">
      <c r="A312" s="106" t="n">
        <v>309</v>
      </c>
      <c r="B312" s="107" t="s">
        <v>602</v>
      </c>
      <c r="C312" s="107" t="s">
        <v>307</v>
      </c>
      <c r="D312" s="106" t="s">
        <v>278</v>
      </c>
      <c r="E312" s="107" t="s">
        <v>287</v>
      </c>
      <c r="F312" s="107"/>
      <c r="G312" s="107"/>
      <c r="H312" s="106" t="str">
        <f aca="false">IF(B312="","",IF(COUNTIF('MiT Strom Pipeline'!$B$6:$B$904,B312)&gt;0,"✓",""))</f>
        <v/>
      </c>
      <c r="I312" s="106" t="str">
        <f aca="false">IF(B312="","",IFERROR(VLOOKUP(B312,'MiT Strom Pipeline'!$B$6:$R$904,17,0),""))</f>
        <v/>
      </c>
      <c r="J312" s="107"/>
    </row>
    <row r="313" customFormat="false" ht="19.5" hidden="false" customHeight="true" outlineLevel="0" collapsed="false">
      <c r="A313" s="21" t="n">
        <v>310</v>
      </c>
      <c r="B313" s="22" t="s">
        <v>603</v>
      </c>
      <c r="C313" s="22" t="s">
        <v>288</v>
      </c>
      <c r="D313" s="21" t="s">
        <v>278</v>
      </c>
      <c r="E313" s="22" t="s">
        <v>287</v>
      </c>
      <c r="F313" s="22"/>
      <c r="G313" s="22"/>
      <c r="H313" s="21" t="str">
        <f aca="false">IF(B313="","",IF(COUNTIF('MiT Strom Pipeline'!$B$6:$B$904,B313)&gt;0,"✓",""))</f>
        <v/>
      </c>
      <c r="I313" s="21" t="str">
        <f aca="false">IF(B313="","",IFERROR(VLOOKUP(B313,'MiT Strom Pipeline'!$B$6:$R$904,17,0),""))</f>
        <v/>
      </c>
      <c r="J313" s="22"/>
    </row>
    <row r="314" customFormat="false" ht="19.5" hidden="false" customHeight="true" outlineLevel="0" collapsed="false">
      <c r="A314" s="106" t="n">
        <v>311</v>
      </c>
      <c r="B314" s="107" t="s">
        <v>394</v>
      </c>
      <c r="C314" s="107" t="s">
        <v>288</v>
      </c>
      <c r="D314" s="106" t="s">
        <v>278</v>
      </c>
      <c r="E314" s="107" t="s">
        <v>279</v>
      </c>
      <c r="F314" s="107"/>
      <c r="G314" s="107"/>
      <c r="H314" s="106" t="str">
        <f aca="false">IF(B314="","",IF(COUNTIF('MiT Strom Pipeline'!$B$6:$B$904,B314)&gt;0,"✓",""))</f>
        <v/>
      </c>
      <c r="I314" s="106" t="str">
        <f aca="false">IF(B314="","",IFERROR(VLOOKUP(B314,'MiT Strom Pipeline'!$B$6:$R$904,17,0),""))</f>
        <v/>
      </c>
      <c r="J314" s="107"/>
    </row>
    <row r="315" customFormat="false" ht="19.5" hidden="false" customHeight="true" outlineLevel="0" collapsed="false">
      <c r="A315" s="21" t="n">
        <v>312</v>
      </c>
      <c r="B315" s="22" t="s">
        <v>604</v>
      </c>
      <c r="C315" s="22" t="s">
        <v>288</v>
      </c>
      <c r="D315" s="21" t="s">
        <v>278</v>
      </c>
      <c r="E315" s="22" t="s">
        <v>287</v>
      </c>
      <c r="F315" s="22"/>
      <c r="G315" s="22"/>
      <c r="H315" s="21" t="str">
        <f aca="false">IF(B315="","",IF(COUNTIF('MiT Strom Pipeline'!$B$6:$B$904,B315)&gt;0,"✓",""))</f>
        <v/>
      </c>
      <c r="I315" s="21" t="str">
        <f aca="false">IF(B315="","",IFERROR(VLOOKUP(B315,'MiT Strom Pipeline'!$B$6:$R$904,17,0),""))</f>
        <v/>
      </c>
      <c r="J315" s="22"/>
    </row>
    <row r="316" customFormat="false" ht="19.5" hidden="false" customHeight="true" outlineLevel="0" collapsed="false">
      <c r="A316" s="106" t="n">
        <v>313</v>
      </c>
      <c r="B316" s="107" t="s">
        <v>605</v>
      </c>
      <c r="C316" s="107" t="s">
        <v>288</v>
      </c>
      <c r="D316" s="106" t="s">
        <v>278</v>
      </c>
      <c r="E316" s="107" t="s">
        <v>279</v>
      </c>
      <c r="F316" s="107"/>
      <c r="G316" s="107"/>
      <c r="H316" s="106" t="str">
        <f aca="false">IF(B316="","",IF(COUNTIF('MiT Strom Pipeline'!$B$6:$B$904,B316)&gt;0,"✓",""))</f>
        <v/>
      </c>
      <c r="I316" s="106" t="str">
        <f aca="false">IF(B316="","",IFERROR(VLOOKUP(B316,'MiT Strom Pipeline'!$B$6:$R$904,17,0),""))</f>
        <v/>
      </c>
      <c r="J316" s="107"/>
    </row>
    <row r="317" customFormat="false" ht="19.5" hidden="false" customHeight="true" outlineLevel="0" collapsed="false">
      <c r="A317" s="21" t="n">
        <v>314</v>
      </c>
      <c r="B317" s="22" t="s">
        <v>606</v>
      </c>
      <c r="C317" s="22" t="s">
        <v>307</v>
      </c>
      <c r="D317" s="21" t="s">
        <v>278</v>
      </c>
      <c r="E317" s="22" t="s">
        <v>279</v>
      </c>
      <c r="F317" s="22"/>
      <c r="G317" s="22"/>
      <c r="H317" s="21" t="str">
        <f aca="false">IF(B317="","",IF(COUNTIF('MiT Strom Pipeline'!$B$6:$B$904,B317)&gt;0,"✓",""))</f>
        <v/>
      </c>
      <c r="I317" s="21" t="str">
        <f aca="false">IF(B317="","",IFERROR(VLOOKUP(B317,'MiT Strom Pipeline'!$B$6:$R$904,17,0),""))</f>
        <v/>
      </c>
      <c r="J317" s="22"/>
    </row>
    <row r="318" customFormat="false" ht="19.5" hidden="false" customHeight="true" outlineLevel="0" collapsed="false">
      <c r="A318" s="106" t="n">
        <v>315</v>
      </c>
      <c r="B318" s="107" t="s">
        <v>607</v>
      </c>
      <c r="C318" s="107" t="s">
        <v>288</v>
      </c>
      <c r="D318" s="106" t="s">
        <v>278</v>
      </c>
      <c r="E318" s="107" t="s">
        <v>279</v>
      </c>
      <c r="F318" s="107"/>
      <c r="G318" s="107"/>
      <c r="H318" s="106" t="str">
        <f aca="false">IF(B318="","",IF(COUNTIF('MiT Strom Pipeline'!$B$6:$B$904,B318)&gt;0,"✓",""))</f>
        <v/>
      </c>
      <c r="I318" s="106" t="str">
        <f aca="false">IF(B318="","",IFERROR(VLOOKUP(B318,'MiT Strom Pipeline'!$B$6:$R$904,17,0),""))</f>
        <v/>
      </c>
      <c r="J318" s="107"/>
    </row>
    <row r="319" customFormat="false" ht="19.5" hidden="false" customHeight="true" outlineLevel="0" collapsed="false">
      <c r="A319" s="21" t="n">
        <v>316</v>
      </c>
      <c r="B319" s="22" t="s">
        <v>608</v>
      </c>
      <c r="C319" s="22" t="s">
        <v>288</v>
      </c>
      <c r="D319" s="21" t="s">
        <v>278</v>
      </c>
      <c r="E319" s="22" t="s">
        <v>279</v>
      </c>
      <c r="F319" s="22"/>
      <c r="G319" s="22"/>
      <c r="H319" s="21" t="str">
        <f aca="false">IF(B319="","",IF(COUNTIF('MiT Strom Pipeline'!$B$6:$B$904,B319)&gt;0,"✓",""))</f>
        <v/>
      </c>
      <c r="I319" s="21" t="str">
        <f aca="false">IF(B319="","",IFERROR(VLOOKUP(B319,'MiT Strom Pipeline'!$B$6:$R$904,17,0),""))</f>
        <v/>
      </c>
      <c r="J319" s="22"/>
    </row>
    <row r="320" customFormat="false" ht="19.5" hidden="false" customHeight="true" outlineLevel="0" collapsed="false">
      <c r="A320" s="106" t="n">
        <v>317</v>
      </c>
      <c r="B320" s="107" t="s">
        <v>609</v>
      </c>
      <c r="C320" s="107" t="s">
        <v>288</v>
      </c>
      <c r="D320" s="106" t="s">
        <v>278</v>
      </c>
      <c r="E320" s="107" t="s">
        <v>279</v>
      </c>
      <c r="F320" s="107"/>
      <c r="G320" s="107"/>
      <c r="H320" s="106" t="str">
        <f aca="false">IF(B320="","",IF(COUNTIF('MiT Strom Pipeline'!$B$6:$B$904,B320)&gt;0,"✓",""))</f>
        <v/>
      </c>
      <c r="I320" s="106" t="str">
        <f aca="false">IF(B320="","",IFERROR(VLOOKUP(B320,'MiT Strom Pipeline'!$B$6:$R$904,17,0),""))</f>
        <v/>
      </c>
      <c r="J320" s="107"/>
    </row>
    <row r="321" customFormat="false" ht="19.5" hidden="false" customHeight="true" outlineLevel="0" collapsed="false">
      <c r="A321" s="21" t="n">
        <v>318</v>
      </c>
      <c r="B321" s="22" t="s">
        <v>610</v>
      </c>
      <c r="C321" s="22" t="s">
        <v>288</v>
      </c>
      <c r="D321" s="21" t="s">
        <v>278</v>
      </c>
      <c r="E321" s="22" t="s">
        <v>279</v>
      </c>
      <c r="F321" s="22"/>
      <c r="G321" s="22"/>
      <c r="H321" s="21" t="str">
        <f aca="false">IF(B321="","",IF(COUNTIF('MiT Strom Pipeline'!$B$6:$B$904,B321)&gt;0,"✓",""))</f>
        <v/>
      </c>
      <c r="I321" s="21" t="str">
        <f aca="false">IF(B321="","",IFERROR(VLOOKUP(B321,'MiT Strom Pipeline'!$B$6:$R$904,17,0),""))</f>
        <v/>
      </c>
      <c r="J321" s="22"/>
    </row>
    <row r="322" customFormat="false" ht="19.5" hidden="false" customHeight="true" outlineLevel="0" collapsed="false">
      <c r="A322" s="106" t="n">
        <v>319</v>
      </c>
      <c r="B322" s="107" t="s">
        <v>611</v>
      </c>
      <c r="C322" s="107" t="s">
        <v>288</v>
      </c>
      <c r="D322" s="106" t="s">
        <v>278</v>
      </c>
      <c r="E322" s="107" t="s">
        <v>287</v>
      </c>
      <c r="F322" s="107"/>
      <c r="G322" s="107"/>
      <c r="H322" s="106" t="str">
        <f aca="false">IF(B322="","",IF(COUNTIF('MiT Strom Pipeline'!$B$6:$B$904,B322)&gt;0,"✓",""))</f>
        <v/>
      </c>
      <c r="I322" s="106" t="str">
        <f aca="false">IF(B322="","",IFERROR(VLOOKUP(B322,'MiT Strom Pipeline'!$B$6:$R$904,17,0),""))</f>
        <v/>
      </c>
      <c r="J322" s="107"/>
    </row>
    <row r="323" customFormat="false" ht="19.5" hidden="false" customHeight="true" outlineLevel="0" collapsed="false">
      <c r="A323" s="21" t="n">
        <v>320</v>
      </c>
      <c r="B323" s="22" t="s">
        <v>612</v>
      </c>
      <c r="C323" s="22" t="s">
        <v>288</v>
      </c>
      <c r="D323" s="21" t="s">
        <v>278</v>
      </c>
      <c r="E323" s="22" t="s">
        <v>279</v>
      </c>
      <c r="F323" s="22"/>
      <c r="G323" s="22"/>
      <c r="H323" s="21" t="str">
        <f aca="false">IF(B323="","",IF(COUNTIF('MiT Strom Pipeline'!$B$6:$B$904,B323)&gt;0,"✓",""))</f>
        <v/>
      </c>
      <c r="I323" s="21" t="str">
        <f aca="false">IF(B323="","",IFERROR(VLOOKUP(B323,'MiT Strom Pipeline'!$B$6:$R$904,17,0),""))</f>
        <v/>
      </c>
      <c r="J323" s="22"/>
    </row>
    <row r="324" customFormat="false" ht="19.5" hidden="false" customHeight="true" outlineLevel="0" collapsed="false">
      <c r="A324" s="106" t="n">
        <v>321</v>
      </c>
      <c r="B324" s="107" t="s">
        <v>613</v>
      </c>
      <c r="C324" s="107" t="s">
        <v>288</v>
      </c>
      <c r="D324" s="106" t="s">
        <v>278</v>
      </c>
      <c r="E324" s="107" t="s">
        <v>279</v>
      </c>
      <c r="F324" s="107"/>
      <c r="G324" s="107"/>
      <c r="H324" s="106" t="str">
        <f aca="false">IF(B324="","",IF(COUNTIF('MiT Strom Pipeline'!$B$6:$B$904,B324)&gt;0,"✓",""))</f>
        <v/>
      </c>
      <c r="I324" s="106" t="str">
        <f aca="false">IF(B324="","",IFERROR(VLOOKUP(B324,'MiT Strom Pipeline'!$B$6:$R$904,17,0),""))</f>
        <v/>
      </c>
      <c r="J324" s="107"/>
    </row>
    <row r="325" customFormat="false" ht="19.5" hidden="false" customHeight="true" outlineLevel="0" collapsed="false">
      <c r="A325" s="21" t="n">
        <v>322</v>
      </c>
      <c r="B325" s="22" t="s">
        <v>614</v>
      </c>
      <c r="C325" s="22" t="s">
        <v>288</v>
      </c>
      <c r="D325" s="21" t="s">
        <v>278</v>
      </c>
      <c r="E325" s="22" t="s">
        <v>279</v>
      </c>
      <c r="F325" s="22"/>
      <c r="G325" s="22"/>
      <c r="H325" s="21" t="str">
        <f aca="false">IF(B325="","",IF(COUNTIF('MiT Strom Pipeline'!$B$6:$B$904,B325)&gt;0,"✓",""))</f>
        <v/>
      </c>
      <c r="I325" s="21" t="str">
        <f aca="false">IF(B325="","",IFERROR(VLOOKUP(B325,'MiT Strom Pipeline'!$B$6:$R$904,17,0),""))</f>
        <v/>
      </c>
      <c r="J325" s="22"/>
    </row>
    <row r="326" customFormat="false" ht="19.5" hidden="false" customHeight="true" outlineLevel="0" collapsed="false">
      <c r="A326" s="106" t="n">
        <v>323</v>
      </c>
      <c r="B326" s="107" t="s">
        <v>615</v>
      </c>
      <c r="C326" s="107" t="s">
        <v>288</v>
      </c>
      <c r="D326" s="106" t="s">
        <v>278</v>
      </c>
      <c r="E326" s="107" t="s">
        <v>287</v>
      </c>
      <c r="F326" s="107"/>
      <c r="G326" s="107"/>
      <c r="H326" s="106" t="str">
        <f aca="false">IF(B326="","",IF(COUNTIF('MiT Strom Pipeline'!$B$6:$B$904,B326)&gt;0,"✓",""))</f>
        <v/>
      </c>
      <c r="I326" s="106" t="str">
        <f aca="false">IF(B326="","",IFERROR(VLOOKUP(B326,'MiT Strom Pipeline'!$B$6:$R$904,17,0),""))</f>
        <v/>
      </c>
      <c r="J326" s="107"/>
    </row>
    <row r="327" customFormat="false" ht="19.5" hidden="false" customHeight="true" outlineLevel="0" collapsed="false">
      <c r="A327" s="21" t="n">
        <v>324</v>
      </c>
      <c r="B327" s="22" t="s">
        <v>616</v>
      </c>
      <c r="C327" s="22" t="s">
        <v>288</v>
      </c>
      <c r="D327" s="21" t="s">
        <v>278</v>
      </c>
      <c r="E327" s="22" t="s">
        <v>279</v>
      </c>
      <c r="F327" s="22"/>
      <c r="G327" s="22"/>
      <c r="H327" s="21" t="str">
        <f aca="false">IF(B327="","",IF(COUNTIF('MiT Strom Pipeline'!$B$6:$B$904,B327)&gt;0,"✓",""))</f>
        <v/>
      </c>
      <c r="I327" s="21" t="str">
        <f aca="false">IF(B327="","",IFERROR(VLOOKUP(B327,'MiT Strom Pipeline'!$B$6:$R$904,17,0),""))</f>
        <v/>
      </c>
      <c r="J327" s="22"/>
    </row>
    <row r="328" customFormat="false" ht="19.5" hidden="false" customHeight="true" outlineLevel="0" collapsed="false">
      <c r="A328" s="106" t="n">
        <v>325</v>
      </c>
      <c r="B328" s="107" t="s">
        <v>617</v>
      </c>
      <c r="C328" s="107" t="s">
        <v>307</v>
      </c>
      <c r="D328" s="106" t="s">
        <v>175</v>
      </c>
      <c r="E328" s="107" t="s">
        <v>279</v>
      </c>
      <c r="F328" s="107"/>
      <c r="G328" s="107"/>
      <c r="H328" s="106" t="str">
        <f aca="false">IF(B328="","",IF(COUNTIF('MiT Strom Pipeline'!$B$6:$B$904,B328)&gt;0,"✓",""))</f>
        <v/>
      </c>
      <c r="I328" s="106" t="str">
        <f aca="false">IF(B328="","",IFERROR(VLOOKUP(B328,'MiT Strom Pipeline'!$B$6:$R$904,17,0),""))</f>
        <v/>
      </c>
      <c r="J328" s="107"/>
    </row>
    <row r="329" customFormat="false" ht="19.5" hidden="false" customHeight="true" outlineLevel="0" collapsed="false">
      <c r="A329" s="21" t="n">
        <v>326</v>
      </c>
      <c r="B329" s="22" t="s">
        <v>618</v>
      </c>
      <c r="C329" s="22" t="s">
        <v>288</v>
      </c>
      <c r="D329" s="21" t="s">
        <v>278</v>
      </c>
      <c r="E329" s="22" t="s">
        <v>279</v>
      </c>
      <c r="F329" s="22"/>
      <c r="G329" s="22"/>
      <c r="H329" s="21" t="str">
        <f aca="false">IF(B329="","",IF(COUNTIF('MiT Strom Pipeline'!$B$6:$B$904,B329)&gt;0,"✓",""))</f>
        <v/>
      </c>
      <c r="I329" s="21" t="str">
        <f aca="false">IF(B329="","",IFERROR(VLOOKUP(B329,'MiT Strom Pipeline'!$B$6:$R$904,17,0),""))</f>
        <v/>
      </c>
      <c r="J329" s="22"/>
    </row>
    <row r="330" customFormat="false" ht="19.5" hidden="false" customHeight="true" outlineLevel="0" collapsed="false">
      <c r="A330" s="106" t="n">
        <v>327</v>
      </c>
      <c r="B330" s="107" t="s">
        <v>619</v>
      </c>
      <c r="C330" s="107" t="s">
        <v>288</v>
      </c>
      <c r="D330" s="106" t="s">
        <v>278</v>
      </c>
      <c r="E330" s="107" t="s">
        <v>287</v>
      </c>
      <c r="F330" s="107"/>
      <c r="G330" s="107"/>
      <c r="H330" s="106" t="str">
        <f aca="false">IF(B330="","",IF(COUNTIF('MiT Strom Pipeline'!$B$6:$B$904,B330)&gt;0,"✓",""))</f>
        <v/>
      </c>
      <c r="I330" s="106" t="str">
        <f aca="false">IF(B330="","",IFERROR(VLOOKUP(B330,'MiT Strom Pipeline'!$B$6:$R$904,17,0),""))</f>
        <v/>
      </c>
      <c r="J330" s="107"/>
    </row>
    <row r="331" customFormat="false" ht="19.5" hidden="false" customHeight="true" outlineLevel="0" collapsed="false">
      <c r="A331" s="21" t="n">
        <v>328</v>
      </c>
      <c r="B331" s="22" t="s">
        <v>620</v>
      </c>
      <c r="C331" s="22" t="s">
        <v>288</v>
      </c>
      <c r="D331" s="21" t="s">
        <v>278</v>
      </c>
      <c r="E331" s="22" t="s">
        <v>279</v>
      </c>
      <c r="F331" s="22"/>
      <c r="G331" s="22"/>
      <c r="H331" s="21" t="str">
        <f aca="false">IF(B331="","",IF(COUNTIF('MiT Strom Pipeline'!$B$6:$B$904,B331)&gt;0,"✓",""))</f>
        <v/>
      </c>
      <c r="I331" s="21" t="str">
        <f aca="false">IF(B331="","",IFERROR(VLOOKUP(B331,'MiT Strom Pipeline'!$B$6:$R$904,17,0),""))</f>
        <v/>
      </c>
      <c r="J331" s="22"/>
    </row>
    <row r="332" customFormat="false" ht="19.5" hidden="false" customHeight="true" outlineLevel="0" collapsed="false">
      <c r="A332" s="106" t="n">
        <v>329</v>
      </c>
      <c r="B332" s="107" t="s">
        <v>621</v>
      </c>
      <c r="C332" s="107" t="s">
        <v>288</v>
      </c>
      <c r="D332" s="106" t="s">
        <v>278</v>
      </c>
      <c r="E332" s="107" t="s">
        <v>279</v>
      </c>
      <c r="F332" s="107"/>
      <c r="G332" s="107"/>
      <c r="H332" s="106" t="str">
        <f aca="false">IF(B332="","",IF(COUNTIF('MiT Strom Pipeline'!$B$6:$B$904,B332)&gt;0,"✓",""))</f>
        <v/>
      </c>
      <c r="I332" s="106" t="str">
        <f aca="false">IF(B332="","",IFERROR(VLOOKUP(B332,'MiT Strom Pipeline'!$B$6:$R$904,17,0),""))</f>
        <v/>
      </c>
      <c r="J332" s="107"/>
    </row>
    <row r="333" customFormat="false" ht="19.5" hidden="false" customHeight="true" outlineLevel="0" collapsed="false">
      <c r="A333" s="21" t="n">
        <v>330</v>
      </c>
      <c r="B333" s="22" t="s">
        <v>622</v>
      </c>
      <c r="C333" s="22" t="s">
        <v>288</v>
      </c>
      <c r="D333" s="21" t="s">
        <v>278</v>
      </c>
      <c r="E333" s="22" t="s">
        <v>279</v>
      </c>
      <c r="F333" s="22"/>
      <c r="G333" s="22"/>
      <c r="H333" s="21" t="str">
        <f aca="false">IF(B333="","",IF(COUNTIF('MiT Strom Pipeline'!$B$6:$B$904,B333)&gt;0,"✓",""))</f>
        <v/>
      </c>
      <c r="I333" s="21" t="str">
        <f aca="false">IF(B333="","",IFERROR(VLOOKUP(B333,'MiT Strom Pipeline'!$B$6:$R$904,17,0),""))</f>
        <v/>
      </c>
      <c r="J333" s="22"/>
    </row>
    <row r="334" customFormat="false" ht="19.5" hidden="false" customHeight="true" outlineLevel="0" collapsed="false">
      <c r="A334" s="106" t="n">
        <v>331</v>
      </c>
      <c r="B334" s="107" t="s">
        <v>623</v>
      </c>
      <c r="C334" s="107" t="s">
        <v>288</v>
      </c>
      <c r="D334" s="106" t="s">
        <v>278</v>
      </c>
      <c r="E334" s="107" t="s">
        <v>279</v>
      </c>
      <c r="F334" s="107"/>
      <c r="G334" s="107"/>
      <c r="H334" s="106" t="str">
        <f aca="false">IF(B334="","",IF(COUNTIF('MiT Strom Pipeline'!$B$6:$B$904,B334)&gt;0,"✓",""))</f>
        <v/>
      </c>
      <c r="I334" s="106" t="str">
        <f aca="false">IF(B334="","",IFERROR(VLOOKUP(B334,'MiT Strom Pipeline'!$B$6:$R$904,17,0),""))</f>
        <v/>
      </c>
      <c r="J334" s="107"/>
    </row>
    <row r="335" customFormat="false" ht="19.5" hidden="false" customHeight="true" outlineLevel="0" collapsed="false">
      <c r="A335" s="21" t="n">
        <v>332</v>
      </c>
      <c r="B335" s="22" t="s">
        <v>624</v>
      </c>
      <c r="C335" s="22" t="s">
        <v>288</v>
      </c>
      <c r="D335" s="21" t="s">
        <v>278</v>
      </c>
      <c r="E335" s="22" t="s">
        <v>279</v>
      </c>
      <c r="F335" s="22"/>
      <c r="G335" s="22"/>
      <c r="H335" s="21" t="str">
        <f aca="false">IF(B335="","",IF(COUNTIF('MiT Strom Pipeline'!$B$6:$B$904,B335)&gt;0,"✓",""))</f>
        <v/>
      </c>
      <c r="I335" s="21" t="str">
        <f aca="false">IF(B335="","",IFERROR(VLOOKUP(B335,'MiT Strom Pipeline'!$B$6:$R$904,17,0),""))</f>
        <v/>
      </c>
      <c r="J335" s="22"/>
    </row>
    <row r="336" customFormat="false" ht="19.5" hidden="false" customHeight="true" outlineLevel="0" collapsed="false">
      <c r="A336" s="106" t="n">
        <v>333</v>
      </c>
      <c r="B336" s="107" t="s">
        <v>579</v>
      </c>
      <c r="C336" s="107" t="s">
        <v>307</v>
      </c>
      <c r="D336" s="106" t="s">
        <v>278</v>
      </c>
      <c r="E336" s="107" t="s">
        <v>279</v>
      </c>
      <c r="F336" s="107"/>
      <c r="G336" s="107"/>
      <c r="H336" s="106" t="str">
        <f aca="false">IF(B336="","",IF(COUNTIF('MiT Strom Pipeline'!$B$6:$B$904,B336)&gt;0,"✓",""))</f>
        <v/>
      </c>
      <c r="I336" s="106" t="str">
        <f aca="false">IF(B336="","",IFERROR(VLOOKUP(B336,'MiT Strom Pipeline'!$B$6:$R$904,17,0),""))</f>
        <v/>
      </c>
      <c r="J336" s="107"/>
    </row>
    <row r="337" customFormat="false" ht="19.5" hidden="false" customHeight="true" outlineLevel="0" collapsed="false">
      <c r="A337" s="21" t="n">
        <v>334</v>
      </c>
      <c r="B337" s="22" t="s">
        <v>625</v>
      </c>
      <c r="C337" s="22" t="s">
        <v>288</v>
      </c>
      <c r="D337" s="21" t="s">
        <v>278</v>
      </c>
      <c r="E337" s="22" t="s">
        <v>279</v>
      </c>
      <c r="F337" s="22"/>
      <c r="G337" s="22"/>
      <c r="H337" s="21" t="str">
        <f aca="false">IF(B337="","",IF(COUNTIF('MiT Strom Pipeline'!$B$6:$B$904,B337)&gt;0,"✓",""))</f>
        <v/>
      </c>
      <c r="I337" s="21" t="str">
        <f aca="false">IF(B337="","",IFERROR(VLOOKUP(B337,'MiT Strom Pipeline'!$B$6:$R$904,17,0),""))</f>
        <v/>
      </c>
      <c r="J337" s="22"/>
    </row>
    <row r="338" customFormat="false" ht="19.5" hidden="false" customHeight="true" outlineLevel="0" collapsed="false">
      <c r="A338" s="106" t="n">
        <v>335</v>
      </c>
      <c r="B338" s="107" t="s">
        <v>317</v>
      </c>
      <c r="C338" s="107" t="s">
        <v>288</v>
      </c>
      <c r="D338" s="106" t="s">
        <v>278</v>
      </c>
      <c r="E338" s="107" t="s">
        <v>279</v>
      </c>
      <c r="F338" s="107"/>
      <c r="G338" s="107"/>
      <c r="H338" s="106" t="str">
        <f aca="false">IF(B338="","",IF(COUNTIF('MiT Strom Pipeline'!$B$6:$B$904,B338)&gt;0,"✓",""))</f>
        <v/>
      </c>
      <c r="I338" s="106" t="str">
        <f aca="false">IF(B338="","",IFERROR(VLOOKUP(B338,'MiT Strom Pipeline'!$B$6:$R$904,17,0),""))</f>
        <v/>
      </c>
      <c r="J338" s="107"/>
    </row>
    <row r="339" customFormat="false" ht="19.5" hidden="false" customHeight="true" outlineLevel="0" collapsed="false">
      <c r="A339" s="21" t="n">
        <v>336</v>
      </c>
      <c r="B339" s="22" t="s">
        <v>353</v>
      </c>
      <c r="C339" s="22" t="s">
        <v>354</v>
      </c>
      <c r="D339" s="21" t="s">
        <v>278</v>
      </c>
      <c r="E339" s="22" t="s">
        <v>279</v>
      </c>
      <c r="F339" s="22"/>
      <c r="G339" s="22"/>
      <c r="H339" s="21" t="str">
        <f aca="false">IF(B339="","",IF(COUNTIF('MiT Strom Pipeline'!$B$6:$B$904,B339)&gt;0,"✓",""))</f>
        <v/>
      </c>
      <c r="I339" s="21" t="str">
        <f aca="false">IF(B339="","",IFERROR(VLOOKUP(B339,'MiT Strom Pipeline'!$B$6:$R$904,17,0),""))</f>
        <v/>
      </c>
      <c r="J339" s="22"/>
    </row>
    <row r="340" customFormat="false" ht="19.5" hidden="false" customHeight="true" outlineLevel="0" collapsed="false">
      <c r="A340" s="106" t="n">
        <v>337</v>
      </c>
      <c r="B340" s="107" t="s">
        <v>626</v>
      </c>
      <c r="C340" s="107" t="s">
        <v>288</v>
      </c>
      <c r="D340" s="106" t="s">
        <v>278</v>
      </c>
      <c r="E340" s="107" t="s">
        <v>287</v>
      </c>
      <c r="F340" s="107"/>
      <c r="G340" s="107"/>
      <c r="H340" s="106" t="str">
        <f aca="false">IF(B340="","",IF(COUNTIF('MiT Strom Pipeline'!$B$6:$B$904,B340)&gt;0,"✓",""))</f>
        <v/>
      </c>
      <c r="I340" s="106" t="str">
        <f aca="false">IF(B340="","",IFERROR(VLOOKUP(B340,'MiT Strom Pipeline'!$B$6:$R$904,17,0),""))</f>
        <v/>
      </c>
      <c r="J340" s="107"/>
    </row>
    <row r="341" customFormat="false" ht="19.5" hidden="false" customHeight="true" outlineLevel="0" collapsed="false">
      <c r="A341" s="21" t="n">
        <v>338</v>
      </c>
      <c r="B341" s="22" t="s">
        <v>627</v>
      </c>
      <c r="C341" s="22" t="s">
        <v>288</v>
      </c>
      <c r="D341" s="21" t="s">
        <v>278</v>
      </c>
      <c r="E341" s="22" t="s">
        <v>279</v>
      </c>
      <c r="F341" s="22"/>
      <c r="G341" s="22"/>
      <c r="H341" s="21" t="str">
        <f aca="false">IF(B341="","",IF(COUNTIF('MiT Strom Pipeline'!$B$6:$B$904,B341)&gt;0,"✓",""))</f>
        <v/>
      </c>
      <c r="I341" s="21" t="str">
        <f aca="false">IF(B341="","",IFERROR(VLOOKUP(B341,'MiT Strom Pipeline'!$B$6:$R$904,17,0),""))</f>
        <v/>
      </c>
      <c r="J341" s="22"/>
    </row>
    <row r="342" customFormat="false" ht="19.5" hidden="false" customHeight="true" outlineLevel="0" collapsed="false">
      <c r="A342" s="106" t="n">
        <v>339</v>
      </c>
      <c r="B342" s="107" t="s">
        <v>628</v>
      </c>
      <c r="C342" s="107" t="s">
        <v>288</v>
      </c>
      <c r="D342" s="106" t="s">
        <v>278</v>
      </c>
      <c r="E342" s="107" t="s">
        <v>279</v>
      </c>
      <c r="F342" s="107"/>
      <c r="G342" s="107"/>
      <c r="H342" s="106" t="str">
        <f aca="false">IF(B342="","",IF(COUNTIF('MiT Strom Pipeline'!$B$6:$B$904,B342)&gt;0,"✓",""))</f>
        <v/>
      </c>
      <c r="I342" s="106" t="str">
        <f aca="false">IF(B342="","",IFERROR(VLOOKUP(B342,'MiT Strom Pipeline'!$B$6:$R$904,17,0),""))</f>
        <v/>
      </c>
      <c r="J342" s="107"/>
    </row>
    <row r="343" customFormat="false" ht="19.5" hidden="false" customHeight="true" outlineLevel="0" collapsed="false">
      <c r="A343" s="21" t="n">
        <v>340</v>
      </c>
      <c r="B343" s="22" t="s">
        <v>629</v>
      </c>
      <c r="C343" s="22" t="s">
        <v>288</v>
      </c>
      <c r="D343" s="21" t="s">
        <v>278</v>
      </c>
      <c r="E343" s="22" t="s">
        <v>279</v>
      </c>
      <c r="F343" s="22"/>
      <c r="G343" s="22"/>
      <c r="H343" s="21" t="str">
        <f aca="false">IF(B343="","",IF(COUNTIF('MiT Strom Pipeline'!$B$6:$B$904,B343)&gt;0,"✓",""))</f>
        <v/>
      </c>
      <c r="I343" s="21" t="str">
        <f aca="false">IF(B343="","",IFERROR(VLOOKUP(B343,'MiT Strom Pipeline'!$B$6:$R$904,17,0),""))</f>
        <v/>
      </c>
      <c r="J343" s="22"/>
    </row>
    <row r="344" customFormat="false" ht="19.5" hidden="false" customHeight="true" outlineLevel="0" collapsed="false">
      <c r="A344" s="106" t="n">
        <v>341</v>
      </c>
      <c r="B344" s="107" t="s">
        <v>331</v>
      </c>
      <c r="C344" s="107" t="s">
        <v>321</v>
      </c>
      <c r="D344" s="106" t="s">
        <v>227</v>
      </c>
      <c r="E344" s="107" t="s">
        <v>279</v>
      </c>
      <c r="F344" s="107"/>
      <c r="G344" s="107"/>
      <c r="H344" s="106" t="str">
        <f aca="false">IF(B344="","",IF(COUNTIF('MiT Strom Pipeline'!$B$6:$B$904,B344)&gt;0,"✓",""))</f>
        <v/>
      </c>
      <c r="I344" s="106" t="str">
        <f aca="false">IF(B344="","",IFERROR(VLOOKUP(B344,'MiT Strom Pipeline'!$B$6:$R$904,17,0),""))</f>
        <v/>
      </c>
      <c r="J344" s="107"/>
    </row>
    <row r="345" customFormat="false" ht="19.5" hidden="false" customHeight="true" outlineLevel="0" collapsed="false">
      <c r="A345" s="21" t="n">
        <v>342</v>
      </c>
      <c r="B345" s="22" t="s">
        <v>630</v>
      </c>
      <c r="C345" s="22" t="s">
        <v>288</v>
      </c>
      <c r="D345" s="21" t="s">
        <v>278</v>
      </c>
      <c r="E345" s="22" t="s">
        <v>279</v>
      </c>
      <c r="F345" s="22"/>
      <c r="G345" s="22"/>
      <c r="H345" s="21" t="str">
        <f aca="false">IF(B345="","",IF(COUNTIF('MiT Strom Pipeline'!$B$6:$B$904,B345)&gt;0,"✓",""))</f>
        <v/>
      </c>
      <c r="I345" s="21" t="str">
        <f aca="false">IF(B345="","",IFERROR(VLOOKUP(B345,'MiT Strom Pipeline'!$B$6:$R$904,17,0),""))</f>
        <v/>
      </c>
      <c r="J345" s="22"/>
    </row>
    <row r="346" customFormat="false" ht="19.5" hidden="false" customHeight="true" outlineLevel="0" collapsed="false">
      <c r="A346" s="106" t="n">
        <v>343</v>
      </c>
      <c r="B346" s="107" t="s">
        <v>631</v>
      </c>
      <c r="C346" s="107" t="s">
        <v>307</v>
      </c>
      <c r="D346" s="106" t="s">
        <v>278</v>
      </c>
      <c r="E346" s="107" t="s">
        <v>279</v>
      </c>
      <c r="F346" s="107"/>
      <c r="G346" s="107"/>
      <c r="H346" s="106" t="str">
        <f aca="false">IF(B346="","",IF(COUNTIF('MiT Strom Pipeline'!$B$6:$B$904,B346)&gt;0,"✓",""))</f>
        <v/>
      </c>
      <c r="I346" s="106" t="str">
        <f aca="false">IF(B346="","",IFERROR(VLOOKUP(B346,'MiT Strom Pipeline'!$B$6:$R$904,17,0),""))</f>
        <v/>
      </c>
      <c r="J346" s="107"/>
    </row>
    <row r="347" customFormat="false" ht="19.5" hidden="false" customHeight="true" outlineLevel="0" collapsed="false">
      <c r="A347" s="21" t="n">
        <v>344</v>
      </c>
      <c r="B347" s="22" t="s">
        <v>632</v>
      </c>
      <c r="C347" s="22" t="s">
        <v>288</v>
      </c>
      <c r="D347" s="21" t="s">
        <v>278</v>
      </c>
      <c r="E347" s="22" t="s">
        <v>279</v>
      </c>
      <c r="F347" s="22"/>
      <c r="G347" s="22"/>
      <c r="H347" s="21" t="str">
        <f aca="false">IF(B347="","",IF(COUNTIF('MiT Strom Pipeline'!$B$6:$B$904,B347)&gt;0,"✓",""))</f>
        <v/>
      </c>
      <c r="I347" s="21" t="str">
        <f aca="false">IF(B347="","",IFERROR(VLOOKUP(B347,'MiT Strom Pipeline'!$B$6:$R$904,17,0),""))</f>
        <v/>
      </c>
      <c r="J347" s="22"/>
    </row>
    <row r="348" customFormat="false" ht="19.5" hidden="false" customHeight="true" outlineLevel="0" collapsed="false">
      <c r="A348" s="106" t="n">
        <v>345</v>
      </c>
      <c r="B348" s="107" t="s">
        <v>633</v>
      </c>
      <c r="C348" s="107" t="s">
        <v>288</v>
      </c>
      <c r="D348" s="106" t="s">
        <v>278</v>
      </c>
      <c r="E348" s="107" t="s">
        <v>279</v>
      </c>
      <c r="F348" s="107"/>
      <c r="G348" s="107"/>
      <c r="H348" s="106" t="str">
        <f aca="false">IF(B348="","",IF(COUNTIF('MiT Strom Pipeline'!$B$6:$B$904,B348)&gt;0,"✓",""))</f>
        <v/>
      </c>
      <c r="I348" s="106" t="str">
        <f aca="false">IF(B348="","",IFERROR(VLOOKUP(B348,'MiT Strom Pipeline'!$B$6:$R$904,17,0),""))</f>
        <v/>
      </c>
      <c r="J348" s="107"/>
    </row>
    <row r="349" customFormat="false" ht="19.5" hidden="false" customHeight="true" outlineLevel="0" collapsed="false">
      <c r="A349" s="21" t="n">
        <v>346</v>
      </c>
      <c r="B349" s="22" t="s">
        <v>634</v>
      </c>
      <c r="C349" s="22" t="s">
        <v>288</v>
      </c>
      <c r="D349" s="21" t="s">
        <v>278</v>
      </c>
      <c r="E349" s="22" t="s">
        <v>279</v>
      </c>
      <c r="F349" s="22"/>
      <c r="G349" s="22"/>
      <c r="H349" s="21" t="str">
        <f aca="false">IF(B349="","",IF(COUNTIF('MiT Strom Pipeline'!$B$6:$B$904,B349)&gt;0,"✓",""))</f>
        <v/>
      </c>
      <c r="I349" s="21" t="str">
        <f aca="false">IF(B349="","",IFERROR(VLOOKUP(B349,'MiT Strom Pipeline'!$B$6:$R$904,17,0),""))</f>
        <v/>
      </c>
      <c r="J349" s="22"/>
    </row>
    <row r="350" customFormat="false" ht="19.5" hidden="false" customHeight="true" outlineLevel="0" collapsed="false">
      <c r="A350" s="106" t="n">
        <v>347</v>
      </c>
      <c r="B350" s="107" t="s">
        <v>635</v>
      </c>
      <c r="C350" s="107" t="s">
        <v>288</v>
      </c>
      <c r="D350" s="106" t="s">
        <v>278</v>
      </c>
      <c r="E350" s="107" t="s">
        <v>279</v>
      </c>
      <c r="F350" s="107"/>
      <c r="G350" s="107"/>
      <c r="H350" s="106" t="str">
        <f aca="false">IF(B350="","",IF(COUNTIF('MiT Strom Pipeline'!$B$6:$B$904,B350)&gt;0,"✓",""))</f>
        <v/>
      </c>
      <c r="I350" s="106" t="str">
        <f aca="false">IF(B350="","",IFERROR(VLOOKUP(B350,'MiT Strom Pipeline'!$B$6:$R$904,17,0),""))</f>
        <v/>
      </c>
      <c r="J350" s="107"/>
    </row>
    <row r="351" customFormat="false" ht="19.5" hidden="false" customHeight="true" outlineLevel="0" collapsed="false">
      <c r="A351" s="21" t="n">
        <v>348</v>
      </c>
      <c r="B351" s="22" t="s">
        <v>636</v>
      </c>
      <c r="C351" s="22" t="s">
        <v>288</v>
      </c>
      <c r="D351" s="21" t="s">
        <v>278</v>
      </c>
      <c r="E351" s="22" t="s">
        <v>279</v>
      </c>
      <c r="F351" s="22"/>
      <c r="G351" s="22"/>
      <c r="H351" s="21" t="str">
        <f aca="false">IF(B351="","",IF(COUNTIF('MiT Strom Pipeline'!$B$6:$B$904,B351)&gt;0,"✓",""))</f>
        <v/>
      </c>
      <c r="I351" s="21" t="str">
        <f aca="false">IF(B351="","",IFERROR(VLOOKUP(B351,'MiT Strom Pipeline'!$B$6:$R$904,17,0),""))</f>
        <v/>
      </c>
      <c r="J351" s="22"/>
    </row>
    <row r="352" customFormat="false" ht="19.5" hidden="false" customHeight="true" outlineLevel="0" collapsed="false">
      <c r="A352" s="106" t="n">
        <v>349</v>
      </c>
      <c r="B352" s="107" t="s">
        <v>637</v>
      </c>
      <c r="C352" s="107" t="s">
        <v>288</v>
      </c>
      <c r="D352" s="106" t="s">
        <v>278</v>
      </c>
      <c r="E352" s="107" t="s">
        <v>287</v>
      </c>
      <c r="F352" s="107"/>
      <c r="G352" s="107"/>
      <c r="H352" s="106" t="str">
        <f aca="false">IF(B352="","",IF(COUNTIF('MiT Strom Pipeline'!$B$6:$B$904,B352)&gt;0,"✓",""))</f>
        <v/>
      </c>
      <c r="I352" s="106" t="str">
        <f aca="false">IF(B352="","",IFERROR(VLOOKUP(B352,'MiT Strom Pipeline'!$B$6:$R$904,17,0),""))</f>
        <v/>
      </c>
      <c r="J352" s="107"/>
    </row>
    <row r="353" customFormat="false" ht="19.5" hidden="false" customHeight="true" outlineLevel="0" collapsed="false">
      <c r="A353" s="21" t="n">
        <v>350</v>
      </c>
      <c r="B353" s="22" t="s">
        <v>638</v>
      </c>
      <c r="C353" s="22" t="s">
        <v>288</v>
      </c>
      <c r="D353" s="21" t="s">
        <v>207</v>
      </c>
      <c r="E353" s="22" t="s">
        <v>279</v>
      </c>
      <c r="F353" s="22"/>
      <c r="G353" s="22"/>
      <c r="H353" s="21" t="str">
        <f aca="false">IF(B353="","",IF(COUNTIF('MiT Strom Pipeline'!$B$6:$B$904,B353)&gt;0,"✓",""))</f>
        <v/>
      </c>
      <c r="I353" s="21" t="str">
        <f aca="false">IF(B353="","",IFERROR(VLOOKUP(B353,'MiT Strom Pipeline'!$B$6:$R$904,17,0),""))</f>
        <v/>
      </c>
      <c r="J353" s="22"/>
    </row>
    <row r="354" customFormat="false" ht="19.5" hidden="false" customHeight="true" outlineLevel="0" collapsed="false">
      <c r="A354" s="106" t="n">
        <v>351</v>
      </c>
      <c r="B354" s="107" t="s">
        <v>639</v>
      </c>
      <c r="C354" s="107" t="s">
        <v>288</v>
      </c>
      <c r="D354" s="106" t="s">
        <v>278</v>
      </c>
      <c r="E354" s="107" t="s">
        <v>279</v>
      </c>
      <c r="F354" s="107"/>
      <c r="G354" s="107"/>
      <c r="H354" s="106" t="str">
        <f aca="false">IF(B354="","",IF(COUNTIF('MiT Strom Pipeline'!$B$6:$B$904,B354)&gt;0,"✓",""))</f>
        <v/>
      </c>
      <c r="I354" s="106" t="str">
        <f aca="false">IF(B354="","",IFERROR(VLOOKUP(B354,'MiT Strom Pipeline'!$B$6:$R$904,17,0),""))</f>
        <v/>
      </c>
      <c r="J354" s="107"/>
    </row>
    <row r="355" customFormat="false" ht="19.5" hidden="false" customHeight="true" outlineLevel="0" collapsed="false">
      <c r="A355" s="21" t="n">
        <v>352</v>
      </c>
      <c r="B355" s="22" t="s">
        <v>640</v>
      </c>
      <c r="C355" s="22" t="s">
        <v>307</v>
      </c>
      <c r="D355" s="21" t="s">
        <v>278</v>
      </c>
      <c r="E355" s="22" t="s">
        <v>279</v>
      </c>
      <c r="F355" s="22"/>
      <c r="G355" s="22"/>
      <c r="H355" s="21" t="str">
        <f aca="false">IF(B355="","",IF(COUNTIF('MiT Strom Pipeline'!$B$6:$B$904,B355)&gt;0,"✓",""))</f>
        <v/>
      </c>
      <c r="I355" s="21" t="str">
        <f aca="false">IF(B355="","",IFERROR(VLOOKUP(B355,'MiT Strom Pipeline'!$B$6:$R$904,17,0),""))</f>
        <v/>
      </c>
      <c r="J355" s="22"/>
    </row>
    <row r="356" customFormat="false" ht="19.5" hidden="false" customHeight="true" outlineLevel="0" collapsed="false">
      <c r="A356" s="106" t="n">
        <v>353</v>
      </c>
      <c r="B356" s="107" t="s">
        <v>641</v>
      </c>
      <c r="C356" s="107" t="s">
        <v>307</v>
      </c>
      <c r="D356" s="106" t="s">
        <v>278</v>
      </c>
      <c r="E356" s="107" t="s">
        <v>279</v>
      </c>
      <c r="F356" s="107"/>
      <c r="G356" s="107"/>
      <c r="H356" s="106" t="str">
        <f aca="false">IF(B356="","",IF(COUNTIF('MiT Strom Pipeline'!$B$6:$B$904,B356)&gt;0,"✓",""))</f>
        <v/>
      </c>
      <c r="I356" s="106" t="str">
        <f aca="false">IF(B356="","",IFERROR(VLOOKUP(B356,'MiT Strom Pipeline'!$B$6:$R$904,17,0),""))</f>
        <v/>
      </c>
      <c r="J356" s="107"/>
    </row>
    <row r="357" customFormat="false" ht="19.5" hidden="false" customHeight="true" outlineLevel="0" collapsed="false">
      <c r="A357" s="21" t="n">
        <v>354</v>
      </c>
      <c r="B357" s="22" t="s">
        <v>642</v>
      </c>
      <c r="C357" s="22" t="s">
        <v>192</v>
      </c>
      <c r="D357" s="21" t="s">
        <v>278</v>
      </c>
      <c r="E357" s="22" t="s">
        <v>287</v>
      </c>
      <c r="F357" s="22"/>
      <c r="G357" s="22"/>
      <c r="H357" s="21" t="str">
        <f aca="false">IF(B357="","",IF(COUNTIF('MiT Strom Pipeline'!$B$6:$B$904,B357)&gt;0,"✓",""))</f>
        <v/>
      </c>
      <c r="I357" s="21" t="str">
        <f aca="false">IF(B357="","",IFERROR(VLOOKUP(B357,'MiT Strom Pipeline'!$B$6:$R$904,17,0),""))</f>
        <v/>
      </c>
      <c r="J357" s="22"/>
    </row>
    <row r="358" customFormat="false" ht="19.5" hidden="false" customHeight="true" outlineLevel="0" collapsed="false">
      <c r="A358" s="106" t="n">
        <v>355</v>
      </c>
      <c r="B358" s="107" t="s">
        <v>643</v>
      </c>
      <c r="C358" s="107" t="s">
        <v>79</v>
      </c>
      <c r="D358" s="106" t="s">
        <v>278</v>
      </c>
      <c r="E358" s="107" t="s">
        <v>279</v>
      </c>
      <c r="F358" s="107"/>
      <c r="G358" s="107"/>
      <c r="H358" s="106" t="str">
        <f aca="false">IF(B358="","",IF(COUNTIF('MiT Strom Pipeline'!$B$6:$B$904,B358)&gt;0,"✓",""))</f>
        <v/>
      </c>
      <c r="I358" s="106" t="str">
        <f aca="false">IF(B358="","",IFERROR(VLOOKUP(B358,'MiT Strom Pipeline'!$B$6:$R$904,17,0),""))</f>
        <v/>
      </c>
      <c r="J358" s="107"/>
    </row>
    <row r="359" customFormat="false" ht="19.5" hidden="false" customHeight="true" outlineLevel="0" collapsed="false">
      <c r="A359" s="21" t="n">
        <v>356</v>
      </c>
      <c r="B359" s="22" t="s">
        <v>644</v>
      </c>
      <c r="C359" s="22" t="s">
        <v>288</v>
      </c>
      <c r="D359" s="21" t="s">
        <v>278</v>
      </c>
      <c r="E359" s="22" t="s">
        <v>279</v>
      </c>
      <c r="F359" s="22"/>
      <c r="G359" s="22"/>
      <c r="H359" s="21" t="str">
        <f aca="false">IF(B359="","",IF(COUNTIF('MiT Strom Pipeline'!$B$6:$B$904,B359)&gt;0,"✓",""))</f>
        <v/>
      </c>
      <c r="I359" s="21" t="str">
        <f aca="false">IF(B359="","",IFERROR(VLOOKUP(B359,'MiT Strom Pipeline'!$B$6:$R$904,17,0),""))</f>
        <v/>
      </c>
      <c r="J359" s="22"/>
    </row>
    <row r="360" customFormat="false" ht="19.5" hidden="false" customHeight="true" outlineLevel="0" collapsed="false">
      <c r="A360" s="106" t="n">
        <v>357</v>
      </c>
      <c r="B360" s="107" t="s">
        <v>645</v>
      </c>
      <c r="C360" s="107" t="s">
        <v>288</v>
      </c>
      <c r="D360" s="106" t="s">
        <v>278</v>
      </c>
      <c r="E360" s="107" t="s">
        <v>279</v>
      </c>
      <c r="F360" s="107"/>
      <c r="G360" s="107"/>
      <c r="H360" s="106" t="str">
        <f aca="false">IF(B360="","",IF(COUNTIF('MiT Strom Pipeline'!$B$6:$B$904,B360)&gt;0,"✓",""))</f>
        <v/>
      </c>
      <c r="I360" s="106" t="str">
        <f aca="false">IF(B360="","",IFERROR(VLOOKUP(B360,'MiT Strom Pipeline'!$B$6:$R$904,17,0),""))</f>
        <v/>
      </c>
      <c r="J360" s="107"/>
    </row>
    <row r="361" customFormat="false" ht="19.5" hidden="false" customHeight="true" outlineLevel="0" collapsed="false">
      <c r="A361" s="21" t="n">
        <v>358</v>
      </c>
      <c r="B361" s="22" t="s">
        <v>646</v>
      </c>
      <c r="C361" s="22" t="s">
        <v>288</v>
      </c>
      <c r="D361" s="21" t="s">
        <v>278</v>
      </c>
      <c r="E361" s="22" t="s">
        <v>279</v>
      </c>
      <c r="F361" s="22"/>
      <c r="G361" s="22"/>
      <c r="H361" s="21" t="str">
        <f aca="false">IF(B361="","",IF(COUNTIF('MiT Strom Pipeline'!$B$6:$B$904,B361)&gt;0,"✓",""))</f>
        <v/>
      </c>
      <c r="I361" s="21" t="str">
        <f aca="false">IF(B361="","",IFERROR(VLOOKUP(B361,'MiT Strom Pipeline'!$B$6:$R$904,17,0),""))</f>
        <v/>
      </c>
      <c r="J361" s="22"/>
    </row>
    <row r="362" customFormat="false" ht="19.5" hidden="false" customHeight="true" outlineLevel="0" collapsed="false">
      <c r="A362" s="106" t="n">
        <v>359</v>
      </c>
      <c r="B362" s="107" t="s">
        <v>647</v>
      </c>
      <c r="C362" s="107" t="s">
        <v>288</v>
      </c>
      <c r="D362" s="106" t="s">
        <v>278</v>
      </c>
      <c r="E362" s="107" t="s">
        <v>279</v>
      </c>
      <c r="F362" s="107"/>
      <c r="G362" s="107"/>
      <c r="H362" s="106" t="str">
        <f aca="false">IF(B362="","",IF(COUNTIF('MiT Strom Pipeline'!$B$6:$B$904,B362)&gt;0,"✓",""))</f>
        <v/>
      </c>
      <c r="I362" s="106" t="str">
        <f aca="false">IF(B362="","",IFERROR(VLOOKUP(B362,'MiT Strom Pipeline'!$B$6:$R$904,17,0),""))</f>
        <v/>
      </c>
      <c r="J362" s="107"/>
    </row>
    <row r="363" customFormat="false" ht="19.5" hidden="false" customHeight="true" outlineLevel="0" collapsed="false">
      <c r="A363" s="21" t="n">
        <v>360</v>
      </c>
      <c r="B363" s="22" t="s">
        <v>392</v>
      </c>
      <c r="C363" s="22" t="s">
        <v>109</v>
      </c>
      <c r="D363" s="21" t="s">
        <v>278</v>
      </c>
      <c r="E363" s="22" t="s">
        <v>279</v>
      </c>
      <c r="F363" s="22"/>
      <c r="G363" s="22"/>
      <c r="H363" s="21" t="str">
        <f aca="false">IF(B363="","",IF(COUNTIF('MiT Strom Pipeline'!$B$6:$B$904,B363)&gt;0,"✓",""))</f>
        <v/>
      </c>
      <c r="I363" s="21" t="str">
        <f aca="false">IF(B363="","",IFERROR(VLOOKUP(B363,'MiT Strom Pipeline'!$B$6:$R$904,17,0),""))</f>
        <v/>
      </c>
      <c r="J363" s="22"/>
    </row>
    <row r="364" customFormat="false" ht="19.5" hidden="false" customHeight="true" outlineLevel="0" collapsed="false">
      <c r="A364" s="106" t="n">
        <v>361</v>
      </c>
      <c r="B364" s="107" t="s">
        <v>648</v>
      </c>
      <c r="C364" s="107" t="s">
        <v>288</v>
      </c>
      <c r="D364" s="106" t="s">
        <v>69</v>
      </c>
      <c r="E364" s="107" t="s">
        <v>279</v>
      </c>
      <c r="F364" s="107"/>
      <c r="G364" s="107"/>
      <c r="H364" s="106" t="str">
        <f aca="false">IF(B364="","",IF(COUNTIF('MiT Strom Pipeline'!$B$6:$B$904,B364)&gt;0,"✓",""))</f>
        <v/>
      </c>
      <c r="I364" s="106" t="str">
        <f aca="false">IF(B364="","",IFERROR(VLOOKUP(B364,'MiT Strom Pipeline'!$B$6:$R$904,17,0),""))</f>
        <v/>
      </c>
      <c r="J364" s="107"/>
    </row>
    <row r="365" customFormat="false" ht="19.5" hidden="false" customHeight="true" outlineLevel="0" collapsed="false">
      <c r="A365" s="21" t="n">
        <v>362</v>
      </c>
      <c r="B365" s="22" t="s">
        <v>649</v>
      </c>
      <c r="C365" s="22" t="s">
        <v>307</v>
      </c>
      <c r="D365" s="21" t="s">
        <v>278</v>
      </c>
      <c r="E365" s="22" t="s">
        <v>279</v>
      </c>
      <c r="F365" s="22"/>
      <c r="G365" s="22"/>
      <c r="H365" s="21" t="str">
        <f aca="false">IF(B365="","",IF(COUNTIF('MiT Strom Pipeline'!$B$6:$B$904,B365)&gt;0,"✓",""))</f>
        <v/>
      </c>
      <c r="I365" s="21" t="str">
        <f aca="false">IF(B365="","",IFERROR(VLOOKUP(B365,'MiT Strom Pipeline'!$B$6:$R$904,17,0),""))</f>
        <v/>
      </c>
      <c r="J365" s="22"/>
    </row>
    <row r="366" customFormat="false" ht="19.5" hidden="false" customHeight="true" outlineLevel="0" collapsed="false">
      <c r="A366" s="106" t="n">
        <v>363</v>
      </c>
      <c r="B366" s="107" t="s">
        <v>650</v>
      </c>
      <c r="C366" s="107" t="s">
        <v>288</v>
      </c>
      <c r="D366" s="106" t="s">
        <v>278</v>
      </c>
      <c r="E366" s="107" t="s">
        <v>279</v>
      </c>
      <c r="F366" s="107"/>
      <c r="G366" s="107"/>
      <c r="H366" s="106" t="str">
        <f aca="false">IF(B366="","",IF(COUNTIF('MiT Strom Pipeline'!$B$6:$B$904,B366)&gt;0,"✓",""))</f>
        <v/>
      </c>
      <c r="I366" s="106" t="str">
        <f aca="false">IF(B366="","",IFERROR(VLOOKUP(B366,'MiT Strom Pipeline'!$B$6:$R$904,17,0),""))</f>
        <v/>
      </c>
      <c r="J366" s="107"/>
    </row>
    <row r="367" customFormat="false" ht="19.5" hidden="false" customHeight="true" outlineLevel="0" collapsed="false">
      <c r="A367" s="21" t="n">
        <v>364</v>
      </c>
      <c r="B367" s="22" t="s">
        <v>651</v>
      </c>
      <c r="C367" s="22" t="s">
        <v>288</v>
      </c>
      <c r="D367" s="21" t="s">
        <v>278</v>
      </c>
      <c r="E367" s="22" t="s">
        <v>279</v>
      </c>
      <c r="F367" s="22"/>
      <c r="G367" s="22"/>
      <c r="H367" s="21" t="str">
        <f aca="false">IF(B367="","",IF(COUNTIF('MiT Strom Pipeline'!$B$6:$B$904,B367)&gt;0,"✓",""))</f>
        <v/>
      </c>
      <c r="I367" s="21" t="str">
        <f aca="false">IF(B367="","",IFERROR(VLOOKUP(B367,'MiT Strom Pipeline'!$B$6:$R$904,17,0),""))</f>
        <v/>
      </c>
      <c r="J367" s="22"/>
    </row>
    <row r="368" customFormat="false" ht="19.5" hidden="false" customHeight="true" outlineLevel="0" collapsed="false">
      <c r="A368" s="106" t="n">
        <v>365</v>
      </c>
      <c r="B368" s="107" t="s">
        <v>320</v>
      </c>
      <c r="C368" s="107" t="s">
        <v>321</v>
      </c>
      <c r="D368" s="106" t="s">
        <v>278</v>
      </c>
      <c r="E368" s="107" t="s">
        <v>279</v>
      </c>
      <c r="F368" s="107"/>
      <c r="G368" s="107"/>
      <c r="H368" s="106" t="str">
        <f aca="false">IF(B368="","",IF(COUNTIF('MiT Strom Pipeline'!$B$6:$B$904,B368)&gt;0,"✓",""))</f>
        <v/>
      </c>
      <c r="I368" s="106" t="str">
        <f aca="false">IF(B368="","",IFERROR(VLOOKUP(B368,'MiT Strom Pipeline'!$B$6:$R$904,17,0),""))</f>
        <v/>
      </c>
      <c r="J368" s="107"/>
    </row>
    <row r="369" customFormat="false" ht="19.5" hidden="false" customHeight="true" outlineLevel="0" collapsed="false">
      <c r="A369" s="21" t="n">
        <v>366</v>
      </c>
      <c r="B369" s="22" t="s">
        <v>652</v>
      </c>
      <c r="C369" s="22" t="s">
        <v>288</v>
      </c>
      <c r="D369" s="21" t="s">
        <v>278</v>
      </c>
      <c r="E369" s="22" t="s">
        <v>279</v>
      </c>
      <c r="F369" s="22"/>
      <c r="G369" s="22"/>
      <c r="H369" s="21" t="str">
        <f aca="false">IF(B369="","",IF(COUNTIF('MiT Strom Pipeline'!$B$6:$B$904,B369)&gt;0,"✓",""))</f>
        <v/>
      </c>
      <c r="I369" s="21" t="str">
        <f aca="false">IF(B369="","",IFERROR(VLOOKUP(B369,'MiT Strom Pipeline'!$B$6:$R$904,17,0),""))</f>
        <v/>
      </c>
      <c r="J369" s="22"/>
    </row>
    <row r="370" customFormat="false" ht="19.5" hidden="false" customHeight="true" outlineLevel="0" collapsed="false">
      <c r="A370" s="106" t="n">
        <v>367</v>
      </c>
      <c r="B370" s="107" t="s">
        <v>653</v>
      </c>
      <c r="C370" s="107" t="s">
        <v>79</v>
      </c>
      <c r="D370" s="106" t="s">
        <v>278</v>
      </c>
      <c r="E370" s="107" t="s">
        <v>279</v>
      </c>
      <c r="F370" s="107"/>
      <c r="G370" s="107"/>
      <c r="H370" s="106" t="str">
        <f aca="false">IF(B370="","",IF(COUNTIF('MiT Strom Pipeline'!$B$6:$B$904,B370)&gt;0,"✓",""))</f>
        <v/>
      </c>
      <c r="I370" s="106" t="str">
        <f aca="false">IF(B370="","",IFERROR(VLOOKUP(B370,'MiT Strom Pipeline'!$B$6:$R$904,17,0),""))</f>
        <v/>
      </c>
      <c r="J370" s="107"/>
    </row>
    <row r="371" customFormat="false" ht="19.5" hidden="false" customHeight="true" outlineLevel="0" collapsed="false">
      <c r="A371" s="21" t="n">
        <v>368</v>
      </c>
      <c r="B371" s="22" t="s">
        <v>654</v>
      </c>
      <c r="C371" s="22" t="s">
        <v>288</v>
      </c>
      <c r="D371" s="21" t="s">
        <v>278</v>
      </c>
      <c r="E371" s="22" t="s">
        <v>287</v>
      </c>
      <c r="F371" s="22"/>
      <c r="G371" s="22"/>
      <c r="H371" s="21" t="str">
        <f aca="false">IF(B371="","",IF(COUNTIF('MiT Strom Pipeline'!$B$6:$B$904,B371)&gt;0,"✓",""))</f>
        <v/>
      </c>
      <c r="I371" s="21" t="str">
        <f aca="false">IF(B371="","",IFERROR(VLOOKUP(B371,'MiT Strom Pipeline'!$B$6:$R$904,17,0),""))</f>
        <v/>
      </c>
      <c r="J371" s="22"/>
    </row>
    <row r="372" customFormat="false" ht="19.5" hidden="false" customHeight="true" outlineLevel="0" collapsed="false">
      <c r="A372" s="106" t="n">
        <v>369</v>
      </c>
      <c r="B372" s="107" t="s">
        <v>655</v>
      </c>
      <c r="C372" s="107" t="s">
        <v>288</v>
      </c>
      <c r="D372" s="106" t="s">
        <v>278</v>
      </c>
      <c r="E372" s="107" t="s">
        <v>287</v>
      </c>
      <c r="F372" s="107"/>
      <c r="G372" s="107"/>
      <c r="H372" s="106" t="str">
        <f aca="false">IF(B372="","",IF(COUNTIF('MiT Strom Pipeline'!$B$6:$B$904,B372)&gt;0,"✓",""))</f>
        <v/>
      </c>
      <c r="I372" s="106" t="str">
        <f aca="false">IF(B372="","",IFERROR(VLOOKUP(B372,'MiT Strom Pipeline'!$B$6:$R$904,17,0),""))</f>
        <v/>
      </c>
      <c r="J372" s="107"/>
    </row>
    <row r="373" customFormat="false" ht="19.5" hidden="false" customHeight="true" outlineLevel="0" collapsed="false">
      <c r="A373" s="21" t="n">
        <v>370</v>
      </c>
      <c r="B373" s="22" t="s">
        <v>656</v>
      </c>
      <c r="C373" s="22" t="s">
        <v>288</v>
      </c>
      <c r="D373" s="21" t="s">
        <v>98</v>
      </c>
      <c r="E373" s="22" t="s">
        <v>279</v>
      </c>
      <c r="F373" s="22"/>
      <c r="G373" s="22"/>
      <c r="H373" s="21" t="str">
        <f aca="false">IF(B373="","",IF(COUNTIF('MiT Strom Pipeline'!$B$6:$B$904,B373)&gt;0,"✓",""))</f>
        <v/>
      </c>
      <c r="I373" s="21" t="str">
        <f aca="false">IF(B373="","",IFERROR(VLOOKUP(B373,'MiT Strom Pipeline'!$B$6:$R$904,17,0),""))</f>
        <v/>
      </c>
      <c r="J373" s="22"/>
    </row>
    <row r="374" customFormat="false" ht="19.5" hidden="false" customHeight="true" outlineLevel="0" collapsed="false">
      <c r="A374" s="106" t="n">
        <v>371</v>
      </c>
      <c r="B374" s="107" t="s">
        <v>657</v>
      </c>
      <c r="C374" s="107" t="s">
        <v>307</v>
      </c>
      <c r="D374" s="106" t="s">
        <v>278</v>
      </c>
      <c r="E374" s="107" t="s">
        <v>279</v>
      </c>
      <c r="F374" s="107"/>
      <c r="G374" s="107"/>
      <c r="H374" s="106" t="str">
        <f aca="false">IF(B374="","",IF(COUNTIF('MiT Strom Pipeline'!$B$6:$B$904,B374)&gt;0,"✓",""))</f>
        <v/>
      </c>
      <c r="I374" s="106" t="str">
        <f aca="false">IF(B374="","",IFERROR(VLOOKUP(B374,'MiT Strom Pipeline'!$B$6:$R$904,17,0),""))</f>
        <v/>
      </c>
      <c r="J374" s="107"/>
    </row>
    <row r="375" customFormat="false" ht="19.5" hidden="false" customHeight="true" outlineLevel="0" collapsed="false">
      <c r="A375" s="21" t="n">
        <v>372</v>
      </c>
      <c r="B375" s="22" t="s">
        <v>658</v>
      </c>
      <c r="C375" s="22" t="s">
        <v>288</v>
      </c>
      <c r="D375" s="21" t="s">
        <v>278</v>
      </c>
      <c r="E375" s="22" t="s">
        <v>279</v>
      </c>
      <c r="F375" s="22"/>
      <c r="G375" s="22"/>
      <c r="H375" s="21" t="str">
        <f aca="false">IF(B375="","",IF(COUNTIF('MiT Strom Pipeline'!$B$6:$B$904,B375)&gt;0,"✓",""))</f>
        <v/>
      </c>
      <c r="I375" s="21" t="str">
        <f aca="false">IF(B375="","",IFERROR(VLOOKUP(B375,'MiT Strom Pipeline'!$B$6:$R$904,17,0),""))</f>
        <v/>
      </c>
      <c r="J375" s="22"/>
    </row>
    <row r="376" customFormat="false" ht="19.5" hidden="false" customHeight="true" outlineLevel="0" collapsed="false">
      <c r="A376" s="106" t="n">
        <v>373</v>
      </c>
      <c r="B376" s="107" t="s">
        <v>659</v>
      </c>
      <c r="C376" s="107" t="s">
        <v>288</v>
      </c>
      <c r="D376" s="106" t="s">
        <v>278</v>
      </c>
      <c r="E376" s="107" t="s">
        <v>279</v>
      </c>
      <c r="F376" s="107"/>
      <c r="G376" s="107"/>
      <c r="H376" s="106" t="str">
        <f aca="false">IF(B376="","",IF(COUNTIF('MiT Strom Pipeline'!$B$6:$B$904,B376)&gt;0,"✓",""))</f>
        <v/>
      </c>
      <c r="I376" s="106" t="str">
        <f aca="false">IF(B376="","",IFERROR(VLOOKUP(B376,'MiT Strom Pipeline'!$B$6:$R$904,17,0),""))</f>
        <v/>
      </c>
      <c r="J376" s="107"/>
    </row>
    <row r="377" customFormat="false" ht="19.5" hidden="false" customHeight="true" outlineLevel="0" collapsed="false">
      <c r="A377" s="21" t="n">
        <v>374</v>
      </c>
      <c r="B377" s="22" t="s">
        <v>405</v>
      </c>
      <c r="C377" s="22" t="s">
        <v>307</v>
      </c>
      <c r="D377" s="21" t="s">
        <v>278</v>
      </c>
      <c r="E377" s="22" t="s">
        <v>287</v>
      </c>
      <c r="F377" s="22"/>
      <c r="G377" s="22"/>
      <c r="H377" s="21" t="str">
        <f aca="false">IF(B377="","",IF(COUNTIF('MiT Strom Pipeline'!$B$6:$B$904,B377)&gt;0,"✓",""))</f>
        <v/>
      </c>
      <c r="I377" s="21" t="str">
        <f aca="false">IF(B377="","",IFERROR(VLOOKUP(B377,'MiT Strom Pipeline'!$B$6:$R$904,17,0),""))</f>
        <v/>
      </c>
      <c r="J377" s="22"/>
    </row>
    <row r="378" customFormat="false" ht="19.5" hidden="false" customHeight="true" outlineLevel="0" collapsed="false">
      <c r="A378" s="106" t="n">
        <v>375</v>
      </c>
      <c r="B378" s="107" t="s">
        <v>660</v>
      </c>
      <c r="C378" s="107" t="s">
        <v>143</v>
      </c>
      <c r="D378" s="106" t="s">
        <v>278</v>
      </c>
      <c r="E378" s="107" t="s">
        <v>279</v>
      </c>
      <c r="F378" s="107"/>
      <c r="G378" s="107"/>
      <c r="H378" s="106" t="str">
        <f aca="false">IF(B378="","",IF(COUNTIF('MiT Strom Pipeline'!$B$6:$B$904,B378)&gt;0,"✓",""))</f>
        <v/>
      </c>
      <c r="I378" s="106" t="str">
        <f aca="false">IF(B378="","",IFERROR(VLOOKUP(B378,'MiT Strom Pipeline'!$B$6:$R$904,17,0),""))</f>
        <v/>
      </c>
      <c r="J378" s="107"/>
    </row>
    <row r="379" customFormat="false" ht="19.5" hidden="false" customHeight="true" outlineLevel="0" collapsed="false">
      <c r="A379" s="21" t="n">
        <v>376</v>
      </c>
      <c r="B379" s="22" t="s">
        <v>661</v>
      </c>
      <c r="C379" s="22" t="s">
        <v>288</v>
      </c>
      <c r="D379" s="21" t="s">
        <v>278</v>
      </c>
      <c r="E379" s="22" t="s">
        <v>279</v>
      </c>
      <c r="F379" s="22"/>
      <c r="G379" s="22"/>
      <c r="H379" s="21" t="str">
        <f aca="false">IF(B379="","",IF(COUNTIF('MiT Strom Pipeline'!$B$6:$B$904,B379)&gt;0,"✓",""))</f>
        <v/>
      </c>
      <c r="I379" s="21" t="str">
        <f aca="false">IF(B379="","",IFERROR(VLOOKUP(B379,'MiT Strom Pipeline'!$B$6:$R$904,17,0),""))</f>
        <v/>
      </c>
      <c r="J379" s="22"/>
    </row>
    <row r="380" customFormat="false" ht="19.5" hidden="false" customHeight="true" outlineLevel="0" collapsed="false">
      <c r="A380" s="106" t="n">
        <v>377</v>
      </c>
      <c r="B380" s="107" t="s">
        <v>662</v>
      </c>
      <c r="C380" s="107" t="s">
        <v>288</v>
      </c>
      <c r="D380" s="106" t="s">
        <v>278</v>
      </c>
      <c r="E380" s="107" t="s">
        <v>279</v>
      </c>
      <c r="F380" s="107"/>
      <c r="G380" s="107"/>
      <c r="H380" s="106" t="str">
        <f aca="false">IF(B380="","",IF(COUNTIF('MiT Strom Pipeline'!$B$6:$B$904,B380)&gt;0,"✓",""))</f>
        <v/>
      </c>
      <c r="I380" s="106" t="str">
        <f aca="false">IF(B380="","",IFERROR(VLOOKUP(B380,'MiT Strom Pipeline'!$B$6:$R$904,17,0),""))</f>
        <v/>
      </c>
      <c r="J380" s="107"/>
    </row>
    <row r="381" customFormat="false" ht="19.5" hidden="false" customHeight="true" outlineLevel="0" collapsed="false">
      <c r="A381" s="21" t="n">
        <v>378</v>
      </c>
      <c r="B381" s="22" t="s">
        <v>663</v>
      </c>
      <c r="C381" s="22" t="s">
        <v>288</v>
      </c>
      <c r="D381" s="21" t="s">
        <v>278</v>
      </c>
      <c r="E381" s="22" t="s">
        <v>279</v>
      </c>
      <c r="F381" s="22"/>
      <c r="G381" s="22"/>
      <c r="H381" s="21" t="str">
        <f aca="false">IF(B381="","",IF(COUNTIF('MiT Strom Pipeline'!$B$6:$B$904,B381)&gt;0,"✓",""))</f>
        <v/>
      </c>
      <c r="I381" s="21" t="str">
        <f aca="false">IF(B381="","",IFERROR(VLOOKUP(B381,'MiT Strom Pipeline'!$B$6:$R$904,17,0),""))</f>
        <v/>
      </c>
      <c r="J381" s="22"/>
    </row>
    <row r="382" customFormat="false" ht="19.5" hidden="false" customHeight="true" outlineLevel="0" collapsed="false">
      <c r="A382" s="106" t="n">
        <v>379</v>
      </c>
      <c r="B382" s="107" t="s">
        <v>664</v>
      </c>
      <c r="C382" s="107" t="s">
        <v>288</v>
      </c>
      <c r="D382" s="106" t="s">
        <v>278</v>
      </c>
      <c r="E382" s="107" t="s">
        <v>279</v>
      </c>
      <c r="F382" s="107"/>
      <c r="G382" s="107"/>
      <c r="H382" s="106" t="str">
        <f aca="false">IF(B382="","",IF(COUNTIF('MiT Strom Pipeline'!$B$6:$B$904,B382)&gt;0,"✓",""))</f>
        <v/>
      </c>
      <c r="I382" s="106" t="str">
        <f aca="false">IF(B382="","",IFERROR(VLOOKUP(B382,'MiT Strom Pipeline'!$B$6:$R$904,17,0),""))</f>
        <v/>
      </c>
      <c r="J382" s="107"/>
    </row>
    <row r="383" customFormat="false" ht="19.5" hidden="false" customHeight="true" outlineLevel="0" collapsed="false">
      <c r="A383" s="21" t="n">
        <v>380</v>
      </c>
      <c r="B383" s="22" t="s">
        <v>665</v>
      </c>
      <c r="C383" s="22" t="s">
        <v>288</v>
      </c>
      <c r="D383" s="21" t="s">
        <v>278</v>
      </c>
      <c r="E383" s="22" t="s">
        <v>279</v>
      </c>
      <c r="F383" s="22"/>
      <c r="G383" s="22"/>
      <c r="H383" s="21" t="str">
        <f aca="false">IF(B383="","",IF(COUNTIF('MiT Strom Pipeline'!$B$6:$B$904,B383)&gt;0,"✓",""))</f>
        <v/>
      </c>
      <c r="I383" s="21" t="str">
        <f aca="false">IF(B383="","",IFERROR(VLOOKUP(B383,'MiT Strom Pipeline'!$B$6:$R$904,17,0),""))</f>
        <v/>
      </c>
      <c r="J383" s="22"/>
    </row>
    <row r="384" customFormat="false" ht="19.5" hidden="false" customHeight="true" outlineLevel="0" collapsed="false">
      <c r="A384" s="106" t="n">
        <v>381</v>
      </c>
      <c r="B384" s="107" t="s">
        <v>666</v>
      </c>
      <c r="C384" s="107" t="s">
        <v>192</v>
      </c>
      <c r="D384" s="106" t="s">
        <v>56</v>
      </c>
      <c r="E384" s="107" t="s">
        <v>279</v>
      </c>
      <c r="F384" s="107"/>
      <c r="G384" s="107"/>
      <c r="H384" s="106" t="str">
        <f aca="false">IF(B384="","",IF(COUNTIF('MiT Strom Pipeline'!$B$6:$B$904,B384)&gt;0,"✓",""))</f>
        <v/>
      </c>
      <c r="I384" s="106" t="str">
        <f aca="false">IF(B384="","",IFERROR(VLOOKUP(B384,'MiT Strom Pipeline'!$B$6:$R$904,17,0),""))</f>
        <v/>
      </c>
      <c r="J384" s="107"/>
    </row>
    <row r="385" customFormat="false" ht="19.5" hidden="false" customHeight="true" outlineLevel="0" collapsed="false">
      <c r="A385" s="21" t="n">
        <v>382</v>
      </c>
      <c r="B385" s="22" t="s">
        <v>667</v>
      </c>
      <c r="C385" s="22" t="s">
        <v>288</v>
      </c>
      <c r="D385" s="21" t="s">
        <v>278</v>
      </c>
      <c r="E385" s="22" t="s">
        <v>279</v>
      </c>
      <c r="F385" s="22"/>
      <c r="G385" s="22"/>
      <c r="H385" s="21" t="str">
        <f aca="false">IF(B385="","",IF(COUNTIF('MiT Strom Pipeline'!$B$6:$B$904,B385)&gt;0,"✓",""))</f>
        <v/>
      </c>
      <c r="I385" s="21" t="str">
        <f aca="false">IF(B385="","",IFERROR(VLOOKUP(B385,'MiT Strom Pipeline'!$B$6:$R$904,17,0),""))</f>
        <v/>
      </c>
      <c r="J385" s="22"/>
    </row>
    <row r="386" customFormat="false" ht="19.5" hidden="false" customHeight="true" outlineLevel="0" collapsed="false">
      <c r="A386" s="106" t="n">
        <v>383</v>
      </c>
      <c r="B386" s="107" t="s">
        <v>668</v>
      </c>
      <c r="C386" s="107" t="s">
        <v>288</v>
      </c>
      <c r="D386" s="106" t="s">
        <v>278</v>
      </c>
      <c r="E386" s="107" t="s">
        <v>287</v>
      </c>
      <c r="F386" s="107"/>
      <c r="G386" s="107"/>
      <c r="H386" s="106" t="str">
        <f aca="false">IF(B386="","",IF(COUNTIF('MiT Strom Pipeline'!$B$6:$B$904,B386)&gt;0,"✓",""))</f>
        <v/>
      </c>
      <c r="I386" s="106" t="str">
        <f aca="false">IF(B386="","",IFERROR(VLOOKUP(B386,'MiT Strom Pipeline'!$B$6:$R$904,17,0),""))</f>
        <v/>
      </c>
      <c r="J386" s="107"/>
    </row>
    <row r="387" customFormat="false" ht="19.5" hidden="false" customHeight="true" outlineLevel="0" collapsed="false">
      <c r="A387" s="21" t="n">
        <v>384</v>
      </c>
      <c r="B387" s="22" t="s">
        <v>669</v>
      </c>
      <c r="C387" s="22" t="s">
        <v>288</v>
      </c>
      <c r="D387" s="21" t="s">
        <v>278</v>
      </c>
      <c r="E387" s="22" t="s">
        <v>279</v>
      </c>
      <c r="F387" s="22"/>
      <c r="G387" s="22"/>
      <c r="H387" s="21" t="str">
        <f aca="false">IF(B387="","",IF(COUNTIF('MiT Strom Pipeline'!$B$6:$B$904,B387)&gt;0,"✓",""))</f>
        <v/>
      </c>
      <c r="I387" s="21" t="str">
        <f aca="false">IF(B387="","",IFERROR(VLOOKUP(B387,'MiT Strom Pipeline'!$B$6:$R$904,17,0),""))</f>
        <v/>
      </c>
      <c r="J387" s="22"/>
    </row>
    <row r="388" customFormat="false" ht="19.5" hidden="false" customHeight="true" outlineLevel="0" collapsed="false">
      <c r="A388" s="106" t="n">
        <v>385</v>
      </c>
      <c r="B388" s="107" t="s">
        <v>670</v>
      </c>
      <c r="C388" s="107" t="s">
        <v>288</v>
      </c>
      <c r="D388" s="106" t="s">
        <v>278</v>
      </c>
      <c r="E388" s="107" t="s">
        <v>279</v>
      </c>
      <c r="F388" s="107"/>
      <c r="G388" s="107"/>
      <c r="H388" s="106" t="str">
        <f aca="false">IF(B388="","",IF(COUNTIF('MiT Strom Pipeline'!$B$6:$B$904,B388)&gt;0,"✓",""))</f>
        <v/>
      </c>
      <c r="I388" s="106" t="str">
        <f aca="false">IF(B388="","",IFERROR(VLOOKUP(B388,'MiT Strom Pipeline'!$B$6:$R$904,17,0),""))</f>
        <v/>
      </c>
      <c r="J388" s="107"/>
    </row>
    <row r="389" customFormat="false" ht="19.5" hidden="false" customHeight="true" outlineLevel="0" collapsed="false">
      <c r="A389" s="21" t="n">
        <v>386</v>
      </c>
      <c r="B389" s="22" t="s">
        <v>670</v>
      </c>
      <c r="C389" s="22" t="s">
        <v>288</v>
      </c>
      <c r="D389" s="21" t="s">
        <v>278</v>
      </c>
      <c r="E389" s="22" t="s">
        <v>279</v>
      </c>
      <c r="F389" s="22"/>
      <c r="G389" s="22"/>
      <c r="H389" s="21" t="str">
        <f aca="false">IF(B389="","",IF(COUNTIF('MiT Strom Pipeline'!$B$6:$B$904,B389)&gt;0,"✓",""))</f>
        <v/>
      </c>
      <c r="I389" s="21" t="str">
        <f aca="false">IF(B389="","",IFERROR(VLOOKUP(B389,'MiT Strom Pipeline'!$B$6:$R$904,17,0),""))</f>
        <v/>
      </c>
      <c r="J389" s="22"/>
    </row>
    <row r="390" customFormat="false" ht="19.5" hidden="false" customHeight="true" outlineLevel="0" collapsed="false">
      <c r="A390" s="106" t="n">
        <v>387</v>
      </c>
      <c r="B390" s="107" t="s">
        <v>671</v>
      </c>
      <c r="C390" s="107" t="s">
        <v>143</v>
      </c>
      <c r="D390" s="106" t="s">
        <v>278</v>
      </c>
      <c r="E390" s="107" t="s">
        <v>279</v>
      </c>
      <c r="F390" s="107"/>
      <c r="G390" s="107"/>
      <c r="H390" s="106" t="str">
        <f aca="false">IF(B390="","",IF(COUNTIF('MiT Strom Pipeline'!$B$6:$B$904,B390)&gt;0,"✓",""))</f>
        <v/>
      </c>
      <c r="I390" s="106" t="str">
        <f aca="false">IF(B390="","",IFERROR(VLOOKUP(B390,'MiT Strom Pipeline'!$B$6:$R$904,17,0),""))</f>
        <v/>
      </c>
      <c r="J390" s="107"/>
    </row>
    <row r="391" customFormat="false" ht="19.5" hidden="false" customHeight="true" outlineLevel="0" collapsed="false">
      <c r="A391" s="21" t="n">
        <v>388</v>
      </c>
      <c r="B391" s="22" t="s">
        <v>672</v>
      </c>
      <c r="C391" s="22" t="s">
        <v>288</v>
      </c>
      <c r="D391" s="21" t="s">
        <v>278</v>
      </c>
      <c r="E391" s="22" t="s">
        <v>279</v>
      </c>
      <c r="F391" s="22"/>
      <c r="G391" s="22"/>
      <c r="H391" s="21" t="str">
        <f aca="false">IF(B391="","",IF(COUNTIF('MiT Strom Pipeline'!$B$6:$B$904,B391)&gt;0,"✓",""))</f>
        <v/>
      </c>
      <c r="I391" s="21" t="str">
        <f aca="false">IF(B391="","",IFERROR(VLOOKUP(B391,'MiT Strom Pipeline'!$B$6:$R$904,17,0),""))</f>
        <v/>
      </c>
      <c r="J391" s="22"/>
    </row>
    <row r="392" customFormat="false" ht="19.5" hidden="false" customHeight="true" outlineLevel="0" collapsed="false">
      <c r="A392" s="106" t="n">
        <v>389</v>
      </c>
      <c r="B392" s="107" t="s">
        <v>673</v>
      </c>
      <c r="C392" s="107" t="s">
        <v>307</v>
      </c>
      <c r="D392" s="106" t="s">
        <v>278</v>
      </c>
      <c r="E392" s="107" t="s">
        <v>279</v>
      </c>
      <c r="F392" s="107"/>
      <c r="G392" s="107"/>
      <c r="H392" s="106" t="str">
        <f aca="false">IF(B392="","",IF(COUNTIF('MiT Strom Pipeline'!$B$6:$B$904,B392)&gt;0,"✓",""))</f>
        <v/>
      </c>
      <c r="I392" s="106" t="str">
        <f aca="false">IF(B392="","",IFERROR(VLOOKUP(B392,'MiT Strom Pipeline'!$B$6:$R$904,17,0),""))</f>
        <v/>
      </c>
      <c r="J392" s="107"/>
    </row>
    <row r="393" customFormat="false" ht="19.5" hidden="false" customHeight="true" outlineLevel="0" collapsed="false">
      <c r="A393" s="21" t="n">
        <v>390</v>
      </c>
      <c r="B393" s="22" t="s">
        <v>674</v>
      </c>
      <c r="C393" s="22" t="s">
        <v>288</v>
      </c>
      <c r="D393" s="21" t="s">
        <v>278</v>
      </c>
      <c r="E393" s="22" t="s">
        <v>279</v>
      </c>
      <c r="F393" s="22"/>
      <c r="G393" s="22"/>
      <c r="H393" s="21" t="str">
        <f aca="false">IF(B393="","",IF(COUNTIF('MiT Strom Pipeline'!$B$6:$B$904,B393)&gt;0,"✓",""))</f>
        <v/>
      </c>
      <c r="I393" s="21" t="str">
        <f aca="false">IF(B393="","",IFERROR(VLOOKUP(B393,'MiT Strom Pipeline'!$B$6:$R$904,17,0),""))</f>
        <v/>
      </c>
      <c r="J393" s="22"/>
    </row>
    <row r="394" customFormat="false" ht="19.5" hidden="false" customHeight="true" outlineLevel="0" collapsed="false">
      <c r="A394" s="106" t="n">
        <v>391</v>
      </c>
      <c r="B394" s="107" t="s">
        <v>675</v>
      </c>
      <c r="C394" s="107" t="s">
        <v>288</v>
      </c>
      <c r="D394" s="106" t="s">
        <v>278</v>
      </c>
      <c r="E394" s="107" t="s">
        <v>279</v>
      </c>
      <c r="F394" s="107"/>
      <c r="G394" s="107"/>
      <c r="H394" s="106" t="str">
        <f aca="false">IF(B394="","",IF(COUNTIF('MiT Strom Pipeline'!$B$6:$B$904,B394)&gt;0,"✓",""))</f>
        <v/>
      </c>
      <c r="I394" s="106" t="str">
        <f aca="false">IF(B394="","",IFERROR(VLOOKUP(B394,'MiT Strom Pipeline'!$B$6:$R$904,17,0),""))</f>
        <v/>
      </c>
      <c r="J394" s="107"/>
    </row>
    <row r="395" customFormat="false" ht="19.5" hidden="false" customHeight="true" outlineLevel="0" collapsed="false">
      <c r="A395" s="21" t="n">
        <v>392</v>
      </c>
      <c r="B395" s="22" t="s">
        <v>676</v>
      </c>
      <c r="C395" s="22" t="s">
        <v>143</v>
      </c>
      <c r="D395" s="21" t="s">
        <v>278</v>
      </c>
      <c r="E395" s="22" t="s">
        <v>279</v>
      </c>
      <c r="F395" s="22"/>
      <c r="G395" s="22"/>
      <c r="H395" s="21" t="str">
        <f aca="false">IF(B395="","",IF(COUNTIF('MiT Strom Pipeline'!$B$6:$B$904,B395)&gt;0,"✓",""))</f>
        <v/>
      </c>
      <c r="I395" s="21" t="str">
        <f aca="false">IF(B395="","",IFERROR(VLOOKUP(B395,'MiT Strom Pipeline'!$B$6:$R$904,17,0),""))</f>
        <v/>
      </c>
      <c r="J395" s="22"/>
    </row>
    <row r="396" customFormat="false" ht="19.5" hidden="false" customHeight="true" outlineLevel="0" collapsed="false">
      <c r="A396" s="106" t="n">
        <v>393</v>
      </c>
      <c r="B396" s="107" t="s">
        <v>652</v>
      </c>
      <c r="C396" s="107" t="s">
        <v>288</v>
      </c>
      <c r="D396" s="106" t="s">
        <v>278</v>
      </c>
      <c r="E396" s="107" t="s">
        <v>279</v>
      </c>
      <c r="F396" s="107"/>
      <c r="G396" s="107"/>
      <c r="H396" s="106" t="str">
        <f aca="false">IF(B396="","",IF(COUNTIF('MiT Strom Pipeline'!$B$6:$B$904,B396)&gt;0,"✓",""))</f>
        <v/>
      </c>
      <c r="I396" s="106" t="str">
        <f aca="false">IF(B396="","",IFERROR(VLOOKUP(B396,'MiT Strom Pipeline'!$B$6:$R$904,17,0),""))</f>
        <v/>
      </c>
      <c r="J396" s="107"/>
    </row>
    <row r="397" customFormat="false" ht="19.5" hidden="false" customHeight="true" outlineLevel="0" collapsed="false">
      <c r="A397" s="21" t="n">
        <v>394</v>
      </c>
      <c r="B397" s="22" t="s">
        <v>677</v>
      </c>
      <c r="C397" s="22" t="s">
        <v>288</v>
      </c>
      <c r="D397" s="21" t="s">
        <v>278</v>
      </c>
      <c r="E397" s="22" t="s">
        <v>279</v>
      </c>
      <c r="F397" s="22"/>
      <c r="G397" s="22"/>
      <c r="H397" s="21" t="str">
        <f aca="false">IF(B397="","",IF(COUNTIF('MiT Strom Pipeline'!$B$6:$B$904,B397)&gt;0,"✓",""))</f>
        <v/>
      </c>
      <c r="I397" s="21" t="str">
        <f aca="false">IF(B397="","",IFERROR(VLOOKUP(B397,'MiT Strom Pipeline'!$B$6:$R$904,17,0),""))</f>
        <v/>
      </c>
      <c r="J397" s="22"/>
    </row>
    <row r="398" customFormat="false" ht="19.5" hidden="false" customHeight="true" outlineLevel="0" collapsed="false">
      <c r="A398" s="106" t="n">
        <v>395</v>
      </c>
      <c r="B398" s="107" t="s">
        <v>678</v>
      </c>
      <c r="C398" s="107" t="s">
        <v>288</v>
      </c>
      <c r="D398" s="106" t="s">
        <v>278</v>
      </c>
      <c r="E398" s="107" t="s">
        <v>279</v>
      </c>
      <c r="F398" s="107"/>
      <c r="G398" s="107"/>
      <c r="H398" s="106" t="str">
        <f aca="false">IF(B398="","",IF(COUNTIF('MiT Strom Pipeline'!$B$6:$B$904,B398)&gt;0,"✓",""))</f>
        <v/>
      </c>
      <c r="I398" s="106" t="str">
        <f aca="false">IF(B398="","",IFERROR(VLOOKUP(B398,'MiT Strom Pipeline'!$B$6:$R$904,17,0),""))</f>
        <v/>
      </c>
      <c r="J398" s="107"/>
    </row>
    <row r="399" customFormat="false" ht="19.5" hidden="false" customHeight="true" outlineLevel="0" collapsed="false">
      <c r="A399" s="21" t="n">
        <v>396</v>
      </c>
      <c r="B399" s="22" t="s">
        <v>679</v>
      </c>
      <c r="C399" s="22" t="s">
        <v>288</v>
      </c>
      <c r="D399" s="21" t="s">
        <v>308</v>
      </c>
      <c r="E399" s="22" t="s">
        <v>279</v>
      </c>
      <c r="F399" s="22"/>
      <c r="G399" s="22"/>
      <c r="H399" s="21" t="str">
        <f aca="false">IF(B399="","",IF(COUNTIF('MiT Strom Pipeline'!$B$6:$B$904,B399)&gt;0,"✓",""))</f>
        <v/>
      </c>
      <c r="I399" s="21" t="str">
        <f aca="false">IF(B399="","",IFERROR(VLOOKUP(B399,'MiT Strom Pipeline'!$B$6:$R$904,17,0),""))</f>
        <v/>
      </c>
      <c r="J399" s="22"/>
    </row>
    <row r="400" customFormat="false" ht="19.5" hidden="false" customHeight="true" outlineLevel="0" collapsed="false">
      <c r="A400" s="106" t="n">
        <v>397</v>
      </c>
      <c r="B400" s="107" t="s">
        <v>680</v>
      </c>
      <c r="C400" s="107" t="s">
        <v>143</v>
      </c>
      <c r="D400" s="106" t="s">
        <v>278</v>
      </c>
      <c r="E400" s="107" t="s">
        <v>279</v>
      </c>
      <c r="F400" s="107"/>
      <c r="G400" s="107"/>
      <c r="H400" s="106" t="str">
        <f aca="false">IF(B400="","",IF(COUNTIF('MiT Strom Pipeline'!$B$6:$B$904,B400)&gt;0,"✓",""))</f>
        <v/>
      </c>
      <c r="I400" s="106" t="str">
        <f aca="false">IF(B400="","",IFERROR(VLOOKUP(B400,'MiT Strom Pipeline'!$B$6:$R$904,17,0),""))</f>
        <v/>
      </c>
      <c r="J400" s="107"/>
    </row>
    <row r="401" customFormat="false" ht="19.5" hidden="false" customHeight="true" outlineLevel="0" collapsed="false">
      <c r="A401" s="21" t="n">
        <v>398</v>
      </c>
      <c r="B401" s="22" t="s">
        <v>681</v>
      </c>
      <c r="C401" s="22" t="s">
        <v>288</v>
      </c>
      <c r="D401" s="21" t="s">
        <v>278</v>
      </c>
      <c r="E401" s="22" t="s">
        <v>279</v>
      </c>
      <c r="F401" s="22"/>
      <c r="G401" s="22"/>
      <c r="H401" s="21" t="str">
        <f aca="false">IF(B401="","",IF(COUNTIF('MiT Strom Pipeline'!$B$6:$B$904,B401)&gt;0,"✓",""))</f>
        <v/>
      </c>
      <c r="I401" s="21" t="str">
        <f aca="false">IF(B401="","",IFERROR(VLOOKUP(B401,'MiT Strom Pipeline'!$B$6:$R$904,17,0),""))</f>
        <v/>
      </c>
      <c r="J401" s="22"/>
    </row>
    <row r="402" customFormat="false" ht="19.5" hidden="false" customHeight="true" outlineLevel="0" collapsed="false">
      <c r="A402" s="106" t="n">
        <v>399</v>
      </c>
      <c r="B402" s="107" t="s">
        <v>682</v>
      </c>
      <c r="C402" s="107" t="s">
        <v>288</v>
      </c>
      <c r="D402" s="106" t="s">
        <v>278</v>
      </c>
      <c r="E402" s="107" t="s">
        <v>279</v>
      </c>
      <c r="F402" s="107"/>
      <c r="G402" s="107"/>
      <c r="H402" s="106" t="str">
        <f aca="false">IF(B402="","",IF(COUNTIF('MiT Strom Pipeline'!$B$6:$B$904,B402)&gt;0,"✓",""))</f>
        <v/>
      </c>
      <c r="I402" s="106" t="str">
        <f aca="false">IF(B402="","",IFERROR(VLOOKUP(B402,'MiT Strom Pipeline'!$B$6:$R$904,17,0),""))</f>
        <v/>
      </c>
      <c r="J402" s="107"/>
    </row>
    <row r="403" customFormat="false" ht="19.5" hidden="false" customHeight="true" outlineLevel="0" collapsed="false">
      <c r="A403" s="21" t="n">
        <v>400</v>
      </c>
      <c r="B403" s="22" t="s">
        <v>683</v>
      </c>
      <c r="C403" s="22" t="s">
        <v>288</v>
      </c>
      <c r="D403" s="21" t="s">
        <v>278</v>
      </c>
      <c r="E403" s="22" t="s">
        <v>287</v>
      </c>
      <c r="F403" s="22"/>
      <c r="G403" s="22"/>
      <c r="H403" s="21" t="str">
        <f aca="false">IF(B403="","",IF(COUNTIF('MiT Strom Pipeline'!$B$6:$B$904,B403)&gt;0,"✓",""))</f>
        <v/>
      </c>
      <c r="I403" s="21" t="str">
        <f aca="false">IF(B403="","",IFERROR(VLOOKUP(B403,'MiT Strom Pipeline'!$B$6:$R$904,17,0),""))</f>
        <v/>
      </c>
      <c r="J403" s="22"/>
    </row>
    <row r="404" customFormat="false" ht="19.5" hidden="false" customHeight="true" outlineLevel="0" collapsed="false">
      <c r="A404" s="106" t="n">
        <v>401</v>
      </c>
      <c r="B404" s="107" t="s">
        <v>684</v>
      </c>
      <c r="C404" s="107" t="s">
        <v>307</v>
      </c>
      <c r="D404" s="106" t="s">
        <v>278</v>
      </c>
      <c r="E404" s="107" t="s">
        <v>279</v>
      </c>
      <c r="F404" s="107"/>
      <c r="G404" s="107"/>
      <c r="H404" s="106" t="str">
        <f aca="false">IF(B404="","",IF(COUNTIF('MiT Strom Pipeline'!$B$6:$B$904,B404)&gt;0,"✓",""))</f>
        <v/>
      </c>
      <c r="I404" s="106" t="str">
        <f aca="false">IF(B404="","",IFERROR(VLOOKUP(B404,'MiT Strom Pipeline'!$B$6:$R$904,17,0),""))</f>
        <v/>
      </c>
      <c r="J404" s="107"/>
    </row>
    <row r="405" customFormat="false" ht="19.5" hidden="false" customHeight="true" outlineLevel="0" collapsed="false">
      <c r="A405" s="21" t="n">
        <v>402</v>
      </c>
      <c r="B405" s="22" t="s">
        <v>685</v>
      </c>
      <c r="C405" s="22" t="s">
        <v>307</v>
      </c>
      <c r="D405" s="21" t="s">
        <v>278</v>
      </c>
      <c r="E405" s="22" t="s">
        <v>279</v>
      </c>
      <c r="F405" s="22"/>
      <c r="G405" s="22"/>
      <c r="H405" s="21" t="str">
        <f aca="false">IF(B405="","",IF(COUNTIF('MiT Strom Pipeline'!$B$6:$B$904,B405)&gt;0,"✓",""))</f>
        <v/>
      </c>
      <c r="I405" s="21" t="str">
        <f aca="false">IF(B405="","",IFERROR(VLOOKUP(B405,'MiT Strom Pipeline'!$B$6:$R$904,17,0),""))</f>
        <v/>
      </c>
      <c r="J405" s="22"/>
    </row>
    <row r="406" customFormat="false" ht="19.5" hidden="false" customHeight="true" outlineLevel="0" collapsed="false">
      <c r="A406" s="106" t="n">
        <v>403</v>
      </c>
      <c r="B406" s="107" t="s">
        <v>686</v>
      </c>
      <c r="C406" s="107" t="s">
        <v>288</v>
      </c>
      <c r="D406" s="106" t="s">
        <v>278</v>
      </c>
      <c r="E406" s="107" t="s">
        <v>279</v>
      </c>
      <c r="F406" s="107"/>
      <c r="G406" s="107"/>
      <c r="H406" s="106" t="str">
        <f aca="false">IF(B406="","",IF(COUNTIF('MiT Strom Pipeline'!$B$6:$B$904,B406)&gt;0,"✓",""))</f>
        <v/>
      </c>
      <c r="I406" s="106" t="str">
        <f aca="false">IF(B406="","",IFERROR(VLOOKUP(B406,'MiT Strom Pipeline'!$B$6:$R$904,17,0),""))</f>
        <v/>
      </c>
      <c r="J406" s="107"/>
    </row>
    <row r="407" customFormat="false" ht="19.5" hidden="false" customHeight="true" outlineLevel="0" collapsed="false">
      <c r="A407" s="21" t="n">
        <v>404</v>
      </c>
      <c r="B407" s="22" t="s">
        <v>687</v>
      </c>
      <c r="C407" s="22" t="s">
        <v>288</v>
      </c>
      <c r="D407" s="21" t="s">
        <v>278</v>
      </c>
      <c r="E407" s="22" t="s">
        <v>279</v>
      </c>
      <c r="F407" s="22"/>
      <c r="G407" s="22"/>
      <c r="H407" s="21" t="str">
        <f aca="false">IF(B407="","",IF(COUNTIF('MiT Strom Pipeline'!$B$6:$B$904,B407)&gt;0,"✓",""))</f>
        <v/>
      </c>
      <c r="I407" s="21" t="str">
        <f aca="false">IF(B407="","",IFERROR(VLOOKUP(B407,'MiT Strom Pipeline'!$B$6:$R$904,17,0),""))</f>
        <v/>
      </c>
      <c r="J407" s="22"/>
    </row>
    <row r="408" customFormat="false" ht="19.5" hidden="false" customHeight="true" outlineLevel="0" collapsed="false">
      <c r="A408" s="106" t="n">
        <v>405</v>
      </c>
      <c r="B408" s="107" t="s">
        <v>688</v>
      </c>
      <c r="C408" s="107" t="s">
        <v>288</v>
      </c>
      <c r="D408" s="106" t="s">
        <v>278</v>
      </c>
      <c r="E408" s="107" t="s">
        <v>279</v>
      </c>
      <c r="F408" s="107"/>
      <c r="G408" s="107"/>
      <c r="H408" s="106" t="str">
        <f aca="false">IF(B408="","",IF(COUNTIF('MiT Strom Pipeline'!$B$6:$B$904,B408)&gt;0,"✓",""))</f>
        <v/>
      </c>
      <c r="I408" s="106" t="str">
        <f aca="false">IF(B408="","",IFERROR(VLOOKUP(B408,'MiT Strom Pipeline'!$B$6:$R$904,17,0),""))</f>
        <v/>
      </c>
      <c r="J408" s="107"/>
    </row>
    <row r="409" customFormat="false" ht="19.5" hidden="false" customHeight="true" outlineLevel="0" collapsed="false">
      <c r="A409" s="21" t="n">
        <v>406</v>
      </c>
      <c r="B409" s="22" t="s">
        <v>689</v>
      </c>
      <c r="C409" s="22" t="s">
        <v>288</v>
      </c>
      <c r="D409" s="21" t="s">
        <v>278</v>
      </c>
      <c r="E409" s="22" t="s">
        <v>279</v>
      </c>
      <c r="F409" s="22"/>
      <c r="G409" s="22"/>
      <c r="H409" s="21" t="str">
        <f aca="false">IF(B409="","",IF(COUNTIF('MiT Strom Pipeline'!$B$6:$B$904,B409)&gt;0,"✓",""))</f>
        <v/>
      </c>
      <c r="I409" s="21" t="str">
        <f aca="false">IF(B409="","",IFERROR(VLOOKUP(B409,'MiT Strom Pipeline'!$B$6:$R$904,17,0),""))</f>
        <v/>
      </c>
      <c r="J409" s="22"/>
    </row>
    <row r="410" customFormat="false" ht="19.5" hidden="false" customHeight="true" outlineLevel="0" collapsed="false">
      <c r="A410" s="106" t="n">
        <v>407</v>
      </c>
      <c r="B410" s="107" t="s">
        <v>537</v>
      </c>
      <c r="C410" s="107" t="s">
        <v>288</v>
      </c>
      <c r="D410" s="106" t="s">
        <v>278</v>
      </c>
      <c r="E410" s="107" t="s">
        <v>279</v>
      </c>
      <c r="F410" s="107"/>
      <c r="G410" s="107"/>
      <c r="H410" s="106" t="str">
        <f aca="false">IF(B410="","",IF(COUNTIF('MiT Strom Pipeline'!$B$6:$B$904,B410)&gt;0,"✓",""))</f>
        <v/>
      </c>
      <c r="I410" s="106" t="str">
        <f aca="false">IF(B410="","",IFERROR(VLOOKUP(B410,'MiT Strom Pipeline'!$B$6:$R$904,17,0),""))</f>
        <v/>
      </c>
      <c r="J410" s="107"/>
    </row>
    <row r="411" customFormat="false" ht="19.5" hidden="false" customHeight="true" outlineLevel="0" collapsed="false">
      <c r="A411" s="21" t="n">
        <v>408</v>
      </c>
      <c r="B411" s="22" t="s">
        <v>690</v>
      </c>
      <c r="C411" s="22" t="s">
        <v>143</v>
      </c>
      <c r="D411" s="21" t="s">
        <v>278</v>
      </c>
      <c r="E411" s="22" t="s">
        <v>279</v>
      </c>
      <c r="F411" s="22"/>
      <c r="G411" s="22"/>
      <c r="H411" s="21" t="str">
        <f aca="false">IF(B411="","",IF(COUNTIF('MiT Strom Pipeline'!$B$6:$B$904,B411)&gt;0,"✓",""))</f>
        <v/>
      </c>
      <c r="I411" s="21" t="str">
        <f aca="false">IF(B411="","",IFERROR(VLOOKUP(B411,'MiT Strom Pipeline'!$B$6:$R$904,17,0),""))</f>
        <v/>
      </c>
      <c r="J411" s="22"/>
    </row>
    <row r="412" customFormat="false" ht="19.5" hidden="false" customHeight="true" outlineLevel="0" collapsed="false">
      <c r="A412" s="106" t="n">
        <v>409</v>
      </c>
      <c r="B412" s="107" t="s">
        <v>283</v>
      </c>
      <c r="C412" s="107" t="s">
        <v>109</v>
      </c>
      <c r="D412" s="106" t="s">
        <v>207</v>
      </c>
      <c r="E412" s="107" t="s">
        <v>279</v>
      </c>
      <c r="F412" s="107"/>
      <c r="G412" s="107"/>
      <c r="H412" s="106" t="str">
        <f aca="false">IF(B412="","",IF(COUNTIF('MiT Strom Pipeline'!$B$6:$B$904,B412)&gt;0,"✓",""))</f>
        <v/>
      </c>
      <c r="I412" s="106" t="str">
        <f aca="false">IF(B412="","",IFERROR(VLOOKUP(B412,'MiT Strom Pipeline'!$B$6:$R$904,17,0),""))</f>
        <v/>
      </c>
      <c r="J412" s="107"/>
    </row>
    <row r="413" customFormat="false" ht="19.5" hidden="false" customHeight="true" outlineLevel="0" collapsed="false">
      <c r="A413" s="21" t="n">
        <v>410</v>
      </c>
      <c r="B413" s="22" t="s">
        <v>691</v>
      </c>
      <c r="C413" s="22" t="s">
        <v>288</v>
      </c>
      <c r="D413" s="21" t="s">
        <v>98</v>
      </c>
      <c r="E413" s="22" t="s">
        <v>279</v>
      </c>
      <c r="F413" s="22"/>
      <c r="G413" s="22"/>
      <c r="H413" s="21" t="str">
        <f aca="false">IF(B413="","",IF(COUNTIF('MiT Strom Pipeline'!$B$6:$B$904,B413)&gt;0,"✓",""))</f>
        <v/>
      </c>
      <c r="I413" s="21" t="str">
        <f aca="false">IF(B413="","",IFERROR(VLOOKUP(B413,'MiT Strom Pipeline'!$B$6:$R$904,17,0),""))</f>
        <v/>
      </c>
      <c r="J413" s="22"/>
    </row>
    <row r="414" customFormat="false" ht="19.5" hidden="false" customHeight="true" outlineLevel="0" collapsed="false">
      <c r="A414" s="106" t="n">
        <v>411</v>
      </c>
      <c r="B414" s="107" t="s">
        <v>692</v>
      </c>
      <c r="C414" s="107" t="s">
        <v>143</v>
      </c>
      <c r="D414" s="106" t="s">
        <v>278</v>
      </c>
      <c r="E414" s="107" t="s">
        <v>279</v>
      </c>
      <c r="F414" s="107"/>
      <c r="G414" s="107"/>
      <c r="H414" s="106" t="str">
        <f aca="false">IF(B414="","",IF(COUNTIF('MiT Strom Pipeline'!$B$6:$B$904,B414)&gt;0,"✓",""))</f>
        <v/>
      </c>
      <c r="I414" s="106" t="str">
        <f aca="false">IF(B414="","",IFERROR(VLOOKUP(B414,'MiT Strom Pipeline'!$B$6:$R$904,17,0),""))</f>
        <v/>
      </c>
      <c r="J414" s="107"/>
    </row>
    <row r="415" customFormat="false" ht="19.5" hidden="false" customHeight="true" outlineLevel="0" collapsed="false">
      <c r="A415" s="21" t="n">
        <v>412</v>
      </c>
      <c r="B415" s="22" t="s">
        <v>693</v>
      </c>
      <c r="C415" s="22" t="s">
        <v>288</v>
      </c>
      <c r="D415" s="21" t="s">
        <v>278</v>
      </c>
      <c r="E415" s="22" t="s">
        <v>279</v>
      </c>
      <c r="F415" s="22"/>
      <c r="G415" s="22"/>
      <c r="H415" s="21" t="str">
        <f aca="false">IF(B415="","",IF(COUNTIF('MiT Strom Pipeline'!$B$6:$B$904,B415)&gt;0,"✓",""))</f>
        <v/>
      </c>
      <c r="I415" s="21" t="str">
        <f aca="false">IF(B415="","",IFERROR(VLOOKUP(B415,'MiT Strom Pipeline'!$B$6:$R$904,17,0),""))</f>
        <v/>
      </c>
      <c r="J415" s="22"/>
    </row>
    <row r="416" customFormat="false" ht="19.5" hidden="false" customHeight="true" outlineLevel="0" collapsed="false">
      <c r="A416" s="106" t="n">
        <v>413</v>
      </c>
      <c r="B416" s="107" t="s">
        <v>694</v>
      </c>
      <c r="C416" s="107" t="s">
        <v>307</v>
      </c>
      <c r="D416" s="106" t="s">
        <v>207</v>
      </c>
      <c r="E416" s="107" t="s">
        <v>279</v>
      </c>
      <c r="F416" s="107"/>
      <c r="G416" s="107"/>
      <c r="H416" s="106" t="str">
        <f aca="false">IF(B416="","",IF(COUNTIF('MiT Strom Pipeline'!$B$6:$B$904,B416)&gt;0,"✓",""))</f>
        <v/>
      </c>
      <c r="I416" s="106" t="str">
        <f aca="false">IF(B416="","",IFERROR(VLOOKUP(B416,'MiT Strom Pipeline'!$B$6:$R$904,17,0),""))</f>
        <v/>
      </c>
      <c r="J416" s="107"/>
    </row>
    <row r="417" customFormat="false" ht="19.5" hidden="false" customHeight="true" outlineLevel="0" collapsed="false">
      <c r="A417" s="21" t="n">
        <v>414</v>
      </c>
      <c r="B417" s="22" t="s">
        <v>695</v>
      </c>
      <c r="C417" s="22" t="s">
        <v>288</v>
      </c>
      <c r="D417" s="21" t="s">
        <v>278</v>
      </c>
      <c r="E417" s="22" t="s">
        <v>279</v>
      </c>
      <c r="F417" s="22"/>
      <c r="G417" s="22"/>
      <c r="H417" s="21" t="str">
        <f aca="false">IF(B417="","",IF(COUNTIF('MiT Strom Pipeline'!$B$6:$B$904,B417)&gt;0,"✓",""))</f>
        <v/>
      </c>
      <c r="I417" s="21" t="str">
        <f aca="false">IF(B417="","",IFERROR(VLOOKUP(B417,'MiT Strom Pipeline'!$B$6:$R$904,17,0),""))</f>
        <v/>
      </c>
      <c r="J417" s="22"/>
    </row>
    <row r="418" customFormat="false" ht="19.5" hidden="false" customHeight="true" outlineLevel="0" collapsed="false">
      <c r="A418" s="106" t="n">
        <v>415</v>
      </c>
      <c r="B418" s="107" t="s">
        <v>696</v>
      </c>
      <c r="C418" s="107" t="s">
        <v>288</v>
      </c>
      <c r="D418" s="106" t="s">
        <v>278</v>
      </c>
      <c r="E418" s="107" t="s">
        <v>279</v>
      </c>
      <c r="F418" s="107"/>
      <c r="G418" s="107"/>
      <c r="H418" s="106" t="str">
        <f aca="false">IF(B418="","",IF(COUNTIF('MiT Strom Pipeline'!$B$6:$B$904,B418)&gt;0,"✓",""))</f>
        <v/>
      </c>
      <c r="I418" s="106" t="str">
        <f aca="false">IF(B418="","",IFERROR(VLOOKUP(B418,'MiT Strom Pipeline'!$B$6:$R$904,17,0),""))</f>
        <v/>
      </c>
      <c r="J418" s="107"/>
    </row>
    <row r="419" customFormat="false" ht="19.5" hidden="false" customHeight="true" outlineLevel="0" collapsed="false">
      <c r="A419" s="21" t="n">
        <v>416</v>
      </c>
      <c r="B419" s="22" t="s">
        <v>697</v>
      </c>
      <c r="C419" s="22" t="s">
        <v>307</v>
      </c>
      <c r="D419" s="21" t="s">
        <v>56</v>
      </c>
      <c r="E419" s="22" t="s">
        <v>279</v>
      </c>
      <c r="F419" s="22"/>
      <c r="G419" s="22"/>
      <c r="H419" s="21" t="str">
        <f aca="false">IF(B419="","",IF(COUNTIF('MiT Strom Pipeline'!$B$6:$B$904,B419)&gt;0,"✓",""))</f>
        <v/>
      </c>
      <c r="I419" s="21" t="str">
        <f aca="false">IF(B419="","",IFERROR(VLOOKUP(B419,'MiT Strom Pipeline'!$B$6:$R$904,17,0),""))</f>
        <v/>
      </c>
      <c r="J419" s="22"/>
    </row>
    <row r="420" customFormat="false" ht="19.5" hidden="false" customHeight="true" outlineLevel="0" collapsed="false">
      <c r="A420" s="106" t="n">
        <v>417</v>
      </c>
      <c r="B420" s="107" t="s">
        <v>698</v>
      </c>
      <c r="C420" s="107" t="s">
        <v>288</v>
      </c>
      <c r="D420" s="106" t="s">
        <v>278</v>
      </c>
      <c r="E420" s="107" t="s">
        <v>279</v>
      </c>
      <c r="F420" s="107"/>
      <c r="G420" s="107"/>
      <c r="H420" s="106" t="str">
        <f aca="false">IF(B420="","",IF(COUNTIF('MiT Strom Pipeline'!$B$6:$B$904,B420)&gt;0,"✓",""))</f>
        <v/>
      </c>
      <c r="I420" s="106" t="str">
        <f aca="false">IF(B420="","",IFERROR(VLOOKUP(B420,'MiT Strom Pipeline'!$B$6:$R$904,17,0),""))</f>
        <v/>
      </c>
      <c r="J420" s="107"/>
    </row>
    <row r="421" customFormat="false" ht="19.5" hidden="false" customHeight="true" outlineLevel="0" collapsed="false">
      <c r="A421" s="21" t="n">
        <v>418</v>
      </c>
      <c r="B421" s="22" t="s">
        <v>699</v>
      </c>
      <c r="C421" s="22" t="s">
        <v>288</v>
      </c>
      <c r="D421" s="21" t="s">
        <v>278</v>
      </c>
      <c r="E421" s="22" t="s">
        <v>279</v>
      </c>
      <c r="F421" s="22"/>
      <c r="G421" s="22"/>
      <c r="H421" s="21" t="str">
        <f aca="false">IF(B421="","",IF(COUNTIF('MiT Strom Pipeline'!$B$6:$B$904,B421)&gt;0,"✓",""))</f>
        <v/>
      </c>
      <c r="I421" s="21" t="str">
        <f aca="false">IF(B421="","",IFERROR(VLOOKUP(B421,'MiT Strom Pipeline'!$B$6:$R$904,17,0),""))</f>
        <v/>
      </c>
      <c r="J421" s="22"/>
    </row>
    <row r="422" customFormat="false" ht="19.5" hidden="false" customHeight="true" outlineLevel="0" collapsed="false">
      <c r="A422" s="106" t="n">
        <v>419</v>
      </c>
      <c r="B422" s="107" t="s">
        <v>700</v>
      </c>
      <c r="C422" s="107" t="s">
        <v>288</v>
      </c>
      <c r="D422" s="106" t="s">
        <v>278</v>
      </c>
      <c r="E422" s="107" t="s">
        <v>279</v>
      </c>
      <c r="F422" s="107"/>
      <c r="G422" s="107"/>
      <c r="H422" s="106" t="str">
        <f aca="false">IF(B422="","",IF(COUNTIF('MiT Strom Pipeline'!$B$6:$B$904,B422)&gt;0,"✓",""))</f>
        <v/>
      </c>
      <c r="I422" s="106" t="str">
        <f aca="false">IF(B422="","",IFERROR(VLOOKUP(B422,'MiT Strom Pipeline'!$B$6:$R$904,17,0),""))</f>
        <v/>
      </c>
      <c r="J422" s="107"/>
    </row>
    <row r="423" customFormat="false" ht="19.5" hidden="false" customHeight="true" outlineLevel="0" collapsed="false">
      <c r="A423" s="21" t="n">
        <v>420</v>
      </c>
      <c r="B423" s="22" t="s">
        <v>701</v>
      </c>
      <c r="C423" s="22" t="s">
        <v>143</v>
      </c>
      <c r="D423" s="21" t="s">
        <v>278</v>
      </c>
      <c r="E423" s="22" t="s">
        <v>279</v>
      </c>
      <c r="F423" s="22"/>
      <c r="G423" s="22"/>
      <c r="H423" s="21" t="str">
        <f aca="false">IF(B423="","",IF(COUNTIF('MiT Strom Pipeline'!$B$6:$B$904,B423)&gt;0,"✓",""))</f>
        <v/>
      </c>
      <c r="I423" s="21" t="str">
        <f aca="false">IF(B423="","",IFERROR(VLOOKUP(B423,'MiT Strom Pipeline'!$B$6:$R$904,17,0),""))</f>
        <v/>
      </c>
      <c r="J423" s="22"/>
    </row>
    <row r="424" customFormat="false" ht="19.5" hidden="false" customHeight="true" outlineLevel="0" collapsed="false">
      <c r="A424" s="106" t="n">
        <v>421</v>
      </c>
      <c r="B424" s="107" t="s">
        <v>702</v>
      </c>
      <c r="C424" s="107" t="s">
        <v>293</v>
      </c>
      <c r="D424" s="106" t="s">
        <v>278</v>
      </c>
      <c r="E424" s="107" t="s">
        <v>279</v>
      </c>
      <c r="F424" s="107"/>
      <c r="G424" s="107"/>
      <c r="H424" s="106" t="str">
        <f aca="false">IF(B424="","",IF(COUNTIF('MiT Strom Pipeline'!$B$6:$B$904,B424)&gt;0,"✓",""))</f>
        <v/>
      </c>
      <c r="I424" s="106" t="str">
        <f aca="false">IF(B424="","",IFERROR(VLOOKUP(B424,'MiT Strom Pipeline'!$B$6:$R$904,17,0),""))</f>
        <v/>
      </c>
      <c r="J424" s="107"/>
    </row>
    <row r="425" customFormat="false" ht="19.5" hidden="false" customHeight="true" outlineLevel="0" collapsed="false">
      <c r="A425" s="21" t="n">
        <v>422</v>
      </c>
      <c r="B425" s="22" t="s">
        <v>703</v>
      </c>
      <c r="C425" s="22" t="s">
        <v>288</v>
      </c>
      <c r="D425" s="21" t="s">
        <v>278</v>
      </c>
      <c r="E425" s="22" t="s">
        <v>287</v>
      </c>
      <c r="F425" s="22"/>
      <c r="G425" s="22"/>
      <c r="H425" s="21" t="str">
        <f aca="false">IF(B425="","",IF(COUNTIF('MiT Strom Pipeline'!$B$6:$B$904,B425)&gt;0,"✓",""))</f>
        <v/>
      </c>
      <c r="I425" s="21" t="str">
        <f aca="false">IF(B425="","",IFERROR(VLOOKUP(B425,'MiT Strom Pipeline'!$B$6:$R$904,17,0),""))</f>
        <v/>
      </c>
      <c r="J425" s="22"/>
    </row>
    <row r="426" customFormat="false" ht="19.5" hidden="false" customHeight="true" outlineLevel="0" collapsed="false">
      <c r="A426" s="106" t="n">
        <v>423</v>
      </c>
      <c r="B426" s="107" t="s">
        <v>377</v>
      </c>
      <c r="C426" s="107" t="s">
        <v>79</v>
      </c>
      <c r="D426" s="106" t="s">
        <v>278</v>
      </c>
      <c r="E426" s="107" t="s">
        <v>279</v>
      </c>
      <c r="F426" s="107"/>
      <c r="G426" s="107"/>
      <c r="H426" s="106" t="str">
        <f aca="false">IF(B426="","",IF(COUNTIF('MiT Strom Pipeline'!$B$6:$B$904,B426)&gt;0,"✓",""))</f>
        <v/>
      </c>
      <c r="I426" s="106" t="str">
        <f aca="false">IF(B426="","",IFERROR(VLOOKUP(B426,'MiT Strom Pipeline'!$B$6:$R$904,17,0),""))</f>
        <v/>
      </c>
      <c r="J426" s="107"/>
    </row>
    <row r="427" customFormat="false" ht="19.5" hidden="false" customHeight="true" outlineLevel="0" collapsed="false">
      <c r="A427" s="21" t="n">
        <v>424</v>
      </c>
      <c r="B427" s="22" t="s">
        <v>704</v>
      </c>
      <c r="C427" s="22" t="s">
        <v>310</v>
      </c>
      <c r="D427" s="21" t="s">
        <v>278</v>
      </c>
      <c r="E427" s="22" t="s">
        <v>279</v>
      </c>
      <c r="F427" s="22"/>
      <c r="G427" s="22"/>
      <c r="H427" s="21" t="str">
        <f aca="false">IF(B427="","",IF(COUNTIF('MiT Strom Pipeline'!$B$6:$B$904,B427)&gt;0,"✓",""))</f>
        <v/>
      </c>
      <c r="I427" s="21" t="str">
        <f aca="false">IF(B427="","",IFERROR(VLOOKUP(B427,'MiT Strom Pipeline'!$B$6:$R$904,17,0),""))</f>
        <v/>
      </c>
      <c r="J427" s="22"/>
    </row>
    <row r="428" customFormat="false" ht="19.5" hidden="false" customHeight="true" outlineLevel="0" collapsed="false">
      <c r="A428" s="106" t="n">
        <v>425</v>
      </c>
      <c r="B428" s="107" t="s">
        <v>705</v>
      </c>
      <c r="C428" s="107" t="s">
        <v>288</v>
      </c>
      <c r="D428" s="106" t="s">
        <v>278</v>
      </c>
      <c r="E428" s="107" t="s">
        <v>287</v>
      </c>
      <c r="F428" s="107"/>
      <c r="G428" s="107"/>
      <c r="H428" s="106" t="str">
        <f aca="false">IF(B428="","",IF(COUNTIF('MiT Strom Pipeline'!$B$6:$B$904,B428)&gt;0,"✓",""))</f>
        <v/>
      </c>
      <c r="I428" s="106" t="str">
        <f aca="false">IF(B428="","",IFERROR(VLOOKUP(B428,'MiT Strom Pipeline'!$B$6:$R$904,17,0),""))</f>
        <v/>
      </c>
      <c r="J428" s="107"/>
    </row>
    <row r="429" customFormat="false" ht="19.5" hidden="false" customHeight="true" outlineLevel="0" collapsed="false">
      <c r="A429" s="21" t="n">
        <v>426</v>
      </c>
      <c r="B429" s="22" t="s">
        <v>706</v>
      </c>
      <c r="C429" s="22" t="s">
        <v>288</v>
      </c>
      <c r="D429" s="21" t="s">
        <v>278</v>
      </c>
      <c r="E429" s="22" t="s">
        <v>444</v>
      </c>
      <c r="F429" s="22"/>
      <c r="G429" s="22"/>
      <c r="H429" s="21" t="str">
        <f aca="false">IF(B429="","",IF(COUNTIF('MiT Strom Pipeline'!$B$6:$B$904,B429)&gt;0,"✓",""))</f>
        <v/>
      </c>
      <c r="I429" s="21" t="str">
        <f aca="false">IF(B429="","",IFERROR(VLOOKUP(B429,'MiT Strom Pipeline'!$B$6:$R$904,17,0),""))</f>
        <v/>
      </c>
      <c r="J429" s="22"/>
    </row>
    <row r="430" customFormat="false" ht="19.5" hidden="false" customHeight="true" outlineLevel="0" collapsed="false">
      <c r="A430" s="106" t="n">
        <v>427</v>
      </c>
      <c r="B430" s="107" t="s">
        <v>707</v>
      </c>
      <c r="C430" s="107" t="s">
        <v>288</v>
      </c>
      <c r="D430" s="106" t="s">
        <v>278</v>
      </c>
      <c r="E430" s="107" t="s">
        <v>279</v>
      </c>
      <c r="F430" s="107"/>
      <c r="G430" s="107"/>
      <c r="H430" s="106" t="str">
        <f aca="false">IF(B430="","",IF(COUNTIF('MiT Strom Pipeline'!$B$6:$B$904,B430)&gt;0,"✓",""))</f>
        <v/>
      </c>
      <c r="I430" s="106" t="str">
        <f aca="false">IF(B430="","",IFERROR(VLOOKUP(B430,'MiT Strom Pipeline'!$B$6:$R$904,17,0),""))</f>
        <v/>
      </c>
      <c r="J430" s="107"/>
    </row>
    <row r="431" customFormat="false" ht="19.5" hidden="false" customHeight="true" outlineLevel="0" collapsed="false">
      <c r="A431" s="21" t="n">
        <v>428</v>
      </c>
      <c r="B431" s="22" t="s">
        <v>708</v>
      </c>
      <c r="C431" s="22" t="s">
        <v>321</v>
      </c>
      <c r="D431" s="21" t="s">
        <v>278</v>
      </c>
      <c r="E431" s="22" t="s">
        <v>287</v>
      </c>
      <c r="F431" s="22"/>
      <c r="G431" s="22"/>
      <c r="H431" s="21" t="str">
        <f aca="false">IF(B431="","",IF(COUNTIF('MiT Strom Pipeline'!$B$6:$B$904,B431)&gt;0,"✓",""))</f>
        <v/>
      </c>
      <c r="I431" s="21" t="str">
        <f aca="false">IF(B431="","",IFERROR(VLOOKUP(B431,'MiT Strom Pipeline'!$B$6:$R$904,17,0),""))</f>
        <v/>
      </c>
      <c r="J431" s="22"/>
    </row>
    <row r="432" customFormat="false" ht="19.5" hidden="false" customHeight="true" outlineLevel="0" collapsed="false">
      <c r="A432" s="106" t="n">
        <v>429</v>
      </c>
      <c r="B432" s="107" t="s">
        <v>709</v>
      </c>
      <c r="C432" s="107" t="s">
        <v>288</v>
      </c>
      <c r="D432" s="106" t="s">
        <v>278</v>
      </c>
      <c r="E432" s="107" t="s">
        <v>287</v>
      </c>
      <c r="F432" s="107"/>
      <c r="G432" s="107"/>
      <c r="H432" s="106" t="str">
        <f aca="false">IF(B432="","",IF(COUNTIF('MiT Strom Pipeline'!$B$6:$B$904,B432)&gt;0,"✓",""))</f>
        <v/>
      </c>
      <c r="I432" s="106" t="str">
        <f aca="false">IF(B432="","",IFERROR(VLOOKUP(B432,'MiT Strom Pipeline'!$B$6:$R$904,17,0),""))</f>
        <v/>
      </c>
      <c r="J432" s="107"/>
    </row>
    <row r="433" customFormat="false" ht="19.5" hidden="false" customHeight="true" outlineLevel="0" collapsed="false">
      <c r="A433" s="21" t="n">
        <v>430</v>
      </c>
      <c r="B433" s="22" t="s">
        <v>710</v>
      </c>
      <c r="C433" s="22" t="s">
        <v>288</v>
      </c>
      <c r="D433" s="21" t="s">
        <v>278</v>
      </c>
      <c r="E433" s="22" t="s">
        <v>279</v>
      </c>
      <c r="F433" s="22"/>
      <c r="G433" s="22"/>
      <c r="H433" s="21" t="str">
        <f aca="false">IF(B433="","",IF(COUNTIF('MiT Strom Pipeline'!$B$6:$B$904,B433)&gt;0,"✓",""))</f>
        <v/>
      </c>
      <c r="I433" s="21" t="str">
        <f aca="false">IF(B433="","",IFERROR(VLOOKUP(B433,'MiT Strom Pipeline'!$B$6:$R$904,17,0),""))</f>
        <v/>
      </c>
      <c r="J433" s="22"/>
    </row>
    <row r="434" customFormat="false" ht="19.5" hidden="false" customHeight="true" outlineLevel="0" collapsed="false">
      <c r="A434" s="106" t="n">
        <v>431</v>
      </c>
      <c r="B434" s="107" t="s">
        <v>711</v>
      </c>
      <c r="C434" s="107" t="s">
        <v>288</v>
      </c>
      <c r="D434" s="106" t="s">
        <v>278</v>
      </c>
      <c r="E434" s="107" t="s">
        <v>279</v>
      </c>
      <c r="F434" s="107"/>
      <c r="G434" s="107"/>
      <c r="H434" s="106" t="str">
        <f aca="false">IF(B434="","",IF(COUNTIF('MiT Strom Pipeline'!$B$6:$B$904,B434)&gt;0,"✓",""))</f>
        <v/>
      </c>
      <c r="I434" s="106" t="str">
        <f aca="false">IF(B434="","",IFERROR(VLOOKUP(B434,'MiT Strom Pipeline'!$B$6:$R$904,17,0),""))</f>
        <v/>
      </c>
      <c r="J434" s="107"/>
    </row>
    <row r="435" customFormat="false" ht="19.5" hidden="false" customHeight="true" outlineLevel="0" collapsed="false">
      <c r="A435" s="21" t="n">
        <v>432</v>
      </c>
      <c r="B435" s="22" t="s">
        <v>712</v>
      </c>
      <c r="C435" s="22" t="s">
        <v>288</v>
      </c>
      <c r="D435" s="21" t="s">
        <v>278</v>
      </c>
      <c r="E435" s="22" t="s">
        <v>279</v>
      </c>
      <c r="F435" s="22"/>
      <c r="G435" s="22"/>
      <c r="H435" s="21" t="str">
        <f aca="false">IF(B435="","",IF(COUNTIF('MiT Strom Pipeline'!$B$6:$B$904,B435)&gt;0,"✓",""))</f>
        <v/>
      </c>
      <c r="I435" s="21" t="str">
        <f aca="false">IF(B435="","",IFERROR(VLOOKUP(B435,'MiT Strom Pipeline'!$B$6:$R$904,17,0),""))</f>
        <v/>
      </c>
      <c r="J435" s="22"/>
    </row>
    <row r="436" customFormat="false" ht="19.5" hidden="false" customHeight="true" outlineLevel="0" collapsed="false">
      <c r="A436" s="106" t="n">
        <v>433</v>
      </c>
      <c r="B436" s="107" t="s">
        <v>713</v>
      </c>
      <c r="C436" s="107" t="s">
        <v>307</v>
      </c>
      <c r="D436" s="106" t="s">
        <v>278</v>
      </c>
      <c r="E436" s="107" t="s">
        <v>279</v>
      </c>
      <c r="F436" s="107"/>
      <c r="G436" s="107"/>
      <c r="H436" s="106" t="str">
        <f aca="false">IF(B436="","",IF(COUNTIF('MiT Strom Pipeline'!$B$6:$B$904,B436)&gt;0,"✓",""))</f>
        <v/>
      </c>
      <c r="I436" s="106" t="str">
        <f aca="false">IF(B436="","",IFERROR(VLOOKUP(B436,'MiT Strom Pipeline'!$B$6:$R$904,17,0),""))</f>
        <v/>
      </c>
      <c r="J436" s="107"/>
    </row>
    <row r="437" customFormat="false" ht="19.5" hidden="false" customHeight="true" outlineLevel="0" collapsed="false">
      <c r="A437" s="21" t="n">
        <v>434</v>
      </c>
      <c r="B437" s="22" t="s">
        <v>714</v>
      </c>
      <c r="C437" s="22" t="s">
        <v>109</v>
      </c>
      <c r="D437" s="21" t="s">
        <v>278</v>
      </c>
      <c r="E437" s="22" t="s">
        <v>279</v>
      </c>
      <c r="F437" s="22"/>
      <c r="G437" s="22"/>
      <c r="H437" s="21" t="str">
        <f aca="false">IF(B437="","",IF(COUNTIF('MiT Strom Pipeline'!$B$6:$B$904,B437)&gt;0,"✓",""))</f>
        <v/>
      </c>
      <c r="I437" s="21" t="str">
        <f aca="false">IF(B437="","",IFERROR(VLOOKUP(B437,'MiT Strom Pipeline'!$B$6:$R$904,17,0),""))</f>
        <v/>
      </c>
      <c r="J437" s="22"/>
    </row>
    <row r="438" customFormat="false" ht="19.5" hidden="false" customHeight="true" outlineLevel="0" collapsed="false">
      <c r="A438" s="106" t="n">
        <v>435</v>
      </c>
      <c r="B438" s="107" t="s">
        <v>715</v>
      </c>
      <c r="C438" s="107" t="s">
        <v>288</v>
      </c>
      <c r="D438" s="106" t="s">
        <v>278</v>
      </c>
      <c r="E438" s="107" t="s">
        <v>279</v>
      </c>
      <c r="F438" s="107"/>
      <c r="G438" s="107"/>
      <c r="H438" s="106" t="str">
        <f aca="false">IF(B438="","",IF(COUNTIF('MiT Strom Pipeline'!$B$6:$B$904,B438)&gt;0,"✓",""))</f>
        <v/>
      </c>
      <c r="I438" s="106" t="str">
        <f aca="false">IF(B438="","",IFERROR(VLOOKUP(B438,'MiT Strom Pipeline'!$B$6:$R$904,17,0),""))</f>
        <v/>
      </c>
      <c r="J438" s="107"/>
    </row>
    <row r="439" customFormat="false" ht="19.5" hidden="false" customHeight="true" outlineLevel="0" collapsed="false">
      <c r="A439" s="21" t="n">
        <v>436</v>
      </c>
      <c r="B439" s="22" t="s">
        <v>716</v>
      </c>
      <c r="C439" s="22" t="s">
        <v>109</v>
      </c>
      <c r="D439" s="21" t="s">
        <v>278</v>
      </c>
      <c r="E439" s="22" t="s">
        <v>279</v>
      </c>
      <c r="F439" s="22"/>
      <c r="G439" s="22"/>
      <c r="H439" s="21" t="str">
        <f aca="false">IF(B439="","",IF(COUNTIF('MiT Strom Pipeline'!$B$6:$B$904,B439)&gt;0,"✓",""))</f>
        <v/>
      </c>
      <c r="I439" s="21" t="str">
        <f aca="false">IF(B439="","",IFERROR(VLOOKUP(B439,'MiT Strom Pipeline'!$B$6:$R$904,17,0),""))</f>
        <v/>
      </c>
      <c r="J439" s="22"/>
    </row>
    <row r="440" customFormat="false" ht="19.5" hidden="false" customHeight="true" outlineLevel="0" collapsed="false">
      <c r="A440" s="106" t="n">
        <v>437</v>
      </c>
      <c r="B440" s="107" t="s">
        <v>717</v>
      </c>
      <c r="C440" s="107" t="s">
        <v>288</v>
      </c>
      <c r="D440" s="106" t="s">
        <v>278</v>
      </c>
      <c r="E440" s="107" t="s">
        <v>279</v>
      </c>
      <c r="F440" s="107"/>
      <c r="G440" s="107"/>
      <c r="H440" s="106" t="str">
        <f aca="false">IF(B440="","",IF(COUNTIF('MiT Strom Pipeline'!$B$6:$B$904,B440)&gt;0,"✓",""))</f>
        <v/>
      </c>
      <c r="I440" s="106" t="str">
        <f aca="false">IF(B440="","",IFERROR(VLOOKUP(B440,'MiT Strom Pipeline'!$B$6:$R$904,17,0),""))</f>
        <v/>
      </c>
      <c r="J440" s="107"/>
    </row>
    <row r="441" customFormat="false" ht="19.5" hidden="false" customHeight="true" outlineLevel="0" collapsed="false">
      <c r="A441" s="21" t="n">
        <v>438</v>
      </c>
      <c r="B441" s="22" t="s">
        <v>718</v>
      </c>
      <c r="C441" s="22" t="s">
        <v>288</v>
      </c>
      <c r="D441" s="21" t="s">
        <v>278</v>
      </c>
      <c r="E441" s="22" t="s">
        <v>287</v>
      </c>
      <c r="F441" s="22"/>
      <c r="G441" s="22"/>
      <c r="H441" s="21" t="str">
        <f aca="false">IF(B441="","",IF(COUNTIF('MiT Strom Pipeline'!$B$6:$B$904,B441)&gt;0,"✓",""))</f>
        <v/>
      </c>
      <c r="I441" s="21" t="str">
        <f aca="false">IF(B441="","",IFERROR(VLOOKUP(B441,'MiT Strom Pipeline'!$B$6:$R$904,17,0),""))</f>
        <v/>
      </c>
      <c r="J441" s="22"/>
    </row>
    <row r="442" customFormat="false" ht="19.5" hidden="false" customHeight="true" outlineLevel="0" collapsed="false">
      <c r="A442" s="106" t="n">
        <v>439</v>
      </c>
      <c r="B442" s="107" t="s">
        <v>719</v>
      </c>
      <c r="C442" s="107" t="s">
        <v>288</v>
      </c>
      <c r="D442" s="106" t="s">
        <v>278</v>
      </c>
      <c r="E442" s="107" t="s">
        <v>279</v>
      </c>
      <c r="F442" s="107"/>
      <c r="G442" s="107"/>
      <c r="H442" s="106" t="str">
        <f aca="false">IF(B442="","",IF(COUNTIF('MiT Strom Pipeline'!$B$6:$B$904,B442)&gt;0,"✓",""))</f>
        <v/>
      </c>
      <c r="I442" s="106" t="str">
        <f aca="false">IF(B442="","",IFERROR(VLOOKUP(B442,'MiT Strom Pipeline'!$B$6:$R$904,17,0),""))</f>
        <v/>
      </c>
      <c r="J442" s="107"/>
    </row>
    <row r="443" customFormat="false" ht="19.5" hidden="false" customHeight="true" outlineLevel="0" collapsed="false">
      <c r="A443" s="21" t="n">
        <v>440</v>
      </c>
      <c r="B443" s="22" t="s">
        <v>720</v>
      </c>
      <c r="C443" s="22" t="s">
        <v>288</v>
      </c>
      <c r="D443" s="21" t="s">
        <v>278</v>
      </c>
      <c r="E443" s="22" t="s">
        <v>287</v>
      </c>
      <c r="F443" s="22"/>
      <c r="G443" s="22"/>
      <c r="H443" s="21" t="str">
        <f aca="false">IF(B443="","",IF(COUNTIF('MiT Strom Pipeline'!$B$6:$B$904,B443)&gt;0,"✓",""))</f>
        <v/>
      </c>
      <c r="I443" s="21" t="str">
        <f aca="false">IF(B443="","",IFERROR(VLOOKUP(B443,'MiT Strom Pipeline'!$B$6:$R$904,17,0),""))</f>
        <v/>
      </c>
      <c r="J443" s="22"/>
    </row>
    <row r="444" customFormat="false" ht="19.5" hidden="false" customHeight="true" outlineLevel="0" collapsed="false">
      <c r="A444" s="106" t="n">
        <v>441</v>
      </c>
      <c r="B444" s="107" t="s">
        <v>720</v>
      </c>
      <c r="C444" s="107" t="s">
        <v>288</v>
      </c>
      <c r="D444" s="106" t="s">
        <v>278</v>
      </c>
      <c r="E444" s="107" t="s">
        <v>287</v>
      </c>
      <c r="F444" s="107"/>
      <c r="G444" s="107"/>
      <c r="H444" s="106" t="str">
        <f aca="false">IF(B444="","",IF(COUNTIF('MiT Strom Pipeline'!$B$6:$B$904,B444)&gt;0,"✓",""))</f>
        <v/>
      </c>
      <c r="I444" s="106" t="str">
        <f aca="false">IF(B444="","",IFERROR(VLOOKUP(B444,'MiT Strom Pipeline'!$B$6:$R$904,17,0),""))</f>
        <v/>
      </c>
      <c r="J444" s="107"/>
    </row>
    <row r="445" customFormat="false" ht="19.5" hidden="false" customHeight="true" outlineLevel="0" collapsed="false">
      <c r="A445" s="21" t="n">
        <v>442</v>
      </c>
      <c r="B445" s="22" t="s">
        <v>721</v>
      </c>
      <c r="C445" s="22" t="s">
        <v>288</v>
      </c>
      <c r="D445" s="21" t="s">
        <v>278</v>
      </c>
      <c r="E445" s="22" t="s">
        <v>279</v>
      </c>
      <c r="F445" s="22"/>
      <c r="G445" s="22"/>
      <c r="H445" s="21" t="str">
        <f aca="false">IF(B445="","",IF(COUNTIF('MiT Strom Pipeline'!$B$6:$B$904,B445)&gt;0,"✓",""))</f>
        <v/>
      </c>
      <c r="I445" s="21" t="str">
        <f aca="false">IF(B445="","",IFERROR(VLOOKUP(B445,'MiT Strom Pipeline'!$B$6:$R$904,17,0),""))</f>
        <v/>
      </c>
      <c r="J445" s="22"/>
    </row>
    <row r="446" customFormat="false" ht="19.5" hidden="false" customHeight="true" outlineLevel="0" collapsed="false">
      <c r="A446" s="106" t="n">
        <v>443</v>
      </c>
      <c r="B446" s="107" t="s">
        <v>722</v>
      </c>
      <c r="C446" s="107" t="s">
        <v>288</v>
      </c>
      <c r="D446" s="106" t="s">
        <v>278</v>
      </c>
      <c r="E446" s="107" t="s">
        <v>279</v>
      </c>
      <c r="F446" s="107"/>
      <c r="G446" s="107"/>
      <c r="H446" s="106" t="str">
        <f aca="false">IF(B446="","",IF(COUNTIF('MiT Strom Pipeline'!$B$6:$B$904,B446)&gt;0,"✓",""))</f>
        <v/>
      </c>
      <c r="I446" s="106" t="str">
        <f aca="false">IF(B446="","",IFERROR(VLOOKUP(B446,'MiT Strom Pipeline'!$B$6:$R$904,17,0),""))</f>
        <v/>
      </c>
      <c r="J446" s="107"/>
    </row>
    <row r="447" customFormat="false" ht="19.5" hidden="false" customHeight="true" outlineLevel="0" collapsed="false">
      <c r="A447" s="21" t="n">
        <v>444</v>
      </c>
      <c r="B447" s="22" t="s">
        <v>723</v>
      </c>
      <c r="C447" s="22" t="s">
        <v>288</v>
      </c>
      <c r="D447" s="21" t="s">
        <v>278</v>
      </c>
      <c r="E447" s="22" t="s">
        <v>279</v>
      </c>
      <c r="F447" s="22"/>
      <c r="G447" s="22"/>
      <c r="H447" s="21" t="str">
        <f aca="false">IF(B447="","",IF(COUNTIF('MiT Strom Pipeline'!$B$6:$B$904,B447)&gt;0,"✓",""))</f>
        <v/>
      </c>
      <c r="I447" s="21" t="str">
        <f aca="false">IF(B447="","",IFERROR(VLOOKUP(B447,'MiT Strom Pipeline'!$B$6:$R$904,17,0),""))</f>
        <v/>
      </c>
      <c r="J447" s="22"/>
    </row>
    <row r="448" customFormat="false" ht="19.5" hidden="false" customHeight="true" outlineLevel="0" collapsed="false">
      <c r="A448" s="106" t="n">
        <v>445</v>
      </c>
      <c r="B448" s="107" t="s">
        <v>724</v>
      </c>
      <c r="C448" s="107" t="s">
        <v>288</v>
      </c>
      <c r="D448" s="106" t="s">
        <v>278</v>
      </c>
      <c r="E448" s="107" t="s">
        <v>279</v>
      </c>
      <c r="F448" s="107"/>
      <c r="G448" s="107"/>
      <c r="H448" s="106" t="str">
        <f aca="false">IF(B448="","",IF(COUNTIF('MiT Strom Pipeline'!$B$6:$B$904,B448)&gt;0,"✓",""))</f>
        <v/>
      </c>
      <c r="I448" s="106" t="str">
        <f aca="false">IF(B448="","",IFERROR(VLOOKUP(B448,'MiT Strom Pipeline'!$B$6:$R$904,17,0),""))</f>
        <v/>
      </c>
      <c r="J448" s="107"/>
    </row>
    <row r="449" customFormat="false" ht="19.5" hidden="false" customHeight="true" outlineLevel="0" collapsed="false">
      <c r="A449" s="21" t="n">
        <v>446</v>
      </c>
      <c r="B449" s="22" t="s">
        <v>725</v>
      </c>
      <c r="C449" s="22" t="s">
        <v>288</v>
      </c>
      <c r="D449" s="21" t="s">
        <v>278</v>
      </c>
      <c r="E449" s="22" t="s">
        <v>279</v>
      </c>
      <c r="F449" s="22"/>
      <c r="G449" s="22"/>
      <c r="H449" s="21" t="str">
        <f aca="false">IF(B449="","",IF(COUNTIF('MiT Strom Pipeline'!$B$6:$B$904,B449)&gt;0,"✓",""))</f>
        <v/>
      </c>
      <c r="I449" s="21" t="str">
        <f aca="false">IF(B449="","",IFERROR(VLOOKUP(B449,'MiT Strom Pipeline'!$B$6:$R$904,17,0),""))</f>
        <v/>
      </c>
      <c r="J449" s="22"/>
    </row>
    <row r="450" customFormat="false" ht="19.5" hidden="false" customHeight="true" outlineLevel="0" collapsed="false">
      <c r="A450" s="106" t="n">
        <v>447</v>
      </c>
      <c r="B450" s="107" t="s">
        <v>726</v>
      </c>
      <c r="C450" s="107" t="s">
        <v>288</v>
      </c>
      <c r="D450" s="106" t="s">
        <v>278</v>
      </c>
      <c r="E450" s="107" t="s">
        <v>279</v>
      </c>
      <c r="F450" s="107"/>
      <c r="G450" s="107"/>
      <c r="H450" s="106" t="str">
        <f aca="false">IF(B450="","",IF(COUNTIF('MiT Strom Pipeline'!$B$6:$B$904,B450)&gt;0,"✓",""))</f>
        <v/>
      </c>
      <c r="I450" s="106" t="str">
        <f aca="false">IF(B450="","",IFERROR(VLOOKUP(B450,'MiT Strom Pipeline'!$B$6:$R$904,17,0),""))</f>
        <v/>
      </c>
      <c r="J450" s="107"/>
    </row>
    <row r="451" customFormat="false" ht="19.5" hidden="false" customHeight="true" outlineLevel="0" collapsed="false">
      <c r="A451" s="21" t="n">
        <v>448</v>
      </c>
      <c r="B451" s="22" t="s">
        <v>727</v>
      </c>
      <c r="C451" s="22" t="s">
        <v>288</v>
      </c>
      <c r="D451" s="21" t="s">
        <v>278</v>
      </c>
      <c r="E451" s="22" t="s">
        <v>279</v>
      </c>
      <c r="F451" s="22"/>
      <c r="G451" s="22"/>
      <c r="H451" s="21" t="str">
        <f aca="false">IF(B451="","",IF(COUNTIF('MiT Strom Pipeline'!$B$6:$B$904,B451)&gt;0,"✓",""))</f>
        <v/>
      </c>
      <c r="I451" s="21" t="str">
        <f aca="false">IF(B451="","",IFERROR(VLOOKUP(B451,'MiT Strom Pipeline'!$B$6:$R$904,17,0),""))</f>
        <v/>
      </c>
      <c r="J451" s="22"/>
    </row>
    <row r="452" customFormat="false" ht="19.5" hidden="false" customHeight="true" outlineLevel="0" collapsed="false">
      <c r="A452" s="106" t="n">
        <v>449</v>
      </c>
      <c r="B452" s="107" t="s">
        <v>728</v>
      </c>
      <c r="C452" s="107" t="s">
        <v>288</v>
      </c>
      <c r="D452" s="106" t="s">
        <v>278</v>
      </c>
      <c r="E452" s="107" t="s">
        <v>279</v>
      </c>
      <c r="F452" s="107"/>
      <c r="G452" s="107"/>
      <c r="H452" s="106" t="str">
        <f aca="false">IF(B452="","",IF(COUNTIF('MiT Strom Pipeline'!$B$6:$B$904,B452)&gt;0,"✓",""))</f>
        <v/>
      </c>
      <c r="I452" s="106" t="str">
        <f aca="false">IF(B452="","",IFERROR(VLOOKUP(B452,'MiT Strom Pipeline'!$B$6:$R$904,17,0),""))</f>
        <v/>
      </c>
      <c r="J452" s="107"/>
    </row>
    <row r="453" customFormat="false" ht="19.5" hidden="false" customHeight="true" outlineLevel="0" collapsed="false">
      <c r="A453" s="21" t="n">
        <v>450</v>
      </c>
      <c r="B453" s="22" t="s">
        <v>729</v>
      </c>
      <c r="C453" s="22" t="s">
        <v>288</v>
      </c>
      <c r="D453" s="21" t="s">
        <v>278</v>
      </c>
      <c r="E453" s="22" t="s">
        <v>279</v>
      </c>
      <c r="F453" s="22"/>
      <c r="G453" s="22"/>
      <c r="H453" s="21" t="str">
        <f aca="false">IF(B453="","",IF(COUNTIF('MiT Strom Pipeline'!$B$6:$B$904,B453)&gt;0,"✓",""))</f>
        <v/>
      </c>
      <c r="I453" s="21" t="str">
        <f aca="false">IF(B453="","",IFERROR(VLOOKUP(B453,'MiT Strom Pipeline'!$B$6:$R$904,17,0),""))</f>
        <v/>
      </c>
      <c r="J453" s="22"/>
    </row>
    <row r="454" customFormat="false" ht="19.5" hidden="false" customHeight="true" outlineLevel="0" collapsed="false">
      <c r="A454" s="106" t="n">
        <v>451</v>
      </c>
      <c r="B454" s="107" t="s">
        <v>730</v>
      </c>
      <c r="C454" s="107" t="s">
        <v>288</v>
      </c>
      <c r="D454" s="106" t="s">
        <v>278</v>
      </c>
      <c r="E454" s="107" t="s">
        <v>279</v>
      </c>
      <c r="F454" s="107"/>
      <c r="G454" s="107"/>
      <c r="H454" s="106" t="str">
        <f aca="false">IF(B454="","",IF(COUNTIF('MiT Strom Pipeline'!$B$6:$B$904,B454)&gt;0,"✓",""))</f>
        <v/>
      </c>
      <c r="I454" s="106" t="str">
        <f aca="false">IF(B454="","",IFERROR(VLOOKUP(B454,'MiT Strom Pipeline'!$B$6:$R$904,17,0),""))</f>
        <v/>
      </c>
      <c r="J454" s="107"/>
    </row>
    <row r="455" customFormat="false" ht="19.5" hidden="false" customHeight="true" outlineLevel="0" collapsed="false">
      <c r="A455" s="21" t="n">
        <v>452</v>
      </c>
      <c r="B455" s="22" t="s">
        <v>731</v>
      </c>
      <c r="C455" s="22" t="s">
        <v>288</v>
      </c>
      <c r="D455" s="21" t="s">
        <v>278</v>
      </c>
      <c r="E455" s="22" t="s">
        <v>279</v>
      </c>
      <c r="F455" s="22"/>
      <c r="G455" s="22"/>
      <c r="H455" s="21" t="str">
        <f aca="false">IF(B455="","",IF(COUNTIF('MiT Strom Pipeline'!$B$6:$B$904,B455)&gt;0,"✓",""))</f>
        <v/>
      </c>
      <c r="I455" s="21" t="str">
        <f aca="false">IF(B455="","",IFERROR(VLOOKUP(B455,'MiT Strom Pipeline'!$B$6:$R$904,17,0),""))</f>
        <v/>
      </c>
      <c r="J455" s="22"/>
    </row>
    <row r="456" customFormat="false" ht="19.5" hidden="false" customHeight="true" outlineLevel="0" collapsed="false">
      <c r="A456" s="106" t="n">
        <v>453</v>
      </c>
      <c r="B456" s="107" t="s">
        <v>352</v>
      </c>
      <c r="C456" s="107" t="s">
        <v>288</v>
      </c>
      <c r="D456" s="106" t="s">
        <v>278</v>
      </c>
      <c r="E456" s="107" t="s">
        <v>279</v>
      </c>
      <c r="F456" s="107"/>
      <c r="G456" s="107"/>
      <c r="H456" s="106" t="str">
        <f aca="false">IF(B456="","",IF(COUNTIF('MiT Strom Pipeline'!$B$6:$B$904,B456)&gt;0,"✓",""))</f>
        <v/>
      </c>
      <c r="I456" s="106" t="str">
        <f aca="false">IF(B456="","",IFERROR(VLOOKUP(B456,'MiT Strom Pipeline'!$B$6:$R$904,17,0),""))</f>
        <v/>
      </c>
      <c r="J456" s="107"/>
    </row>
    <row r="457" customFormat="false" ht="19.5" hidden="false" customHeight="true" outlineLevel="0" collapsed="false">
      <c r="A457" s="21" t="n">
        <v>454</v>
      </c>
      <c r="B457" s="22" t="s">
        <v>732</v>
      </c>
      <c r="C457" s="22" t="s">
        <v>321</v>
      </c>
      <c r="D457" s="21" t="s">
        <v>278</v>
      </c>
      <c r="E457" s="22" t="s">
        <v>279</v>
      </c>
      <c r="F457" s="22"/>
      <c r="G457" s="22"/>
      <c r="H457" s="21" t="str">
        <f aca="false">IF(B457="","",IF(COUNTIF('MiT Strom Pipeline'!$B$6:$B$904,B457)&gt;0,"✓",""))</f>
        <v/>
      </c>
      <c r="I457" s="21" t="str">
        <f aca="false">IF(B457="","",IFERROR(VLOOKUP(B457,'MiT Strom Pipeline'!$B$6:$R$904,17,0),""))</f>
        <v/>
      </c>
      <c r="J457" s="22"/>
    </row>
    <row r="458" customFormat="false" ht="19.5" hidden="false" customHeight="true" outlineLevel="0" collapsed="false">
      <c r="A458" s="106" t="n">
        <v>455</v>
      </c>
      <c r="B458" s="107" t="s">
        <v>732</v>
      </c>
      <c r="C458" s="107" t="s">
        <v>321</v>
      </c>
      <c r="D458" s="106" t="s">
        <v>278</v>
      </c>
      <c r="E458" s="107" t="s">
        <v>279</v>
      </c>
      <c r="F458" s="107"/>
      <c r="G458" s="107"/>
      <c r="H458" s="106" t="str">
        <f aca="false">IF(B458="","",IF(COUNTIF('MiT Strom Pipeline'!$B$6:$B$904,B458)&gt;0,"✓",""))</f>
        <v/>
      </c>
      <c r="I458" s="106" t="str">
        <f aca="false">IF(B458="","",IFERROR(VLOOKUP(B458,'MiT Strom Pipeline'!$B$6:$R$904,17,0),""))</f>
        <v/>
      </c>
      <c r="J458" s="107"/>
    </row>
    <row r="459" customFormat="false" ht="19.5" hidden="false" customHeight="true" outlineLevel="0" collapsed="false">
      <c r="A459" s="21" t="n">
        <v>456</v>
      </c>
      <c r="B459" s="22" t="s">
        <v>733</v>
      </c>
      <c r="C459" s="22" t="s">
        <v>288</v>
      </c>
      <c r="D459" s="21" t="s">
        <v>278</v>
      </c>
      <c r="E459" s="22" t="s">
        <v>279</v>
      </c>
      <c r="F459" s="22"/>
      <c r="G459" s="22"/>
      <c r="H459" s="21" t="str">
        <f aca="false">IF(B459="","",IF(COUNTIF('MiT Strom Pipeline'!$B$6:$B$904,B459)&gt;0,"✓",""))</f>
        <v/>
      </c>
      <c r="I459" s="21" t="str">
        <f aca="false">IF(B459="","",IFERROR(VLOOKUP(B459,'MiT Strom Pipeline'!$B$6:$R$904,17,0),""))</f>
        <v/>
      </c>
      <c r="J459" s="22"/>
    </row>
    <row r="460" customFormat="false" ht="19.5" hidden="false" customHeight="true" outlineLevel="0" collapsed="false">
      <c r="A460" s="106" t="n">
        <v>457</v>
      </c>
      <c r="B460" s="107" t="s">
        <v>734</v>
      </c>
      <c r="C460" s="107" t="s">
        <v>288</v>
      </c>
      <c r="D460" s="106" t="s">
        <v>278</v>
      </c>
      <c r="E460" s="107" t="s">
        <v>287</v>
      </c>
      <c r="F460" s="107"/>
      <c r="G460" s="107"/>
      <c r="H460" s="106" t="str">
        <f aca="false">IF(B460="","",IF(COUNTIF('MiT Strom Pipeline'!$B$6:$B$904,B460)&gt;0,"✓",""))</f>
        <v/>
      </c>
      <c r="I460" s="106" t="str">
        <f aca="false">IF(B460="","",IFERROR(VLOOKUP(B460,'MiT Strom Pipeline'!$B$6:$R$904,17,0),""))</f>
        <v/>
      </c>
      <c r="J460" s="107"/>
    </row>
    <row r="461" customFormat="false" ht="19.5" hidden="false" customHeight="true" outlineLevel="0" collapsed="false">
      <c r="A461" s="21" t="n">
        <v>458</v>
      </c>
      <c r="B461" s="22" t="s">
        <v>735</v>
      </c>
      <c r="C461" s="22" t="s">
        <v>288</v>
      </c>
      <c r="D461" s="21" t="s">
        <v>278</v>
      </c>
      <c r="E461" s="22" t="s">
        <v>287</v>
      </c>
      <c r="F461" s="22"/>
      <c r="G461" s="22"/>
      <c r="H461" s="21" t="str">
        <f aca="false">IF(B461="","",IF(COUNTIF('MiT Strom Pipeline'!$B$6:$B$904,B461)&gt;0,"✓",""))</f>
        <v/>
      </c>
      <c r="I461" s="21" t="str">
        <f aca="false">IF(B461="","",IFERROR(VLOOKUP(B461,'MiT Strom Pipeline'!$B$6:$R$904,17,0),""))</f>
        <v/>
      </c>
      <c r="J461" s="22"/>
    </row>
    <row r="462" customFormat="false" ht="19.5" hidden="false" customHeight="true" outlineLevel="0" collapsed="false">
      <c r="A462" s="106" t="n">
        <v>459</v>
      </c>
      <c r="B462" s="107" t="s">
        <v>736</v>
      </c>
      <c r="C462" s="107" t="s">
        <v>288</v>
      </c>
      <c r="D462" s="106" t="s">
        <v>278</v>
      </c>
      <c r="E462" s="107" t="s">
        <v>279</v>
      </c>
      <c r="F462" s="107"/>
      <c r="G462" s="107"/>
      <c r="H462" s="106" t="str">
        <f aca="false">IF(B462="","",IF(COUNTIF('MiT Strom Pipeline'!$B$6:$B$904,B462)&gt;0,"✓",""))</f>
        <v/>
      </c>
      <c r="I462" s="106" t="str">
        <f aca="false">IF(B462="","",IFERROR(VLOOKUP(B462,'MiT Strom Pipeline'!$B$6:$R$904,17,0),""))</f>
        <v/>
      </c>
      <c r="J462" s="107"/>
    </row>
    <row r="463" customFormat="false" ht="19.5" hidden="false" customHeight="true" outlineLevel="0" collapsed="false">
      <c r="A463" s="21" t="n">
        <v>460</v>
      </c>
      <c r="B463" s="22" t="s">
        <v>737</v>
      </c>
      <c r="C463" s="22" t="s">
        <v>288</v>
      </c>
      <c r="D463" s="21" t="s">
        <v>278</v>
      </c>
      <c r="E463" s="22" t="s">
        <v>279</v>
      </c>
      <c r="F463" s="22"/>
      <c r="G463" s="22"/>
      <c r="H463" s="21" t="str">
        <f aca="false">IF(B463="","",IF(COUNTIF('MiT Strom Pipeline'!$B$6:$B$904,B463)&gt;0,"✓",""))</f>
        <v/>
      </c>
      <c r="I463" s="21" t="str">
        <f aca="false">IF(B463="","",IFERROR(VLOOKUP(B463,'MiT Strom Pipeline'!$B$6:$R$904,17,0),""))</f>
        <v/>
      </c>
      <c r="J463" s="22"/>
    </row>
    <row r="464" customFormat="false" ht="19.5" hidden="false" customHeight="true" outlineLevel="0" collapsed="false">
      <c r="A464" s="106" t="n">
        <v>461</v>
      </c>
      <c r="B464" s="107" t="s">
        <v>738</v>
      </c>
      <c r="C464" s="107" t="s">
        <v>288</v>
      </c>
      <c r="D464" s="106" t="s">
        <v>278</v>
      </c>
      <c r="E464" s="107" t="s">
        <v>279</v>
      </c>
      <c r="F464" s="107"/>
      <c r="G464" s="107"/>
      <c r="H464" s="106" t="str">
        <f aca="false">IF(B464="","",IF(COUNTIF('MiT Strom Pipeline'!$B$6:$B$904,B464)&gt;0,"✓",""))</f>
        <v/>
      </c>
      <c r="I464" s="106" t="str">
        <f aca="false">IF(B464="","",IFERROR(VLOOKUP(B464,'MiT Strom Pipeline'!$B$6:$R$904,17,0),""))</f>
        <v/>
      </c>
      <c r="J464" s="107"/>
    </row>
    <row r="465" customFormat="false" ht="19.5" hidden="false" customHeight="true" outlineLevel="0" collapsed="false">
      <c r="A465" s="21" t="n">
        <v>462</v>
      </c>
      <c r="B465" s="22" t="s">
        <v>739</v>
      </c>
      <c r="C465" s="22" t="s">
        <v>109</v>
      </c>
      <c r="D465" s="21" t="s">
        <v>278</v>
      </c>
      <c r="E465" s="22" t="s">
        <v>279</v>
      </c>
      <c r="F465" s="22"/>
      <c r="G465" s="22"/>
      <c r="H465" s="21" t="str">
        <f aca="false">IF(B465="","",IF(COUNTIF('MiT Strom Pipeline'!$B$6:$B$904,B465)&gt;0,"✓",""))</f>
        <v/>
      </c>
      <c r="I465" s="21" t="str">
        <f aca="false">IF(B465="","",IFERROR(VLOOKUP(B465,'MiT Strom Pipeline'!$B$6:$R$904,17,0),""))</f>
        <v/>
      </c>
      <c r="J465" s="22"/>
    </row>
    <row r="466" customFormat="false" ht="19.5" hidden="false" customHeight="true" outlineLevel="0" collapsed="false">
      <c r="A466" s="106" t="n">
        <v>463</v>
      </c>
      <c r="B466" s="107" t="s">
        <v>740</v>
      </c>
      <c r="C466" s="107" t="s">
        <v>321</v>
      </c>
      <c r="D466" s="106" t="s">
        <v>278</v>
      </c>
      <c r="E466" s="107" t="s">
        <v>279</v>
      </c>
      <c r="F466" s="107"/>
      <c r="G466" s="107"/>
      <c r="H466" s="106" t="str">
        <f aca="false">IF(B466="","",IF(COUNTIF('MiT Strom Pipeline'!$B$6:$B$904,B466)&gt;0,"✓",""))</f>
        <v/>
      </c>
      <c r="I466" s="106" t="str">
        <f aca="false">IF(B466="","",IFERROR(VLOOKUP(B466,'MiT Strom Pipeline'!$B$6:$R$904,17,0),""))</f>
        <v/>
      </c>
      <c r="J466" s="107"/>
    </row>
    <row r="467" customFormat="false" ht="19.5" hidden="false" customHeight="true" outlineLevel="0" collapsed="false">
      <c r="A467" s="21" t="n">
        <v>464</v>
      </c>
      <c r="B467" s="22" t="s">
        <v>741</v>
      </c>
      <c r="C467" s="22" t="s">
        <v>288</v>
      </c>
      <c r="D467" s="21" t="s">
        <v>278</v>
      </c>
      <c r="E467" s="22" t="s">
        <v>287</v>
      </c>
      <c r="F467" s="22"/>
      <c r="G467" s="22"/>
      <c r="H467" s="21" t="str">
        <f aca="false">IF(B467="","",IF(COUNTIF('MiT Strom Pipeline'!$B$6:$B$904,B467)&gt;0,"✓",""))</f>
        <v/>
      </c>
      <c r="I467" s="21" t="str">
        <f aca="false">IF(B467="","",IFERROR(VLOOKUP(B467,'MiT Strom Pipeline'!$B$6:$R$904,17,0),""))</f>
        <v/>
      </c>
      <c r="J467" s="22"/>
    </row>
    <row r="468" customFormat="false" ht="19.5" hidden="false" customHeight="true" outlineLevel="0" collapsed="false">
      <c r="A468" s="106" t="n">
        <v>465</v>
      </c>
      <c r="B468" s="107" t="s">
        <v>742</v>
      </c>
      <c r="C468" s="107" t="s">
        <v>307</v>
      </c>
      <c r="D468" s="106" t="s">
        <v>278</v>
      </c>
      <c r="E468" s="107" t="s">
        <v>287</v>
      </c>
      <c r="F468" s="107"/>
      <c r="G468" s="107"/>
      <c r="H468" s="106" t="str">
        <f aca="false">IF(B468="","",IF(COUNTIF('MiT Strom Pipeline'!$B$6:$B$904,B468)&gt;0,"✓",""))</f>
        <v/>
      </c>
      <c r="I468" s="106" t="str">
        <f aca="false">IF(B468="","",IFERROR(VLOOKUP(B468,'MiT Strom Pipeline'!$B$6:$R$904,17,0),""))</f>
        <v/>
      </c>
      <c r="J468" s="107"/>
    </row>
    <row r="469" customFormat="false" ht="19.5" hidden="false" customHeight="true" outlineLevel="0" collapsed="false">
      <c r="A469" s="21" t="n">
        <v>466</v>
      </c>
      <c r="B469" s="22" t="s">
        <v>743</v>
      </c>
      <c r="C469" s="22" t="s">
        <v>310</v>
      </c>
      <c r="D469" s="21" t="s">
        <v>278</v>
      </c>
      <c r="E469" s="22" t="s">
        <v>279</v>
      </c>
      <c r="F469" s="22"/>
      <c r="G469" s="22"/>
      <c r="H469" s="21" t="str">
        <f aca="false">IF(B469="","",IF(COUNTIF('MiT Strom Pipeline'!$B$6:$B$904,B469)&gt;0,"✓",""))</f>
        <v/>
      </c>
      <c r="I469" s="21" t="str">
        <f aca="false">IF(B469="","",IFERROR(VLOOKUP(B469,'MiT Strom Pipeline'!$B$6:$R$904,17,0),""))</f>
        <v/>
      </c>
      <c r="J469" s="22"/>
    </row>
    <row r="470" customFormat="false" ht="19.5" hidden="false" customHeight="true" outlineLevel="0" collapsed="false">
      <c r="A470" s="106" t="n">
        <v>467</v>
      </c>
      <c r="B470" s="107" t="s">
        <v>744</v>
      </c>
      <c r="C470" s="107" t="s">
        <v>288</v>
      </c>
      <c r="D470" s="106" t="s">
        <v>278</v>
      </c>
      <c r="E470" s="107" t="s">
        <v>279</v>
      </c>
      <c r="F470" s="107"/>
      <c r="G470" s="107"/>
      <c r="H470" s="106" t="str">
        <f aca="false">IF(B470="","",IF(COUNTIF('MiT Strom Pipeline'!$B$6:$B$904,B470)&gt;0,"✓",""))</f>
        <v/>
      </c>
      <c r="I470" s="106" t="str">
        <f aca="false">IF(B470="","",IFERROR(VLOOKUP(B470,'MiT Strom Pipeline'!$B$6:$R$904,17,0),""))</f>
        <v/>
      </c>
      <c r="J470" s="107"/>
    </row>
    <row r="471" customFormat="false" ht="19.5" hidden="false" customHeight="true" outlineLevel="0" collapsed="false">
      <c r="A471" s="21" t="n">
        <v>468</v>
      </c>
      <c r="B471" s="22" t="s">
        <v>745</v>
      </c>
      <c r="C471" s="22" t="s">
        <v>288</v>
      </c>
      <c r="D471" s="21" t="s">
        <v>278</v>
      </c>
      <c r="E471" s="22" t="s">
        <v>279</v>
      </c>
      <c r="F471" s="22"/>
      <c r="G471" s="22"/>
      <c r="H471" s="21" t="str">
        <f aca="false">IF(B471="","",IF(COUNTIF('MiT Strom Pipeline'!$B$6:$B$904,B471)&gt;0,"✓",""))</f>
        <v/>
      </c>
      <c r="I471" s="21" t="str">
        <f aca="false">IF(B471="","",IFERROR(VLOOKUP(B471,'MiT Strom Pipeline'!$B$6:$R$904,17,0),""))</f>
        <v/>
      </c>
      <c r="J471" s="22"/>
    </row>
    <row r="472" customFormat="false" ht="19.5" hidden="false" customHeight="true" outlineLevel="0" collapsed="false">
      <c r="A472" s="106" t="n">
        <v>469</v>
      </c>
      <c r="B472" s="107" t="s">
        <v>746</v>
      </c>
      <c r="C472" s="107" t="s">
        <v>288</v>
      </c>
      <c r="D472" s="106" t="s">
        <v>278</v>
      </c>
      <c r="E472" s="107" t="s">
        <v>279</v>
      </c>
      <c r="F472" s="107"/>
      <c r="G472" s="107"/>
      <c r="H472" s="106" t="str">
        <f aca="false">IF(B472="","",IF(COUNTIF('MiT Strom Pipeline'!$B$6:$B$904,B472)&gt;0,"✓",""))</f>
        <v/>
      </c>
      <c r="I472" s="106" t="str">
        <f aca="false">IF(B472="","",IFERROR(VLOOKUP(B472,'MiT Strom Pipeline'!$B$6:$R$904,17,0),""))</f>
        <v/>
      </c>
      <c r="J472" s="107"/>
    </row>
    <row r="473" customFormat="false" ht="19.5" hidden="false" customHeight="true" outlineLevel="0" collapsed="false">
      <c r="A473" s="21" t="n">
        <v>470</v>
      </c>
      <c r="B473" s="22" t="s">
        <v>498</v>
      </c>
      <c r="C473" s="22" t="s">
        <v>288</v>
      </c>
      <c r="D473" s="21" t="s">
        <v>278</v>
      </c>
      <c r="E473" s="22" t="s">
        <v>279</v>
      </c>
      <c r="F473" s="22"/>
      <c r="G473" s="22"/>
      <c r="H473" s="21" t="str">
        <f aca="false">IF(B473="","",IF(COUNTIF('MiT Strom Pipeline'!$B$6:$B$904,B473)&gt;0,"✓",""))</f>
        <v/>
      </c>
      <c r="I473" s="21" t="str">
        <f aca="false">IF(B473="","",IFERROR(VLOOKUP(B473,'MiT Strom Pipeline'!$B$6:$R$904,17,0),""))</f>
        <v/>
      </c>
      <c r="J473" s="22"/>
    </row>
    <row r="474" customFormat="false" ht="19.5" hidden="false" customHeight="true" outlineLevel="0" collapsed="false">
      <c r="A474" s="106" t="n">
        <v>471</v>
      </c>
      <c r="B474" s="107" t="s">
        <v>747</v>
      </c>
      <c r="C474" s="107" t="s">
        <v>143</v>
      </c>
      <c r="D474" s="106" t="s">
        <v>278</v>
      </c>
      <c r="E474" s="107" t="s">
        <v>279</v>
      </c>
      <c r="F474" s="107"/>
      <c r="G474" s="107"/>
      <c r="H474" s="106" t="str">
        <f aca="false">IF(B474="","",IF(COUNTIF('MiT Strom Pipeline'!$B$6:$B$904,B474)&gt;0,"✓",""))</f>
        <v/>
      </c>
      <c r="I474" s="106" t="str">
        <f aca="false">IF(B474="","",IFERROR(VLOOKUP(B474,'MiT Strom Pipeline'!$B$6:$R$904,17,0),""))</f>
        <v/>
      </c>
      <c r="J474" s="107"/>
    </row>
    <row r="475" customFormat="false" ht="19.5" hidden="false" customHeight="true" outlineLevel="0" collapsed="false">
      <c r="A475" s="21" t="n">
        <v>472</v>
      </c>
      <c r="B475" s="22" t="s">
        <v>748</v>
      </c>
      <c r="C475" s="22" t="s">
        <v>288</v>
      </c>
      <c r="D475" s="21" t="s">
        <v>69</v>
      </c>
      <c r="E475" s="22" t="s">
        <v>279</v>
      </c>
      <c r="F475" s="22"/>
      <c r="G475" s="22"/>
      <c r="H475" s="21" t="str">
        <f aca="false">IF(B475="","",IF(COUNTIF('MiT Strom Pipeline'!$B$6:$B$904,B475)&gt;0,"✓",""))</f>
        <v/>
      </c>
      <c r="I475" s="21" t="str">
        <f aca="false">IF(B475="","",IFERROR(VLOOKUP(B475,'MiT Strom Pipeline'!$B$6:$R$904,17,0),""))</f>
        <v/>
      </c>
      <c r="J475" s="22"/>
    </row>
    <row r="476" customFormat="false" ht="19.5" hidden="false" customHeight="true" outlineLevel="0" collapsed="false">
      <c r="A476" s="106" t="n">
        <v>473</v>
      </c>
      <c r="B476" s="107" t="s">
        <v>749</v>
      </c>
      <c r="C476" s="107" t="s">
        <v>288</v>
      </c>
      <c r="D476" s="106" t="s">
        <v>278</v>
      </c>
      <c r="E476" s="107" t="s">
        <v>279</v>
      </c>
      <c r="F476" s="107"/>
      <c r="G476" s="107"/>
      <c r="H476" s="106" t="str">
        <f aca="false">IF(B476="","",IF(COUNTIF('MiT Strom Pipeline'!$B$6:$B$904,B476)&gt;0,"✓",""))</f>
        <v/>
      </c>
      <c r="I476" s="106" t="str">
        <f aca="false">IF(B476="","",IFERROR(VLOOKUP(B476,'MiT Strom Pipeline'!$B$6:$R$904,17,0),""))</f>
        <v/>
      </c>
      <c r="J476" s="107"/>
    </row>
    <row r="477" customFormat="false" ht="19.5" hidden="false" customHeight="true" outlineLevel="0" collapsed="false">
      <c r="A477" s="21" t="n">
        <v>474</v>
      </c>
      <c r="B477" s="22" t="s">
        <v>750</v>
      </c>
      <c r="C477" s="22" t="s">
        <v>288</v>
      </c>
      <c r="D477" s="21" t="s">
        <v>278</v>
      </c>
      <c r="E477" s="22" t="s">
        <v>279</v>
      </c>
      <c r="F477" s="22"/>
      <c r="G477" s="22"/>
      <c r="H477" s="21" t="str">
        <f aca="false">IF(B477="","",IF(COUNTIF('MiT Strom Pipeline'!$B$6:$B$904,B477)&gt;0,"✓",""))</f>
        <v/>
      </c>
      <c r="I477" s="21" t="str">
        <f aca="false">IF(B477="","",IFERROR(VLOOKUP(B477,'MiT Strom Pipeline'!$B$6:$R$904,17,0),""))</f>
        <v/>
      </c>
      <c r="J477" s="22"/>
    </row>
    <row r="478" customFormat="false" ht="19.5" hidden="false" customHeight="true" outlineLevel="0" collapsed="false">
      <c r="A478" s="106" t="n">
        <v>475</v>
      </c>
      <c r="B478" s="107" t="s">
        <v>751</v>
      </c>
      <c r="C478" s="107" t="s">
        <v>288</v>
      </c>
      <c r="D478" s="106" t="s">
        <v>278</v>
      </c>
      <c r="E478" s="107" t="s">
        <v>279</v>
      </c>
      <c r="F478" s="107"/>
      <c r="G478" s="107"/>
      <c r="H478" s="106" t="str">
        <f aca="false">IF(B478="","",IF(COUNTIF('MiT Strom Pipeline'!$B$6:$B$904,B478)&gt;0,"✓",""))</f>
        <v/>
      </c>
      <c r="I478" s="106" t="str">
        <f aca="false">IF(B478="","",IFERROR(VLOOKUP(B478,'MiT Strom Pipeline'!$B$6:$R$904,17,0),""))</f>
        <v/>
      </c>
      <c r="J478" s="107"/>
    </row>
    <row r="479" customFormat="false" ht="19.5" hidden="false" customHeight="true" outlineLevel="0" collapsed="false">
      <c r="A479" s="21" t="n">
        <v>476</v>
      </c>
      <c r="B479" s="22" t="s">
        <v>752</v>
      </c>
      <c r="C479" s="22" t="s">
        <v>307</v>
      </c>
      <c r="D479" s="21" t="s">
        <v>278</v>
      </c>
      <c r="E479" s="22" t="s">
        <v>279</v>
      </c>
      <c r="F479" s="22"/>
      <c r="G479" s="22"/>
      <c r="H479" s="21" t="str">
        <f aca="false">IF(B479="","",IF(COUNTIF('MiT Strom Pipeline'!$B$6:$B$904,B479)&gt;0,"✓",""))</f>
        <v/>
      </c>
      <c r="I479" s="21" t="str">
        <f aca="false">IF(B479="","",IFERROR(VLOOKUP(B479,'MiT Strom Pipeline'!$B$6:$R$904,17,0),""))</f>
        <v/>
      </c>
      <c r="J479" s="22"/>
    </row>
    <row r="480" customFormat="false" ht="19.5" hidden="false" customHeight="true" outlineLevel="0" collapsed="false">
      <c r="A480" s="106" t="n">
        <v>477</v>
      </c>
      <c r="B480" s="107" t="s">
        <v>753</v>
      </c>
      <c r="C480" s="107" t="s">
        <v>288</v>
      </c>
      <c r="D480" s="106" t="s">
        <v>278</v>
      </c>
      <c r="E480" s="107" t="s">
        <v>279</v>
      </c>
      <c r="F480" s="107"/>
      <c r="G480" s="107"/>
      <c r="H480" s="106" t="str">
        <f aca="false">IF(B480="","",IF(COUNTIF('MiT Strom Pipeline'!$B$6:$B$904,B480)&gt;0,"✓",""))</f>
        <v/>
      </c>
      <c r="I480" s="106" t="str">
        <f aca="false">IF(B480="","",IFERROR(VLOOKUP(B480,'MiT Strom Pipeline'!$B$6:$R$904,17,0),""))</f>
        <v/>
      </c>
      <c r="J480" s="107"/>
    </row>
    <row r="481" customFormat="false" ht="19.5" hidden="false" customHeight="true" outlineLevel="0" collapsed="false">
      <c r="A481" s="21" t="n">
        <v>478</v>
      </c>
      <c r="B481" s="22" t="s">
        <v>754</v>
      </c>
      <c r="C481" s="22" t="s">
        <v>288</v>
      </c>
      <c r="D481" s="21" t="s">
        <v>278</v>
      </c>
      <c r="E481" s="22" t="s">
        <v>279</v>
      </c>
      <c r="F481" s="22"/>
      <c r="G481" s="22"/>
      <c r="H481" s="21" t="str">
        <f aca="false">IF(B481="","",IF(COUNTIF('MiT Strom Pipeline'!$B$6:$B$904,B481)&gt;0,"✓",""))</f>
        <v/>
      </c>
      <c r="I481" s="21" t="str">
        <f aca="false">IF(B481="","",IFERROR(VLOOKUP(B481,'MiT Strom Pipeline'!$B$6:$R$904,17,0),""))</f>
        <v/>
      </c>
      <c r="J481" s="22"/>
    </row>
    <row r="482" customFormat="false" ht="19.5" hidden="false" customHeight="true" outlineLevel="0" collapsed="false">
      <c r="A482" s="106" t="n">
        <v>479</v>
      </c>
      <c r="B482" s="107" t="s">
        <v>755</v>
      </c>
      <c r="C482" s="107" t="s">
        <v>288</v>
      </c>
      <c r="D482" s="106" t="s">
        <v>135</v>
      </c>
      <c r="E482" s="107" t="s">
        <v>279</v>
      </c>
      <c r="F482" s="107"/>
      <c r="G482" s="107"/>
      <c r="H482" s="106" t="str">
        <f aca="false">IF(B482="","",IF(COUNTIF('MiT Strom Pipeline'!$B$6:$B$904,B482)&gt;0,"✓",""))</f>
        <v/>
      </c>
      <c r="I482" s="106" t="str">
        <f aca="false">IF(B482="","",IFERROR(VLOOKUP(B482,'MiT Strom Pipeline'!$B$6:$R$904,17,0),""))</f>
        <v/>
      </c>
      <c r="J482" s="107"/>
    </row>
    <row r="483" customFormat="false" ht="19.5" hidden="false" customHeight="true" outlineLevel="0" collapsed="false">
      <c r="A483" s="21" t="n">
        <v>480</v>
      </c>
      <c r="B483" s="22" t="s">
        <v>756</v>
      </c>
      <c r="C483" s="22" t="s">
        <v>288</v>
      </c>
      <c r="D483" s="21" t="s">
        <v>278</v>
      </c>
      <c r="E483" s="22" t="s">
        <v>279</v>
      </c>
      <c r="F483" s="22"/>
      <c r="G483" s="22"/>
      <c r="H483" s="21" t="str">
        <f aca="false">IF(B483="","",IF(COUNTIF('MiT Strom Pipeline'!$B$6:$B$904,B483)&gt;0,"✓",""))</f>
        <v/>
      </c>
      <c r="I483" s="21" t="str">
        <f aca="false">IF(B483="","",IFERROR(VLOOKUP(B483,'MiT Strom Pipeline'!$B$6:$R$904,17,0),""))</f>
        <v/>
      </c>
      <c r="J483" s="22"/>
    </row>
    <row r="484" customFormat="false" ht="19.5" hidden="false" customHeight="true" outlineLevel="0" collapsed="false">
      <c r="A484" s="106" t="n">
        <v>481</v>
      </c>
      <c r="B484" s="107" t="s">
        <v>757</v>
      </c>
      <c r="C484" s="107" t="s">
        <v>143</v>
      </c>
      <c r="D484" s="106" t="s">
        <v>278</v>
      </c>
      <c r="E484" s="107" t="s">
        <v>279</v>
      </c>
      <c r="F484" s="107"/>
      <c r="G484" s="107"/>
      <c r="H484" s="106" t="str">
        <f aca="false">IF(B484="","",IF(COUNTIF('MiT Strom Pipeline'!$B$6:$B$904,B484)&gt;0,"✓",""))</f>
        <v/>
      </c>
      <c r="I484" s="106" t="str">
        <f aca="false">IF(B484="","",IFERROR(VLOOKUP(B484,'MiT Strom Pipeline'!$B$6:$R$904,17,0),""))</f>
        <v/>
      </c>
      <c r="J484" s="107"/>
    </row>
    <row r="485" customFormat="false" ht="19.5" hidden="false" customHeight="true" outlineLevel="0" collapsed="false">
      <c r="A485" s="21" t="n">
        <v>482</v>
      </c>
      <c r="B485" s="22" t="s">
        <v>758</v>
      </c>
      <c r="C485" s="22" t="s">
        <v>288</v>
      </c>
      <c r="D485" s="21" t="s">
        <v>278</v>
      </c>
      <c r="E485" s="22" t="s">
        <v>279</v>
      </c>
      <c r="F485" s="22"/>
      <c r="G485" s="22"/>
      <c r="H485" s="21" t="str">
        <f aca="false">IF(B485="","",IF(COUNTIF('MiT Strom Pipeline'!$B$6:$B$904,B485)&gt;0,"✓",""))</f>
        <v/>
      </c>
      <c r="I485" s="21" t="str">
        <f aca="false">IF(B485="","",IFERROR(VLOOKUP(B485,'MiT Strom Pipeline'!$B$6:$R$904,17,0),""))</f>
        <v/>
      </c>
      <c r="J485" s="22"/>
    </row>
    <row r="486" customFormat="false" ht="19.5" hidden="false" customHeight="true" outlineLevel="0" collapsed="false">
      <c r="A486" s="106" t="n">
        <v>483</v>
      </c>
      <c r="B486" s="107" t="s">
        <v>759</v>
      </c>
      <c r="C486" s="107" t="s">
        <v>288</v>
      </c>
      <c r="D486" s="106" t="s">
        <v>760</v>
      </c>
      <c r="E486" s="107" t="s">
        <v>287</v>
      </c>
      <c r="F486" s="107"/>
      <c r="G486" s="107"/>
      <c r="H486" s="106" t="str">
        <f aca="false">IF(B486="","",IF(COUNTIF('MiT Strom Pipeline'!$B$6:$B$904,B486)&gt;0,"✓",""))</f>
        <v/>
      </c>
      <c r="I486" s="106" t="str">
        <f aca="false">IF(B486="","",IFERROR(VLOOKUP(B486,'MiT Strom Pipeline'!$B$6:$R$904,17,0),""))</f>
        <v/>
      </c>
      <c r="J486" s="107"/>
    </row>
    <row r="487" customFormat="false" ht="19.5" hidden="false" customHeight="true" outlineLevel="0" collapsed="false">
      <c r="A487" s="21" t="n">
        <v>484</v>
      </c>
      <c r="B487" s="22" t="s">
        <v>761</v>
      </c>
      <c r="C487" s="22" t="s">
        <v>307</v>
      </c>
      <c r="D487" s="21" t="s">
        <v>278</v>
      </c>
      <c r="E487" s="22" t="s">
        <v>279</v>
      </c>
      <c r="F487" s="22"/>
      <c r="G487" s="22"/>
      <c r="H487" s="21" t="str">
        <f aca="false">IF(B487="","",IF(COUNTIF('MiT Strom Pipeline'!$B$6:$B$904,B487)&gt;0,"✓",""))</f>
        <v/>
      </c>
      <c r="I487" s="21" t="str">
        <f aca="false">IF(B487="","",IFERROR(VLOOKUP(B487,'MiT Strom Pipeline'!$B$6:$R$904,17,0),""))</f>
        <v/>
      </c>
      <c r="J487" s="22"/>
    </row>
    <row r="488" customFormat="false" ht="19.5" hidden="false" customHeight="true" outlineLevel="0" collapsed="false">
      <c r="A488" s="106" t="n">
        <v>485</v>
      </c>
      <c r="B488" s="107" t="s">
        <v>661</v>
      </c>
      <c r="C488" s="107" t="s">
        <v>288</v>
      </c>
      <c r="D488" s="106" t="s">
        <v>278</v>
      </c>
      <c r="E488" s="107" t="s">
        <v>279</v>
      </c>
      <c r="F488" s="107"/>
      <c r="G488" s="107"/>
      <c r="H488" s="106" t="str">
        <f aca="false">IF(B488="","",IF(COUNTIF('MiT Strom Pipeline'!$B$6:$B$904,B488)&gt;0,"✓",""))</f>
        <v/>
      </c>
      <c r="I488" s="106" t="str">
        <f aca="false">IF(B488="","",IFERROR(VLOOKUP(B488,'MiT Strom Pipeline'!$B$6:$R$904,17,0),""))</f>
        <v/>
      </c>
      <c r="J488" s="107"/>
    </row>
    <row r="489" customFormat="false" ht="19.5" hidden="false" customHeight="true" outlineLevel="0" collapsed="false">
      <c r="A489" s="21" t="n">
        <v>486</v>
      </c>
      <c r="B489" s="22" t="s">
        <v>762</v>
      </c>
      <c r="C489" s="22" t="s">
        <v>354</v>
      </c>
      <c r="D489" s="21" t="s">
        <v>278</v>
      </c>
      <c r="E489" s="22" t="s">
        <v>279</v>
      </c>
      <c r="F489" s="22"/>
      <c r="G489" s="22"/>
      <c r="H489" s="21" t="str">
        <f aca="false">IF(B489="","",IF(COUNTIF('MiT Strom Pipeline'!$B$6:$B$904,B489)&gt;0,"✓",""))</f>
        <v/>
      </c>
      <c r="I489" s="21" t="str">
        <f aca="false">IF(B489="","",IFERROR(VLOOKUP(B489,'MiT Strom Pipeline'!$B$6:$R$904,17,0),""))</f>
        <v/>
      </c>
      <c r="J489" s="22"/>
    </row>
    <row r="490" customFormat="false" ht="19.5" hidden="false" customHeight="true" outlineLevel="0" collapsed="false">
      <c r="A490" s="106" t="n">
        <v>487</v>
      </c>
      <c r="B490" s="107" t="s">
        <v>763</v>
      </c>
      <c r="C490" s="107" t="s">
        <v>288</v>
      </c>
      <c r="D490" s="106" t="s">
        <v>278</v>
      </c>
      <c r="E490" s="107" t="s">
        <v>279</v>
      </c>
      <c r="F490" s="107"/>
      <c r="G490" s="107"/>
      <c r="H490" s="106" t="str">
        <f aca="false">IF(B490="","",IF(COUNTIF('MiT Strom Pipeline'!$B$6:$B$904,B490)&gt;0,"✓",""))</f>
        <v/>
      </c>
      <c r="I490" s="106" t="str">
        <f aca="false">IF(B490="","",IFERROR(VLOOKUP(B490,'MiT Strom Pipeline'!$B$6:$R$904,17,0),""))</f>
        <v/>
      </c>
      <c r="J490" s="107"/>
    </row>
    <row r="491" customFormat="false" ht="19.5" hidden="false" customHeight="true" outlineLevel="0" collapsed="false">
      <c r="A491" s="21" t="n">
        <v>488</v>
      </c>
      <c r="B491" s="22" t="s">
        <v>764</v>
      </c>
      <c r="C491" s="22" t="s">
        <v>307</v>
      </c>
      <c r="D491" s="21" t="s">
        <v>268</v>
      </c>
      <c r="E491" s="22" t="s">
        <v>287</v>
      </c>
      <c r="F491" s="22"/>
      <c r="G491" s="22"/>
      <c r="H491" s="21" t="str">
        <f aca="false">IF(B491="","",IF(COUNTIF('MiT Strom Pipeline'!$B$6:$B$904,B491)&gt;0,"✓",""))</f>
        <v/>
      </c>
      <c r="I491" s="21" t="str">
        <f aca="false">IF(B491="","",IFERROR(VLOOKUP(B491,'MiT Strom Pipeline'!$B$6:$R$904,17,0),""))</f>
        <v/>
      </c>
      <c r="J491" s="22"/>
    </row>
    <row r="492" customFormat="false" ht="19.5" hidden="false" customHeight="true" outlineLevel="0" collapsed="false">
      <c r="A492" s="106" t="n">
        <v>489</v>
      </c>
      <c r="B492" s="107" t="s">
        <v>765</v>
      </c>
      <c r="C492" s="107" t="s">
        <v>288</v>
      </c>
      <c r="D492" s="106" t="s">
        <v>278</v>
      </c>
      <c r="E492" s="107" t="s">
        <v>287</v>
      </c>
      <c r="F492" s="107"/>
      <c r="G492" s="107"/>
      <c r="H492" s="106" t="str">
        <f aca="false">IF(B492="","",IF(COUNTIF('MiT Strom Pipeline'!$B$6:$B$904,B492)&gt;0,"✓",""))</f>
        <v/>
      </c>
      <c r="I492" s="106" t="str">
        <f aca="false">IF(B492="","",IFERROR(VLOOKUP(B492,'MiT Strom Pipeline'!$B$6:$R$904,17,0),""))</f>
        <v/>
      </c>
      <c r="J492" s="107"/>
    </row>
    <row r="493" customFormat="false" ht="19.5" hidden="false" customHeight="true" outlineLevel="0" collapsed="false">
      <c r="A493" s="21" t="n">
        <v>490</v>
      </c>
      <c r="B493" s="22" t="s">
        <v>766</v>
      </c>
      <c r="C493" s="22" t="s">
        <v>288</v>
      </c>
      <c r="D493" s="21" t="s">
        <v>278</v>
      </c>
      <c r="E493" s="22" t="s">
        <v>287</v>
      </c>
      <c r="F493" s="22"/>
      <c r="G493" s="22"/>
      <c r="H493" s="21" t="str">
        <f aca="false">IF(B493="","",IF(COUNTIF('MiT Strom Pipeline'!$B$6:$B$904,B493)&gt;0,"✓",""))</f>
        <v/>
      </c>
      <c r="I493" s="21" t="str">
        <f aca="false">IF(B493="","",IFERROR(VLOOKUP(B493,'MiT Strom Pipeline'!$B$6:$R$904,17,0),""))</f>
        <v/>
      </c>
      <c r="J493" s="22"/>
    </row>
    <row r="494" customFormat="false" ht="19.5" hidden="false" customHeight="true" outlineLevel="0" collapsed="false">
      <c r="A494" s="106" t="n">
        <v>491</v>
      </c>
      <c r="B494" s="107" t="s">
        <v>767</v>
      </c>
      <c r="C494" s="107" t="s">
        <v>288</v>
      </c>
      <c r="D494" s="106" t="s">
        <v>278</v>
      </c>
      <c r="E494" s="107" t="s">
        <v>279</v>
      </c>
      <c r="F494" s="107"/>
      <c r="G494" s="107"/>
      <c r="H494" s="106" t="str">
        <f aca="false">IF(B494="","",IF(COUNTIF('MiT Strom Pipeline'!$B$6:$B$904,B494)&gt;0,"✓",""))</f>
        <v/>
      </c>
      <c r="I494" s="106" t="str">
        <f aca="false">IF(B494="","",IFERROR(VLOOKUP(B494,'MiT Strom Pipeline'!$B$6:$R$904,17,0),""))</f>
        <v/>
      </c>
      <c r="J494" s="107"/>
    </row>
    <row r="495" customFormat="false" ht="19.5" hidden="false" customHeight="true" outlineLevel="0" collapsed="false">
      <c r="A495" s="21" t="n">
        <v>492</v>
      </c>
      <c r="B495" s="22" t="s">
        <v>768</v>
      </c>
      <c r="C495" s="22" t="s">
        <v>307</v>
      </c>
      <c r="D495" s="21" t="s">
        <v>278</v>
      </c>
      <c r="E495" s="22" t="s">
        <v>279</v>
      </c>
      <c r="F495" s="22"/>
      <c r="G495" s="22"/>
      <c r="H495" s="21" t="str">
        <f aca="false">IF(B495="","",IF(COUNTIF('MiT Strom Pipeline'!$B$6:$B$904,B495)&gt;0,"✓",""))</f>
        <v/>
      </c>
      <c r="I495" s="21" t="str">
        <f aca="false">IF(B495="","",IFERROR(VLOOKUP(B495,'MiT Strom Pipeline'!$B$6:$R$904,17,0),""))</f>
        <v/>
      </c>
      <c r="J495" s="22"/>
    </row>
    <row r="496" customFormat="false" ht="19.5" hidden="false" customHeight="true" outlineLevel="0" collapsed="false">
      <c r="A496" s="106" t="n">
        <v>493</v>
      </c>
      <c r="B496" s="107" t="s">
        <v>769</v>
      </c>
      <c r="C496" s="107" t="s">
        <v>288</v>
      </c>
      <c r="D496" s="106" t="s">
        <v>278</v>
      </c>
      <c r="E496" s="107" t="s">
        <v>287</v>
      </c>
      <c r="F496" s="107"/>
      <c r="G496" s="107"/>
      <c r="H496" s="106" t="str">
        <f aca="false">IF(B496="","",IF(COUNTIF('MiT Strom Pipeline'!$B$6:$B$904,B496)&gt;0,"✓",""))</f>
        <v/>
      </c>
      <c r="I496" s="106" t="str">
        <f aca="false">IF(B496="","",IFERROR(VLOOKUP(B496,'MiT Strom Pipeline'!$B$6:$R$904,17,0),""))</f>
        <v/>
      </c>
      <c r="J496" s="107"/>
    </row>
    <row r="497" customFormat="false" ht="19.5" hidden="false" customHeight="true" outlineLevel="0" collapsed="false">
      <c r="A497" s="21" t="n">
        <v>494</v>
      </c>
      <c r="B497" s="22" t="s">
        <v>770</v>
      </c>
      <c r="C497" s="22" t="s">
        <v>143</v>
      </c>
      <c r="D497" s="21" t="s">
        <v>278</v>
      </c>
      <c r="E497" s="22" t="s">
        <v>279</v>
      </c>
      <c r="F497" s="22"/>
      <c r="G497" s="22"/>
      <c r="H497" s="21" t="str">
        <f aca="false">IF(B497="","",IF(COUNTIF('MiT Strom Pipeline'!$B$6:$B$904,B497)&gt;0,"✓",""))</f>
        <v/>
      </c>
      <c r="I497" s="21" t="str">
        <f aca="false">IF(B497="","",IFERROR(VLOOKUP(B497,'MiT Strom Pipeline'!$B$6:$R$904,17,0),""))</f>
        <v/>
      </c>
      <c r="J497" s="22"/>
    </row>
    <row r="498" customFormat="false" ht="19.5" hidden="false" customHeight="true" outlineLevel="0" collapsed="false">
      <c r="A498" s="106" t="n">
        <v>495</v>
      </c>
      <c r="B498" s="107" t="s">
        <v>771</v>
      </c>
      <c r="C498" s="107" t="s">
        <v>288</v>
      </c>
      <c r="D498" s="106" t="s">
        <v>278</v>
      </c>
      <c r="E498" s="107" t="s">
        <v>279</v>
      </c>
      <c r="F498" s="107"/>
      <c r="G498" s="107"/>
      <c r="H498" s="106" t="str">
        <f aca="false">IF(B498="","",IF(COUNTIF('MiT Strom Pipeline'!$B$6:$B$904,B498)&gt;0,"✓",""))</f>
        <v/>
      </c>
      <c r="I498" s="106" t="str">
        <f aca="false">IF(B498="","",IFERROR(VLOOKUP(B498,'MiT Strom Pipeline'!$B$6:$R$904,17,0),""))</f>
        <v/>
      </c>
      <c r="J498" s="107"/>
    </row>
    <row r="499" customFormat="false" ht="19.5" hidden="false" customHeight="true" outlineLevel="0" collapsed="false">
      <c r="A499" s="21" t="n">
        <v>496</v>
      </c>
      <c r="B499" s="22" t="s">
        <v>772</v>
      </c>
      <c r="C499" s="22" t="s">
        <v>288</v>
      </c>
      <c r="D499" s="21" t="s">
        <v>278</v>
      </c>
      <c r="E499" s="22" t="s">
        <v>287</v>
      </c>
      <c r="F499" s="22"/>
      <c r="G499" s="22"/>
      <c r="H499" s="21" t="str">
        <f aca="false">IF(B499="","",IF(COUNTIF('MiT Strom Pipeline'!$B$6:$B$904,B499)&gt;0,"✓",""))</f>
        <v/>
      </c>
      <c r="I499" s="21" t="str">
        <f aca="false">IF(B499="","",IFERROR(VLOOKUP(B499,'MiT Strom Pipeline'!$B$6:$R$904,17,0),""))</f>
        <v/>
      </c>
      <c r="J499" s="2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400E"/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5" min="4" style="0" width="16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2" min="11" style="0" width="16"/>
    <col collapsed="false" customWidth="true" hidden="false" outlineLevel="0" max="13" min="13" style="0" width="26"/>
    <col collapsed="false" customWidth="true" hidden="false" outlineLevel="0" max="14" min="14" style="0" width="14"/>
  </cols>
  <sheetData>
    <row r="1" customFormat="false" ht="33.75" hidden="false" customHeight="true" outlineLevel="0" collapsed="false">
      <c r="A1" s="133" t="s">
        <v>773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</row>
    <row r="2" customFormat="false" ht="15.75" hidden="false" customHeight="true" outlineLevel="0" collapsed="false">
      <c r="A2" s="85" t="s">
        <v>774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</row>
    <row r="3" customFormat="false" ht="4.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21.75" hidden="false" customHeight="true" outlineLevel="0" collapsed="false">
      <c r="A4" s="134" t="s">
        <v>775</v>
      </c>
      <c r="B4" s="134" t="s">
        <v>776</v>
      </c>
      <c r="C4" s="134" t="s">
        <v>61</v>
      </c>
      <c r="D4" s="135" t="s">
        <v>777</v>
      </c>
      <c r="E4" s="135" t="s">
        <v>12</v>
      </c>
      <c r="F4" s="136" t="s">
        <v>778</v>
      </c>
      <c r="G4" s="134" t="s">
        <v>779</v>
      </c>
      <c r="H4" s="13"/>
      <c r="I4" s="137" t="s">
        <v>9</v>
      </c>
      <c r="J4" s="138" t="s">
        <v>776</v>
      </c>
      <c r="K4" s="139" t="s">
        <v>777</v>
      </c>
      <c r="L4" s="139" t="s">
        <v>780</v>
      </c>
      <c r="M4" s="137" t="s">
        <v>781</v>
      </c>
      <c r="N4" s="138" t="s">
        <v>782</v>
      </c>
    </row>
    <row r="5" customFormat="false" ht="19.5" hidden="false" customHeight="true" outlineLevel="0" collapsed="false">
      <c r="A5" s="106" t="s">
        <v>69</v>
      </c>
      <c r="B5" s="140" t="n">
        <f aca="false">IF(A5="","",COUNTIF('MiT Strom Pipeline'!$C$6:$C$904,A5))</f>
        <v>4</v>
      </c>
      <c r="C5" s="140" t="n">
        <f aca="false">IF(A5="","",COUNTIFS('MiT Strom Pipeline'!$C$6:$C$904,A5,'MiT Strom Pipeline'!$R$6:$R$904,"WON"))</f>
        <v>1</v>
      </c>
      <c r="D5" s="108" t="n">
        <f aca="false">IF(A5="","",SUMIFS('MiT Strom Pipeline'!$I$6:$I$904,'MiT Strom Pipeline'!$C$6:$C$904,A5))</f>
        <v>282710</v>
      </c>
      <c r="E5" s="108" t="n">
        <f aca="false">IF(A5="","",SUMIFS('MiT Strom Pipeline'!$Q$6:$Q$904,'MiT Strom Pipeline'!$C$6:$C$904,A5))</f>
        <v>110461</v>
      </c>
      <c r="F5" s="107" t="str">
        <f aca="false">IF(A5="","",IFERROR(INDEX('MiT Strom Pipeline'!$B$6:$B$904,MATCH(_xludf.maxifs('MiT Strom Pipeline'!$I$6:$I$904,'MiT Strom Pipeline'!$C$6:$C$904,A5),'MiT Strom Pipeline'!$I$6:$I$904,0)),"–"))</f>
        <v>–</v>
      </c>
      <c r="G5" s="106" t="str">
        <f aca="false">IF(OR(A5="",B5=0),"–",TEXT(C5/B5,"0%")&amp;" WON")</f>
        <v>25% WON</v>
      </c>
      <c r="H5" s="13"/>
      <c r="I5" s="38" t="s">
        <v>88</v>
      </c>
      <c r="J5" s="141" t="n">
        <f aca="false">IF(I5="","",COUNTIF('MiT Strom Pipeline'!$D$6:$D$904,I5))</f>
        <v>1</v>
      </c>
      <c r="K5" s="39" t="n">
        <f aca="false">IF(I5="","",SUMIFS('MiT Strom Pipeline'!$I$6:$I$904,'MiT Strom Pipeline'!$D$6:$D$904,I5))</f>
        <v>150000</v>
      </c>
      <c r="L5" s="39" t="n">
        <f aca="false">IF(I5="","",SUMIFS('MiT Strom Pipeline'!$Q$6:$Q$904,'MiT Strom Pipeline'!$D$6:$D$904,I5))</f>
        <v>1350</v>
      </c>
      <c r="M5" s="38" t="str">
        <f aca="false">IF(I5="","",IFERROR(INDEX('MiT Strom Pipeline'!$B$6:$B$904,MATCH(_xludf.maxifs('MiT Strom Pipeline'!$I$6:$I$904,'MiT Strom Pipeline'!$D$6:$D$904,I5),'MiT Strom Pipeline'!$I$6:$I$904,0)),"–"))</f>
        <v>–</v>
      </c>
      <c r="N5" s="37" t="str">
        <f aca="false">IF(OR(I5="",J5=0),"–",COUNTIFS('MiT Strom Pipeline'!$D$6:$D$904,I5,'MiT Strom Pipeline'!$R$6:$R$904,"WON")&amp;" / "&amp;J5&amp;" WON")</f>
        <v>0 / 1 WON</v>
      </c>
    </row>
    <row r="6" customFormat="false" ht="19.5" hidden="false" customHeight="true" outlineLevel="0" collapsed="false">
      <c r="A6" s="21" t="s">
        <v>87</v>
      </c>
      <c r="B6" s="142" t="n">
        <f aca="false">IF(A6="","",COUNTIF('MiT Strom Pipeline'!$C$6:$C$904,A6))</f>
        <v>1</v>
      </c>
      <c r="C6" s="142" t="n">
        <f aca="false">IF(A6="","",COUNTIFS('MiT Strom Pipeline'!$C$6:$C$904,A6,'MiT Strom Pipeline'!$R$6:$R$904,"WON"))</f>
        <v>0</v>
      </c>
      <c r="D6" s="23" t="n">
        <f aca="false">IF(A6="","",SUMIFS('MiT Strom Pipeline'!$I$6:$I$904,'MiT Strom Pipeline'!$C$6:$C$904,A6))</f>
        <v>150000</v>
      </c>
      <c r="E6" s="23" t="n">
        <f aca="false">IF(A6="","",SUMIFS('MiT Strom Pipeline'!$Q$6:$Q$904,'MiT Strom Pipeline'!$C$6:$C$904,A6))</f>
        <v>1350</v>
      </c>
      <c r="F6" s="22" t="str">
        <f aca="false">IF(A6="","",IFERROR(INDEX('MiT Strom Pipeline'!$B$6:$B$904,MATCH(_xludf.maxifs('MiT Strom Pipeline'!$I$6:$I$904,'MiT Strom Pipeline'!$C$6:$C$904,A6),'MiT Strom Pipeline'!$I$6:$I$904,0)),"–"))</f>
        <v>–</v>
      </c>
      <c r="G6" s="21" t="str">
        <f aca="false">IF(OR(A6="",B6=0),"–",TEXT(C6/B6,"0%")&amp;" WON")</f>
        <v>0% WON</v>
      </c>
      <c r="H6" s="13"/>
      <c r="I6" s="22" t="s">
        <v>783</v>
      </c>
      <c r="J6" s="142" t="n">
        <f aca="false">IF(I6="","",COUNTIF('MiT Strom Pipeline'!$D$6:$D$904,I6))</f>
        <v>0</v>
      </c>
      <c r="K6" s="23" t="n">
        <f aca="false">IF(I6="","",SUMIFS('MiT Strom Pipeline'!$I$6:$I$904,'MiT Strom Pipeline'!$D$6:$D$904,I6))</f>
        <v>0</v>
      </c>
      <c r="L6" s="23" t="n">
        <f aca="false">IF(I6="","",SUMIFS('MiT Strom Pipeline'!$Q$6:$Q$904,'MiT Strom Pipeline'!$D$6:$D$904,I6))</f>
        <v>0</v>
      </c>
      <c r="M6" s="22" t="str">
        <f aca="false">IF(I6="","",IFERROR(INDEX('MiT Strom Pipeline'!$B$6:$B$904,MATCH(_xludf.maxifs('MiT Strom Pipeline'!$I$6:$I$904,'MiT Strom Pipeline'!$D$6:$D$904,I6),'MiT Strom Pipeline'!$I$6:$I$904,0)),"–"))</f>
        <v>–</v>
      </c>
      <c r="N6" s="21" t="str">
        <f aca="false">IF(OR(I6="",J6=0),"–",COUNTIFS('MiT Strom Pipeline'!$D$6:$D$904,I6,'MiT Strom Pipeline'!$R$6:$R$904,"WON")&amp;" / "&amp;J6&amp;" WON")</f>
        <v>–</v>
      </c>
    </row>
    <row r="7" customFormat="false" ht="19.5" hidden="false" customHeight="true" outlineLevel="0" collapsed="false">
      <c r="A7" s="106" t="s">
        <v>98</v>
      </c>
      <c r="B7" s="140" t="n">
        <f aca="false">IF(A7="","",COUNTIF('MiT Strom Pipeline'!$C$6:$C$904,A7))</f>
        <v>1</v>
      </c>
      <c r="C7" s="140" t="n">
        <f aca="false">IF(A7="","",COUNTIFS('MiT Strom Pipeline'!$C$6:$C$904,A7,'MiT Strom Pipeline'!$R$6:$R$904,"WON"))</f>
        <v>0</v>
      </c>
      <c r="D7" s="108" t="n">
        <f aca="false">IF(A7="","",SUMIFS('MiT Strom Pipeline'!$I$6:$I$904,'MiT Strom Pipeline'!$C$6:$C$904,A7))</f>
        <v>390000</v>
      </c>
      <c r="E7" s="108" t="n">
        <f aca="false">IF(A7="","",SUMIFS('MiT Strom Pipeline'!$Q$6:$Q$904,'MiT Strom Pipeline'!$C$6:$C$904,A7))</f>
        <v>1950</v>
      </c>
      <c r="F7" s="107" t="str">
        <f aca="false">IF(A7="","",IFERROR(INDEX('MiT Strom Pipeline'!$B$6:$B$904,MATCH(_xludf.maxifs('MiT Strom Pipeline'!$I$6:$I$904,'MiT Strom Pipeline'!$C$6:$C$904,A7),'MiT Strom Pipeline'!$I$6:$I$904,0)),"–"))</f>
        <v>–</v>
      </c>
      <c r="G7" s="106" t="str">
        <f aca="false">IF(OR(A7="",B7=0),"–",TEXT(C7/B7,"0%")&amp;" WON")</f>
        <v>0% WON</v>
      </c>
      <c r="H7" s="13"/>
      <c r="I7" s="38" t="s">
        <v>154</v>
      </c>
      <c r="J7" s="141" t="n">
        <f aca="false">IF(I7="","",COUNTIF('MiT Strom Pipeline'!$D$6:$D$904,I7))</f>
        <v>2</v>
      </c>
      <c r="K7" s="39" t="n">
        <f aca="false">IF(I7="","",SUMIFS('MiT Strom Pipeline'!$I$6:$I$904,'MiT Strom Pipeline'!$D$6:$D$904,I7))</f>
        <v>0</v>
      </c>
      <c r="L7" s="39" t="n">
        <f aca="false">IF(I7="","",SUMIFS('MiT Strom Pipeline'!$Q$6:$Q$904,'MiT Strom Pipeline'!$D$6:$D$904,I7))</f>
        <v>0</v>
      </c>
      <c r="M7" s="38" t="str">
        <f aca="false">IF(I7="","",IFERROR(INDEX('MiT Strom Pipeline'!$B$6:$B$904,MATCH(_xludf.maxifs('MiT Strom Pipeline'!$I$6:$I$904,'MiT Strom Pipeline'!$D$6:$D$904,I7),'MiT Strom Pipeline'!$I$6:$I$904,0)),"–"))</f>
        <v>–</v>
      </c>
      <c r="N7" s="37" t="str">
        <f aca="false">IF(OR(I7="",J7=0),"–",COUNTIFS('MiT Strom Pipeline'!$D$6:$D$904,I7,'MiT Strom Pipeline'!$R$6:$R$904,"WON")&amp;" / "&amp;J7&amp;" WON")</f>
        <v>1 / 2 WON</v>
      </c>
    </row>
    <row r="8" customFormat="false" ht="19.5" hidden="false" customHeight="true" outlineLevel="0" collapsed="false">
      <c r="A8" s="21" t="s">
        <v>227</v>
      </c>
      <c r="B8" s="142" t="n">
        <f aca="false">IF(A8="","",COUNTIF('MiT Strom Pipeline'!$C$6:$C$904,A8))</f>
        <v>2</v>
      </c>
      <c r="C8" s="142" t="n">
        <f aca="false">IF(A8="","",COUNTIFS('MiT Strom Pipeline'!$C$6:$C$904,A8,'MiT Strom Pipeline'!$R$6:$R$904,"WON"))</f>
        <v>0</v>
      </c>
      <c r="D8" s="23" t="n">
        <f aca="false">IF(A8="","",SUMIFS('MiT Strom Pipeline'!$I$6:$I$904,'MiT Strom Pipeline'!$C$6:$C$904,A8))</f>
        <v>77325.62</v>
      </c>
      <c r="E8" s="23" t="n">
        <f aca="false">IF(A8="","",SUMIFS('MiT Strom Pipeline'!$Q$6:$Q$904,'MiT Strom Pipeline'!$C$6:$C$904,A8))</f>
        <v>38662.81</v>
      </c>
      <c r="F8" s="22" t="str">
        <f aca="false">IF(A8="","",IFERROR(INDEX('MiT Strom Pipeline'!$B$6:$B$904,MATCH(_xludf.maxifs('MiT Strom Pipeline'!$I$6:$I$904,'MiT Strom Pipeline'!$C$6:$C$904,A8),'MiT Strom Pipeline'!$I$6:$I$904,0)),"–"))</f>
        <v>–</v>
      </c>
      <c r="G8" s="21" t="str">
        <f aca="false">IF(OR(A8="",B8=0),"–",TEXT(C8/B8,"0%")&amp;" WON")</f>
        <v>0% WON</v>
      </c>
      <c r="H8" s="13"/>
      <c r="I8" s="22" t="s">
        <v>109</v>
      </c>
      <c r="J8" s="142" t="n">
        <f aca="false">IF(I8="","",COUNTIF('MiT Strom Pipeline'!$D$6:$D$904,I8))</f>
        <v>2</v>
      </c>
      <c r="K8" s="23" t="n">
        <f aca="false">IF(I8="","",SUMIFS('MiT Strom Pipeline'!$I$6:$I$904,'MiT Strom Pipeline'!$D$6:$D$904,I8))</f>
        <v>137658.69</v>
      </c>
      <c r="L8" s="23" t="n">
        <f aca="false">IF(I8="","",SUMIFS('MiT Strom Pipeline'!$Q$6:$Q$904,'MiT Strom Pipeline'!$D$6:$D$904,I8))</f>
        <v>68829.345</v>
      </c>
      <c r="M8" s="22" t="str">
        <f aca="false">IF(I8="","",IFERROR(INDEX('MiT Strom Pipeline'!$B$6:$B$904,MATCH(_xludf.maxifs('MiT Strom Pipeline'!$I$6:$I$904,'MiT Strom Pipeline'!$D$6:$D$904,I8),'MiT Strom Pipeline'!$I$6:$I$904,0)),"–"))</f>
        <v>–</v>
      </c>
      <c r="N8" s="21" t="str">
        <f aca="false">IF(OR(I8="",J8=0),"–",COUNTIFS('MiT Strom Pipeline'!$D$6:$D$904,I8,'MiT Strom Pipeline'!$R$6:$R$904,"WON")&amp;" / "&amp;J8&amp;" WON")</f>
        <v>0 / 2 WON</v>
      </c>
    </row>
    <row r="9" customFormat="false" ht="19.5" hidden="false" customHeight="true" outlineLevel="0" collapsed="false">
      <c r="A9" s="106" t="s">
        <v>117</v>
      </c>
      <c r="B9" s="140" t="n">
        <f aca="false">IF(A9="","",COUNTIF('MiT Strom Pipeline'!$C$6:$C$904,A9))</f>
        <v>1</v>
      </c>
      <c r="C9" s="140" t="n">
        <f aca="false">IF(A9="","",COUNTIFS('MiT Strom Pipeline'!$C$6:$C$904,A9,'MiT Strom Pipeline'!$R$6:$R$904,"WON"))</f>
        <v>0</v>
      </c>
      <c r="D9" s="108" t="n">
        <f aca="false">IF(A9="","",SUMIFS('MiT Strom Pipeline'!$I$6:$I$904,'MiT Strom Pipeline'!$C$6:$C$904,A9))</f>
        <v>38885</v>
      </c>
      <c r="E9" s="108" t="n">
        <f aca="false">IF(A9="","",SUMIFS('MiT Strom Pipeline'!$Q$6:$Q$904,'MiT Strom Pipeline'!$C$6:$C$904,A9))</f>
        <v>19442.5</v>
      </c>
      <c r="F9" s="107" t="str">
        <f aca="false">IF(A9="","",IFERROR(INDEX('MiT Strom Pipeline'!$B$6:$B$904,MATCH(_xludf.maxifs('MiT Strom Pipeline'!$I$6:$I$904,'MiT Strom Pipeline'!$C$6:$C$904,A9),'MiT Strom Pipeline'!$I$6:$I$904,0)),"–"))</f>
        <v>–</v>
      </c>
      <c r="G9" s="106" t="str">
        <f aca="false">IF(OR(A9="",B9=0),"–",TEXT(C9/B9,"0%")&amp;" WON")</f>
        <v>0% WON</v>
      </c>
      <c r="H9" s="13"/>
      <c r="I9" s="38" t="s">
        <v>79</v>
      </c>
      <c r="J9" s="141" t="n">
        <f aca="false">IF(I9="","",COUNTIF('MiT Strom Pipeline'!$D$6:$D$904,I9))</f>
        <v>1</v>
      </c>
      <c r="K9" s="39" t="n">
        <f aca="false">IF(I9="","",SUMIFS('MiT Strom Pipeline'!$I$6:$I$904,'MiT Strom Pipeline'!$D$6:$D$904,I9))</f>
        <v>10000</v>
      </c>
      <c r="L9" s="39" t="n">
        <f aca="false">IF(I9="","",SUMIFS('MiT Strom Pipeline'!$Q$6:$Q$904,'MiT Strom Pipeline'!$D$6:$D$904,I9))</f>
        <v>100</v>
      </c>
      <c r="M9" s="38" t="str">
        <f aca="false">IF(I9="","",IFERROR(INDEX('MiT Strom Pipeline'!$B$6:$B$904,MATCH(_xludf.maxifs('MiT Strom Pipeline'!$I$6:$I$904,'MiT Strom Pipeline'!$D$6:$D$904,I9),'MiT Strom Pipeline'!$I$6:$I$904,0)),"–"))</f>
        <v>–</v>
      </c>
      <c r="N9" s="37" t="str">
        <f aca="false">IF(OR(I9="",J9=0),"–",COUNTIFS('MiT Strom Pipeline'!$D$6:$D$904,I9,'MiT Strom Pipeline'!$R$6:$R$904,"WON")&amp;" / "&amp;J9&amp;" WON")</f>
        <v>1 / 1 WON</v>
      </c>
    </row>
    <row r="10" customFormat="false" ht="19.5" hidden="false" customHeight="true" outlineLevel="0" collapsed="false">
      <c r="A10" s="21" t="s">
        <v>56</v>
      </c>
      <c r="B10" s="142" t="n">
        <f aca="false">IF(A10="","",COUNTIF('MiT Strom Pipeline'!$C$6:$C$904,A10))</f>
        <v>13</v>
      </c>
      <c r="C10" s="142" t="n">
        <f aca="false">IF(A10="","",COUNTIFS('MiT Strom Pipeline'!$C$6:$C$904,A10,'MiT Strom Pipeline'!$R$6:$R$904,"WON"))</f>
        <v>2</v>
      </c>
      <c r="D10" s="23" t="n">
        <f aca="false">IF(A10="","",SUMIFS('MiT Strom Pipeline'!$I$6:$I$904,'MiT Strom Pipeline'!$C$6:$C$904,A10))</f>
        <v>1301772</v>
      </c>
      <c r="E10" s="23" t="n">
        <f aca="false">IF(A10="","",SUMIFS('MiT Strom Pipeline'!$Q$6:$Q$904,'MiT Strom Pipeline'!$C$6:$C$904,A10))</f>
        <v>294086</v>
      </c>
      <c r="F10" s="22" t="str">
        <f aca="false">IF(A10="","",IFERROR(INDEX('MiT Strom Pipeline'!$B$6:$B$904,MATCH(_xludf.maxifs('MiT Strom Pipeline'!$I$6:$I$904,'MiT Strom Pipeline'!$C$6:$C$904,A10),'MiT Strom Pipeline'!$I$6:$I$904,0)),"–"))</f>
        <v>–</v>
      </c>
      <c r="G10" s="21" t="str">
        <f aca="false">IF(OR(A10="",B10=0),"–",TEXT(C10/B10,"0%")&amp;" WON")</f>
        <v>15% WON</v>
      </c>
      <c r="H10" s="13"/>
      <c r="I10" s="22" t="s">
        <v>167</v>
      </c>
      <c r="J10" s="142" t="n">
        <f aca="false">IF(I10="","",COUNTIF('MiT Strom Pipeline'!$D$6:$D$904,I10))</f>
        <v>3</v>
      </c>
      <c r="K10" s="23" t="n">
        <f aca="false">IF(I10="","",SUMIFS('MiT Strom Pipeline'!$I$6:$I$904,'MiT Strom Pipeline'!$D$6:$D$904,I10))</f>
        <v>75769</v>
      </c>
      <c r="L10" s="23" t="n">
        <f aca="false">IF(I10="","",SUMIFS('MiT Strom Pipeline'!$Q$6:$Q$904,'MiT Strom Pipeline'!$D$6:$D$904,I10))</f>
        <v>37884.5</v>
      </c>
      <c r="M10" s="22" t="str">
        <f aca="false">IF(I10="","",IFERROR(INDEX('MiT Strom Pipeline'!$B$6:$B$904,MATCH(_xludf.maxifs('MiT Strom Pipeline'!$I$6:$I$904,'MiT Strom Pipeline'!$D$6:$D$904,I10),'MiT Strom Pipeline'!$I$6:$I$904,0)),"–"))</f>
        <v>–</v>
      </c>
      <c r="N10" s="21" t="str">
        <f aca="false">IF(OR(I10="",J10=0),"–",COUNTIFS('MiT Strom Pipeline'!$D$6:$D$904,I10,'MiT Strom Pipeline'!$R$6:$R$904,"WON")&amp;" / "&amp;J10&amp;" WON")</f>
        <v>0 / 3 WON</v>
      </c>
    </row>
    <row r="11" customFormat="false" ht="19.5" hidden="false" customHeight="true" outlineLevel="0" collapsed="false">
      <c r="A11" s="106" t="s">
        <v>135</v>
      </c>
      <c r="B11" s="140" t="n">
        <f aca="false">IF(A11="","",COUNTIF('MiT Strom Pipeline'!$C$6:$C$904,A11))</f>
        <v>2</v>
      </c>
      <c r="C11" s="140" t="n">
        <f aca="false">IF(A11="","",COUNTIFS('MiT Strom Pipeline'!$C$6:$C$904,A11,'MiT Strom Pipeline'!$R$6:$R$904,"WON"))</f>
        <v>0</v>
      </c>
      <c r="D11" s="108" t="n">
        <f aca="false">IF(A11="","",SUMIFS('MiT Strom Pipeline'!$I$6:$I$904,'MiT Strom Pipeline'!$C$6:$C$904,A11))</f>
        <v>96658.69</v>
      </c>
      <c r="E11" s="108" t="n">
        <f aca="false">IF(A11="","",SUMIFS('MiT Strom Pipeline'!$Q$6:$Q$904,'MiT Strom Pipeline'!$C$6:$C$904,A11))</f>
        <v>48329.345</v>
      </c>
      <c r="F11" s="107" t="str">
        <f aca="false">IF(A11="","",IFERROR(INDEX('MiT Strom Pipeline'!$B$6:$B$904,MATCH(_xludf.maxifs('MiT Strom Pipeline'!$I$6:$I$904,'MiT Strom Pipeline'!$C$6:$C$904,A11),'MiT Strom Pipeline'!$I$6:$I$904,0)),"–"))</f>
        <v>–</v>
      </c>
      <c r="G11" s="106" t="str">
        <f aca="false">IF(OR(A11="",B11=0),"–",TEXT(C11/B11,"0%")&amp;" WON")</f>
        <v>0% WON</v>
      </c>
      <c r="H11" s="13"/>
      <c r="I11" s="38" t="s">
        <v>127</v>
      </c>
      <c r="J11" s="141" t="n">
        <f aca="false">IF(I11="","",COUNTIF('MiT Strom Pipeline'!$D$6:$D$904,I11))</f>
        <v>1</v>
      </c>
      <c r="K11" s="39" t="n">
        <f aca="false">IF(I11="","",SUMIFS('MiT Strom Pipeline'!$I$6:$I$904,'MiT Strom Pipeline'!$D$6:$D$904,I11))</f>
        <v>500000</v>
      </c>
      <c r="L11" s="39" t="n">
        <f aca="false">IF(I11="","",SUMIFS('MiT Strom Pipeline'!$Q$6:$Q$904,'MiT Strom Pipeline'!$D$6:$D$904,I11))</f>
        <v>50000</v>
      </c>
      <c r="M11" s="38" t="str">
        <f aca="false">IF(I11="","",IFERROR(INDEX('MiT Strom Pipeline'!$B$6:$B$904,MATCH(_xludf.maxifs('MiT Strom Pipeline'!$I$6:$I$904,'MiT Strom Pipeline'!$D$6:$D$904,I11),'MiT Strom Pipeline'!$I$6:$I$904,0)),"–"))</f>
        <v>–</v>
      </c>
      <c r="N11" s="37" t="str">
        <f aca="false">IF(OR(I11="",J11=0),"–",COUNTIFS('MiT Strom Pipeline'!$D$6:$D$904,I11,'MiT Strom Pipeline'!$R$6:$R$904,"WON")&amp;" / "&amp;J11&amp;" WON")</f>
        <v>0 / 1 WON</v>
      </c>
    </row>
    <row r="12" customFormat="false" ht="19.5" hidden="false" customHeight="true" outlineLevel="0" collapsed="false">
      <c r="A12" s="21" t="s">
        <v>214</v>
      </c>
      <c r="B12" s="142" t="n">
        <f aca="false">IF(A12="","",COUNTIF('MiT Strom Pipeline'!$C$6:$C$904,A12))</f>
        <v>5</v>
      </c>
      <c r="C12" s="142" t="n">
        <f aca="false">IF(A12="","",COUNTIFS('MiT Strom Pipeline'!$C$6:$C$904,A12,'MiT Strom Pipeline'!$R$6:$R$904,"WON"))</f>
        <v>1</v>
      </c>
      <c r="D12" s="23" t="n">
        <f aca="false">IF(A12="","",SUMIFS('MiT Strom Pipeline'!$I$6:$I$904,'MiT Strom Pipeline'!$C$6:$C$904,A12))</f>
        <v>2624715</v>
      </c>
      <c r="E12" s="23" t="n">
        <f aca="false">IF(A12="","",SUMIFS('MiT Strom Pipeline'!$Q$6:$Q$904,'MiT Strom Pipeline'!$C$6:$C$904,A12))</f>
        <v>1312357.5</v>
      </c>
      <c r="F12" s="22" t="str">
        <f aca="false">IF(A12="","",IFERROR(INDEX('MiT Strom Pipeline'!$B$6:$B$904,MATCH(_xludf.maxifs('MiT Strom Pipeline'!$I$6:$I$904,'MiT Strom Pipeline'!$C$6:$C$904,A12),'MiT Strom Pipeline'!$I$6:$I$904,0)),"–"))</f>
        <v>–</v>
      </c>
      <c r="G12" s="21" t="str">
        <f aca="false">IF(OR(A12="",B12=0),"–",TEXT(C12/B12,"0%")&amp;" WON")</f>
        <v>20% WON</v>
      </c>
      <c r="H12" s="13"/>
      <c r="I12" s="22" t="s">
        <v>70</v>
      </c>
      <c r="J12" s="142" t="n">
        <f aca="false">IF(I12="","",COUNTIF('MiT Strom Pipeline'!$D$6:$D$904,I12))</f>
        <v>1</v>
      </c>
      <c r="K12" s="23" t="n">
        <f aca="false">IF(I12="","",SUMIFS('MiT Strom Pipeline'!$I$6:$I$904,'MiT Strom Pipeline'!$D$6:$D$904,I12))</f>
        <v>13100</v>
      </c>
      <c r="L12" s="23" t="n">
        <f aca="false">IF(I12="","",SUMIFS('MiT Strom Pipeline'!$Q$6:$Q$904,'MiT Strom Pipeline'!$D$6:$D$904,I12))</f>
        <v>131</v>
      </c>
      <c r="M12" s="22" t="str">
        <f aca="false">IF(I12="","",IFERROR(INDEX('MiT Strom Pipeline'!$B$6:$B$904,MATCH(_xludf.maxifs('MiT Strom Pipeline'!$I$6:$I$904,'MiT Strom Pipeline'!$D$6:$D$904,I12),'MiT Strom Pipeline'!$I$6:$I$904,0)),"–"))</f>
        <v>–</v>
      </c>
      <c r="N12" s="21" t="str">
        <f aca="false">IF(OR(I12="",J12=0),"–",COUNTIFS('MiT Strom Pipeline'!$D$6:$D$904,I12,'MiT Strom Pipeline'!$R$6:$R$904,"WON")&amp;" / "&amp;J12&amp;" WON")</f>
        <v>1 / 1 WON</v>
      </c>
    </row>
    <row r="13" customFormat="false" ht="19.5" hidden="false" customHeight="true" outlineLevel="0" collapsed="false">
      <c r="A13" s="106" t="s">
        <v>175</v>
      </c>
      <c r="B13" s="140" t="n">
        <f aca="false">IF(A13="","",COUNTIF('MiT Strom Pipeline'!$C$6:$C$904,A13))</f>
        <v>1</v>
      </c>
      <c r="C13" s="140" t="n">
        <f aca="false">IF(A13="","",COUNTIFS('MiT Strom Pipeline'!$C$6:$C$904,A13,'MiT Strom Pipeline'!$R$6:$R$904,"WON"))</f>
        <v>0</v>
      </c>
      <c r="D13" s="108" t="n">
        <f aca="false">IF(A13="","",SUMIFS('MiT Strom Pipeline'!$I$6:$I$904,'MiT Strom Pipeline'!$C$6:$C$904,A13))</f>
        <v>0</v>
      </c>
      <c r="E13" s="108" t="n">
        <f aca="false">IF(A13="","",SUMIFS('MiT Strom Pipeline'!$Q$6:$Q$904,'MiT Strom Pipeline'!$C$6:$C$904,A13))</f>
        <v>0</v>
      </c>
      <c r="F13" s="107" t="str">
        <f aca="false">IF(A13="","",IFERROR(INDEX('MiT Strom Pipeline'!$B$6:$B$904,MATCH(_xludf.maxifs('MiT Strom Pipeline'!$I$6:$I$904,'MiT Strom Pipeline'!$C$6:$C$904,A13),'MiT Strom Pipeline'!$I$6:$I$904,0)),"–"))</f>
        <v>–</v>
      </c>
      <c r="G13" s="106" t="str">
        <f aca="false">IF(OR(A13="",B13=0),"–",TEXT(C13/B13,"0%")&amp;" WON")</f>
        <v>0% WON</v>
      </c>
      <c r="H13" s="13"/>
      <c r="I13" s="38" t="s">
        <v>247</v>
      </c>
      <c r="J13" s="141" t="n">
        <f aca="false">IF(I13="","",COUNTIF('MiT Strom Pipeline'!$D$6:$D$904,I13))</f>
        <v>6</v>
      </c>
      <c r="K13" s="39" t="n">
        <f aca="false">IF(I13="","",SUMIFS('MiT Strom Pipeline'!$I$6:$I$904,'MiT Strom Pipeline'!$D$6:$D$904,I13))</f>
        <v>2624715</v>
      </c>
      <c r="L13" s="39" t="n">
        <f aca="false">IF(I13="","",SUMIFS('MiT Strom Pipeline'!$Q$6:$Q$904,'MiT Strom Pipeline'!$D$6:$D$904,I13))</f>
        <v>1312357.5</v>
      </c>
      <c r="M13" s="38" t="str">
        <f aca="false">IF(I13="","",IFERROR(INDEX('MiT Strom Pipeline'!$B$6:$B$904,MATCH(_xludf.maxifs('MiT Strom Pipeline'!$I$6:$I$904,'MiT Strom Pipeline'!$D$6:$D$904,I13),'MiT Strom Pipeline'!$I$6:$I$904,0)),"–"))</f>
        <v>–</v>
      </c>
      <c r="N13" s="37" t="str">
        <f aca="false">IF(OR(I13="",J13=0),"–",COUNTIFS('MiT Strom Pipeline'!$D$6:$D$904,I13,'MiT Strom Pipeline'!$R$6:$R$904,"WON")&amp;" / "&amp;J13&amp;" WON")</f>
        <v>0 / 6 WON</v>
      </c>
    </row>
    <row r="14" customFormat="false" ht="19.5" hidden="false" customHeight="true" outlineLevel="0" collapsed="false">
      <c r="A14" s="21" t="s">
        <v>207</v>
      </c>
      <c r="B14" s="142" t="n">
        <f aca="false">IF(A14="","",COUNTIF('MiT Strom Pipeline'!$C$6:$C$904,A14))</f>
        <v>2</v>
      </c>
      <c r="C14" s="142" t="n">
        <f aca="false">IF(A14="","",COUNTIFS('MiT Strom Pipeline'!$C$6:$C$904,A14,'MiT Strom Pipeline'!$R$6:$R$904,"WON"))</f>
        <v>0</v>
      </c>
      <c r="D14" s="23" t="n">
        <f aca="false">IF(A14="","",SUMIFS('MiT Strom Pipeline'!$I$6:$I$904,'MiT Strom Pipeline'!$C$6:$C$904,A14))</f>
        <v>39000</v>
      </c>
      <c r="E14" s="23" t="n">
        <f aca="false">IF(A14="","",SUMIFS('MiT Strom Pipeline'!$Q$6:$Q$904,'MiT Strom Pipeline'!$C$6:$C$904,A14))</f>
        <v>0</v>
      </c>
      <c r="F14" s="22" t="str">
        <f aca="false">IF(A14="","",IFERROR(INDEX('MiT Strom Pipeline'!$B$6:$B$904,MATCH(_xludf.maxifs('MiT Strom Pipeline'!$I$6:$I$904,'MiT Strom Pipeline'!$C$6:$C$904,A14),'MiT Strom Pipeline'!$I$6:$I$904,0)),"–"))</f>
        <v>–</v>
      </c>
      <c r="G14" s="21" t="str">
        <f aca="false">IF(OR(A14="",B14=0),"–",TEXT(C14/B14,"0%")&amp;" WON")</f>
        <v>0% WON</v>
      </c>
      <c r="H14" s="13"/>
      <c r="I14" s="22" t="s">
        <v>118</v>
      </c>
      <c r="J14" s="142" t="n">
        <f aca="false">IF(I14="","",COUNTIF('MiT Strom Pipeline'!$D$6:$D$904,I14))</f>
        <v>1</v>
      </c>
      <c r="K14" s="23" t="n">
        <f aca="false">IF(I14="","",SUMIFS('MiT Strom Pipeline'!$I$6:$I$904,'MiT Strom Pipeline'!$D$6:$D$904,I14))</f>
        <v>38885</v>
      </c>
      <c r="L14" s="23" t="n">
        <f aca="false">IF(I14="","",SUMIFS('MiT Strom Pipeline'!$Q$6:$Q$904,'MiT Strom Pipeline'!$D$6:$D$904,I14))</f>
        <v>19442.5</v>
      </c>
      <c r="M14" s="22" t="str">
        <f aca="false">IF(I14="","",IFERROR(INDEX('MiT Strom Pipeline'!$B$6:$B$904,MATCH(_xludf.maxifs('MiT Strom Pipeline'!$I$6:$I$904,'MiT Strom Pipeline'!$D$6:$D$904,I14),'MiT Strom Pipeline'!$I$6:$I$904,0)),"–"))</f>
        <v>–</v>
      </c>
      <c r="N14" s="21" t="str">
        <f aca="false">IF(OR(I14="",J14=0),"–",COUNTIFS('MiT Strom Pipeline'!$D$6:$D$904,I14,'MiT Strom Pipeline'!$R$6:$R$904,"WON")&amp;" / "&amp;J14&amp;" WON")</f>
        <v>0 / 1 WON</v>
      </c>
    </row>
    <row r="15" customFormat="false" ht="19.5" hidden="false" customHeight="true" outlineLevel="0" collapsed="false">
      <c r="A15" s="106" t="s">
        <v>408</v>
      </c>
      <c r="B15" s="140" t="n">
        <f aca="false">IF(A15="","",COUNTIF('MiT Strom Pipeline'!$C$6:$C$904,A15))</f>
        <v>0</v>
      </c>
      <c r="C15" s="140" t="n">
        <f aca="false">IF(A15="","",COUNTIFS('MiT Strom Pipeline'!$C$6:$C$904,A15,'MiT Strom Pipeline'!$R$6:$R$904,"WON"))</f>
        <v>0</v>
      </c>
      <c r="D15" s="108" t="n">
        <f aca="false">IF(A15="","",SUMIFS('MiT Strom Pipeline'!$I$6:$I$904,'MiT Strom Pipeline'!$C$6:$C$904,A15))</f>
        <v>0</v>
      </c>
      <c r="E15" s="108" t="n">
        <f aca="false">IF(A15="","",SUMIFS('MiT Strom Pipeline'!$Q$6:$Q$904,'MiT Strom Pipeline'!$C$6:$C$904,A15))</f>
        <v>0</v>
      </c>
      <c r="F15" s="107" t="str">
        <f aca="false">IF(A15="","",IFERROR(INDEX('MiT Strom Pipeline'!$B$6:$B$904,MATCH(_xludf.maxifs('MiT Strom Pipeline'!$I$6:$I$904,'MiT Strom Pipeline'!$C$6:$C$904,A15),'MiT Strom Pipeline'!$I$6:$I$904,0)),"–"))</f>
        <v>–</v>
      </c>
      <c r="G15" s="106" t="str">
        <f aca="false">IF(OR(A15="",B15=0),"–",TEXT(C15/B15,"0%")&amp;" WON")</f>
        <v>–</v>
      </c>
      <c r="H15" s="13"/>
      <c r="I15" s="38" t="s">
        <v>176</v>
      </c>
      <c r="J15" s="141" t="n">
        <f aca="false">IF(I15="","",COUNTIF('MiT Strom Pipeline'!$D$6:$D$904,I15))</f>
        <v>1</v>
      </c>
      <c r="K15" s="39" t="n">
        <f aca="false">IF(I15="","",SUMIFS('MiT Strom Pipeline'!$I$6:$I$904,'MiT Strom Pipeline'!$D$6:$D$904,I15))</f>
        <v>0</v>
      </c>
      <c r="L15" s="39" t="n">
        <f aca="false">IF(I15="","",SUMIFS('MiT Strom Pipeline'!$Q$6:$Q$904,'MiT Strom Pipeline'!$D$6:$D$904,I15))</f>
        <v>0</v>
      </c>
      <c r="M15" s="38" t="str">
        <f aca="false">IF(I15="","",IFERROR(INDEX('MiT Strom Pipeline'!$B$6:$B$904,MATCH(_xludf.maxifs('MiT Strom Pipeline'!$I$6:$I$904,'MiT Strom Pipeline'!$D$6:$D$904,I15),'MiT Strom Pipeline'!$I$6:$I$904,0)),"–"))</f>
        <v>–</v>
      </c>
      <c r="N15" s="37" t="str">
        <f aca="false">IF(OR(I15="",J15=0),"–",COUNTIFS('MiT Strom Pipeline'!$D$6:$D$904,I15,'MiT Strom Pipeline'!$R$6:$R$904,"WON")&amp;" / "&amp;J15&amp;" WON")</f>
        <v>0 / 1 WON</v>
      </c>
    </row>
    <row r="16" customFormat="false" ht="19.5" hidden="false" customHeight="true" outlineLevel="0" collapsed="false">
      <c r="A16" s="21" t="s">
        <v>268</v>
      </c>
      <c r="B16" s="142" t="n">
        <f aca="false">IF(A16="","",COUNTIF('MiT Strom Pipeline'!$C$6:$C$904,A16))</f>
        <v>2</v>
      </c>
      <c r="C16" s="142" t="n">
        <f aca="false">IF(A16="","",COUNTIFS('MiT Strom Pipeline'!$C$6:$C$904,A16,'MiT Strom Pipeline'!$R$6:$R$904,"WON"))</f>
        <v>0</v>
      </c>
      <c r="D16" s="23" t="n">
        <f aca="false">IF(A16="","",SUMIFS('MiT Strom Pipeline'!$I$6:$I$904,'MiT Strom Pipeline'!$C$6:$C$904,A16))</f>
        <v>0</v>
      </c>
      <c r="E16" s="23" t="n">
        <f aca="false">IF(A16="","",SUMIFS('MiT Strom Pipeline'!$Q$6:$Q$904,'MiT Strom Pipeline'!$C$6:$C$904,A16))</f>
        <v>0</v>
      </c>
      <c r="F16" s="22" t="str">
        <f aca="false">IF(A16="","",IFERROR(INDEX('MiT Strom Pipeline'!$B$6:$B$904,MATCH(_xludf.maxifs('MiT Strom Pipeline'!$I$6:$I$904,'MiT Strom Pipeline'!$C$6:$C$904,A16),'MiT Strom Pipeline'!$I$6:$I$904,0)),"–"))</f>
        <v>–</v>
      </c>
      <c r="G16" s="21" t="str">
        <f aca="false">IF(OR(A16="",B16=0),"–",TEXT(C16/B16,"0%")&amp;" WON")</f>
        <v>0% WON</v>
      </c>
      <c r="H16" s="13"/>
      <c r="I16" s="22" t="s">
        <v>161</v>
      </c>
      <c r="J16" s="142" t="n">
        <f aca="false">IF(I16="","",COUNTIF('MiT Strom Pipeline'!$D$6:$D$904,I16))</f>
        <v>1</v>
      </c>
      <c r="K16" s="23" t="n">
        <f aca="false">IF(I16="","",SUMIFS('MiT Strom Pipeline'!$I$6:$I$904,'MiT Strom Pipeline'!$D$6:$D$904,I16))</f>
        <v>365003</v>
      </c>
      <c r="L16" s="23" t="n">
        <f aca="false">IF(I16="","",SUMIFS('MiT Strom Pipeline'!$Q$6:$Q$904,'MiT Strom Pipeline'!$D$6:$D$904,I16))</f>
        <v>182501.5</v>
      </c>
      <c r="M16" s="22" t="str">
        <f aca="false">IF(I16="","",IFERROR(INDEX('MiT Strom Pipeline'!$B$6:$B$904,MATCH(_xludf.maxifs('MiT Strom Pipeline'!$I$6:$I$904,'MiT Strom Pipeline'!$D$6:$D$904,I16),'MiT Strom Pipeline'!$I$6:$I$904,0)),"–"))</f>
        <v>–</v>
      </c>
      <c r="N16" s="21" t="str">
        <f aca="false">IF(OR(I16="",J16=0),"–",COUNTIFS('MiT Strom Pipeline'!$D$6:$D$904,I16,'MiT Strom Pipeline'!$R$6:$R$904,"WON")&amp;" / "&amp;J16&amp;" WON")</f>
        <v>0 / 1 WON</v>
      </c>
    </row>
    <row r="17" customFormat="false" ht="19.5" hidden="false" customHeight="true" outlineLevel="0" collapsed="false">
      <c r="A17" s="106" t="s">
        <v>397</v>
      </c>
      <c r="B17" s="140" t="n">
        <f aca="false">IF(A17="","",COUNTIF('MiT Strom Pipeline'!$C$6:$C$904,A17))</f>
        <v>0</v>
      </c>
      <c r="C17" s="140" t="n">
        <f aca="false">IF(A17="","",COUNTIFS('MiT Strom Pipeline'!$C$6:$C$904,A17,'MiT Strom Pipeline'!$R$6:$R$904,"WON"))</f>
        <v>0</v>
      </c>
      <c r="D17" s="108" t="n">
        <f aca="false">IF(A17="","",SUMIFS('MiT Strom Pipeline'!$I$6:$I$904,'MiT Strom Pipeline'!$C$6:$C$904,A17))</f>
        <v>0</v>
      </c>
      <c r="E17" s="108" t="n">
        <f aca="false">IF(A17="","",SUMIFS('MiT Strom Pipeline'!$Q$6:$Q$904,'MiT Strom Pipeline'!$C$6:$C$904,A17))</f>
        <v>0</v>
      </c>
      <c r="F17" s="107" t="str">
        <f aca="false">IF(A17="","",IFERROR(INDEX('MiT Strom Pipeline'!$B$6:$B$904,MATCH(_xludf.maxifs('MiT Strom Pipeline'!$I$6:$I$904,'MiT Strom Pipeline'!$C$6:$C$904,A17),'MiT Strom Pipeline'!$I$6:$I$904,0)),"–"))</f>
        <v>–</v>
      </c>
      <c r="G17" s="106" t="str">
        <f aca="false">IF(OR(A17="",B17=0),"–",TEXT(C17/B17,"0%")&amp;" WON")</f>
        <v>–</v>
      </c>
      <c r="H17" s="13"/>
      <c r="I17" s="38" t="s">
        <v>143</v>
      </c>
      <c r="J17" s="141" t="n">
        <f aca="false">IF(I17="","",COUNTIF('MiT Strom Pipeline'!$D$6:$D$904,I17))</f>
        <v>5</v>
      </c>
      <c r="K17" s="39" t="n">
        <f aca="false">IF(I17="","",SUMIFS('MiT Strom Pipeline'!$I$6:$I$904,'MiT Strom Pipeline'!$D$6:$D$904,I17))</f>
        <v>220660</v>
      </c>
      <c r="L17" s="39" t="n">
        <f aca="false">IF(I17="","",SUMIFS('MiT Strom Pipeline'!$Q$6:$Q$904,'MiT Strom Pipeline'!$D$6:$D$904,I17))</f>
        <v>110330</v>
      </c>
      <c r="M17" s="38" t="str">
        <f aca="false">IF(I17="","",IFERROR(INDEX('MiT Strom Pipeline'!$B$6:$B$904,MATCH(_xludf.maxifs('MiT Strom Pipeline'!$I$6:$I$904,'MiT Strom Pipeline'!$D$6:$D$904,I17),'MiT Strom Pipeline'!$I$6:$I$904,0)),"–"))</f>
        <v>–</v>
      </c>
      <c r="N17" s="37" t="str">
        <f aca="false">IF(OR(I17="",J17=0),"–",COUNTIFS('MiT Strom Pipeline'!$D$6:$D$904,I17,'MiT Strom Pipeline'!$R$6:$R$904,"WON")&amp;" / "&amp;J17&amp;" WON")</f>
        <v>0 / 5 WON</v>
      </c>
    </row>
    <row r="18" customFormat="false" ht="19.5" hidden="false" customHeight="true" outlineLevel="0" collapsed="false">
      <c r="A18" s="21" t="s">
        <v>308</v>
      </c>
      <c r="B18" s="142" t="n">
        <f aca="false">IF(A18="","",COUNTIF('MiT Strom Pipeline'!$C$6:$C$904,A18))</f>
        <v>0</v>
      </c>
      <c r="C18" s="142" t="n">
        <f aca="false">IF(A18="","",COUNTIFS('MiT Strom Pipeline'!$C$6:$C$904,A18,'MiT Strom Pipeline'!$R$6:$R$904,"WON"))</f>
        <v>0</v>
      </c>
      <c r="D18" s="23" t="n">
        <f aca="false">IF(A18="","",SUMIFS('MiT Strom Pipeline'!$I$6:$I$904,'MiT Strom Pipeline'!$C$6:$C$904,A18))</f>
        <v>0</v>
      </c>
      <c r="E18" s="23" t="n">
        <f aca="false">IF(A18="","",SUMIFS('MiT Strom Pipeline'!$Q$6:$Q$904,'MiT Strom Pipeline'!$C$6:$C$904,A18))</f>
        <v>0</v>
      </c>
      <c r="F18" s="22" t="str">
        <f aca="false">IF(A18="","",IFERROR(INDEX('MiT Strom Pipeline'!$B$6:$B$904,MATCH(_xludf.maxifs('MiT Strom Pipeline'!$I$6:$I$904,'MiT Strom Pipeline'!$C$6:$C$904,A18),'MiT Strom Pipeline'!$I$6:$I$904,0)),"–"))</f>
        <v>–</v>
      </c>
      <c r="G18" s="21" t="str">
        <f aca="false">IF(OR(A18="",B18=0),"–",TEXT(C18/B18,"0%")&amp;" WON")</f>
        <v>–</v>
      </c>
      <c r="H18" s="13"/>
      <c r="I18" s="22" t="s">
        <v>242</v>
      </c>
      <c r="J18" s="142" t="n">
        <f aca="false">IF(I18="","",COUNTIF('MiT Strom Pipeline'!$D$6:$D$904,I18))</f>
        <v>1</v>
      </c>
      <c r="K18" s="23" t="n">
        <f aca="false">IF(I18="","",SUMIFS('MiT Strom Pipeline'!$I$6:$I$904,'MiT Strom Pipeline'!$D$6:$D$904,I18))</f>
        <v>0</v>
      </c>
      <c r="L18" s="23" t="n">
        <f aca="false">IF(I18="","",SUMIFS('MiT Strom Pipeline'!$Q$6:$Q$904,'MiT Strom Pipeline'!$D$6:$D$904,I18))</f>
        <v>0</v>
      </c>
      <c r="M18" s="22" t="str">
        <f aca="false">IF(I18="","",IFERROR(INDEX('MiT Strom Pipeline'!$B$6:$B$904,MATCH(_xludf.maxifs('MiT Strom Pipeline'!$I$6:$I$904,'MiT Strom Pipeline'!$D$6:$D$904,I18),'MiT Strom Pipeline'!$I$6:$I$904,0)),"–"))</f>
        <v>–</v>
      </c>
      <c r="N18" s="21" t="str">
        <f aca="false">IF(OR(I18="",J18=0),"–",COUNTIFS('MiT Strom Pipeline'!$D$6:$D$904,I18,'MiT Strom Pipeline'!$R$6:$R$904,"WON")&amp;" / "&amp;J18&amp;" WON")</f>
        <v>0 / 1 WON</v>
      </c>
    </row>
    <row r="19" customFormat="false" ht="19.5" hidden="false" customHeight="true" outlineLevel="0" collapsed="false">
      <c r="I19" s="38" t="s">
        <v>221</v>
      </c>
      <c r="J19" s="141" t="n">
        <f aca="false">IF(I19="","",COUNTIF('MiT Strom Pipeline'!$D$6:$D$904,I19))</f>
        <v>1</v>
      </c>
      <c r="K19" s="39" t="n">
        <f aca="false">IF(I19="","",SUMIFS('MiT Strom Pipeline'!$I$6:$I$904,'MiT Strom Pipeline'!$D$6:$D$904,I19))</f>
        <v>0</v>
      </c>
      <c r="L19" s="39" t="n">
        <f aca="false">IF(I19="","",SUMIFS('MiT Strom Pipeline'!$Q$6:$Q$904,'MiT Strom Pipeline'!$D$6:$D$904,I19))</f>
        <v>0</v>
      </c>
      <c r="M19" s="38" t="str">
        <f aca="false">IF(I19="","",IFERROR(INDEX('MiT Strom Pipeline'!$B$6:$B$904,MATCH(_xludf.maxifs('MiT Strom Pipeline'!$I$6:$I$904,'MiT Strom Pipeline'!$D$6:$D$904,I19),'MiT Strom Pipeline'!$I$6:$I$904,0)),"–"))</f>
        <v>–</v>
      </c>
      <c r="N19" s="37" t="str">
        <f aca="false">IF(OR(I19="",J19=0),"–",COUNTIFS('MiT Strom Pipeline'!$D$6:$D$904,I19,'MiT Strom Pipeline'!$R$6:$R$904,"WON")&amp;" / "&amp;J19&amp;" WON")</f>
        <v>0 / 1 WON</v>
      </c>
    </row>
    <row r="20" customFormat="false" ht="19.5" hidden="false" customHeight="true" outlineLevel="0" collapsed="false">
      <c r="I20" s="22" t="s">
        <v>99</v>
      </c>
      <c r="J20" s="142" t="n">
        <f aca="false">IF(I20="","",COUNTIF('MiT Strom Pipeline'!$D$6:$D$904,I20))</f>
        <v>1</v>
      </c>
      <c r="K20" s="23" t="n">
        <f aca="false">IF(I20="","",SUMIFS('MiT Strom Pipeline'!$I$6:$I$904,'MiT Strom Pipeline'!$D$6:$D$904,I20))</f>
        <v>390000</v>
      </c>
      <c r="L20" s="23" t="n">
        <f aca="false">IF(I20="","",SUMIFS('MiT Strom Pipeline'!$Q$6:$Q$904,'MiT Strom Pipeline'!$D$6:$D$904,I20))</f>
        <v>1950</v>
      </c>
      <c r="M20" s="22" t="str">
        <f aca="false">IF(I20="","",IFERROR(INDEX('MiT Strom Pipeline'!$B$6:$B$904,MATCH(_xludf.maxifs('MiT Strom Pipeline'!$I$6:$I$904,'MiT Strom Pipeline'!$D$6:$D$904,I20),'MiT Strom Pipeline'!$I$6:$I$904,0)),"–"))</f>
        <v>–</v>
      </c>
      <c r="N20" s="21" t="str">
        <f aca="false">IF(OR(I20="",J20=0),"–",COUNTIFS('MiT Strom Pipeline'!$D$6:$D$904,I20,'MiT Strom Pipeline'!$R$6:$R$904,"WON")&amp;" / "&amp;J20&amp;" WON")</f>
        <v>0 / 1 WON</v>
      </c>
    </row>
    <row r="21" customFormat="false" ht="19.5" hidden="false" customHeight="true" outlineLevel="0" collapsed="false">
      <c r="I21" s="38" t="s">
        <v>232</v>
      </c>
      <c r="J21" s="141" t="n">
        <f aca="false">IF(I21="","",COUNTIF('MiT Strom Pipeline'!$D$6:$D$904,I21))</f>
        <v>1</v>
      </c>
      <c r="K21" s="39" t="n">
        <f aca="false">IF(I21="","",SUMIFS('MiT Strom Pipeline'!$I$6:$I$904,'MiT Strom Pipeline'!$D$6:$D$904,I21))</f>
        <v>0</v>
      </c>
      <c r="L21" s="39" t="n">
        <f aca="false">IF(I21="","",SUMIFS('MiT Strom Pipeline'!$Q$6:$Q$904,'MiT Strom Pipeline'!$D$6:$D$904,I21))</f>
        <v>0</v>
      </c>
      <c r="M21" s="38" t="str">
        <f aca="false">IF(I21="","",IFERROR(INDEX('MiT Strom Pipeline'!$B$6:$B$904,MATCH(_xludf.maxifs('MiT Strom Pipeline'!$I$6:$I$904,'MiT Strom Pipeline'!$D$6:$D$904,I21),'MiT Strom Pipeline'!$I$6:$I$904,0)),"–"))</f>
        <v>–</v>
      </c>
      <c r="N21" s="37" t="str">
        <f aca="false">IF(OR(I21="",J21=0),"–",COUNTIFS('MiT Strom Pipeline'!$D$6:$D$904,I21,'MiT Strom Pipeline'!$R$6:$R$904,"WON")&amp;" / "&amp;J21&amp;" WON")</f>
        <v>0 / 1 WON</v>
      </c>
    </row>
    <row r="22" customFormat="false" ht="19.5" hidden="false" customHeight="true" outlineLevel="0" collapsed="false">
      <c r="I22" s="22" t="s">
        <v>192</v>
      </c>
      <c r="J22" s="142" t="n">
        <f aca="false">IF(I22="","",COUNTIF('MiT Strom Pipeline'!$D$6:$D$904,I22))</f>
        <v>1</v>
      </c>
      <c r="K22" s="23" t="n">
        <f aca="false">IF(I22="","",SUMIFS('MiT Strom Pipeline'!$I$6:$I$904,'MiT Strom Pipeline'!$D$6:$D$904,I22))</f>
        <v>0</v>
      </c>
      <c r="L22" s="23" t="n">
        <f aca="false">IF(I22="","",SUMIFS('MiT Strom Pipeline'!$Q$6:$Q$904,'MiT Strom Pipeline'!$D$6:$D$904,I22))</f>
        <v>0</v>
      </c>
      <c r="M22" s="22" t="str">
        <f aca="false">IF(I22="","",IFERROR(INDEX('MiT Strom Pipeline'!$B$6:$B$904,MATCH(_xludf.maxifs('MiT Strom Pipeline'!$I$6:$I$904,'MiT Strom Pipeline'!$D$6:$D$904,I22),'MiT Strom Pipeline'!$I$6:$I$904,0)),"–"))</f>
        <v>–</v>
      </c>
      <c r="N22" s="21" t="str">
        <f aca="false">IF(OR(I22="",J22=0),"–",COUNTIFS('MiT Strom Pipeline'!$D$6:$D$904,I22,'MiT Strom Pipeline'!$R$6:$R$904,"WON")&amp;" / "&amp;J22&amp;" WON")</f>
        <v>0 / 1 WON</v>
      </c>
    </row>
  </sheetData>
  <mergeCells count="3">
    <mergeCell ref="A1:N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2026-05-19T15:27:07Z</dcterms:created>
  <dc:creator>openpyxl</dc:creator>
  <dc:description/>
  <dc:language>en-US</dc:language>
  <cp:lastModifiedBy>Burak Ücöz</cp:lastModifiedBy>
  <dcterms:modified xsi:type="dcterms:W3CDTF">2026-05-20T10:21:18Z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